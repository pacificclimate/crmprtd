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ORGNames" sheetId="1" r:id="rId4"/>
    <sheet state="visible" name="OldORGNames" sheetId="2" r:id="rId5"/>
    <sheet state="visible" name="ORG NAME CHANGES" sheetId="3" r:id="rId6"/>
  </sheets>
  <definedNames>
    <definedName hidden="1" localSheetId="0" name="_xlnm._FilterDatabase">NewORGNames!$A$2:$BT$2085</definedName>
    <definedName hidden="1" localSheetId="1" name="_xlnm._FilterDatabase">OldORGNames!$A$2:$BT$2085</definedName>
  </definedNames>
  <calcPr/>
  <extLst>
    <ext uri="GoogleSheetsCustomDataVersion2">
      <go:sheetsCustomData xmlns:go="http://customooxmlschemas.google.com/" r:id="rId7" roundtripDataChecksum="cA/+bd3yTbpdJVy0rNpMwRaj0X/V8MkWFDgmjhM8vSg="/>
    </ext>
  </extLst>
</workbook>
</file>

<file path=xl/sharedStrings.xml><?xml version="1.0" encoding="utf-8"?>
<sst xmlns="http://schemas.openxmlformats.org/spreadsheetml/2006/main" count="53716" uniqueCount="7827">
  <si>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</si>
  <si>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</si>
  <si>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</si>
  <si>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</si>
  <si>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</si>
  <si>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</si>
  <si>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</si>
  <si>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</si>
  <si>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</si>
  <si>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</si>
  <si>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</si>
  <si>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</si>
  <si>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</si>
  <si>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</si>
  <si>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</si>
  <si>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</si>
  <si>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</si>
  <si>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</si>
  <si>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</si>
  <si>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</si>
  <si>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</si>
  <si>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</si>
  <si>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</si>
  <si>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</si>
  <si>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</si>
  <si>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</si>
  <si>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</si>
  <si>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</si>
  <si>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</si>
  <si>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</si>
  <si>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</si>
  <si>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</si>
  <si>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</si>
  <si>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</si>
  <si>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</si>
  <si>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</si>
  <si>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</si>
  <si>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</si>
  <si>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</si>
  <si>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</si>
  <si>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</si>
  <si>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</si>
  <si>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</si>
  <si>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</si>
  <si>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</si>
  <si>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</si>
  <si>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</si>
  <si>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</si>
  <si>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</si>
  <si>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</si>
  <si>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</si>
  <si>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</si>
  <si>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</si>
  <si>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</si>
  <si>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</si>
  <si>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</si>
  <si>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</si>
  <si>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</si>
  <si>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</si>
  <si>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</si>
  <si>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</si>
  <si>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</si>
  <si>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</si>
  <si>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</si>
  <si>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</si>
  <si>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</si>
  <si>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</si>
  <si>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</si>
  <si>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</si>
  <si>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</si>
  <si>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</si>
  <si>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</si>
  <si>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</si>
  <si>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</si>
  <si>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</si>
  <si>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</si>
  <si>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</si>
  <si>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</si>
  <si>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</si>
  <si>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</si>
  <si>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</si>
  <si>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</si>
  <si>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</si>
  <si>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</si>
  <si>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</si>
  <si>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</si>
  <si>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</si>
  <si>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</si>
  <si>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</si>
  <si>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</si>
  <si>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</si>
  <si>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</si>
  <si>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</si>
  <si>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</si>
  <si>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</si>
  <si>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</si>
  <si>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</si>
  <si>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</si>
  <si>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</si>
  <si>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</si>
  <si>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</si>
  <si>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</si>
  <si>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</si>
  <si>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</si>
  <si>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</si>
  <si>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</si>
  <si>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</si>
  <si>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</si>
  <si>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</si>
  <si>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</si>
  <si>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</si>
  <si>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</si>
  <si>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</si>
  <si>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</si>
  <si>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</si>
  <si>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</si>
  <si>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</si>
  <si>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</si>
  <si>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</si>
  <si>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</si>
  <si>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</si>
  <si>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</si>
  <si>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</si>
  <si>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</si>
  <si>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</si>
  <si>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</si>
  <si>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</si>
  <si>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</si>
  <si>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</si>
  <si>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</si>
  <si>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</si>
  <si>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</si>
  <si>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</si>
  <si>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</si>
  <si>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</si>
  <si>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</si>
  <si>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</si>
  <si>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</si>
  <si>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</si>
  <si>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</si>
  <si>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</si>
  <si>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</si>
  <si>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</si>
  <si>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</si>
  <si>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</si>
  <si>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</si>
  <si>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</si>
  <si>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</si>
  <si>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</si>
  <si>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</si>
  <si>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</si>
  <si>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</si>
  <si>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</si>
  <si>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</si>
  <si>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</si>
  <si>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</si>
  <si>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</si>
  <si>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</si>
  <si>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</si>
  <si>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</si>
  <si>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</si>
  <si>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</si>
  <si>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</si>
  <si>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</si>
  <si>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</si>
  <si>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</si>
  <si>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</si>
  <si>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</si>
  <si>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</si>
  <si>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</si>
  <si>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</si>
  <si>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</si>
  <si>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</si>
  <si>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</si>
  <si>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</si>
  <si>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</si>
  <si>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</si>
  <si>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</si>
  <si>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</si>
  <si>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</si>
  <si>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</si>
  <si>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</si>
  <si>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</si>
  <si>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</si>
  <si>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</si>
  <si>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</si>
  <si>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</si>
  <si>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</si>
  <si>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</si>
  <si>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</si>
  <si>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</si>
  <si>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</si>
  <si>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</si>
  <si>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</si>
  <si>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</si>
  <si>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</si>
  <si>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</si>
  <si>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</si>
  <si>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</si>
  <si>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</si>
  <si>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</si>
  <si>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</si>
  <si>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</si>
  <si>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</si>
  <si>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</si>
  <si>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</si>
  <si>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</si>
  <si>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</si>
  <si>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</si>
  <si>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</si>
  <si>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</si>
  <si>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</si>
  <si>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</si>
  <si>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</si>
  <si>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</si>
  <si>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</si>
  <si>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</si>
  <si>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</si>
  <si>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</si>
  <si>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</si>
  <si>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</si>
  <si>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</si>
  <si>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</si>
  <si>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</si>
  <si>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</si>
  <si>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</si>
  <si>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</si>
  <si>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</si>
  <si>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</si>
  <si>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</si>
  <si>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</si>
  <si>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</si>
  <si>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</si>
  <si>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</si>
  <si>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</si>
  <si>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</si>
  <si>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</si>
  <si>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</si>
  <si>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</si>
  <si>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</si>
  <si>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</si>
  <si>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</si>
  <si>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</si>
  <si>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</si>
  <si>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</si>
  <si>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</si>
  <si>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</si>
  <si>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</si>
  <si>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</si>
  <si>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</si>
  <si>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</si>
  <si>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</si>
  <si>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</si>
  <si>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</si>
  <si>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</si>
  <si>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</si>
  <si>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</si>
  <si>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</si>
  <si>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</si>
  <si>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</si>
  <si>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</si>
  <si>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</si>
  <si>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</si>
  <si>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</si>
  <si>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</si>
  <si>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</si>
  <si>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</si>
  <si>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</si>
  <si>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</si>
  <si>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</si>
  <si>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</si>
  <si>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</si>
  <si>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</si>
  <si>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</si>
  <si>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</si>
  <si>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</si>
  <si>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</si>
  <si>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</si>
  <si>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</si>
  <si>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</si>
  <si>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</si>
  <si>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</si>
  <si>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</si>
  <si>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</si>
  <si>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</si>
  <si>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</si>
  <si>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</si>
  <si>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</si>
  <si>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</si>
  <si>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</si>
  <si>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</si>
  <si>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</si>
  <si>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</si>
  <si>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</si>
  <si>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</si>
  <si>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</si>
  <si>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</si>
  <si>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</si>
  <si>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</si>
  <si>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</si>
  <si>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</si>
  <si>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</si>
  <si>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</si>
  <si>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</si>
  <si>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</si>
  <si>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</si>
  <si>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</si>
  <si>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</si>
  <si>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</si>
  <si>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</si>
  <si>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</si>
  <si>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</si>
  <si>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</si>
  <si>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</si>
  <si>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</si>
  <si>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</si>
  <si>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</si>
  <si>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</si>
  <si>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</si>
  <si>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</si>
  <si>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</si>
  <si>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</si>
  <si>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</si>
  <si>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</si>
  <si>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</si>
  <si>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</si>
  <si>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</si>
  <si>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</si>
  <si>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</si>
  <si>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</si>
  <si>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</si>
  <si>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</si>
  <si>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</si>
  <si>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</si>
  <si>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</si>
  <si>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</si>
  <si>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</si>
  <si>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</si>
  <si>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</si>
  <si>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</si>
  <si>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</si>
  <si>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</si>
  <si>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</si>
  <si>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</si>
  <si>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</si>
  <si>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</si>
  <si>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</si>
  <si>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</si>
  <si>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</si>
  <si>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</si>
  <si>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</si>
  <si>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</si>
  <si>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</si>
  <si>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</si>
  <si>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</si>
  <si>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</si>
  <si>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</si>
  <si>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</si>
  <si>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</si>
  <si>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</si>
  <si>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</si>
  <si>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</si>
  <si>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</si>
  <si>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</si>
  <si>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</si>
  <si>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</si>
  <si>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</si>
  <si>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</si>
  <si>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</si>
  <si>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</si>
  <si>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</si>
  <si>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</si>
  <si>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</si>
  <si>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</si>
  <si>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</si>
  <si>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</si>
  <si>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</si>
  <si>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</si>
  <si>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</si>
  <si>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</si>
  <si>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</si>
  <si>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</si>
  <si>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</si>
  <si>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</si>
  <si>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</si>
  <si>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</si>
  <si>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</si>
  <si>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</si>
  <si>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</si>
  <si>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</si>
  <si>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</si>
  <si>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</si>
  <si>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</si>
  <si>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</si>
  <si>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</si>
  <si>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</si>
  <si>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</si>
  <si>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</si>
  <si>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</si>
  <si>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</si>
  <si>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</si>
  <si>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</si>
  <si>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</si>
  <si>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</si>
  <si>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</si>
  <si>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</si>
  <si>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</si>
  <si>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</si>
  <si>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</si>
  <si>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</si>
  <si>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</si>
  <si>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</si>
  <si>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</si>
  <si>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</si>
  <si>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</si>
  <si>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</si>
  <si>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</si>
  <si>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</si>
  <si>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</si>
  <si>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</si>
  <si>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</si>
  <si>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</si>
  <si>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</si>
  <si>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</si>
  <si>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</si>
  <si>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</si>
  <si>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</si>
  <si>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</si>
  <si>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</si>
  <si>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</si>
  <si>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</si>
  <si>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</si>
  <si>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</si>
  <si>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</si>
  <si>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</si>
  <si>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</si>
  <si>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</si>
  <si>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</si>
  <si>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</si>
  <si>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</si>
  <si>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</si>
  <si>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</si>
  <si>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</si>
  <si>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</si>
  <si>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</si>
  <si>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</si>
  <si>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</si>
  <si>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</si>
  <si>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</si>
  <si>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</si>
  <si>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</si>
  <si>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</si>
  <si>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</si>
  <si>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</si>
  <si>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</si>
  <si>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</si>
  <si>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</si>
  <si>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</si>
  <si>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</si>
  <si>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</si>
  <si>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</si>
  <si>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</si>
  <si>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</si>
  <si>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</si>
  <si>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</si>
  <si>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</si>
  <si>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</si>
  <si>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</si>
  <si>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</si>
  <si>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</si>
  <si>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</si>
  <si>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</si>
  <si>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</si>
  <si>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</si>
  <si>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</si>
  <si>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</si>
  <si>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</si>
  <si>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</si>
  <si>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</si>
  <si>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</si>
  <si>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</si>
  <si>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</si>
  <si>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</si>
  <si>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</si>
  <si>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</si>
  <si>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Replaced by AMGL019 - move data record, delete station</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</si>
  <si>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</si>
  <si>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</si>
  <si>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</si>
  <si>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</si>
  <si>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</si>
  <si>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</si>
  <si>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</si>
  <si>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</si>
  <si>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</si>
  <si>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</si>
  <si>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</si>
  <si>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</si>
  <si>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</si>
  <si>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</si>
  <si>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</si>
  <si>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</si>
  <si>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</si>
  <si>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</si>
  <si>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</si>
  <si>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</si>
  <si>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</si>
  <si>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</si>
  <si>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</si>
  <si>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</si>
  <si>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</si>
  <si>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</si>
  <si>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</si>
  <si>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</si>
  <si>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</si>
  <si>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</si>
  <si>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</si>
  <si>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</si>
  <si>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</si>
  <si>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</si>
  <si>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</si>
  <si>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</si>
  <si>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</si>
  <si>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</si>
  <si>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</si>
  <si>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</si>
  <si>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</si>
  <si>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</si>
  <si>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</si>
  <si>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</si>
  <si>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</si>
  <si>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</si>
  <si>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</si>
  <si>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</si>
  <si>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</si>
  <si>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</si>
  <si>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</si>
  <si>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</si>
  <si>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</si>
  <si>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</si>
  <si>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</si>
  <si>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</si>
  <si>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</si>
  <si>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</si>
  <si>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</si>
  <si>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</si>
  <si>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</si>
  <si>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</si>
  <si>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</si>
  <si>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</si>
  <si>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</si>
  <si>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</si>
  <si>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</si>
  <si>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</si>
  <si>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</si>
  <si>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</si>
  <si>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</si>
  <si>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</si>
  <si>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</si>
  <si>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</si>
  <si>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</si>
  <si>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</si>
  <si>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</si>
  <si>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</si>
  <si>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</si>
  <si>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</si>
  <si>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</si>
  <si>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</si>
  <si>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</si>
  <si>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</si>
  <si>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</si>
  <si>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</si>
  <si>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</si>
  <si>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</si>
  <si>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</si>
  <si>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</si>
  <si>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</si>
  <si>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</si>
  <si>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</si>
  <si>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</si>
  <si>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</si>
  <si>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</si>
  <si>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</si>
  <si>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</si>
  <si>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</si>
  <si>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</si>
  <si>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</si>
  <si>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</si>
  <si>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</si>
  <si>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</si>
  <si>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</si>
  <si>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</si>
  <si>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</si>
  <si>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Replaced by AGBCSUMASP - move data record, delete station</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</si>
  <si>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</si>
  <si>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</si>
  <si>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</si>
  <si>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</si>
  <si>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</si>
  <si>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</si>
  <si>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</si>
  <si>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</si>
  <si>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</si>
  <si>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</si>
  <si>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</si>
  <si>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</si>
  <si>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</si>
  <si>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</si>
  <si>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</si>
  <si>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</si>
  <si>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</si>
  <si>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</si>
  <si>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</si>
  <si>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</si>
  <si>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</si>
  <si>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</si>
  <si>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</si>
  <si>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</si>
  <si>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</si>
  <si>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</si>
  <si>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</si>
  <si>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</si>
  <si>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</si>
  <si>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</si>
  <si>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</si>
  <si>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</si>
  <si>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</si>
  <si>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</si>
  <si>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</si>
  <si>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</si>
  <si>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</si>
  <si>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</si>
  <si>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</si>
  <si>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</si>
  <si>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</si>
  <si>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</si>
  <si>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</si>
  <si>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</si>
  <si>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</si>
  <si>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</si>
  <si>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</si>
  <si>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</si>
  <si>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</si>
  <si>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</si>
  <si>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</si>
  <si>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</si>
  <si>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</si>
  <si>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</si>
  <si>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</si>
  <si>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</si>
  <si>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</si>
  <si>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</si>
  <si>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</si>
  <si>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</si>
  <si>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</si>
  <si>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</si>
  <si>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</si>
  <si>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</si>
  <si>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</si>
  <si>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</si>
  <si>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</si>
  <si>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</si>
  <si>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</si>
  <si>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</si>
  <si>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</si>
  <si>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</si>
  <si>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</si>
  <si>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</si>
  <si>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</si>
  <si>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</si>
  <si>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</si>
  <si>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</si>
  <si>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</si>
  <si>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</si>
  <si>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</si>
  <si>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</si>
  <si>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</si>
  <si>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</si>
  <si>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</si>
  <si>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</si>
  <si>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</si>
  <si>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</si>
  <si>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</si>
  <si>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</si>
  <si>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</si>
  <si>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</si>
  <si>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</si>
  <si>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</si>
  <si>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</si>
  <si>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</si>
  <si>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</si>
  <si>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</si>
  <si>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</si>
  <si>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</si>
  <si>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</si>
  <si>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</si>
  <si>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</si>
  <si>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</si>
  <si>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</si>
  <si>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</si>
  <si>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</si>
  <si>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</si>
  <si>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</si>
  <si>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</si>
  <si>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</si>
  <si>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</si>
  <si>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</si>
  <si>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</si>
  <si>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</si>
  <si>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</si>
  <si>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</si>
  <si>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</si>
  <si>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</si>
  <si>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</si>
  <si>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</si>
  <si>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</si>
  <si>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</si>
  <si>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</si>
  <si>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</si>
  <si>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</si>
  <si>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</si>
  <si>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</si>
  <si>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</si>
  <si>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</si>
  <si>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</si>
  <si>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</si>
  <si>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</si>
  <si>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</si>
  <si>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</si>
  <si>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</si>
  <si>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</si>
  <si>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</si>
  <si>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</si>
  <si>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</si>
  <si>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</si>
  <si>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</si>
  <si>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</si>
  <si>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</si>
  <si>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</si>
  <si>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</si>
  <si>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</si>
  <si>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</si>
  <si>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</si>
  <si>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</si>
  <si>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</si>
  <si>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</si>
  <si>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</si>
  <si>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</si>
  <si>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</si>
  <si>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</si>
  <si>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</si>
  <si>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</si>
  <si>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</si>
  <si>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</si>
  <si>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</si>
  <si>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</si>
  <si>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</si>
  <si>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</si>
  <si>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</si>
  <si>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</si>
  <si>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</si>
  <si>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</si>
  <si>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</si>
  <si>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</si>
  <si>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</si>
  <si>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</si>
  <si>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</si>
  <si>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</si>
  <si>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</si>
  <si>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</si>
  <si>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</si>
  <si>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</si>
  <si>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</si>
  <si>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</si>
  <si>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</si>
  <si>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</si>
  <si>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</si>
  <si>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</si>
  <si>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</si>
  <si>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</si>
  <si>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</si>
  <si>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</si>
  <si>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</si>
  <si>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</si>
  <si>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</si>
  <si>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</si>
  <si>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</si>
  <si>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</si>
  <si>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</si>
  <si>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</si>
  <si>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</si>
  <si>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</si>
  <si>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</si>
  <si>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</si>
  <si>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</si>
  <si>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</si>
  <si>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</si>
  <si>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</si>
  <si>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</si>
  <si>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</si>
  <si>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</si>
  <si>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</si>
  <si>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</si>
  <si>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</si>
  <si>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</si>
  <si>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</si>
  <si>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</si>
  <si>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</si>
  <si>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</si>
  <si>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</si>
  <si>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</si>
  <si>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</si>
  <si>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</si>
  <si>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</si>
  <si>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</si>
  <si>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</si>
  <si>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</si>
  <si>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</si>
  <si>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</si>
  <si>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</si>
  <si>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</si>
  <si>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</si>
  <si>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</si>
  <si>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</si>
  <si>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</si>
  <si>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</si>
  <si>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</si>
  <si>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</si>
  <si>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</si>
  <si>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</si>
  <si>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</si>
  <si>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</si>
  <si>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</si>
  <si>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</si>
  <si>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</si>
  <si>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</si>
  <si>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</si>
  <si>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</si>
  <si>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</si>
  <si>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</si>
  <si>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</si>
  <si>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</si>
  <si>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</si>
  <si>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</si>
  <si>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</si>
  <si>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</si>
  <si>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</si>
  <si>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</si>
  <si>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</si>
  <si>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</si>
  <si>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</si>
  <si>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</si>
  <si>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</si>
  <si>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</si>
  <si>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</si>
  <si>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</si>
  <si>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</si>
  <si>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</si>
  <si>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</si>
  <si>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</si>
  <si>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</si>
  <si>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</si>
  <si>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</si>
  <si>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</si>
  <si>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</si>
  <si>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</si>
  <si>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</si>
  <si>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</si>
  <si>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</si>
  <si>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</si>
  <si>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</si>
  <si>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</si>
  <si>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</si>
  <si>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</si>
  <si>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</si>
  <si>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</si>
  <si>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</si>
  <si>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</si>
  <si>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</si>
  <si>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</si>
  <si>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</si>
  <si>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</si>
  <si>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</si>
  <si>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</si>
  <si>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</si>
  <si>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</si>
  <si>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</si>
  <si>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</si>
  <si>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</si>
  <si>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</si>
  <si>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</si>
  <si>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</si>
  <si>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</si>
  <si>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</si>
  <si>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</si>
  <si>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</si>
  <si>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</si>
  <si>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</si>
  <si>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</si>
  <si>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</si>
  <si>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</si>
  <si>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</si>
  <si>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</si>
  <si>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</si>
  <si>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</si>
  <si>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</si>
  <si>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</si>
  <si>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</si>
  <si>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</si>
  <si>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</si>
  <si>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</si>
  <si>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</si>
  <si>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</si>
  <si>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</si>
  <si>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</si>
  <si>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</si>
  <si>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</si>
  <si>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</si>
  <si>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</si>
  <si>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</si>
  <si>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</si>
  <si>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</si>
  <si>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</si>
  <si>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</si>
  <si>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</si>
  <si>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</si>
  <si>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</si>
  <si>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</si>
  <si>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</si>
  <si>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</si>
  <si>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</si>
  <si>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</si>
  <si>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</si>
  <si>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</si>
  <si>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</si>
  <si>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</si>
  <si>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</si>
  <si>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</si>
  <si>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</si>
  <si>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</si>
  <si>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</si>
  <si>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</si>
  <si>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</si>
  <si>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</si>
  <si>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</si>
  <si>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</si>
  <si>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</si>
  <si>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</si>
  <si>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</si>
  <si>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</si>
  <si>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</si>
  <si>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</si>
  <si>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</si>
  <si>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</si>
  <si>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</si>
  <si>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</si>
  <si>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</si>
  <si>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</si>
  <si>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</si>
  <si>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</si>
  <si>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</si>
  <si>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</si>
  <si>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</si>
  <si>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</si>
  <si>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</si>
  <si>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</si>
  <si>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</si>
  <si>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</si>
  <si>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</si>
  <si>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</si>
  <si>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</si>
  <si>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</si>
  <si>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</si>
  <si>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</si>
  <si>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</si>
  <si>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</si>
  <si>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</si>
  <si>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</si>
  <si>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</si>
  <si>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</si>
  <si>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</si>
  <si>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</si>
  <si>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</si>
  <si>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</si>
  <si>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</si>
  <si>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</si>
  <si>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</si>
  <si>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</si>
  <si>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</si>
  <si>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</si>
  <si>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</si>
  <si>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</si>
  <si>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</si>
  <si>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</si>
  <si>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</si>
  <si>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</si>
  <si>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</si>
  <si>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</si>
  <si>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</si>
  <si>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</si>
  <si>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</si>
  <si>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</si>
  <si>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</si>
  <si>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</si>
  <si>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</si>
  <si>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</si>
  <si>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</si>
  <si>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</si>
  <si>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</si>
  <si>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</si>
  <si>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</si>
  <si>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</si>
  <si>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</si>
  <si>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</si>
  <si>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</si>
  <si>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</si>
  <si>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</si>
  <si>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</si>
  <si>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</si>
  <si>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</si>
  <si>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</si>
  <si>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</si>
  <si>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</si>
  <si>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</si>
  <si>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</si>
  <si>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</si>
  <si>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</si>
  <si>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</si>
  <si>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</si>
  <si>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</si>
  <si>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</si>
  <si>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</si>
  <si>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</si>
  <si>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</si>
  <si>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</si>
  <si>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</si>
  <si>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</si>
  <si>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</si>
  <si>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</si>
  <si>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</si>
  <si>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</si>
  <si>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</si>
  <si>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</si>
  <si>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</si>
  <si>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</si>
  <si>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</si>
  <si>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</si>
  <si>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</si>
  <si>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</si>
  <si>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</si>
  <si>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</si>
  <si>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</si>
  <si>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</si>
  <si>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</si>
  <si>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</si>
  <si>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</si>
  <si>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</si>
  <si>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</si>
  <si>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</si>
  <si>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</si>
  <si>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</si>
  <si>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</si>
  <si>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</si>
  <si>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</si>
  <si>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</si>
  <si>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</si>
  <si>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</si>
  <si>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</si>
  <si>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</si>
  <si>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</si>
  <si>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</si>
  <si>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</si>
  <si>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</si>
  <si>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</si>
  <si>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</si>
  <si>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</si>
  <si>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</si>
  <si>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</si>
  <si>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</si>
  <si>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</si>
  <si>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</si>
  <si>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</si>
  <si>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</si>
  <si>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</si>
  <si>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</si>
  <si>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</si>
  <si>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</si>
  <si>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</si>
  <si>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</si>
  <si>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</si>
  <si>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</si>
  <si>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</si>
  <si>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</si>
  <si>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</si>
  <si>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</si>
  <si>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</si>
  <si>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</si>
  <si>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</si>
  <si>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</si>
  <si>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</si>
  <si>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</si>
  <si>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</si>
  <si>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</si>
  <si>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</si>
  <si>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</si>
  <si>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</si>
  <si>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</si>
  <si>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</si>
  <si>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</si>
  <si>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</si>
  <si>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</si>
  <si>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</si>
  <si>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</si>
  <si>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</si>
  <si>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</si>
  <si>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</si>
  <si>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</si>
  <si>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</si>
  <si>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</si>
  <si>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</si>
  <si>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</si>
  <si>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</si>
  <si>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</si>
  <si>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</si>
  <si>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</si>
  <si>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</si>
  <si>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</si>
  <si>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</si>
  <si>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</si>
  <si>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</si>
  <si>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</si>
  <si>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</si>
  <si>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</si>
  <si>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</si>
  <si>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</si>
  <si>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</si>
  <si>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</si>
  <si>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</si>
  <si>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</si>
  <si>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</si>
  <si>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</si>
  <si>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</si>
  <si>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</si>
  <si>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</si>
  <si>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</si>
  <si>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</si>
  <si>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</si>
  <si>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</si>
  <si>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</si>
  <si>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</si>
  <si>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</si>
  <si>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</si>
  <si>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</si>
  <si>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</si>
  <si>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</si>
  <si>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</si>
  <si>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</si>
  <si>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</si>
  <si>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</si>
  <si>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</si>
  <si>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</si>
  <si>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</si>
  <si>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</si>
  <si>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</si>
  <si>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</si>
  <si>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</si>
  <si>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</si>
  <si>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</si>
  <si>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</si>
  <si>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</si>
  <si>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</si>
  <si>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</si>
  <si>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</si>
  <si>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</si>
  <si>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</si>
  <si>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</si>
  <si>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</si>
  <si>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</si>
  <si>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</si>
  <si>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</si>
  <si>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</si>
  <si>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</si>
  <si>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</si>
  <si>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</si>
  <si>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</si>
  <si>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</si>
  <si>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</si>
  <si>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</si>
  <si>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</si>
  <si>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</si>
  <si>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</si>
  <si>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</si>
  <si>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</si>
  <si>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</si>
  <si>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</si>
  <si>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</si>
  <si>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</si>
  <si>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</si>
  <si>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</si>
  <si>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</si>
  <si>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117.76453 W, 51.17986 N, Elev. 870 m -&gt; 117.75615 N, 51.18808 N, Elev. 999 m</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</si>
  <si>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</si>
  <si>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</si>
  <si>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</si>
  <si>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</si>
  <si>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</si>
  <si>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</si>
  <si>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</si>
  <si>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</si>
  <si>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</si>
  <si>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</si>
  <si>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</si>
  <si>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</si>
  <si>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</si>
  <si>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</si>
  <si>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</si>
  <si>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</si>
  <si>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</si>
  <si>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</si>
  <si>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</si>
  <si>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</si>
  <si>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</si>
  <si>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</si>
  <si>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</si>
  <si>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</si>
  <si>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</si>
  <si>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</si>
  <si>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</si>
  <si>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</si>
  <si>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</si>
  <si>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</si>
  <si>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</si>
  <si>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</si>
  <si>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</si>
  <si>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</si>
  <si>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</si>
  <si>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</si>
  <si>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</si>
  <si>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</si>
  <si>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</si>
  <si>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</si>
  <si>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</si>
  <si>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</si>
  <si>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</si>
  <si>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</si>
  <si>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</si>
  <si>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</si>
  <si>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</si>
  <si>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</si>
  <si>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</si>
  <si>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</si>
  <si>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</si>
  <si>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</si>
  <si>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</si>
  <si>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</si>
  <si>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</si>
  <si>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</si>
  <si>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</si>
  <si>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</si>
  <si>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</si>
  <si>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</si>
  <si>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</si>
  <si>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</si>
  <si>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</si>
  <si>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</si>
  <si>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</si>
  <si>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</si>
  <si>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</si>
  <si>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</si>
  <si>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</si>
  <si>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</si>
  <si>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</si>
  <si>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</si>
  <si>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</si>
  <si>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</si>
  <si>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</si>
  <si>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</si>
  <si>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</si>
  <si>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</si>
  <si>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</si>
  <si>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</si>
  <si>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</si>
  <si>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</si>
  <si>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</si>
  <si>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</si>
  <si>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</si>
  <si>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</si>
  <si>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</si>
  <si>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</si>
  <si>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</si>
  <si>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</si>
  <si>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</si>
  <si>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</si>
  <si>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</si>
  <si>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</si>
  <si>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</si>
  <si>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</si>
  <si>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</si>
  <si>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</si>
  <si>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</si>
  <si>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</si>
  <si>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</si>
  <si>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</si>
  <si>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</si>
  <si>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</si>
  <si>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</si>
  <si>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</si>
  <si>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</si>
  <si>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</si>
  <si>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</si>
  <si>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</si>
  <si>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</si>
  <si>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</si>
  <si>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</si>
  <si>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</si>
  <si>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</si>
  <si>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</si>
  <si>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</si>
  <si>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</si>
  <si>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</si>
  <si>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</si>
  <si>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</si>
  <si>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</si>
  <si>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</si>
  <si>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</si>
  <si>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</si>
  <si>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</si>
  <si>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</si>
  <si>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</si>
  <si>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</si>
  <si>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</si>
  <si>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</si>
  <si>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</si>
  <si>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</si>
  <si>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</si>
  <si>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</si>
  <si>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</si>
  <si>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</si>
  <si>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</si>
  <si>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</si>
  <si>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</si>
  <si>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</si>
  <si>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</si>
  <si>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</si>
  <si>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</si>
  <si>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</si>
  <si>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</si>
  <si>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</si>
  <si>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</si>
  <si>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</si>
  <si>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</si>
  <si>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</si>
  <si>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</si>
  <si>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</si>
  <si>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</si>
  <si>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</si>
  <si>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</si>
  <si>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</si>
  <si>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</si>
  <si>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</si>
  <si>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</si>
  <si>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</si>
  <si>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</si>
  <si>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</si>
  <si>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</si>
  <si>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</si>
  <si>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</si>
  <si>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</si>
  <si>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</si>
  <si>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</si>
  <si>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</si>
  <si>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</si>
  <si>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</si>
  <si>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</si>
  <si>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</si>
  <si>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</si>
  <si>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</si>
  <si>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</si>
  <si>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</si>
  <si>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</si>
  <si>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</si>
  <si>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</si>
  <si>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</si>
  <si>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</si>
  <si>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</si>
  <si>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</si>
  <si>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</si>
  <si>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</si>
  <si>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</si>
  <si>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</si>
  <si>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</si>
  <si>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</si>
  <si>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</si>
  <si>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</si>
  <si>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</si>
  <si>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</si>
  <si>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</si>
  <si>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</si>
  <si>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</si>
  <si>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</si>
  <si>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</si>
  <si>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</si>
  <si>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</si>
  <si>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</si>
  <si>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</si>
  <si>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</si>
  <si>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</si>
  <si>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</si>
  <si>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</si>
  <si>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</si>
  <si>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</si>
  <si>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</si>
  <si>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</si>
  <si>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</si>
  <si>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</si>
  <si>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</si>
  <si>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</si>
  <si>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</si>
  <si>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</si>
  <si>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</si>
  <si>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</si>
  <si>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</si>
  <si>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</si>
  <si>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</si>
  <si>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</si>
  <si>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</si>
  <si>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</si>
  <si>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</si>
  <si>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</si>
  <si>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</si>
  <si>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</si>
  <si>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</si>
  <si>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</si>
  <si>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</si>
  <si>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</si>
  <si>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</si>
  <si>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129.51206 W, 56.09956 N, Elev. 370 m -&gt; 129.51218 W,  56.09987 N, Elev. 370</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</si>
  <si>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</si>
  <si>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</si>
  <si>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</si>
  <si>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</si>
  <si>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</si>
  <si>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</si>
  <si>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</si>
  <si>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</si>
  <si>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</si>
  <si>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</si>
  <si>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</si>
  <si>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</si>
  <si>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</si>
  <si>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</si>
  <si>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</si>
  <si>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</si>
  <si>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</si>
  <si>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</si>
  <si>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</si>
  <si>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</si>
  <si>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</si>
  <si>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</si>
  <si>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</si>
  <si>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</si>
  <si>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</si>
  <si>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</si>
  <si>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</si>
  <si>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</si>
  <si>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</si>
  <si>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</si>
  <si>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</si>
  <si>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</si>
  <si>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</si>
  <si>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</si>
  <si>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</si>
  <si>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</si>
  <si>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</si>
  <si>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</si>
  <si>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</si>
  <si>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</si>
  <si>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</si>
  <si>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</si>
  <si>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</si>
  <si>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</si>
  <si>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</si>
  <si>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</si>
  <si>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</si>
  <si>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</si>
  <si>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</si>
  <si>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</si>
  <si>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</si>
  <si>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</si>
  <si>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</si>
  <si>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</si>
  <si>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</si>
  <si>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</si>
  <si>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</si>
  <si>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</si>
  <si>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</si>
  <si>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</si>
  <si>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</si>
  <si>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</si>
  <si>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</si>
  <si>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</si>
  <si>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</si>
  <si>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</si>
  <si>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</si>
  <si>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</si>
  <si>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</si>
  <si>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</si>
  <si>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</si>
  <si>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</si>
  <si>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</si>
  <si>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</si>
  <si>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</si>
  <si>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</si>
  <si>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</si>
  <si>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</si>
  <si>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</si>
  <si>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</si>
  <si>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</si>
  <si>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</si>
  <si>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</si>
  <si>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</si>
  <si>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</si>
  <si>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</si>
  <si>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</si>
  <si>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</si>
  <si>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</si>
  <si>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</si>
  <si>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</si>
  <si>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</si>
  <si>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</si>
  <si>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</si>
  <si>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</si>
  <si>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</si>
  <si>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</si>
  <si>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</si>
  <si>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</si>
  <si>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</si>
  <si>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</si>
  <si>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</si>
  <si>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</si>
  <si>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</si>
  <si>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</si>
  <si>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</si>
  <si>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</si>
  <si>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</si>
  <si>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</si>
  <si>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</si>
  <si>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</si>
  <si>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</si>
  <si>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</si>
  <si>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</si>
  <si>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</si>
  <si>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</si>
  <si>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</si>
  <si>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</si>
  <si>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</si>
  <si>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</si>
  <si>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</si>
  <si>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</si>
  <si>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</si>
  <si>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</si>
  <si>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</si>
  <si>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</si>
  <si>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</si>
  <si>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</si>
  <si>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</si>
  <si>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</si>
  <si>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</si>
  <si>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</si>
  <si>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</si>
  <si>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</si>
  <si>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</si>
  <si>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</si>
  <si>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</si>
  <si>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</si>
  <si>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</si>
  <si>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</si>
  <si>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</si>
  <si>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</si>
  <si>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</si>
  <si>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</si>
  <si>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</si>
  <si>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</si>
  <si>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</si>
  <si>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</si>
  <si>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</si>
  <si>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</si>
  <si>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</si>
  <si>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</si>
  <si>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</si>
  <si>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</si>
  <si>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</si>
  <si>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</si>
  <si>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</si>
  <si>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</si>
  <si>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</si>
  <si>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</si>
  <si>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</si>
  <si>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</si>
  <si>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</si>
  <si>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</si>
  <si>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</si>
  <si>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</si>
  <si>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</si>
  <si>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</si>
  <si>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</si>
  <si>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</si>
  <si>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</si>
  <si>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</si>
  <si>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</si>
  <si>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</si>
  <si>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</si>
  <si>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</si>
  <si>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</si>
  <si>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</si>
  <si>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</si>
  <si>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</si>
  <si>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</si>
  <si>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</si>
  <si>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</si>
  <si>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</si>
  <si>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</si>
  <si>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</si>
  <si>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</si>
  <si>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</si>
  <si>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</si>
  <si>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</si>
  <si>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</si>
  <si>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</si>
  <si>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</si>
  <si>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</si>
  <si>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</si>
  <si>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</si>
  <si>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</si>
  <si>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</si>
  <si>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</si>
  <si>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</si>
  <si>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</si>
  <si>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</si>
  <si>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</si>
  <si>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</si>
  <si>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</si>
  <si>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</si>
  <si>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</si>
  <si>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</si>
  <si>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</si>
  <si>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</si>
  <si>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</si>
  <si>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</si>
  <si>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</si>
  <si>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</si>
  <si>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</si>
  <si>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</si>
  <si>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</si>
  <si>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</si>
  <si>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</si>
  <si>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</si>
  <si>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</si>
  <si>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</si>
  <si>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</si>
  <si>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</si>
  <si>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</si>
  <si>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124.94605 W, 53.5803 N, Elev 860 m -&gt; 124.94605 W, 53.5803 N, Elev 858 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</si>
  <si>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</si>
  <si>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</si>
  <si>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</si>
  <si>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</si>
  <si>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</si>
  <si>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</si>
  <si>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</si>
  <si>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</si>
  <si>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</si>
  <si>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</si>
  <si>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</si>
  <si>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</si>
  <si>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</si>
  <si>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</si>
  <si>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</si>
  <si>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</si>
  <si>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</si>
  <si>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</si>
  <si>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</si>
  <si>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</si>
  <si>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</si>
  <si>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</si>
  <si>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</si>
  <si>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</si>
  <si>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</si>
  <si>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</si>
  <si>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</si>
  <si>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</si>
  <si>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</si>
  <si>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</si>
  <si>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</si>
  <si>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</si>
  <si>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</si>
  <si>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</si>
  <si>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</si>
  <si>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</si>
  <si>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</si>
  <si>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</si>
  <si>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</si>
  <si>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</si>
  <si>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</si>
  <si>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</si>
  <si>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</si>
  <si>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</si>
  <si>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</si>
  <si>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</si>
  <si>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</si>
  <si>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</si>
  <si>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</si>
  <si>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</si>
  <si>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</si>
  <si>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</si>
  <si>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</si>
  <si>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</si>
  <si>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</si>
  <si>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</si>
  <si>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</si>
  <si>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</si>
  <si>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</si>
  <si>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</si>
  <si>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</si>
  <si>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</si>
  <si>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</si>
  <si>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</si>
  <si>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</si>
  <si>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</si>
  <si>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</si>
  <si>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</si>
  <si>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</si>
  <si>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</si>
  <si>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</si>
  <si>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</si>
  <si>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</si>
  <si>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</si>
  <si>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</si>
  <si>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</si>
  <si>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</si>
  <si>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</si>
  <si>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</si>
  <si>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</si>
  <si>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</si>
  <si>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</si>
  <si>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</si>
  <si>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</si>
  <si>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</si>
  <si>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</si>
  <si>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</si>
  <si>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</si>
  <si>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</si>
  <si>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</si>
  <si>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</si>
  <si>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</si>
  <si>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</si>
  <si>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</si>
  <si>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</si>
  <si>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</si>
  <si>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</si>
  <si>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</si>
  <si>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</si>
  <si>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</si>
  <si>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</si>
  <si>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</si>
  <si>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</si>
  <si>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</si>
  <si>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</si>
  <si>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</si>
  <si>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</si>
  <si>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</si>
  <si>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</si>
  <si>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</si>
  <si>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</si>
  <si>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</si>
  <si>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</si>
  <si>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</si>
  <si>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</si>
  <si>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</si>
  <si>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</si>
  <si>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</si>
  <si>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</si>
  <si>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</si>
  <si>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</si>
  <si>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</si>
  <si>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</si>
  <si>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</si>
  <si>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</si>
  <si>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</si>
  <si>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</si>
  <si>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</si>
  <si>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</si>
  <si>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</si>
  <si>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</si>
  <si>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</si>
  <si>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</si>
  <si>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</si>
  <si>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</si>
  <si>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</si>
  <si>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</si>
  <si>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</si>
  <si>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</si>
  <si>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</si>
  <si>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</si>
  <si>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</si>
  <si>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</si>
  <si>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</si>
  <si>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</si>
  <si>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</si>
  <si>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</si>
  <si>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</si>
  <si>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</si>
  <si>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</si>
  <si>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</si>
  <si>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</si>
  <si>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</si>
  <si>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</si>
  <si>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</si>
  <si>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</si>
  <si>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</si>
  <si>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</si>
  <si>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</si>
  <si>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</si>
  <si>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</si>
  <si>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</si>
  <si>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</si>
  <si>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</si>
  <si>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</si>
  <si>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</si>
  <si>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</si>
  <si>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</si>
  <si>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</si>
  <si>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</si>
  <si>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</si>
  <si>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</si>
  <si>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</si>
  <si>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</si>
  <si>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</si>
  <si>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</si>
  <si>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</si>
  <si>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</si>
  <si>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</si>
  <si>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</si>
  <si>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</si>
  <si>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</si>
  <si>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</si>
  <si>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</si>
  <si>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</si>
  <si>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</si>
  <si>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</si>
  <si>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</si>
  <si>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</si>
  <si>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</si>
  <si>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</si>
  <si>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</si>
  <si>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</si>
  <si>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</si>
  <si>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</si>
  <si>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</si>
  <si>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</si>
  <si>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</si>
  <si>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</si>
  <si>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</si>
  <si>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</si>
  <si>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</si>
  <si>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</si>
  <si>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</si>
  <si>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</si>
  <si>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</si>
  <si>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</si>
  <si>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</si>
  <si>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</si>
  <si>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</si>
  <si>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</si>
  <si>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</si>
  <si>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</si>
  <si>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</si>
  <si>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</si>
  <si>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</si>
  <si>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</si>
  <si>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</si>
  <si>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</si>
  <si>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</si>
  <si>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</si>
  <si>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</si>
  <si>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</si>
  <si>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</si>
  <si>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</si>
  <si>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</si>
  <si>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</si>
  <si>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</si>
  <si>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</si>
  <si>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</si>
  <si>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</si>
  <si>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</si>
  <si>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</si>
  <si>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</si>
  <si>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</si>
  <si>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</si>
  <si>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</si>
  <si>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</si>
  <si>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</si>
  <si>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</si>
  <si>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</si>
  <si>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</si>
  <si>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</si>
  <si>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</si>
  <si>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</si>
  <si>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</si>
  <si>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</si>
  <si>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</si>
  <si>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</si>
  <si>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</si>
  <si>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</si>
  <si>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124.073 W, 50.568 N, Elev. 1 m -&gt; 124.0777 W, 50.5711 N, Elev. 49</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</si>
  <si>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</si>
  <si>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</si>
  <si>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</si>
  <si>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</si>
  <si>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</si>
  <si>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</si>
  <si>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</si>
  <si>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</si>
  <si>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</si>
  <si>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</si>
  <si>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</si>
  <si>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</si>
  <si>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</si>
  <si>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</si>
  <si>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</si>
  <si>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</si>
  <si>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</si>
  <si>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</si>
  <si>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</si>
  <si>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</si>
  <si>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</si>
  <si>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</si>
  <si>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</si>
  <si>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</si>
  <si>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</si>
  <si>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</si>
  <si>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</si>
  <si>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</si>
  <si>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</si>
  <si>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</si>
  <si>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</si>
  <si>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</si>
  <si>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</si>
  <si>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</si>
  <si>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</si>
  <si>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</si>
  <si>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</si>
  <si>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</si>
  <si>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</si>
  <si>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</si>
  <si>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</si>
  <si>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</si>
  <si>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</si>
  <si>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</si>
  <si>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</si>
  <si>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</si>
  <si>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</si>
  <si>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</si>
  <si>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</si>
  <si>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</si>
  <si>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</si>
  <si>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</si>
  <si>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126.4517 W, 51.5933 N, Elev. 366 m -&gt; 126.4508 W, 51.5931N, El;ev. 344</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</si>
  <si>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</si>
  <si>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</si>
  <si>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</si>
  <si>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</si>
  <si>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</si>
  <si>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</si>
  <si>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</si>
  <si>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</si>
  <si>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</si>
  <si>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</si>
  <si>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</si>
  <si>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</si>
  <si>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</si>
  <si>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</si>
  <si>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</si>
  <si>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</si>
  <si>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</si>
  <si>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</si>
  <si>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</si>
  <si>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</si>
  <si>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</si>
  <si>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</si>
  <si>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</si>
  <si>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133.6667 W, 59.5833 N, Elev. 729 m -&gt; 133.6643 W. 59.5845 N, Elev. 719 m</t>
  </si>
  <si>
    <t>1990-09-12 to 2025-07-22</t>
  </si>
  <si>
    <t>ISKUT</t>
  </si>
  <si>
    <t>130.0083 W, 57.8567 N, Elev. 890 m -&gt; 130.0181 W, 57.8617 N, Elev. 722 m</t>
  </si>
  <si>
    <t>1992-12-04 to 2025-07-22</t>
  </si>
  <si>
    <t>BOB QUINN LK -&gt; BOB QUINN LAKE</t>
  </si>
  <si>
    <t>130.2533 W, 56.9833 N, Elev. 609 m -&gt; 130.251 W, 56.9809 N, Elev. 605 m</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</si>
  <si>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</si>
  <si>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</si>
  <si>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</si>
  <si>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</si>
  <si>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</si>
  <si>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</si>
  <si>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</si>
  <si>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</si>
  <si>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</si>
  <si>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</si>
  <si>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</si>
  <si>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</si>
  <si>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</si>
  <si>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</si>
  <si>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</si>
  <si>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</si>
  <si>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</si>
  <si>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</si>
  <si>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</si>
  <si>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</si>
  <si>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</si>
  <si>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</si>
  <si>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</si>
  <si>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</si>
  <si>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</si>
  <si>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</si>
  <si>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</si>
  <si>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</si>
  <si>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</si>
  <si>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</si>
  <si>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</si>
  <si>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</si>
  <si>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</si>
  <si>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</si>
  <si>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</si>
  <si>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</si>
  <si>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</si>
  <si>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</si>
  <si>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</si>
  <si>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</si>
  <si>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</si>
  <si>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</si>
  <si>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</si>
  <si>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</si>
  <si>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</si>
  <si>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</si>
  <si>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</si>
  <si>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</si>
  <si>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</si>
  <si>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</si>
  <si>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</si>
  <si>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</si>
  <si>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</si>
  <si>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</si>
  <si>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</si>
  <si>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</si>
  <si>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</si>
  <si>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</si>
  <si>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</si>
  <si>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</si>
  <si>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</si>
  <si>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</si>
  <si>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</si>
  <si>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</si>
  <si>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</si>
  <si>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</si>
  <si>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</si>
  <si>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</si>
  <si>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</si>
  <si>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</si>
  <si>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</si>
  <si>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</si>
  <si>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</si>
  <si>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</si>
  <si>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</si>
  <si>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</si>
  <si>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</si>
  <si>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</si>
  <si>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</si>
  <si>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</si>
  <si>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</si>
  <si>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</si>
  <si>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</si>
  <si>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</si>
  <si>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</si>
  <si>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</si>
  <si>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</si>
  <si>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</si>
  <si>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</si>
  <si>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</si>
  <si>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</si>
  <si>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</si>
  <si>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</si>
  <si>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</si>
  <si>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</si>
  <si>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</si>
  <si>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</si>
  <si>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</si>
  <si>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</si>
  <si>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</si>
  <si>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</si>
  <si>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</si>
  <si>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</si>
  <si>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</si>
  <si>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</si>
  <si>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</si>
  <si>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</si>
  <si>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</si>
  <si>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</si>
  <si>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</si>
  <si>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</si>
  <si>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</si>
  <si>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</si>
  <si>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</si>
  <si>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</si>
  <si>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</si>
  <si>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</si>
  <si>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</si>
  <si>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</si>
  <si>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</si>
  <si>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123.0773 W, 54.7259 N, Elev. 915 m -&gt; 123.0187 W, 54.7442 N, Elev. 867</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</si>
  <si>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</si>
  <si>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</si>
  <si>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</si>
  <si>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</si>
  <si>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</si>
  <si>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</si>
  <si>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</si>
  <si>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</si>
  <si>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</si>
  <si>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</si>
  <si>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</si>
  <si>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</si>
  <si>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</si>
  <si>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</si>
  <si>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</si>
  <si>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</si>
  <si>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</si>
  <si>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</si>
  <si>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</si>
  <si>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</si>
  <si>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</si>
  <si>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</si>
  <si>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</si>
  <si>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</si>
  <si>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</si>
  <si>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</si>
  <si>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</si>
  <si>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</si>
  <si>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</si>
  <si>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</si>
  <si>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</si>
  <si>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</si>
  <si>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</si>
  <si>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</si>
  <si>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</si>
  <si>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</si>
  <si>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</si>
  <si>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</si>
  <si>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</si>
  <si>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</si>
  <si>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</si>
  <si>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</si>
  <si>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</si>
  <si>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</si>
  <si>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</si>
  <si>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</si>
  <si>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</si>
  <si>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</si>
  <si>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</si>
  <si>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</si>
  <si>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</si>
  <si>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</si>
  <si>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</si>
  <si>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</si>
  <si>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</si>
  <si>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</si>
  <si>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</si>
  <si>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</si>
  <si>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</si>
  <si>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</si>
  <si>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</si>
  <si>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</si>
  <si>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</si>
  <si>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</si>
  <si>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</si>
  <si>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</si>
  <si>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</si>
  <si>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</si>
  <si>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</si>
  <si>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</si>
  <si>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</si>
  <si>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</si>
  <si>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</si>
  <si>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</si>
  <si>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</si>
  <si>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</si>
  <si>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</si>
  <si>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</si>
  <si>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</si>
  <si>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</si>
  <si>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</si>
  <si>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</si>
  <si>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</si>
  <si>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</si>
  <si>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</si>
  <si>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</si>
  <si>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</si>
  <si>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</si>
  <si>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</si>
  <si>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</si>
  <si>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</si>
  <si>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</si>
  <si>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</si>
  <si>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</si>
  <si>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</si>
  <si>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</si>
  <si>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</si>
  <si>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</si>
  <si>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</si>
  <si>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</si>
  <si>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</si>
  <si>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</si>
  <si>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</si>
  <si>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</si>
  <si>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</si>
  <si>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</si>
  <si>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</si>
  <si>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</si>
  <si>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</si>
  <si>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</si>
  <si>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</si>
  <si>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</si>
  <si>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</si>
  <si>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</si>
  <si>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</si>
  <si>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</si>
  <si>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</si>
  <si>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</si>
  <si>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</si>
  <si>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</si>
  <si>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</si>
  <si>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</si>
  <si>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</si>
  <si>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</si>
  <si>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</si>
  <si>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</si>
  <si>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</si>
  <si>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</si>
  <si>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</si>
  <si>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</si>
  <si>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</si>
  <si>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</si>
  <si>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</si>
  <si>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</si>
  <si>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</si>
  <si>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</si>
  <si>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</si>
  <si>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</si>
  <si>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</si>
  <si>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</si>
  <si>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</si>
  <si>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</si>
  <si>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</si>
  <si>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</si>
  <si>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</si>
  <si>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</si>
  <si>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</si>
  <si>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</si>
  <si>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</si>
  <si>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</si>
  <si>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</si>
  <si>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</si>
  <si>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</si>
  <si>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</si>
  <si>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</si>
  <si>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</si>
  <si>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</si>
  <si>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</si>
  <si>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</si>
  <si>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</si>
  <si>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</si>
  <si>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</si>
  <si>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</si>
  <si>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</si>
  <si>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</si>
  <si>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</si>
  <si>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</si>
  <si>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</si>
  <si>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</si>
  <si>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</si>
  <si>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</si>
  <si>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</si>
  <si>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</si>
  <si>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</si>
  <si>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</si>
  <si>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</si>
  <si>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</si>
  <si>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</si>
  <si>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</si>
  <si>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</si>
  <si>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</si>
  <si>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</si>
  <si>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</si>
  <si>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</si>
  <si>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</si>
  <si>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</si>
  <si>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</si>
  <si>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</si>
  <si>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</si>
  <si>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</si>
  <si>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</si>
  <si>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</si>
  <si>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</si>
  <si>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</si>
  <si>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</si>
  <si>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</si>
  <si>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</si>
  <si>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</si>
  <si>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</si>
  <si>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</si>
  <si>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</si>
  <si>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</si>
  <si>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</si>
  <si>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</si>
  <si>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</si>
  <si>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</si>
  <si>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</si>
  <si>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</si>
  <si>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</si>
  <si>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</si>
  <si>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</si>
  <si>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</si>
  <si>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</si>
  <si>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</si>
  <si>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</si>
  <si>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</si>
  <si>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</si>
  <si>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</si>
  <si>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</si>
  <si>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</si>
  <si>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</si>
  <si>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</si>
  <si>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</si>
  <si>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</si>
  <si>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</si>
  <si>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</si>
  <si>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</si>
  <si>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</si>
  <si>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</si>
  <si>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</si>
  <si>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</si>
  <si>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</si>
  <si>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</si>
  <si>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</si>
  <si>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</si>
  <si>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</si>
  <si>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</si>
  <si>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</si>
  <si>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</si>
  <si>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</si>
  <si>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</si>
  <si>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</si>
  <si>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</si>
  <si>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</si>
  <si>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</si>
  <si>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</si>
  <si>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</si>
  <si>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</si>
  <si>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</si>
  <si>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</si>
  <si>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</si>
  <si>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</si>
  <si>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120.39 W, 51.725 N, Elev. 1158 m -&gt; 120.3899 W, 51.7238 N, Elev 1122 m</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</si>
  <si>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</si>
  <si>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</si>
  <si>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</si>
  <si>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</si>
  <si>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</si>
  <si>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</si>
  <si>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</si>
  <si>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</si>
  <si>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</si>
  <si>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</si>
  <si>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</si>
  <si>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</si>
  <si>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</si>
  <si>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</si>
  <si>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</si>
  <si>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</si>
  <si>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</si>
  <si>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</si>
  <si>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</si>
  <si>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</si>
  <si>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</si>
  <si>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</si>
  <si>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</si>
  <si>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</si>
  <si>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</si>
  <si>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</si>
  <si>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</si>
  <si>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</si>
  <si>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</si>
  <si>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</si>
  <si>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</si>
  <si>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</si>
  <si>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</si>
  <si>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</si>
  <si>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120.65 W, 51.67 N, Elev. 1580 m -&gt; 120.6579 W, 51.6639 N, Elev, 1377 m</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</si>
  <si>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</si>
  <si>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</si>
  <si>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</si>
  <si>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</si>
  <si>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</si>
  <si>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</si>
  <si>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</si>
  <si>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</si>
  <si>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</si>
  <si>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</si>
  <si>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</si>
  <si>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</si>
  <si>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</si>
  <si>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</si>
  <si>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</si>
  <si>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</si>
  <si>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</si>
  <si>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</si>
  <si>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</si>
  <si>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</si>
  <si>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</si>
  <si>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</si>
  <si>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</si>
  <si>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</si>
  <si>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</si>
  <si>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</si>
  <si>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</si>
  <si>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</si>
  <si>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</si>
  <si>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</si>
  <si>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</si>
  <si>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</si>
  <si>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</si>
  <si>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</si>
  <si>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</si>
  <si>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</si>
  <si>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</si>
  <si>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</si>
  <si>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</si>
  <si>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</si>
  <si>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</si>
  <si>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</si>
  <si>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</si>
  <si>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</si>
  <si>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</si>
  <si>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</si>
  <si>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</si>
  <si>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</si>
  <si>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</si>
  <si>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</si>
  <si>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</si>
  <si>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</si>
  <si>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</si>
  <si>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</si>
  <si>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</si>
  <si>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</si>
  <si>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</si>
  <si>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</si>
  <si>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</si>
  <si>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</si>
  <si>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</si>
  <si>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120.2433 W, 52.3417 N, Elev. 975 m -&gt; 120.2434 W, 52.3425 N, Elev 958 m</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</si>
  <si>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</si>
  <si>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</si>
  <si>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</si>
  <si>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</si>
  <si>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</si>
  <si>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</si>
  <si>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</si>
  <si>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</si>
  <si>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</si>
  <si>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</si>
  <si>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</si>
  <si>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</si>
  <si>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</si>
  <si>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</si>
  <si>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</si>
  <si>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</si>
  <si>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</si>
  <si>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</si>
  <si>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</si>
  <si>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</si>
  <si>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</si>
  <si>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</si>
  <si>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</si>
  <si>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</si>
  <si>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</si>
  <si>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</si>
  <si>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</si>
  <si>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</si>
  <si>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</si>
  <si>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</si>
  <si>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</si>
  <si>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</si>
  <si>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</si>
  <si>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</si>
  <si>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</si>
  <si>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</si>
  <si>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</si>
  <si>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</si>
  <si>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121.57 W, 50.4 N, Elev. 1554 m -&gt; 121.5698 W, 50.4 N, Elev 1586 m</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</si>
  <si>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</si>
  <si>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</si>
  <si>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</si>
  <si>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</si>
  <si>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</si>
  <si>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</si>
  <si>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</si>
  <si>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</si>
  <si>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</si>
  <si>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</si>
  <si>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</si>
  <si>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</si>
  <si>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</si>
  <si>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</si>
  <si>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</si>
  <si>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</si>
  <si>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</si>
  <si>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</si>
  <si>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</si>
  <si>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</si>
  <si>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</si>
  <si>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</si>
  <si>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</si>
  <si>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</si>
  <si>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</si>
  <si>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</si>
  <si>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</si>
  <si>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</si>
  <si>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</si>
  <si>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</si>
  <si>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</si>
  <si>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</si>
  <si>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</si>
  <si>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</si>
  <si>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</si>
  <si>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</si>
  <si>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</si>
  <si>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</si>
  <si>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</si>
  <si>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</si>
  <si>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</si>
  <si>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</si>
  <si>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</si>
  <si>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</si>
  <si>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</si>
  <si>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</si>
  <si>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</si>
  <si>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</si>
  <si>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</si>
  <si>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</si>
  <si>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</si>
  <si>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</si>
  <si>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</si>
  <si>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</si>
  <si>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</si>
  <si>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</si>
  <si>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</si>
  <si>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</si>
  <si>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</si>
  <si>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</si>
  <si>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</si>
  <si>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</si>
  <si>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</si>
  <si>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</si>
  <si>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</si>
  <si>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</si>
  <si>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</si>
  <si>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</si>
  <si>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</si>
  <si>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</si>
  <si>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</si>
  <si>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</si>
  <si>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</si>
  <si>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</si>
  <si>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</si>
  <si>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</si>
  <si>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</si>
  <si>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</si>
  <si>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</si>
  <si>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122.255 W, 51.03 N, Elev. 1341 m -&gt; 122.2489 W, 51.1775 N, Elev, 1320 m</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</si>
  <si>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</si>
  <si>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</si>
  <si>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</si>
  <si>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</si>
  <si>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</si>
  <si>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</si>
  <si>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</si>
  <si>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</si>
  <si>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</si>
  <si>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</si>
  <si>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</si>
  <si>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</si>
  <si>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</si>
  <si>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</si>
  <si>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</si>
  <si>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</si>
  <si>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</si>
  <si>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</si>
  <si>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</si>
  <si>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</si>
  <si>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</si>
  <si>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</si>
  <si>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</si>
  <si>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</si>
  <si>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</si>
  <si>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</si>
  <si>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</si>
  <si>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</si>
  <si>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</si>
  <si>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</si>
  <si>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</si>
  <si>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</si>
  <si>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</si>
  <si>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</si>
  <si>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</si>
  <si>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</si>
  <si>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</si>
  <si>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</si>
  <si>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</si>
  <si>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</si>
  <si>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</si>
  <si>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</si>
  <si>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</si>
  <si>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</si>
  <si>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</si>
  <si>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</si>
  <si>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</si>
  <si>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</si>
  <si>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</si>
  <si>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</si>
  <si>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</si>
  <si>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</si>
  <si>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</si>
  <si>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</si>
  <si>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</si>
  <si>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</si>
  <si>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</si>
  <si>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</si>
  <si>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</si>
  <si>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</si>
  <si>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</si>
  <si>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</si>
  <si>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</si>
  <si>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</si>
  <si>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</si>
  <si>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</si>
  <si>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</si>
  <si>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</si>
  <si>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</si>
  <si>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</si>
  <si>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</si>
  <si>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</si>
  <si>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</si>
  <si>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</si>
  <si>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</si>
  <si>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</si>
  <si>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</si>
  <si>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</si>
  <si>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</si>
  <si>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</si>
  <si>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</si>
  <si>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</si>
  <si>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</si>
  <si>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</si>
  <si>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</si>
  <si>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</si>
  <si>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</si>
  <si>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</si>
  <si>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</si>
  <si>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</si>
  <si>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</si>
  <si>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</si>
  <si>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</si>
  <si>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</si>
  <si>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</si>
  <si>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</si>
  <si>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</si>
  <si>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</si>
  <si>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</si>
  <si>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</si>
  <si>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</si>
  <si>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</si>
  <si>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</si>
  <si>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</si>
  <si>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</si>
  <si>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</si>
  <si>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</si>
  <si>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</si>
  <si>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</si>
  <si>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</si>
  <si>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</si>
  <si>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</si>
  <si>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</si>
  <si>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</si>
  <si>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</si>
  <si>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</si>
  <si>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</si>
  <si>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</si>
  <si>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</si>
  <si>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</si>
  <si>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</si>
  <si>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</si>
  <si>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</si>
  <si>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</si>
  <si>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</si>
  <si>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</si>
  <si>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</si>
  <si>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</si>
  <si>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</si>
  <si>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</si>
  <si>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</si>
  <si>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</si>
  <si>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</si>
  <si>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</si>
  <si>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</si>
  <si>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</si>
  <si>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</si>
  <si>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</si>
  <si>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</si>
  <si>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</si>
  <si>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</si>
  <si>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</si>
  <si>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</si>
  <si>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</si>
  <si>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</si>
  <si>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</si>
  <si>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</si>
  <si>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</si>
  <si>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</si>
  <si>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</si>
  <si>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</si>
  <si>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</si>
  <si>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</si>
  <si>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</si>
  <si>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</si>
  <si>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</si>
  <si>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</si>
  <si>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</si>
  <si>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</si>
  <si>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</si>
  <si>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</si>
  <si>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</si>
  <si>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</si>
  <si>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</si>
  <si>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</si>
  <si>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</si>
  <si>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</si>
  <si>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</si>
  <si>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</si>
  <si>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</si>
  <si>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</si>
  <si>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</si>
  <si>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</si>
  <si>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</si>
  <si>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</si>
  <si>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</si>
  <si>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</si>
  <si>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</si>
  <si>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</si>
  <si>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</si>
  <si>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</si>
  <si>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</si>
  <si>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</si>
  <si>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</si>
  <si>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</si>
  <si>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</si>
  <si>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</si>
  <si>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</si>
  <si>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</si>
  <si>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</si>
  <si>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</si>
  <si>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</si>
  <si>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</si>
  <si>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</si>
  <si>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</si>
  <si>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</si>
  <si>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</si>
  <si>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</si>
  <si>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</si>
  <si>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</si>
  <si>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</si>
  <si>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</si>
  <si>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</si>
  <si>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</si>
  <si>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</si>
  <si>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</si>
  <si>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</si>
  <si>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</si>
  <si>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</si>
  <si>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</si>
  <si>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</si>
  <si>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</si>
  <si>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</si>
  <si>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</si>
  <si>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</si>
  <si>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</si>
  <si>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</si>
  <si>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</si>
  <si>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</si>
  <si>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</si>
  <si>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</si>
  <si>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</si>
  <si>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</si>
  <si>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</si>
  <si>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</si>
  <si>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</si>
  <si>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</si>
  <si>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</si>
  <si>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</si>
  <si>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</si>
  <si>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</si>
  <si>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</si>
  <si>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</si>
  <si>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</si>
  <si>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</si>
  <si>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</si>
  <si>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</si>
  <si>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</si>
  <si>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</si>
  <si>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</si>
  <si>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</si>
  <si>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</si>
  <si>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</si>
  <si>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</si>
  <si>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</si>
  <si>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</si>
  <si>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</si>
  <si>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</si>
  <si>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</si>
  <si>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</si>
  <si>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</si>
  <si>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</si>
  <si>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</si>
  <si>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</si>
  <si>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</si>
  <si>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</si>
  <si>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</si>
  <si>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</si>
  <si>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</si>
  <si>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</si>
  <si>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</si>
  <si>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</si>
  <si>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</si>
  <si>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</si>
  <si>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</si>
  <si>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</si>
  <si>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</si>
  <si>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</si>
  <si>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</si>
  <si>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</si>
  <si>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</si>
  <si>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</si>
  <si>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</si>
  <si>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</si>
  <si>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</si>
  <si>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</si>
  <si>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</si>
  <si>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</si>
  <si>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</si>
  <si>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</si>
  <si>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</si>
  <si>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</si>
  <si>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</si>
  <si>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</si>
  <si>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</si>
  <si>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</si>
  <si>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</si>
  <si>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</si>
  <si>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</si>
  <si>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</si>
  <si>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</si>
  <si>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</si>
  <si>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</si>
  <si>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</si>
  <si>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</si>
  <si>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</si>
  <si>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</si>
  <si>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</si>
  <si>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</si>
  <si>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</si>
  <si>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</si>
  <si>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</si>
  <si>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</si>
  <si>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</si>
  <si>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</si>
  <si>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</si>
  <si>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</si>
  <si>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</si>
  <si>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</si>
  <si>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</si>
  <si>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</si>
  <si>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</si>
  <si>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</si>
  <si>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</si>
  <si>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</si>
  <si>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</si>
  <si>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</si>
  <si>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</si>
  <si>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</si>
  <si>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</si>
  <si>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</si>
  <si>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</si>
  <si>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</si>
  <si>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</si>
  <si>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</si>
  <si>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</si>
  <si>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</si>
  <si>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</si>
  <si>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</si>
  <si>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</si>
  <si>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</si>
  <si>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</si>
  <si>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</si>
  <si>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</si>
  <si>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</si>
  <si>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</si>
  <si>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</si>
  <si>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</si>
  <si>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</si>
  <si>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</si>
  <si>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</si>
  <si>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</si>
  <si>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</si>
  <si>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</si>
  <si>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</si>
  <si>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</si>
  <si>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</si>
  <si>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</si>
  <si>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</si>
  <si>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</si>
  <si>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</si>
  <si>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</si>
  <si>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</si>
  <si>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</si>
  <si>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128.9933 W, 55.2883 N, Elev. 191 m -&gt; 128.9984 W, 55.2886 N, Elev. 176</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</si>
  <si>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</si>
  <si>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</si>
  <si>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</si>
  <si>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</si>
  <si>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</si>
  <si>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</si>
  <si>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</si>
  <si>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</si>
  <si>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</si>
  <si>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</si>
  <si>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</si>
  <si>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</si>
  <si>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128.0417 W, 55.6 N, Elev. 410 m -&gt; 128.0478 W, 55.6015 N. Elev. 410 m</t>
  </si>
  <si>
    <t>1989-08-26 to 2025-07-22</t>
  </si>
  <si>
    <t>BELL-IRVING</t>
  </si>
  <si>
    <t>129.2933 W, 56.3483 N, Elev. 450 m -&gt; 129.2928 W, 56.3486 N. Elev. 391 m</t>
  </si>
  <si>
    <t>1995-06-07 to 2025-07-22</t>
  </si>
  <si>
    <t>CRANBERRY</t>
  </si>
  <si>
    <t>128.705 W, 55.5767 N, Elev. 500 m -&gt; 127.335 W, 55.5768 N, Elev. 496</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</si>
  <si>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</si>
  <si>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</si>
  <si>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</si>
  <si>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</si>
  <si>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</si>
  <si>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</si>
  <si>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</si>
  <si>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</si>
  <si>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</si>
  <si>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</si>
  <si>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</si>
  <si>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</si>
  <si>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</si>
  <si>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</si>
  <si>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</si>
  <si>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</si>
  <si>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</si>
  <si>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</si>
  <si>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</si>
  <si>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</si>
  <si>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</si>
  <si>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</si>
  <si>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</si>
  <si>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</si>
  <si>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</si>
  <si>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</si>
  <si>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</si>
  <si>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</si>
  <si>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</si>
  <si>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</si>
  <si>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</si>
  <si>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</si>
  <si>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</si>
  <si>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</si>
  <si>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</si>
  <si>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</si>
  <si>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</si>
  <si>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</si>
  <si>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</si>
  <si>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</si>
  <si>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</si>
  <si>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</si>
  <si>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</si>
  <si>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</si>
  <si>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</si>
  <si>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</si>
  <si>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</si>
  <si>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</si>
  <si>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</si>
  <si>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</si>
  <si>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</si>
  <si>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</si>
  <si>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</si>
  <si>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</si>
  <si>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</si>
  <si>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</si>
  <si>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</si>
  <si>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</si>
  <si>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</si>
  <si>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</si>
  <si>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</si>
  <si>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</si>
  <si>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</si>
  <si>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</si>
  <si>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</si>
  <si>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</si>
  <si>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</si>
  <si>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</si>
  <si>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</si>
  <si>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</si>
  <si>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</si>
  <si>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</si>
  <si>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</si>
  <si>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</si>
  <si>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</si>
  <si>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</si>
  <si>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</si>
  <si>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</si>
  <si>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</si>
  <si>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</si>
  <si>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</si>
  <si>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</si>
  <si>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</si>
  <si>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</si>
  <si>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</si>
  <si>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</si>
  <si>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</si>
  <si>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</si>
  <si>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</si>
  <si>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</si>
  <si>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</si>
  <si>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</si>
  <si>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</si>
  <si>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</si>
  <si>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</si>
  <si>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</si>
  <si>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</si>
  <si>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</si>
  <si>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</si>
  <si>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</si>
  <si>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</si>
  <si>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</si>
  <si>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</si>
  <si>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</si>
  <si>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</si>
  <si>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</si>
  <si>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</si>
  <si>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</si>
  <si>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</si>
  <si>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</si>
  <si>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</si>
  <si>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</si>
  <si>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</si>
  <si>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</si>
  <si>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</si>
  <si>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</si>
  <si>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</si>
  <si>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</si>
  <si>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</si>
  <si>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</si>
  <si>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</si>
  <si>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</si>
  <si>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</si>
  <si>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</si>
  <si>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</si>
  <si>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</si>
  <si>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</si>
  <si>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</si>
  <si>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</si>
  <si>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</si>
  <si>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</si>
  <si>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</si>
  <si>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</si>
  <si>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</si>
  <si>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</si>
  <si>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</si>
  <si>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</si>
  <si>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</si>
  <si>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</si>
  <si>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</si>
  <si>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</si>
  <si>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</si>
  <si>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</si>
  <si>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</si>
  <si>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</si>
  <si>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</si>
  <si>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BC-FWx -&gt; MVRD</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</si>
  <si>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</si>
  <si>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</si>
  <si>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</si>
  <si>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</si>
  <si>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</si>
  <si>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</si>
  <si>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</si>
  <si>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</si>
  <si>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</si>
  <si>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</si>
  <si>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</si>
  <si>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</si>
  <si>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</si>
  <si>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</si>
  <si>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</si>
  <si>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</si>
  <si>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</si>
  <si>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</si>
  <si>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</si>
  <si>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</si>
  <si>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</si>
  <si>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</si>
  <si>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</si>
  <si>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</si>
  <si>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</si>
  <si>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</si>
  <si>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</si>
  <si>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</si>
  <si>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</si>
  <si>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</si>
  <si>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</si>
  <si>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</si>
  <si>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</si>
  <si>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</si>
  <si>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</si>
  <si>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</si>
  <si>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</si>
  <si>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</si>
  <si>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</si>
  <si>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</si>
  <si>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</si>
  <si>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</si>
  <si>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</si>
  <si>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</si>
  <si>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</si>
  <si>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</si>
  <si>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</si>
  <si>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</si>
  <si>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</si>
  <si>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</si>
  <si>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</si>
  <si>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</si>
  <si>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</si>
  <si>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</si>
  <si>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</si>
  <si>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</si>
  <si>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</si>
  <si>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</si>
  <si>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</si>
  <si>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</si>
  <si>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</si>
  <si>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</si>
  <si>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</si>
  <si>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</si>
  <si>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</si>
  <si>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</si>
  <si>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</si>
  <si>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</si>
  <si>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</si>
  <si>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</si>
  <si>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</si>
  <si>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</si>
  <si>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</si>
  <si>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</si>
  <si>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</si>
  <si>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</si>
  <si>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</si>
  <si>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</si>
  <si>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</si>
  <si>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</si>
  <si>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</si>
  <si>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</si>
  <si>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</si>
  <si>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</si>
  <si>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</si>
  <si>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</si>
  <si>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</si>
  <si>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</si>
  <si>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</si>
  <si>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</si>
  <si>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</si>
  <si>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</si>
  <si>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</si>
  <si>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</si>
  <si>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</si>
  <si>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</si>
  <si>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</si>
  <si>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</si>
  <si>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</si>
  <si>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</si>
  <si>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</si>
  <si>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</si>
  <si>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</si>
  <si>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</si>
  <si>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</si>
  <si>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</si>
  <si>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</si>
  <si>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</si>
  <si>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</si>
  <si>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</si>
  <si>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</si>
  <si>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</si>
  <si>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</si>
  <si>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</si>
  <si>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</si>
  <si>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</si>
  <si>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</si>
  <si>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</si>
  <si>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</si>
  <si>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</si>
  <si>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</si>
  <si>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</si>
  <si>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</si>
  <si>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</si>
  <si>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</si>
  <si>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</si>
  <si>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</si>
  <si>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</si>
  <si>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</si>
  <si>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</si>
  <si>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</si>
  <si>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</si>
  <si>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</si>
  <si>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</si>
  <si>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</si>
  <si>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</si>
  <si>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</si>
  <si>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</si>
  <si>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</si>
  <si>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</si>
  <si>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</si>
  <si>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</si>
  <si>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</si>
  <si>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</si>
  <si>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</si>
  <si>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</si>
  <si>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</si>
  <si>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</si>
  <si>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</si>
  <si>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</si>
  <si>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</si>
  <si>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</si>
  <si>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</si>
  <si>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</si>
  <si>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</si>
  <si>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</si>
  <si>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</si>
  <si>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</si>
  <si>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</si>
  <si>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</si>
  <si>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</si>
  <si>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</si>
  <si>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</si>
  <si>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</si>
  <si>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</si>
  <si>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</si>
  <si>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</si>
  <si>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</si>
  <si>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</si>
  <si>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</si>
  <si>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</si>
  <si>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</si>
  <si>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</si>
  <si>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</si>
  <si>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</si>
  <si>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</si>
  <si>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</si>
  <si>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</si>
  <si>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</si>
  <si>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</si>
  <si>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</si>
  <si>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</si>
  <si>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</si>
  <si>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</si>
  <si>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</si>
  <si>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</si>
  <si>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</si>
  <si>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</si>
  <si>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</si>
  <si>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</si>
  <si>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</si>
  <si>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</si>
  <si>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</si>
  <si>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</si>
  <si>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</si>
  <si>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</si>
  <si>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</si>
  <si>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</si>
  <si>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</si>
  <si>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</si>
  <si>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</si>
  <si>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</si>
  <si>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</si>
  <si>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</si>
  <si>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</si>
  <si>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</si>
  <si>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</si>
  <si>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</si>
  <si>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</si>
  <si>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</si>
  <si>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</si>
  <si>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</si>
  <si>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</si>
  <si>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</si>
  <si>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</si>
  <si>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</si>
  <si>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</si>
  <si>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</si>
  <si>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</si>
  <si>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</si>
  <si>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</si>
  <si>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</si>
  <si>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</si>
  <si>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</si>
  <si>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</si>
  <si>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</si>
  <si>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</si>
  <si>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</si>
  <si>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</si>
  <si>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</si>
  <si>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</si>
  <si>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</si>
  <si>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</si>
  <si>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</si>
  <si>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</si>
  <si>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</si>
  <si>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</si>
  <si>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</si>
  <si>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</si>
  <si>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</si>
  <si>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</si>
  <si>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</si>
  <si>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</si>
  <si>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</si>
  <si>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</si>
  <si>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</si>
  <si>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</si>
  <si>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</si>
  <si>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</si>
  <si>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</si>
  <si>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</si>
  <si>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</si>
  <si>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</si>
  <si>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</si>
  <si>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</si>
  <si>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</si>
  <si>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</si>
  <si>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</si>
  <si>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</si>
  <si>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</si>
  <si>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</si>
  <si>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</si>
  <si>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</si>
  <si>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</si>
  <si>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</si>
  <si>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</si>
  <si>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</si>
  <si>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</si>
  <si>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</si>
  <si>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</si>
  <si>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</si>
  <si>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</si>
  <si>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</si>
  <si>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</si>
  <si>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</si>
  <si>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</si>
  <si>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</si>
  <si>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</si>
  <si>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</si>
  <si>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</si>
  <si>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</si>
  <si>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</si>
  <si>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</si>
  <si>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</si>
  <si>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</si>
  <si>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</si>
  <si>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</si>
  <si>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</si>
  <si>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</si>
  <si>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</si>
  <si>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</si>
  <si>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</si>
  <si>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</si>
  <si>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</si>
  <si>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</si>
  <si>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</si>
  <si>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</si>
  <si>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</si>
  <si>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</si>
  <si>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</si>
  <si>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</si>
  <si>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</si>
  <si>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</si>
  <si>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</si>
  <si>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</si>
  <si>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</si>
  <si>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</si>
  <si>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</si>
  <si>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</si>
  <si>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</si>
  <si>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</si>
  <si>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</si>
  <si>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</si>
  <si>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</si>
  <si>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</si>
  <si>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</si>
  <si>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</si>
  <si>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</si>
  <si>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</si>
  <si>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</si>
  <si>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</si>
  <si>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</si>
  <si>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</si>
  <si>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</si>
  <si>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</si>
  <si>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</si>
  <si>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</si>
  <si>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</si>
  <si>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</si>
  <si>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</si>
  <si>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</si>
  <si>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</si>
  <si>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</si>
  <si>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</si>
  <si>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</si>
  <si>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</si>
  <si>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</si>
  <si>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</si>
  <si>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</si>
  <si>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</si>
  <si>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</si>
  <si>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</si>
  <si>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</si>
  <si>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</si>
  <si>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</si>
  <si>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</si>
  <si>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</si>
  <si>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</si>
  <si>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</si>
  <si>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</si>
  <si>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</si>
  <si>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</si>
  <si>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</si>
  <si>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</si>
  <si>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</si>
  <si>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</si>
  <si>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</si>
  <si>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</si>
  <si>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</si>
  <si>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</si>
  <si>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</si>
  <si>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</si>
  <si>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</si>
  <si>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</si>
  <si>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</si>
  <si>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</si>
  <si>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</si>
  <si>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</si>
  <si>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</si>
  <si>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</si>
  <si>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</si>
  <si>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</si>
  <si>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</si>
  <si>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</si>
  <si>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</si>
  <si>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</si>
  <si>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</si>
  <si>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</si>
  <si>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</si>
  <si>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</si>
  <si>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</si>
  <si>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</si>
  <si>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</si>
  <si>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</si>
  <si>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</si>
  <si>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</si>
  <si>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</si>
  <si>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</si>
  <si>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</si>
  <si>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</si>
  <si>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</si>
  <si>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</si>
  <si>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</si>
  <si>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</si>
  <si>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</si>
  <si>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</si>
  <si>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</si>
  <si>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</si>
  <si>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</si>
  <si>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</si>
  <si>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</si>
  <si>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</si>
  <si>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</si>
  <si>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</si>
  <si>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</si>
  <si>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</si>
  <si>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</si>
  <si>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</si>
  <si>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</si>
  <si>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</si>
  <si>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</si>
  <si>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</si>
  <si>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</si>
  <si>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</si>
  <si>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</si>
  <si>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</si>
  <si>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</si>
  <si>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</si>
  <si>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</si>
  <si>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</si>
  <si>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</si>
  <si>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</si>
  <si>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</si>
  <si>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</si>
  <si>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</si>
  <si>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</si>
  <si>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</si>
  <si>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</si>
  <si>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</si>
  <si>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</si>
  <si>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</si>
  <si>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</si>
  <si>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</si>
  <si>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</si>
  <si>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</si>
  <si>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</si>
  <si>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</si>
  <si>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</si>
  <si>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</si>
  <si>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</si>
  <si>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</si>
  <si>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</si>
  <si>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</si>
  <si>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</si>
  <si>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</si>
  <si>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</si>
  <si>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</si>
  <si>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</si>
  <si>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</si>
  <si>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</si>
  <si>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</si>
  <si>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</si>
  <si>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</si>
  <si>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</si>
  <si>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</si>
  <si>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</si>
  <si>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</si>
  <si>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</si>
  <si>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</si>
  <si>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</si>
  <si>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</si>
  <si>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</si>
  <si>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</si>
  <si>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</si>
  <si>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</si>
  <si>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</si>
  <si>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</si>
  <si>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</si>
  <si>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</si>
  <si>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</si>
  <si>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</si>
  <si>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</si>
  <si>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</si>
  <si>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</si>
  <si>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</si>
  <si>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</si>
  <si>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</si>
  <si>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</si>
  <si>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</si>
  <si>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</si>
  <si>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</si>
  <si>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</si>
  <si>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</si>
  <si>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</si>
  <si>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</si>
  <si>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</si>
  <si>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</si>
  <si>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</si>
  <si>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</si>
  <si>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</si>
  <si>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</si>
  <si>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</si>
  <si>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</si>
  <si>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</si>
  <si>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</si>
  <si>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</si>
  <si>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</si>
  <si>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</si>
  <si>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</si>
  <si>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</si>
  <si>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</si>
  <si>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</si>
  <si>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</si>
  <si>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</si>
  <si>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</si>
  <si>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</si>
  <si>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</si>
  <si>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</si>
  <si>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</si>
  <si>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</si>
  <si>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</si>
  <si>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</si>
  <si>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</si>
  <si>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</si>
  <si>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</si>
  <si>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</si>
  <si>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</si>
  <si>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</si>
  <si>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</si>
  <si>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</si>
  <si>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</si>
  <si>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</si>
  <si>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</si>
  <si>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</si>
  <si>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</si>
  <si>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</si>
  <si>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</si>
  <si>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</si>
  <si>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</si>
  <si>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</si>
  <si>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</si>
  <si>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</si>
  <si>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</si>
  <si>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</si>
  <si>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</si>
  <si>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</si>
  <si>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</si>
  <si>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</si>
  <si>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</si>
  <si>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</si>
  <si>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</si>
  <si>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</si>
  <si>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</si>
  <si>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</si>
  <si>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</si>
  <si>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</si>
  <si>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</si>
  <si>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</si>
  <si>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</si>
  <si>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</si>
  <si>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</si>
  <si>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</si>
  <si>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</si>
  <si>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</si>
  <si>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</si>
  <si>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</si>
  <si>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</si>
  <si>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</si>
  <si>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</si>
  <si>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</si>
  <si>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</si>
  <si>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</si>
  <si>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</si>
  <si>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</si>
  <si>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</si>
  <si>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</si>
  <si>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</si>
  <si>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</si>
  <si>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</si>
  <si>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</si>
  <si>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</si>
  <si>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</si>
  <si>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</si>
  <si>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</si>
  <si>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</si>
  <si>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</si>
  <si>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</si>
  <si>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</si>
  <si>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</si>
  <si>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</si>
  <si>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</si>
  <si>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</si>
  <si>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</si>
  <si>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</si>
  <si>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</si>
  <si>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</si>
  <si>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</si>
  <si>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</si>
  <si>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</si>
  <si>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</si>
  <si>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</si>
  <si>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</si>
  <si>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</si>
  <si>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</si>
  <si>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</si>
  <si>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</si>
  <si>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</si>
  <si>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</si>
  <si>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</si>
  <si>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</si>
  <si>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</si>
  <si>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</si>
  <si>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</si>
  <si>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</si>
  <si>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</si>
  <si>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</si>
  <si>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</si>
  <si>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</si>
  <si>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</si>
  <si>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</si>
  <si>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</si>
  <si>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</si>
  <si>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</si>
  <si>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</si>
  <si>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</si>
  <si>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</si>
  <si>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</si>
  <si>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</si>
  <si>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</si>
  <si>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</si>
  <si>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</si>
  <si>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</si>
  <si>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</si>
  <si>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</si>
  <si>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</si>
  <si>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</si>
  <si>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</si>
  <si>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</si>
  <si>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</si>
  <si>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</si>
  <si>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</si>
  <si>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</si>
  <si>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</si>
  <si>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</si>
  <si>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</si>
  <si>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</si>
  <si>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</si>
  <si>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</si>
  <si>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</si>
  <si>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</si>
  <si>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</si>
  <si>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</si>
  <si>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</si>
  <si>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</si>
  <si>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</si>
  <si>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</si>
  <si>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</si>
  <si>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</si>
  <si>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</si>
  <si>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</si>
  <si>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</si>
  <si>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</si>
  <si>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</si>
  <si>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</si>
  <si>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</si>
  <si>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</si>
  <si>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</si>
  <si>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</si>
  <si>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</si>
  <si>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</si>
  <si>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</si>
  <si>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</si>
  <si>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</si>
  <si>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</si>
  <si>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</si>
  <si>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</si>
  <si>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</si>
  <si>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</si>
  <si>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</si>
  <si>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</si>
  <si>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</si>
  <si>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</si>
  <si>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</si>
  <si>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</si>
  <si>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</si>
  <si>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</si>
  <si>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</si>
  <si>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</si>
  <si>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</si>
  <si>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</si>
  <si>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</si>
  <si>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</si>
  <si>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</si>
  <si>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</si>
  <si>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</si>
  <si>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</si>
  <si>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</si>
  <si>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</si>
  <si>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</si>
  <si>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</si>
  <si>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</si>
  <si>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</si>
  <si>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</si>
  <si>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</si>
  <si>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</si>
  <si>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</si>
  <si>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</si>
  <si>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</si>
  <si>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</si>
  <si>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</si>
  <si>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</si>
  <si>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</si>
  <si>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</si>
  <si>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</si>
  <si>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</si>
  <si>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</si>
  <si>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</si>
  <si>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</si>
  <si>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</si>
  <si>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</si>
  <si>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</si>
  <si>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</si>
  <si>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</si>
  <si>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</si>
  <si>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</si>
  <si>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</si>
  <si>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</si>
  <si>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</si>
  <si>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</si>
  <si>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</si>
  <si>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</si>
  <si>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</si>
  <si>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</si>
  <si>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</si>
  <si>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</si>
  <si>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</si>
  <si>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</si>
  <si>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</si>
  <si>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</si>
  <si>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</si>
  <si>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</si>
  <si>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</si>
  <si>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</si>
  <si>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</si>
  <si>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</si>
  <si>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</si>
  <si>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</si>
  <si>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</si>
  <si>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</si>
  <si>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</si>
  <si>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</si>
  <si>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</si>
  <si>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</si>
  <si>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</si>
  <si>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</si>
  <si>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</si>
  <si>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</si>
  <si>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</si>
  <si>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</si>
  <si>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</si>
  <si>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</si>
  <si>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</si>
  <si>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</si>
  <si>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</si>
  <si>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</si>
  <si>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</si>
  <si>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</si>
  <si>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</si>
  <si>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</si>
  <si>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</si>
  <si>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</si>
  <si>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</si>
  <si>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</si>
  <si>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</si>
  <si>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</si>
  <si>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</si>
  <si>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</si>
  <si>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</si>
  <si>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</si>
  <si>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</si>
  <si>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</si>
  <si>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</si>
  <si>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</si>
  <si>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</si>
  <si>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</si>
  <si>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</si>
  <si>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</si>
  <si>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</si>
  <si>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</si>
  <si>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</si>
  <si>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</si>
  <si>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</si>
  <si>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</si>
  <si>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</si>
  <si>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</si>
  <si>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</si>
  <si>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</si>
  <si>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</si>
  <si>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</si>
  <si>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</si>
  <si>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</si>
  <si>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</si>
  <si>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</si>
  <si>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</si>
  <si>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</si>
  <si>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</si>
  <si>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</si>
  <si>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</si>
  <si>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</si>
  <si>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</si>
  <si>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</si>
  <si>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</si>
  <si>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</si>
  <si>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</si>
  <si>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</si>
  <si>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</si>
  <si>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</si>
  <si>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</si>
  <si>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</si>
  <si>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</si>
  <si>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</si>
  <si>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</si>
  <si>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</si>
  <si>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</si>
  <si>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</si>
  <si>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</si>
  <si>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</si>
  <si>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</si>
  <si>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</si>
  <si>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</si>
  <si>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</si>
  <si>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</si>
  <si>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</si>
  <si>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</si>
  <si>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</si>
  <si>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</si>
  <si>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</si>
  <si>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</si>
  <si>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</si>
  <si>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</si>
  <si>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</si>
  <si>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</si>
  <si>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</si>
  <si>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</si>
  <si>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</si>
  <si>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</si>
  <si>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</si>
  <si>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</si>
  <si>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</si>
  <si>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</si>
  <si>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</si>
  <si>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</si>
  <si>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</si>
  <si>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</si>
  <si>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</si>
  <si>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</si>
  <si>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</si>
  <si>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</si>
  <si>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</si>
  <si>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</si>
  <si>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</si>
  <si>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</si>
  <si>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</si>
  <si>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</si>
  <si>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</si>
  <si>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</si>
  <si>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</si>
  <si>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</si>
  <si>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</si>
  <si>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</si>
  <si>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</si>
  <si>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</si>
  <si>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</si>
  <si>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</si>
  <si>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</si>
  <si>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</si>
  <si>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</si>
  <si>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</si>
  <si>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</si>
  <si>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</si>
  <si>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</si>
  <si>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</si>
  <si>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</si>
  <si>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</si>
  <si>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</si>
  <si>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</si>
  <si>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</si>
  <si>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</si>
  <si>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</si>
  <si>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</si>
  <si>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</si>
  <si>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</si>
  <si>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</si>
  <si>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</si>
  <si>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</si>
  <si>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</si>
  <si>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</si>
  <si>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</si>
  <si>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</si>
  <si>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</si>
  <si>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</si>
  <si>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</si>
  <si>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</si>
  <si>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</si>
  <si>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</si>
  <si>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</si>
  <si>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</si>
  <si>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</si>
  <si>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</si>
  <si>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</si>
  <si>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</si>
  <si>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</si>
  <si>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</si>
  <si>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</si>
  <si>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</si>
  <si>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</si>
  <si>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</si>
  <si>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</si>
  <si>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</si>
  <si>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</si>
  <si>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</si>
  <si>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</si>
  <si>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</si>
  <si>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</si>
  <si>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</si>
  <si>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</si>
  <si>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</si>
  <si>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</si>
  <si>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</si>
  <si>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</si>
  <si>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</si>
  <si>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</si>
  <si>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</si>
  <si>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</si>
  <si>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</si>
  <si>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</si>
  <si>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</si>
  <si>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</si>
  <si>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</si>
  <si>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</si>
  <si>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</si>
  <si>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</si>
  <si>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</si>
  <si>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</si>
  <si>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</si>
  <si>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</si>
  <si>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</si>
  <si>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</si>
  <si>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</si>
  <si>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</si>
  <si>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</si>
  <si>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</si>
  <si>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</si>
  <si>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</si>
  <si>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</si>
  <si>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</si>
  <si>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</si>
  <si>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</si>
  <si>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</si>
  <si>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</si>
  <si>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</si>
  <si>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</si>
  <si>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</si>
  <si>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</si>
  <si>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</si>
  <si>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</si>
  <si>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</si>
  <si>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</si>
  <si>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</si>
  <si>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</si>
  <si>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</si>
  <si>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</si>
  <si>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</si>
  <si>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</si>
  <si>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</si>
  <si>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</si>
  <si>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</si>
  <si>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</si>
  <si>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</si>
  <si>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</si>
  <si>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</si>
  <si>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</si>
  <si>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</si>
  <si>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</si>
  <si>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</si>
  <si>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</si>
  <si>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</si>
  <si>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</si>
  <si>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</si>
  <si>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</si>
  <si>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</si>
  <si>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</si>
  <si>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</si>
  <si>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</si>
  <si>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</si>
  <si>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</si>
  <si>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</si>
  <si>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</si>
  <si>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</si>
  <si>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</si>
  <si>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</si>
  <si>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</si>
  <si>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</si>
  <si>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</si>
  <si>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</si>
  <si>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</si>
  <si>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</si>
  <si>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</si>
  <si>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</si>
  <si>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</si>
  <si>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</si>
  <si>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</si>
  <si>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</si>
  <si>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</si>
  <si>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</si>
  <si>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</si>
  <si>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</si>
  <si>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</si>
  <si>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</si>
  <si>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</si>
  <si>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</si>
  <si>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</si>
  <si>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</si>
  <si>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</si>
  <si>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</si>
  <si>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</si>
  <si>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</si>
  <si>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</si>
  <si>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</si>
  <si>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</si>
  <si>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</si>
  <si>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</si>
  <si>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</si>
  <si>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</si>
  <si>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</si>
  <si>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</si>
  <si>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</si>
  <si>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</si>
  <si>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</si>
  <si>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</si>
  <si>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</si>
  <si>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</si>
  <si>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</si>
  <si>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</si>
  <si>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</si>
  <si>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</si>
  <si>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</si>
  <si>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</si>
  <si>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</si>
  <si>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</si>
  <si>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</si>
  <si>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</si>
  <si>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</si>
  <si>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</si>
  <si>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</si>
  <si>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</si>
  <si>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</si>
  <si>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</si>
  <si>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</si>
  <si>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</si>
  <si>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</si>
  <si>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</si>
  <si>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</si>
  <si>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</si>
  <si>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</si>
  <si>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</si>
  <si>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</si>
  <si>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</si>
  <si>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121.7805556 W, 49.27111111 N, Elev. 19 m -&gt; 121.7808 W, 49.2713 N, Elev. 19</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</si>
  <si>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</si>
  <si>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</si>
  <si>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</si>
  <si>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</si>
  <si>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</si>
  <si>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</si>
  <si>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</si>
  <si>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</si>
  <si>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</si>
  <si>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</si>
  <si>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</si>
  <si>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</si>
  <si>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</si>
  <si>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</si>
  <si>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</si>
  <si>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</si>
  <si>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</si>
  <si>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</si>
  <si>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</si>
  <si>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</si>
  <si>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</si>
  <si>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</si>
  <si>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</si>
  <si>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</si>
  <si>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</si>
  <si>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</si>
  <si>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</si>
  <si>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</si>
  <si>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</si>
  <si>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</si>
  <si>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</si>
  <si>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</si>
  <si>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</si>
  <si>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</si>
  <si>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</si>
  <si>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</si>
  <si>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</si>
  <si>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</si>
  <si>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</si>
  <si>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</si>
  <si>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</si>
  <si>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</si>
  <si>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</si>
  <si>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</si>
  <si>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</si>
  <si>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</si>
  <si>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</si>
  <si>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</si>
  <si>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</si>
  <si>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</si>
  <si>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</si>
  <si>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</si>
  <si>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</si>
  <si>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</si>
  <si>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</si>
  <si>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</si>
  <si>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</si>
  <si>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</si>
  <si>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</si>
  <si>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</si>
  <si>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</si>
  <si>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</si>
  <si>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</si>
  <si>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</si>
  <si>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</si>
  <si>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</si>
  <si>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</si>
  <si>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</si>
  <si>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</si>
  <si>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</si>
  <si>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</si>
  <si>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</si>
  <si>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</si>
  <si>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</si>
  <si>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</si>
  <si>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</si>
  <si>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</si>
  <si>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</si>
  <si>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</si>
  <si>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</si>
  <si>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</si>
  <si>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</si>
  <si>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</si>
  <si>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</si>
  <si>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</si>
  <si>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</si>
  <si>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</si>
  <si>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</si>
  <si>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</si>
  <si>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</si>
  <si>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</si>
  <si>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</si>
  <si>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</si>
  <si>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</si>
  <si>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</si>
  <si>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</si>
  <si>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</si>
  <si>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</si>
  <si>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</si>
  <si>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</si>
  <si>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</si>
  <si>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</si>
  <si>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</si>
  <si>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</si>
  <si>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</si>
  <si>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</si>
  <si>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</si>
  <si>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</si>
  <si>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</si>
  <si>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</si>
  <si>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</si>
  <si>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</si>
  <si>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</si>
  <si>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</si>
  <si>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</si>
  <si>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</si>
  <si>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</si>
  <si>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</si>
  <si>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</si>
  <si>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</si>
  <si>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</si>
  <si>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</si>
  <si>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</si>
  <si>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</si>
  <si>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</si>
  <si>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</si>
  <si>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</si>
  <si>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</si>
  <si>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</si>
  <si>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</si>
  <si>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</si>
  <si>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</si>
  <si>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</si>
  <si>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</si>
  <si>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</si>
  <si>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</si>
  <si>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</si>
  <si>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</si>
  <si>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</si>
  <si>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</si>
  <si>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</si>
  <si>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</si>
  <si>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</si>
  <si>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</si>
  <si>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</si>
  <si>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</si>
  <si>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</si>
  <si>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</si>
  <si>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</si>
  <si>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</si>
  <si>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</si>
  <si>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</si>
  <si>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</si>
  <si>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</si>
  <si>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</si>
  <si>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</si>
  <si>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</si>
  <si>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</si>
  <si>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</si>
  <si>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</si>
  <si>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</si>
  <si>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</si>
  <si>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</si>
  <si>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</si>
  <si>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</si>
  <si>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</si>
  <si>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</si>
  <si>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</si>
  <si>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</si>
  <si>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</si>
  <si>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</si>
  <si>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</si>
  <si>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</si>
  <si>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</si>
  <si>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</si>
  <si>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</si>
  <si>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</si>
  <si>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</si>
  <si>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</si>
  <si>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</si>
  <si>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</si>
  <si>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</si>
  <si>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</si>
  <si>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</si>
  <si>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</si>
  <si>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</si>
  <si>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</si>
  <si>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</si>
  <si>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</si>
  <si>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</si>
  <si>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</si>
  <si>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</si>
  <si>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</si>
  <si>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</si>
  <si>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</si>
  <si>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</si>
  <si>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</si>
  <si>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</si>
  <si>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</si>
  <si>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</si>
  <si>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</si>
  <si>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</si>
  <si>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</si>
  <si>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</si>
  <si>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</si>
  <si>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</si>
  <si>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</si>
  <si>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</si>
  <si>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</si>
  <si>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</si>
  <si>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</si>
  <si>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</si>
  <si>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</si>
  <si>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</si>
  <si>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</si>
  <si>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</si>
  <si>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</si>
  <si>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</si>
  <si>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</si>
  <si>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</si>
  <si>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</si>
  <si>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</si>
  <si>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</si>
  <si>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</si>
  <si>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</si>
  <si>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</si>
  <si>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</si>
  <si>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</si>
  <si>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</si>
  <si>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</si>
  <si>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</si>
  <si>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</si>
  <si>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</si>
  <si>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</si>
  <si>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</si>
  <si>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</si>
  <si>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</si>
  <si>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</si>
  <si>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</si>
  <si>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</si>
  <si>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</si>
  <si>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</si>
  <si>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</si>
  <si>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</si>
  <si>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</si>
  <si>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</si>
  <si>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</si>
  <si>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</si>
  <si>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</si>
  <si>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</si>
  <si>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</si>
  <si>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</si>
  <si>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</si>
  <si>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</si>
  <si>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</si>
  <si>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</si>
  <si>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</si>
  <si>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</si>
  <si>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</si>
  <si>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</si>
  <si>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</si>
  <si>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</si>
  <si>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</si>
  <si>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</si>
  <si>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</si>
  <si>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</si>
  <si>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</si>
  <si>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</si>
  <si>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</si>
  <si>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</si>
  <si>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</si>
  <si>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</si>
  <si>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</si>
  <si>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</si>
  <si>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</si>
  <si>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</si>
  <si>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</si>
  <si>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</si>
  <si>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</si>
  <si>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</si>
  <si>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</si>
  <si>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</si>
  <si>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</si>
  <si>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</si>
  <si>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</si>
  <si>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</si>
  <si>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</si>
  <si>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</si>
  <si>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</si>
  <si>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</si>
  <si>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</si>
  <si>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</si>
  <si>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</si>
  <si>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</si>
  <si>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</si>
  <si>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</si>
  <si>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</si>
  <si>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</si>
  <si>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</si>
  <si>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</si>
  <si>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</si>
  <si>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</si>
  <si>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</si>
  <si>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</si>
  <si>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</si>
  <si>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</si>
  <si>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</si>
  <si>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</si>
  <si>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</si>
  <si>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</si>
  <si>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</si>
  <si>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</si>
  <si>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</si>
  <si>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</si>
  <si>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</si>
  <si>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</si>
  <si>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</si>
  <si>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</si>
  <si>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</si>
  <si>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</si>
  <si>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</si>
  <si>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</si>
  <si>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</si>
  <si>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</si>
  <si>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</si>
  <si>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</si>
  <si>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</si>
  <si>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</si>
  <si>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</si>
  <si>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</si>
  <si>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</si>
  <si>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</si>
  <si>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</si>
  <si>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</si>
  <si>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</si>
  <si>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</si>
  <si>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</si>
  <si>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</si>
  <si>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</si>
  <si>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</si>
  <si>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</si>
  <si>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</si>
  <si>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</si>
  <si>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</si>
  <si>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</si>
  <si>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</si>
  <si>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</si>
  <si>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</si>
  <si>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</si>
  <si>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</si>
  <si>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</si>
  <si>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</si>
  <si>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</si>
  <si>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</si>
  <si>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</si>
  <si>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</si>
  <si>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</si>
  <si>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</si>
  <si>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</si>
  <si>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</si>
  <si>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</si>
  <si>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</si>
  <si>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</si>
  <si>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</si>
  <si>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</si>
  <si>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</si>
  <si>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</si>
  <si>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</si>
  <si>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</si>
  <si>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</si>
  <si>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</si>
  <si>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</si>
  <si>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</si>
  <si>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</si>
  <si>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</si>
  <si>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</si>
  <si>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</si>
  <si>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</si>
  <si>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</si>
  <si>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</si>
  <si>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</si>
  <si>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</si>
  <si>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</si>
  <si>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</si>
  <si>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</si>
  <si>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</si>
  <si>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</si>
  <si>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</si>
  <si>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</si>
  <si>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</si>
  <si>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</si>
  <si>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</si>
  <si>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</si>
  <si>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</si>
  <si>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</si>
  <si>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</si>
  <si>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</si>
  <si>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</si>
  <si>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</si>
  <si>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</si>
  <si>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</si>
  <si>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</si>
  <si>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</si>
  <si>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</si>
  <si>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</si>
  <si>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</si>
  <si>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</si>
  <si>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</si>
  <si>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</si>
  <si>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</si>
  <si>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</si>
  <si>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</si>
  <si>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</si>
  <si>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</si>
  <si>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</si>
  <si>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</si>
  <si>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</si>
  <si>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</si>
  <si>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</si>
  <si>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</si>
  <si>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</si>
  <si>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</si>
  <si>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</si>
  <si>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</si>
  <si>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</si>
  <si>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</si>
  <si>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</si>
  <si>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</si>
  <si>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</si>
  <si>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</si>
  <si>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</si>
  <si>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</si>
  <si>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</si>
  <si>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</si>
  <si>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</si>
  <si>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</si>
  <si>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</si>
  <si>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</si>
  <si>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</si>
  <si>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</si>
  <si>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</si>
  <si>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</si>
  <si>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</si>
  <si>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</si>
  <si>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</si>
  <si>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</si>
  <si>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</si>
  <si>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</si>
  <si>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</si>
  <si>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</si>
  <si>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</si>
  <si>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</si>
  <si>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</si>
  <si>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</si>
  <si>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</si>
  <si>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</si>
  <si>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</si>
  <si>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</si>
  <si>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</si>
  <si>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</si>
  <si>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</si>
  <si>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</si>
  <si>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</si>
  <si>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</si>
  <si>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</si>
  <si>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</si>
  <si>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</si>
  <si>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</si>
  <si>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</si>
  <si>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</si>
  <si>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</si>
  <si>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</si>
  <si>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</si>
  <si>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</si>
  <si>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</si>
  <si>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</si>
  <si>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</si>
  <si>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</si>
  <si>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</si>
  <si>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</si>
  <si>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</si>
  <si>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</si>
  <si>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</si>
  <si>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</si>
  <si>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</si>
  <si>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</si>
  <si>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</si>
  <si>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</si>
  <si>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</si>
  <si>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</si>
  <si>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</si>
  <si>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</si>
  <si>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</si>
  <si>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</si>
  <si>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</si>
  <si>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</si>
  <si>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</si>
  <si>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</si>
  <si>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</si>
  <si>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</si>
  <si>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</si>
  <si>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</si>
  <si>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</si>
  <si>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</si>
  <si>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</si>
  <si>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</si>
  <si>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</si>
  <si>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</si>
  <si>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</si>
  <si>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</si>
  <si>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</si>
  <si>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</si>
  <si>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</si>
  <si>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</si>
  <si>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</si>
  <si>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</si>
  <si>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</si>
  <si>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</si>
  <si>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</si>
  <si>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</si>
  <si>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</si>
  <si>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</si>
  <si>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</si>
  <si>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</si>
  <si>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</si>
  <si>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</si>
  <si>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</si>
  <si>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122.2811111 W, 49.8744444 N, Elev. 305 m -&gt; 122.2816 W, 49.87.47 N, Elev. 308 m</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</si>
  <si>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</si>
  <si>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</si>
  <si>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</si>
  <si>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</si>
  <si>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</si>
  <si>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</si>
  <si>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</si>
  <si>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</si>
  <si>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</si>
  <si>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</si>
  <si>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</si>
  <si>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</si>
  <si>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</si>
  <si>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</si>
  <si>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</si>
  <si>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</si>
  <si>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</si>
  <si>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</si>
  <si>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</si>
  <si>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</si>
  <si>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</si>
  <si>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</si>
  <si>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</si>
  <si>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</si>
  <si>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</si>
  <si>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</si>
  <si>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</si>
  <si>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</si>
  <si>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</si>
  <si>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</si>
  <si>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</si>
  <si>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</si>
  <si>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</si>
  <si>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</si>
  <si>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</si>
  <si>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</si>
  <si>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</si>
  <si>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</si>
  <si>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</si>
  <si>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</si>
  <si>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</si>
  <si>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</si>
  <si>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</si>
  <si>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</si>
  <si>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</si>
  <si>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</si>
  <si>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</si>
  <si>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</si>
  <si>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</si>
  <si>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</si>
  <si>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</si>
  <si>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</si>
  <si>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</si>
  <si>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</si>
  <si>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</si>
  <si>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</si>
  <si>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</si>
  <si>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</si>
  <si>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</si>
  <si>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</si>
  <si>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</si>
  <si>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</si>
  <si>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</si>
  <si>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</si>
  <si>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</si>
  <si>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</si>
  <si>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</si>
  <si>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</si>
  <si>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</si>
  <si>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</si>
  <si>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</si>
  <si>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</si>
  <si>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</si>
  <si>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</si>
  <si>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</si>
  <si>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</si>
  <si>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</si>
  <si>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</si>
  <si>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</si>
  <si>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</si>
  <si>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</si>
  <si>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</si>
  <si>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</si>
  <si>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</si>
  <si>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</si>
  <si>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</si>
  <si>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</si>
  <si>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</si>
  <si>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</si>
  <si>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</si>
  <si>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</si>
  <si>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</si>
  <si>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</si>
  <si>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</si>
  <si>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</si>
  <si>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</si>
  <si>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</si>
  <si>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</si>
  <si>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</si>
  <si>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</si>
  <si>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</si>
  <si>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0 W, null N, Elev. null m -&gt; 118.9755 W, 49.072 N, Elev 844 m</t>
  </si>
  <si>
    <t>2022-03-28 to 2023-04-24</t>
  </si>
  <si>
    <t>ZZQD REXIN</t>
  </si>
  <si>
    <t>-&gt; TERRACE AIRPORT QUICK DEPLOY</t>
  </si>
  <si>
    <t>0 W, null N, Elev. null m -&gt; 128.5667 W, 54.4667 N, Elev. 218 m</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</si>
  <si>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</si>
  <si>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</si>
  <si>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</si>
  <si>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</si>
  <si>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</si>
  <si>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</si>
  <si>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</si>
  <si>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</si>
  <si>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</si>
  <si>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</si>
  <si>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</si>
  <si>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</si>
  <si>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</si>
  <si>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</si>
  <si>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</si>
  <si>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</si>
  <si>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</si>
  <si>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</si>
  <si>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</si>
  <si>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</si>
  <si>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</si>
  <si>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</si>
  <si>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</si>
  <si>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</si>
  <si>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</si>
  <si>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</si>
  <si>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</si>
  <si>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</si>
  <si>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</si>
  <si>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</si>
  <si>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</si>
  <si>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</si>
  <si>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</si>
  <si>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</si>
  <si>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</si>
  <si>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</si>
  <si>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</si>
  <si>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</si>
  <si>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</si>
  <si>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</si>
  <si>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</si>
  <si>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</si>
  <si>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</si>
  <si>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</si>
  <si>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</si>
  <si>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</si>
  <si>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</si>
  <si>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</si>
  <si>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</si>
  <si>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</si>
  <si>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</si>
  <si>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</si>
  <si>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</si>
  <si>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</si>
  <si>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</si>
  <si>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</si>
  <si>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</si>
  <si>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</si>
  <si>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</si>
  <si>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</si>
  <si>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</si>
  <si>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</si>
  <si>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</si>
  <si>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</si>
  <si>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</si>
  <si>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</si>
  <si>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</si>
  <si>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</si>
  <si>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</si>
  <si>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</si>
  <si>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</si>
  <si>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</si>
  <si>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</si>
  <si>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</si>
  <si>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</si>
  <si>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</si>
  <si>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</si>
  <si>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</si>
  <si>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</si>
  <si>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</si>
  <si>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</si>
  <si>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</si>
  <si>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</si>
  <si>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</si>
  <si>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</si>
  <si>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</si>
  <si>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</si>
  <si>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</si>
  <si>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</si>
  <si>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</si>
  <si>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</si>
  <si>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</si>
  <si>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</si>
  <si>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</si>
  <si>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</si>
  <si>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</si>
  <si>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</si>
  <si>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</si>
  <si>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</si>
  <si>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</si>
  <si>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</si>
  <si>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</si>
  <si>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</si>
  <si>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</si>
  <si>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</si>
  <si>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</si>
  <si>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</si>
  <si>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WILLIS</t>
  </si>
  <si>
    <t>-&gt; 120.4071 W, 49.3394 N, Elev. 1455 m</t>
  </si>
  <si>
    <t>WILLIS</t>
  </si>
  <si>
    <t>-&gt; BURNS LAKE</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</si>
  <si>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</si>
  <si>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</si>
  <si>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</si>
  <si>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</si>
  <si>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</si>
  <si>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</si>
  <si>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</si>
  <si>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</si>
  <si>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</si>
  <si>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</si>
  <si>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</si>
  <si>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</si>
  <si>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</si>
  <si>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</si>
  <si>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</si>
  <si>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</si>
  <si>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</si>
  <si>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</si>
  <si>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</si>
  <si>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</si>
  <si>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</si>
  <si>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</si>
  <si>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</si>
  <si>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</si>
  <si>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</si>
  <si>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</si>
  <si>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</si>
  <si>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</si>
  <si>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</si>
  <si>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</si>
  <si>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</si>
  <si>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Begbie DL</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</si>
  <si>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</si>
  <si>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</si>
  <si>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</si>
  <si>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</si>
  <si>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</si>
  <si>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</si>
  <si>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</si>
  <si>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</si>
  <si>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</si>
  <si>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</si>
  <si>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</si>
  <si>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</si>
  <si>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</si>
  <si>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</si>
  <si>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</si>
  <si>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</si>
  <si>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</si>
  <si>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</si>
  <si>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</si>
  <si>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</si>
  <si>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</si>
  <si>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</si>
  <si>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</si>
  <si>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</si>
  <si>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</si>
  <si>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</si>
  <si>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</si>
  <si>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</si>
  <si>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</si>
  <si>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</si>
  <si>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</si>
  <si>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</si>
  <si>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</si>
  <si>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</si>
  <si>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</si>
  <si>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</si>
  <si>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</si>
  <si>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</si>
  <si>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</si>
  <si>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</si>
  <si>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</si>
  <si>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</si>
  <si>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</si>
  <si>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</si>
  <si>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</si>
  <si>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</si>
  <si>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</si>
  <si>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</si>
  <si>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</si>
  <si>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</si>
  <si>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</si>
  <si>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</si>
  <si>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</si>
  <si>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</si>
  <si>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</si>
  <si>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</si>
  <si>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</si>
  <si>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</si>
  <si>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</si>
  <si>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</si>
  <si>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</si>
  <si>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</si>
  <si>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</si>
  <si>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</si>
  <si>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</si>
  <si>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</si>
  <si>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</si>
  <si>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</si>
  <si>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</si>
  <si>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</si>
  <si>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</si>
  <si>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</si>
  <si>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</si>
  <si>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</si>
  <si>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</si>
  <si>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</si>
  <si>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</si>
  <si>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</si>
  <si>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</si>
  <si>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</si>
  <si>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</si>
  <si>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</si>
  <si>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</si>
  <si>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</si>
  <si>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</si>
  <si>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</si>
  <si>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</si>
  <si>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</si>
  <si>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</si>
  <si>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</si>
  <si>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</si>
  <si>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</si>
  <si>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</si>
  <si>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</si>
  <si>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</si>
  <si>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</si>
  <si>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</si>
  <si>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</si>
  <si>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</si>
  <si>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</si>
  <si>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</si>
  <si>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</si>
  <si>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</si>
  <si>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</si>
  <si>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</si>
  <si>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</si>
  <si>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</si>
  <si>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</si>
  <si>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</si>
  <si>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</si>
  <si>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</si>
  <si>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</si>
  <si>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</si>
  <si>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</si>
  <si>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</si>
  <si>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</si>
  <si>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</si>
  <si>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</si>
  <si>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</si>
  <si>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ID.</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</si>
  <si>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</si>
  <si>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</si>
  <si>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</si>
  <si>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</si>
  <si>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</si>
  <si>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</si>
  <si>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</si>
  <si>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</si>
  <si>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</si>
  <si>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</si>
  <si>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</si>
  <si>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</si>
  <si>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</si>
  <si>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</si>
  <si>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</si>
  <si>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</si>
  <si>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</si>
  <si>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</si>
  <si>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</si>
  <si>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</si>
  <si>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</si>
  <si>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</si>
  <si>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</si>
  <si>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</si>
  <si>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</si>
  <si>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</si>
  <si>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</si>
  <si>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</si>
  <si>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</si>
  <si>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</si>
  <si>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</si>
  <si>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</si>
  <si>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</si>
  <si>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</si>
  <si>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</si>
  <si>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</si>
  <si>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</si>
  <si>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</si>
  <si>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</si>
  <si>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</si>
  <si>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</si>
  <si>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</si>
  <si>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</si>
  <si>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</si>
  <si>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</si>
  <si>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</si>
  <si>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</si>
  <si>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</si>
  <si>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</si>
  <si>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</si>
  <si>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</si>
  <si>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</si>
  <si>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</si>
  <si>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</si>
  <si>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</si>
  <si>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</si>
  <si>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</si>
  <si>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</si>
  <si>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</si>
  <si>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</si>
  <si>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</si>
  <si>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</si>
  <si>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</si>
  <si>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</si>
  <si>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</si>
  <si>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</si>
  <si>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</si>
  <si>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</si>
  <si>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</si>
  <si>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</si>
  <si>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</si>
  <si>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</si>
  <si>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</si>
  <si>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</si>
  <si>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</si>
  <si>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</si>
  <si>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</si>
  <si>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</si>
  <si>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</si>
  <si>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</si>
  <si>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</si>
  <si>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</si>
  <si>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</si>
  <si>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</si>
  <si>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</si>
  <si>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</si>
  <si>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</si>
  <si>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</si>
  <si>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</si>
  <si>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</si>
  <si>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</si>
  <si>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</si>
  <si>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</si>
  <si>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</si>
  <si>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</si>
  <si>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</si>
  <si>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</si>
  <si>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</si>
  <si>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</si>
  <si>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</si>
  <si>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</si>
  <si>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</si>
  <si>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</si>
  <si>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</si>
  <si>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</si>
  <si>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</si>
  <si>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</si>
  <si>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</si>
  <si>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</si>
  <si>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</si>
  <si>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</si>
  <si>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</si>
  <si>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</si>
  <si>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</si>
  <si>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</si>
  <si>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</si>
  <si>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</si>
  <si>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</si>
  <si>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</si>
  <si>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</si>
  <si>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</si>
  <si>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</si>
  <si>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</si>
  <si>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</si>
  <si>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</si>
  <si>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</si>
  <si>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</si>
  <si>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</si>
  <si>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</si>
  <si>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</si>
  <si>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</si>
  <si>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</si>
  <si>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</si>
  <si>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</si>
  <si>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</si>
  <si>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</si>
  <si>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</si>
  <si>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</si>
  <si>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</si>
  <si>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</si>
  <si>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</si>
  <si>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</si>
  <si>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</si>
  <si>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</si>
  <si>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</si>
  <si>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</si>
  <si>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</si>
  <si>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</si>
  <si>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</si>
  <si>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</si>
  <si>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</si>
  <si>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</si>
  <si>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E304550 -&gt; 489</t>
  </si>
  <si>
    <t>Fort St John 85 Avenue</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</si>
  <si>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</si>
  <si>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</si>
  <si>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</si>
  <si>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</si>
  <si>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</si>
  <si>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</si>
  <si>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</si>
  <si>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</si>
  <si>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</si>
  <si>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</si>
  <si>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</si>
  <si>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</si>
  <si>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</si>
  <si>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</si>
  <si>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</si>
  <si>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</si>
  <si>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</si>
  <si>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</si>
  <si>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</si>
  <si>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</si>
  <si>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</si>
  <si>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</si>
  <si>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</si>
  <si>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</si>
  <si>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</si>
  <si>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</si>
  <si>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</si>
  <si>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</si>
  <si>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</si>
  <si>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</si>
  <si>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</si>
  <si>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</si>
  <si>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</si>
  <si>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</si>
  <si>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</si>
  <si>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</si>
  <si>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</si>
  <si>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</si>
  <si>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</si>
  <si>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</si>
  <si>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</si>
  <si>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</si>
  <si>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</si>
  <si>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</si>
  <si>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</si>
  <si>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</si>
  <si>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</si>
  <si>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</si>
  <si>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</si>
  <si>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</si>
  <si>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</si>
  <si>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</si>
  <si>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</si>
  <si>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</si>
  <si>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</si>
  <si>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</si>
  <si>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</si>
  <si>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</si>
  <si>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</si>
  <si>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</si>
  <si>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BC-Air -&gt; BC Hydro Site C</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</si>
  <si>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</si>
  <si>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</si>
  <si>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</si>
  <si>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</si>
  <si>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</si>
  <si>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</si>
  <si>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</si>
  <si>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</si>
  <si>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</si>
  <si>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</si>
  <si>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</si>
  <si>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</si>
  <si>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</si>
  <si>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</si>
  <si>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</si>
  <si>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</si>
  <si>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</si>
  <si>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</si>
  <si>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 xml:space="preserve">ID, </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</si>
  <si>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</si>
  <si>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</si>
  <si>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</si>
  <si>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</si>
  <si>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</si>
  <si>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</si>
  <si>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</si>
  <si>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</si>
  <si>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</si>
  <si>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</si>
  <si>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</si>
  <si>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</si>
  <si>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</si>
  <si>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</si>
  <si>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</si>
  <si>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</si>
  <si>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</si>
  <si>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</si>
  <si>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</si>
  <si>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</si>
  <si>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</si>
  <si>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</si>
  <si>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</si>
  <si>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</si>
  <si>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</si>
  <si>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</si>
  <si>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</si>
  <si>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</si>
  <si>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</si>
  <si>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</si>
  <si>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E216670 -&gt; 279</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</si>
  <si>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</si>
  <si>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</si>
  <si>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</si>
  <si>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</si>
  <si>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</si>
  <si>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</si>
  <si>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</si>
  <si>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</si>
  <si>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</si>
  <si>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</si>
  <si>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</si>
  <si>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</si>
  <si>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</si>
  <si>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</si>
  <si>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</si>
  <si>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</si>
  <si>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</si>
  <si>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</si>
  <si>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</si>
  <si>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</si>
  <si>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</si>
  <si>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</si>
  <si>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</si>
  <si>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</si>
  <si>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</si>
  <si>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</si>
  <si>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</si>
  <si>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</si>
  <si>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</si>
  <si>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</si>
  <si>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</si>
  <si>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</si>
  <si>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</si>
  <si>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</si>
  <si>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</si>
  <si>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</si>
  <si>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</si>
  <si>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</si>
  <si>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</si>
  <si>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</si>
  <si>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</si>
  <si>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</si>
  <si>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</si>
  <si>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</si>
  <si>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</si>
  <si>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</si>
  <si>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</si>
  <si>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</si>
  <si>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</si>
  <si>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</si>
  <si>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ID, Locaiton</t>
  </si>
  <si>
    <t>E237431 -&gt; 344</t>
  </si>
  <si>
    <t>Merritt Granite-Garcia Mobile</t>
  </si>
  <si>
    <t>120.7888889 W, 50.11277778 N, Elev. 500 m -&gt; 121.7889 Wm 50.1128 N, Elev. 500 m</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</si>
  <si>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</si>
  <si>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</si>
  <si>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</si>
  <si>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</si>
  <si>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</si>
  <si>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</si>
  <si>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</si>
  <si>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</si>
  <si>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</si>
  <si>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</si>
  <si>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</si>
  <si>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</si>
  <si>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</si>
  <si>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</si>
  <si>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</si>
  <si>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</si>
  <si>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</si>
  <si>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</si>
  <si>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</si>
  <si>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</si>
  <si>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</si>
  <si>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</si>
  <si>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</si>
  <si>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</si>
  <si>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</si>
  <si>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</si>
  <si>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</si>
  <si>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</si>
  <si>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</si>
  <si>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</si>
  <si>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</si>
  <si>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</si>
  <si>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</si>
  <si>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</si>
  <si>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</si>
  <si>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</si>
  <si>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</si>
  <si>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</si>
  <si>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</si>
  <si>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</si>
  <si>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</si>
  <si>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</si>
  <si>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</si>
  <si>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</si>
  <si>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</si>
  <si>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</si>
  <si>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</si>
  <si>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</si>
  <si>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</si>
  <si>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</si>
  <si>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</si>
  <si>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</si>
  <si>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</si>
  <si>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</si>
  <si>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</si>
  <si>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</si>
  <si>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</si>
  <si>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</si>
  <si>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</si>
  <si>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</si>
  <si>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Burnaby Kensington Park - T004</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</si>
  <si>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</si>
  <si>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</si>
  <si>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</si>
  <si>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</si>
  <si>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</si>
  <si>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</si>
  <si>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</si>
  <si>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</si>
  <si>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</si>
  <si>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</si>
  <si>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</si>
  <si>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</si>
  <si>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</si>
  <si>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</si>
  <si>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</si>
  <si>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</si>
  <si>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</si>
  <si>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</si>
  <si>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</si>
  <si>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</si>
  <si>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</si>
  <si>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</si>
  <si>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 xml:space="preserve">NA </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</si>
  <si>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</si>
  <si>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</si>
  <si>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</si>
  <si>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</si>
  <si>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</si>
  <si>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</si>
  <si>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</si>
  <si>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</si>
  <si>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</si>
  <si>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</si>
  <si>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</si>
  <si>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</si>
  <si>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</si>
  <si>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</si>
  <si>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</si>
  <si>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</si>
  <si>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</si>
  <si>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</si>
  <si>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</si>
  <si>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</si>
  <si>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</si>
  <si>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</si>
  <si>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</si>
  <si>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</si>
  <si>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</si>
  <si>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</si>
  <si>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</si>
  <si>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</si>
  <si>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</si>
  <si>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</si>
  <si>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</si>
  <si>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</si>
  <si>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</si>
  <si>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</si>
  <si>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</si>
  <si>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</si>
  <si>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</si>
  <si>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</si>
  <si>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</si>
  <si>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</si>
  <si>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Fort St John North Camp C  -?&gt; 517</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</si>
  <si>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</si>
  <si>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</si>
  <si>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</si>
  <si>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</si>
  <si>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</si>
  <si>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</si>
  <si>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</si>
  <si>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</si>
  <si>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</si>
  <si>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</si>
  <si>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</si>
  <si>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</si>
  <si>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</si>
  <si>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</si>
  <si>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</si>
  <si>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</si>
  <si>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</si>
  <si>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</si>
  <si>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</si>
  <si>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</si>
  <si>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</si>
  <si>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</si>
  <si>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</si>
  <si>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</si>
  <si>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</si>
  <si>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</si>
  <si>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</si>
  <si>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</si>
  <si>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</si>
  <si>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Peace Valley Attachie Flat Upper Terrace -&gt; 540</t>
  </si>
  <si>
    <t>NA -&gt; Peace Valley Attachie Flat Upper Terrace</t>
  </si>
  <si>
    <t>121.41944 W, 56.231213 N, Elev. null m</t>
  </si>
  <si>
    <t>PG Marsulex -?&gt; 210</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</si>
  <si>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</si>
  <si>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</si>
  <si>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</si>
  <si>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</si>
  <si>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</si>
  <si>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</si>
  <si>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</si>
  <si>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</si>
  <si>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</si>
  <si>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</si>
  <si>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</si>
  <si>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</si>
  <si>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Powell River James Thomson School -?&gt; E271963</t>
  </si>
  <si>
    <t>NA -&gt; Powell River James Thomson School</t>
  </si>
  <si>
    <t>124.5624 W, 49.889299 N, Elev. null m</t>
  </si>
  <si>
    <t>Powell River Pacifica -&gt; E238705</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</si>
  <si>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</si>
  <si>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</si>
  <si>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</si>
  <si>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</si>
  <si>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</si>
  <si>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</si>
  <si>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</si>
  <si>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</si>
  <si>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</si>
  <si>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</si>
  <si>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</si>
  <si>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</si>
  <si>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</si>
  <si>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</si>
  <si>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</si>
  <si>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</si>
  <si>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</si>
  <si>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</si>
  <si>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</si>
  <si>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</si>
  <si>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</si>
  <si>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</si>
  <si>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</si>
  <si>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</si>
  <si>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</si>
  <si>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</si>
  <si>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</si>
  <si>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</si>
  <si>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</si>
  <si>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</si>
  <si>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</si>
  <si>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</si>
  <si>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</si>
  <si>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</si>
  <si>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</si>
  <si>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</si>
  <si>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</si>
  <si>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</si>
  <si>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</si>
  <si>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</si>
  <si>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</si>
  <si>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</si>
  <si>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</si>
  <si>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</si>
  <si>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</si>
  <si>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</si>
  <si>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</si>
  <si>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</si>
  <si>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</si>
  <si>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</si>
  <si>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</si>
  <si>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</si>
  <si>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</si>
  <si>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</si>
  <si>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</si>
  <si>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</si>
  <si>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</si>
  <si>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</si>
  <si>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</si>
  <si>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</si>
  <si>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</si>
  <si>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</si>
  <si>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</si>
  <si>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</si>
  <si>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</si>
  <si>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</si>
  <si>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</si>
  <si>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</si>
  <si>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</si>
  <si>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</si>
  <si>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</si>
  <si>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</si>
  <si>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</si>
  <si>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</si>
  <si>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</si>
  <si>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</si>
  <si>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</si>
  <si>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</si>
  <si>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</si>
  <si>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</si>
  <si>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</si>
  <si>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</si>
  <si>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</si>
  <si>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</si>
  <si>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</si>
  <si>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</si>
  <si>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</si>
  <si>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</si>
  <si>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</si>
  <si>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</si>
  <si>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</si>
  <si>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E209177 - &gt; T026</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</si>
  <si>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</si>
  <si>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</si>
  <si>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</si>
  <si>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</si>
  <si>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</si>
  <si>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</si>
  <si>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</si>
  <si>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</si>
  <si>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</si>
  <si>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</si>
  <si>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</si>
  <si>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</si>
  <si>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</si>
  <si>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</si>
  <si>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E304453 -&gt; 540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</si>
  <si>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</si>
  <si>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</si>
  <si>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</si>
  <si>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</si>
  <si>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</si>
  <si>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</si>
  <si>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</si>
  <si>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</si>
  <si>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</si>
  <si>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</si>
  <si>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</si>
  <si>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</si>
  <si>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</si>
  <si>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</si>
  <si>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</si>
  <si>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</si>
  <si>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</si>
  <si>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</si>
  <si>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</si>
  <si>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</si>
  <si>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</si>
  <si>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</si>
  <si>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</si>
  <si>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</si>
  <si>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</si>
  <si>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</si>
  <si>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</si>
  <si>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</si>
  <si>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</si>
  <si>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</si>
  <si>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</si>
  <si>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</si>
  <si>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</si>
  <si>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</si>
  <si>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</si>
  <si>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</si>
  <si>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</si>
  <si>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</si>
  <si>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</si>
  <si>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</si>
  <si>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</si>
  <si>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</si>
  <si>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</si>
  <si>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</si>
  <si>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</si>
  <si>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</si>
  <si>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</si>
  <si>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</si>
  <si>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</si>
  <si>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</si>
  <si>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</si>
  <si>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</si>
  <si>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</si>
  <si>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</si>
  <si>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</si>
  <si>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</si>
  <si>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</si>
  <si>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</si>
  <si>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</si>
  <si>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</si>
  <si>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</si>
  <si>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</si>
  <si>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</si>
  <si>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</si>
  <si>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</si>
  <si>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</si>
  <si>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</si>
  <si>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</si>
  <si>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</si>
  <si>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</si>
  <si>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</si>
  <si>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</si>
  <si>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</si>
  <si>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</si>
  <si>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</si>
  <si>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</si>
  <si>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</si>
  <si>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</si>
  <si>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</si>
  <si>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</si>
  <si>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ID Location</t>
  </si>
  <si>
    <t>E278829 -&gt; 233</t>
  </si>
  <si>
    <t>Prince George Marsulex Met</t>
  </si>
  <si>
    <t>122.6672222 W, 53.845 N, Elev. 535 m -&gt; 122.6908 N, 53.9675 W, Elev. 577 m</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</si>
  <si>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</si>
  <si>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</si>
  <si>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</si>
  <si>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</si>
  <si>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</si>
  <si>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</si>
  <si>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</si>
  <si>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</si>
  <si>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</si>
  <si>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</si>
  <si>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</si>
  <si>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</si>
  <si>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</si>
  <si>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</si>
  <si>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</si>
  <si>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</si>
  <si>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</si>
  <si>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</si>
  <si>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</si>
  <si>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</si>
  <si>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</si>
  <si>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</si>
  <si>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</si>
  <si>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</si>
  <si>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</si>
  <si>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</si>
  <si>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</si>
  <si>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</si>
  <si>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</si>
  <si>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</si>
  <si>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</si>
  <si>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</si>
  <si>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</si>
  <si>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</si>
  <si>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</si>
  <si>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</si>
  <si>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</si>
  <si>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</si>
  <si>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</si>
  <si>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</si>
  <si>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</si>
  <si>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</si>
  <si>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</si>
  <si>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</si>
  <si>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</si>
  <si>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</si>
  <si>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</si>
  <si>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</si>
  <si>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</si>
  <si>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</si>
  <si>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</si>
  <si>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</si>
  <si>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</si>
  <si>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</si>
  <si>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</si>
  <si>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</si>
  <si>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</si>
  <si>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</si>
  <si>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</si>
  <si>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</si>
  <si>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</si>
  <si>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</si>
  <si>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</si>
  <si>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</si>
  <si>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</si>
  <si>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</si>
  <si>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</si>
  <si>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</si>
  <si>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</si>
  <si>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</si>
  <si>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</si>
  <si>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</si>
  <si>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</si>
  <si>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</si>
  <si>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</si>
  <si>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</si>
  <si>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</si>
  <si>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</si>
  <si>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</si>
  <si>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</si>
  <si>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</si>
  <si>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</si>
  <si>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</si>
  <si>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</si>
  <si>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</si>
  <si>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</si>
  <si>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</si>
  <si>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</si>
  <si>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</si>
  <si>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</si>
  <si>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</si>
  <si>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</si>
  <si>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</si>
  <si>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</si>
  <si>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</si>
  <si>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</si>
  <si>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</si>
  <si>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E309527 -&gt; 517</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</si>
  <si>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</si>
  <si>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</si>
  <si>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</si>
  <si>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</si>
  <si>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</si>
  <si>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</si>
  <si>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ID, Name, Locaiton</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</si>
  <si>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</si>
  <si>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</si>
  <si>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</si>
  <si>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</si>
  <si>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</si>
  <si>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</si>
  <si>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</si>
  <si>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</si>
  <si>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</si>
  <si>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</si>
  <si>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</si>
  <si>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</si>
  <si>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</si>
  <si>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</si>
  <si>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</si>
  <si>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</si>
  <si>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</si>
  <si>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</si>
  <si>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</si>
  <si>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</si>
  <si>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</si>
  <si>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</si>
  <si>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</si>
  <si>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</si>
  <si>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</si>
  <si>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</si>
  <si>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</si>
  <si>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</si>
  <si>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</si>
  <si>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</si>
  <si>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</si>
  <si>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</si>
  <si>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</si>
  <si>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</si>
  <si>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</si>
  <si>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</si>
  <si>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</si>
  <si>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</si>
  <si>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</si>
  <si>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</si>
  <si>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</si>
  <si>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</si>
  <si>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</si>
  <si>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</si>
  <si>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</si>
  <si>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</si>
  <si>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</si>
  <si>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</si>
  <si>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</si>
  <si>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</si>
  <si>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</si>
  <si>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</si>
  <si>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</si>
  <si>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</si>
  <si>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</si>
  <si>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</si>
  <si>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CLOSED - Possibly Trail Butler park pre 2010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</si>
  <si>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</si>
  <si>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</si>
  <si>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</si>
  <si>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</si>
  <si>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</si>
  <si>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</si>
  <si>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</si>
  <si>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</si>
  <si>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</si>
  <si>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</si>
  <si>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</si>
  <si>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</si>
  <si>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</si>
  <si>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</si>
  <si>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</si>
  <si>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</si>
  <si>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</si>
  <si>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</si>
  <si>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</si>
  <si>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</si>
  <si>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</si>
  <si>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</si>
  <si>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</si>
  <si>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</si>
  <si>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</si>
  <si>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</si>
  <si>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</si>
  <si>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</si>
  <si>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</si>
  <si>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</si>
  <si>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</si>
  <si>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</si>
  <si>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</si>
  <si>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</si>
  <si>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</si>
  <si>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</si>
  <si>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</si>
  <si>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</si>
  <si>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</si>
  <si>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</si>
  <si>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</si>
  <si>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</si>
  <si>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</si>
  <si>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</si>
  <si>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</si>
  <si>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</si>
  <si>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</si>
  <si>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</si>
  <si>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</si>
  <si>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</si>
  <si>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</si>
  <si>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</si>
  <si>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</si>
  <si>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</si>
  <si>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</si>
  <si>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</si>
  <si>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</si>
  <si>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</si>
  <si>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</si>
  <si>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</si>
  <si>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</si>
  <si>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</si>
  <si>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</si>
  <si>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</si>
  <si>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</si>
  <si>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</si>
  <si>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MVRD</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</si>
  <si>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</si>
  <si>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</si>
  <si>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</si>
  <si>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</si>
  <si>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</si>
  <si>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</si>
  <si>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</si>
  <si>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</si>
  <si>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</si>
  <si>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</si>
  <si>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</si>
  <si>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</si>
  <si>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</si>
  <si>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</si>
  <si>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</si>
  <si>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</si>
  <si>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</si>
  <si>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</si>
  <si>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</si>
  <si>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</si>
  <si>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</si>
  <si>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</si>
  <si>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</si>
  <si>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</si>
  <si>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</si>
  <si>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</si>
  <si>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</si>
  <si>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</si>
  <si>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</si>
  <si>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</si>
  <si>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</si>
  <si>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</si>
  <si>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</si>
  <si>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</si>
  <si>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</si>
  <si>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</si>
  <si>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</si>
  <si>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</si>
  <si>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</si>
  <si>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</si>
  <si>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</si>
  <si>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</si>
  <si>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</si>
  <si>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</si>
  <si>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</si>
  <si>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</si>
  <si>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</si>
  <si>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0 W, null N, Elev. null m -&gt; 121.579883 W. 49.23275 N, Elev. 1480 m</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</si>
  <si>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</si>
  <si>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</si>
  <si>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</si>
  <si>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</si>
  <si>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</si>
  <si>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</si>
  <si>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</si>
  <si>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</si>
  <si>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</si>
  <si>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</si>
  <si>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</si>
  <si>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</si>
  <si>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</si>
  <si>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</si>
  <si>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</si>
  <si>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</si>
  <si>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</si>
  <si>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</si>
  <si>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</si>
  <si>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</si>
  <si>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</si>
  <si>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</si>
  <si>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</si>
  <si>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</si>
  <si>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</si>
  <si>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</si>
  <si>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</si>
  <si>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</si>
  <si>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</si>
  <si>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</si>
  <si>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</si>
  <si>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</si>
  <si>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</si>
  <si>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</si>
  <si>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</si>
  <si>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</si>
  <si>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</si>
  <si>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</si>
  <si>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</si>
  <si>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</si>
  <si>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</si>
  <si>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</si>
  <si>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118.3492167 W, 50.06601667 N, Elev. 1620 m -&gt; 118.351122 W, 50.0685528 W, Elev. 1620 m</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</si>
  <si>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</si>
  <si>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</si>
  <si>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</si>
  <si>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</si>
  <si>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</si>
  <si>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</si>
  <si>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</si>
  <si>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</si>
  <si>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</si>
  <si>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</si>
  <si>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</si>
  <si>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</si>
  <si>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</si>
  <si>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</si>
  <si>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</si>
  <si>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</si>
  <si>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</si>
  <si>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</si>
  <si>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</si>
  <si>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</si>
  <si>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</si>
  <si>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</si>
  <si>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</si>
  <si>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</si>
  <si>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</si>
  <si>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</si>
  <si>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</si>
  <si>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</si>
  <si>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</si>
  <si>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</si>
  <si>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</si>
  <si>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</si>
  <si>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</si>
  <si>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</si>
  <si>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</si>
  <si>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</si>
  <si>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</si>
  <si>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</si>
  <si>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</si>
  <si>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</si>
  <si>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</si>
  <si>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</si>
  <si>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</si>
  <si>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</si>
  <si>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</si>
  <si>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</si>
  <si>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</si>
  <si>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</si>
  <si>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</si>
  <si>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</si>
  <si>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</si>
  <si>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</si>
  <si>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</si>
  <si>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</si>
  <si>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</si>
  <si>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</si>
  <si>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</si>
  <si>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</si>
  <si>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</si>
  <si>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</si>
  <si>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</si>
  <si>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</si>
  <si>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</si>
  <si>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</si>
  <si>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</si>
  <si>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</si>
  <si>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</si>
  <si>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</si>
  <si>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</si>
  <si>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</si>
  <si>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</si>
  <si>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</si>
  <si>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</si>
  <si>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</si>
  <si>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</si>
  <si>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</si>
  <si>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</si>
  <si>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</si>
  <si>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</si>
  <si>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</si>
  <si>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</si>
  <si>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</si>
  <si>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</si>
  <si>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</si>
  <si>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</si>
  <si>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</si>
  <si>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</si>
  <si>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</si>
  <si>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</si>
  <si>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</si>
  <si>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</si>
  <si>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</si>
  <si>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</si>
  <si>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</si>
  <si>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</si>
  <si>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</si>
  <si>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</si>
  <si>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</si>
  <si>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</si>
  <si>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</si>
  <si>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</si>
  <si>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</si>
  <si>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</si>
  <si>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</si>
  <si>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</si>
  <si>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</si>
  <si>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</si>
  <si>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</si>
  <si>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</si>
  <si>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</si>
  <si>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</si>
  <si>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</si>
  <si>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</si>
  <si>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</si>
  <si>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</si>
  <si>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</si>
  <si>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</si>
  <si>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</si>
  <si>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</si>
  <si>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</si>
  <si>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</si>
  <si>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</si>
  <si>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</si>
  <si>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</si>
  <si>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</si>
  <si>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</si>
  <si>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</si>
  <si>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</si>
  <si>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</si>
  <si>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</si>
  <si>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</si>
  <si>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</si>
  <si>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</si>
  <si>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</si>
  <si>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</si>
  <si>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</si>
  <si>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</si>
  <si>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</si>
  <si>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</si>
  <si>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</si>
  <si>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</si>
  <si>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</si>
  <si>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</si>
  <si>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</si>
  <si>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</si>
  <si>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</si>
  <si>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</si>
  <si>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</si>
  <si>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</si>
  <si>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</si>
  <si>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116.972 W, 50.2388 N, Elev. 559 m -&gt; 116.971343 W, 50.2387 N, Elev/ 559 m</t>
  </si>
  <si>
    <t xml:space="preserve">Name, ID, </t>
  </si>
  <si>
    <t>DBC -&gt; DBC2?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</si>
  <si>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</si>
  <si>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</si>
  <si>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</si>
  <si>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</si>
  <si>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</si>
  <si>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</si>
  <si>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</si>
  <si>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</si>
  <si>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</si>
  <si>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</si>
  <si>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</si>
  <si>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</si>
  <si>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</si>
  <si>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</si>
  <si>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</si>
  <si>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</si>
  <si>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</si>
  <si>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Name, Location?</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</si>
  <si>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</si>
  <si>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</si>
  <si>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</si>
  <si>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</si>
  <si>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</si>
  <si>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</si>
  <si>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</si>
  <si>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</si>
  <si>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</si>
  <si>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</si>
  <si>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</si>
  <si>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</si>
  <si>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</si>
  <si>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</si>
  <si>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</si>
  <si>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</si>
  <si>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</si>
  <si>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</si>
  <si>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</si>
  <si>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</si>
  <si>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</si>
  <si>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</si>
  <si>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</si>
  <si>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</si>
  <si>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</si>
  <si>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</si>
  <si>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</si>
  <si>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</si>
  <si>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</si>
  <si>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</si>
  <si>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</si>
  <si>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</si>
  <si>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</si>
  <si>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</si>
  <si>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</si>
  <si>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</si>
  <si>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</si>
  <si>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</si>
  <si>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</si>
  <si>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</si>
  <si>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</si>
  <si>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</si>
  <si>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</si>
  <si>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</si>
  <si>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</si>
  <si>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</si>
  <si>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</si>
  <si>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</si>
  <si>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</si>
  <si>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</si>
  <si>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</si>
  <si>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</si>
  <si>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</si>
  <si>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</si>
  <si>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</si>
  <si>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</si>
  <si>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</si>
  <si>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</si>
  <si>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</si>
  <si>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</si>
  <si>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</si>
  <si>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</si>
  <si>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</si>
  <si>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</si>
  <si>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</si>
  <si>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</si>
  <si>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</si>
  <si>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</si>
  <si>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</si>
  <si>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</si>
  <si>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</si>
  <si>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</si>
  <si>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Goldstream R. blw Old Camp Ck - Goldstream River Below Old Camp Creek</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</si>
  <si>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</si>
  <si>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</si>
  <si>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</si>
  <si>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</si>
  <si>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</si>
  <si>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</si>
  <si>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</si>
  <si>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</si>
  <si>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</si>
  <si>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</si>
  <si>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</si>
  <si>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</si>
  <si>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</si>
  <si>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</si>
  <si>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</si>
  <si>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</si>
  <si>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</si>
  <si>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</si>
  <si>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</si>
  <si>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</si>
  <si>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</si>
  <si>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</si>
  <si>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</si>
  <si>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</si>
  <si>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</si>
  <si>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</si>
  <si>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</si>
  <si>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</si>
  <si>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</si>
  <si>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</si>
  <si>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</si>
  <si>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</si>
  <si>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</si>
  <si>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</si>
  <si>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</si>
  <si>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</si>
  <si>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</si>
  <si>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</si>
  <si>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</si>
  <si>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</si>
  <si>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</si>
  <si>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</si>
  <si>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</si>
  <si>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</si>
  <si>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</si>
  <si>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</si>
  <si>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</si>
  <si>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</si>
  <si>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</si>
  <si>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</si>
  <si>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</si>
  <si>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</si>
  <si>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</si>
  <si>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</si>
  <si>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</si>
  <si>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</si>
  <si>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</si>
  <si>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</si>
  <si>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</si>
  <si>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</si>
  <si>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</si>
  <si>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</si>
  <si>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</si>
  <si>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</si>
  <si>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</si>
  <si>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</si>
  <si>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</si>
  <si>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</si>
  <si>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</si>
  <si>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</si>
  <si>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</si>
  <si>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</si>
  <si>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</si>
  <si>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</si>
  <si>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</si>
  <si>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</si>
  <si>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</si>
  <si>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</si>
  <si>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</si>
  <si>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</si>
  <si>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</si>
  <si>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</si>
  <si>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</si>
  <si>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</si>
  <si>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</si>
  <si>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</si>
  <si>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</si>
  <si>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</si>
  <si>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</si>
  <si>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</si>
  <si>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</si>
  <si>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</si>
  <si>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</si>
  <si>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</si>
  <si>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</si>
  <si>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</si>
  <si>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</si>
  <si>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</si>
  <si>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</si>
  <si>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</si>
  <si>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</si>
  <si>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</si>
  <si>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</si>
  <si>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</si>
  <si>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</si>
  <si>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</si>
  <si>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</si>
  <si>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</si>
  <si>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121.3469444 W, 56.09305556 N, Elev. 600 m -&gt; 121.3471528 W, 56.09306667 W, Elev. 600 m</t>
  </si>
  <si>
    <t>1982-05-26 to 2025-07-15</t>
  </si>
  <si>
    <t>Moberly River near Fort St. John</t>
  </si>
  <si>
    <t>MOL</t>
  </si>
  <si>
    <t>Molson Ck -&gt; Molson Creek</t>
  </si>
  <si>
    <t>118.22575 W, 52.22165 N, Elev. 1935 m -&gt; 118.2258333 W, 52.220555556 N. Elev. 1935 m</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</si>
  <si>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</si>
  <si>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</si>
  <si>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</si>
  <si>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</si>
  <si>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</si>
  <si>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</si>
  <si>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</si>
  <si>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</si>
  <si>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</si>
  <si>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</si>
  <si>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</si>
  <si>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</si>
  <si>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</si>
  <si>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</si>
  <si>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</si>
  <si>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</si>
  <si>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</si>
  <si>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</si>
  <si>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</si>
  <si>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</si>
  <si>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</si>
  <si>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</si>
  <si>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</si>
  <si>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</si>
  <si>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</si>
  <si>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</si>
  <si>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</si>
  <si>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</si>
  <si>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</si>
  <si>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</si>
  <si>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</si>
  <si>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122.7939167 W, 51.14752778 N, Elev. 1969 m -&gt; 122.7855833 W, 51.14752778 N. Elev. 1969 m</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</si>
  <si>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</si>
  <si>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</si>
  <si>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</si>
  <si>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</si>
  <si>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</si>
  <si>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</si>
  <si>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</si>
  <si>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</si>
  <si>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</si>
  <si>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</si>
  <si>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</si>
  <si>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</si>
  <si>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</si>
  <si>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</si>
  <si>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</si>
  <si>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</si>
  <si>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</si>
  <si>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</si>
  <si>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</si>
  <si>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</si>
  <si>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</si>
  <si>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</si>
  <si>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</si>
  <si>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</si>
  <si>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</si>
  <si>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</si>
  <si>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</si>
  <si>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</si>
  <si>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</si>
  <si>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</si>
  <si>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</si>
  <si>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</si>
  <si>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</si>
  <si>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</si>
  <si>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</si>
  <si>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</si>
  <si>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</si>
  <si>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</si>
  <si>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</si>
  <si>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</si>
  <si>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</si>
  <si>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</si>
  <si>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name</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</si>
  <si>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</si>
  <si>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</si>
  <si>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</si>
  <si>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</si>
  <si>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</si>
  <si>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</si>
  <si>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</si>
  <si>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</si>
  <si>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</si>
  <si>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</si>
  <si>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</si>
  <si>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</si>
  <si>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</si>
  <si>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</si>
  <si>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</si>
  <si>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</si>
  <si>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</si>
  <si>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</si>
  <si>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</si>
  <si>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</si>
  <si>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</si>
  <si>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</si>
  <si>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</si>
  <si>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</si>
  <si>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</si>
  <si>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</si>
  <si>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</si>
  <si>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</si>
  <si>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</si>
  <si>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</si>
  <si>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</si>
  <si>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</si>
  <si>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</si>
  <si>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</si>
  <si>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</si>
  <si>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</si>
  <si>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</si>
  <si>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Salmon R. ab the Diversion 0&gt; Salmon River above the Diversion</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</si>
  <si>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</si>
  <si>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</si>
  <si>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</si>
  <si>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</si>
  <si>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</si>
  <si>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</si>
  <si>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</si>
  <si>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</si>
  <si>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</si>
  <si>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</si>
  <si>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</si>
  <si>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</si>
  <si>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</si>
  <si>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</si>
  <si>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</si>
  <si>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</si>
  <si>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</si>
  <si>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</si>
  <si>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</si>
  <si>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</si>
  <si>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</si>
  <si>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</si>
  <si>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</si>
  <si>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</si>
  <si>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</si>
  <si>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</si>
  <si>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</si>
  <si>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</si>
  <si>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</si>
  <si>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</si>
  <si>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</si>
  <si>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</si>
  <si>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</si>
  <si>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</si>
  <si>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</si>
  <si>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</si>
  <si>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</si>
  <si>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</si>
  <si>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</si>
  <si>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</si>
  <si>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</si>
  <si>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</si>
  <si>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</si>
  <si>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</si>
  <si>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</si>
  <si>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</si>
  <si>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</si>
  <si>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</si>
  <si>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</si>
  <si>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</si>
  <si>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</si>
  <si>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</si>
  <si>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</si>
  <si>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</si>
  <si>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</si>
  <si>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</si>
  <si>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</si>
  <si>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</si>
  <si>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</si>
  <si>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</si>
  <si>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</si>
  <si>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</si>
  <si>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</si>
  <si>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</si>
  <si>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</si>
  <si>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</si>
  <si>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</si>
  <si>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</si>
  <si>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</si>
  <si>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</si>
  <si>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</si>
  <si>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</si>
  <si>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</si>
  <si>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</si>
  <si>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</si>
  <si>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</si>
  <si>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</si>
  <si>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</si>
  <si>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</si>
  <si>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</si>
  <si>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</si>
  <si>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</si>
  <si>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</si>
  <si>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</si>
  <si>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</si>
  <si>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</si>
  <si>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</si>
  <si>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</si>
  <si>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</si>
  <si>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125.7416667 W, 49.68055556 N, Elev. 1490 m -&gt; 125.67925 W, 49.7041389 W, Elev. 1490 m</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</si>
  <si>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</si>
  <si>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</si>
  <si>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</si>
  <si>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</si>
  <si>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</si>
  <si>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</si>
  <si>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</si>
  <si>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</si>
  <si>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</si>
  <si>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</si>
  <si>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</si>
  <si>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</si>
  <si>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</si>
  <si>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</si>
  <si>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</si>
  <si>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</si>
  <si>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</si>
  <si>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</si>
  <si>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</si>
  <si>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</si>
  <si>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</si>
  <si>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</si>
  <si>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</si>
  <si>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</si>
  <si>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</si>
  <si>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</si>
  <si>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</si>
  <si>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</si>
  <si>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</si>
  <si>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</si>
  <si>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</si>
  <si>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</si>
  <si>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</si>
  <si>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</si>
  <si>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</si>
  <si>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</si>
  <si>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</si>
  <si>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</si>
  <si>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</si>
  <si>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</si>
  <si>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</si>
  <si>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</si>
  <si>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</si>
  <si>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</si>
  <si>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</si>
  <si>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</si>
  <si>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</si>
  <si>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</si>
  <si>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</si>
  <si>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</si>
  <si>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</si>
  <si>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</si>
  <si>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</si>
  <si>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</si>
  <si>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</si>
  <si>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</si>
  <si>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</si>
  <si>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</si>
  <si>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</si>
  <si>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</si>
  <si>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</si>
  <si>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</si>
  <si>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</si>
  <si>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</si>
  <si>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</si>
  <si>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</si>
  <si>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</si>
  <si>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</si>
  <si>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</si>
  <si>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</si>
  <si>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</si>
  <si>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</si>
  <si>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</si>
  <si>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</si>
  <si>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</si>
  <si>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</si>
  <si>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</si>
  <si>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</si>
  <si>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</si>
  <si>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</si>
  <si>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</si>
  <si>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</si>
  <si>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</si>
  <si>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</si>
  <si>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</si>
  <si>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</si>
  <si>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</si>
  <si>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</si>
  <si>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</si>
  <si>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</si>
  <si>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</si>
  <si>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</si>
  <si>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</si>
  <si>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</si>
  <si>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</si>
  <si>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</si>
  <si>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</si>
  <si>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</si>
  <si>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</si>
  <si>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</si>
  <si>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</si>
  <si>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</si>
  <si>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</si>
  <si>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</si>
  <si>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</si>
  <si>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</si>
  <si>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</si>
  <si>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</si>
  <si>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</si>
  <si>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</si>
  <si>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</si>
  <si>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</si>
  <si>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</si>
  <si>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</si>
  <si>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</si>
  <si>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</si>
  <si>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</si>
  <si>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</si>
  <si>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</si>
  <si>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</si>
  <si>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</si>
  <si>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</si>
  <si>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</si>
  <si>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</si>
  <si>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</si>
  <si>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</si>
  <si>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</si>
  <si>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</si>
  <si>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</si>
  <si>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</si>
  <si>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</si>
  <si>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</si>
  <si>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</si>
  <si>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</si>
  <si>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</si>
  <si>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</si>
  <si>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</si>
  <si>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</si>
  <si>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</si>
  <si>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</si>
  <si>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</si>
  <si>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</si>
  <si>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</si>
  <si>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</si>
  <si>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</si>
  <si>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</si>
  <si>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</si>
  <si>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</si>
  <si>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</si>
  <si>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</si>
  <si>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</si>
  <si>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</si>
  <si>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</si>
  <si>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</si>
  <si>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</si>
  <si>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</si>
  <si>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</si>
  <si>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</si>
  <si>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</si>
  <si>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</si>
  <si>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</si>
  <si>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</si>
  <si>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</si>
  <si>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</si>
  <si>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</si>
  <si>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</si>
  <si>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</si>
  <si>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</si>
  <si>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</si>
  <si>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</si>
  <si>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</si>
  <si>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</si>
  <si>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</si>
  <si>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</si>
  <si>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</si>
  <si>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</si>
  <si>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</si>
  <si>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</si>
  <si>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</si>
  <si>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</si>
  <si>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</si>
  <si>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</si>
  <si>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</si>
  <si>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</si>
  <si>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</si>
  <si>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</si>
  <si>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</si>
  <si>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</si>
  <si>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</si>
  <si>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</si>
  <si>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</si>
  <si>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</si>
  <si>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</si>
  <si>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</si>
  <si>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</si>
  <si>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</si>
  <si>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</si>
  <si>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</si>
  <si>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</si>
  <si>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</si>
  <si>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</si>
  <si>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</si>
  <si>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</si>
  <si>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</si>
  <si>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CLOSED - responsibility change - Move any data from this site collected from October 1, 2022 on to New addditional station (line 1932 - "Moyie Mountain", BC H)</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</si>
  <si>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</si>
  <si>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</si>
  <si>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</si>
  <si>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</si>
  <si>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</si>
  <si>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</si>
  <si>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</si>
  <si>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</si>
  <si>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</si>
  <si>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</si>
  <si>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</si>
  <si>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</si>
  <si>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</si>
  <si>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</si>
  <si>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</si>
  <si>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</si>
  <si>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</si>
  <si>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</si>
  <si>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</si>
  <si>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</si>
  <si>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</si>
  <si>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</si>
  <si>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</si>
  <si>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</si>
  <si>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</si>
  <si>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</si>
  <si>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</si>
  <si>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</si>
  <si>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</si>
  <si>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</si>
  <si>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</si>
  <si>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</si>
  <si>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</si>
  <si>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</si>
  <si>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</si>
  <si>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</si>
  <si>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</si>
  <si>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</si>
  <si>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</si>
  <si>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</si>
  <si>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</si>
  <si>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</si>
  <si>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</si>
  <si>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</si>
  <si>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</si>
  <si>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</si>
  <si>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</si>
  <si>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</si>
  <si>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</si>
  <si>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</si>
  <si>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</si>
  <si>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</si>
  <si>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</si>
  <si>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</si>
  <si>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</si>
  <si>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</si>
  <si>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</si>
  <si>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</si>
  <si>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</si>
  <si>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</si>
  <si>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</si>
  <si>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</si>
  <si>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</si>
  <si>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</si>
  <si>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</si>
  <si>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</si>
  <si>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</si>
  <si>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</si>
  <si>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</si>
  <si>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</si>
  <si>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</si>
  <si>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</si>
  <si>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</si>
  <si>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</si>
  <si>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</si>
  <si>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</si>
  <si>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</si>
  <si>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</si>
  <si>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</si>
  <si>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</si>
  <si>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</si>
  <si>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</si>
  <si>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</si>
  <si>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</si>
  <si>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</si>
  <si>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</si>
  <si>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</si>
  <si>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</si>
  <si>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</si>
  <si>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</si>
  <si>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</si>
  <si>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</si>
  <si>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</si>
  <si>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</si>
  <si>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</si>
  <si>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</si>
  <si>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</si>
  <si>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</si>
  <si>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</si>
  <si>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</si>
  <si>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</si>
  <si>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</si>
  <si>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</si>
  <si>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</si>
  <si>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</si>
  <si>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</si>
  <si>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</si>
  <si>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</si>
  <si>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</si>
  <si>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</si>
  <si>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</si>
  <si>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</si>
  <si>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</si>
  <si>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Name. Location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</si>
  <si>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</si>
  <si>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</si>
  <si>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</si>
  <si>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</si>
  <si>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</si>
  <si>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</si>
  <si>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</si>
  <si>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</si>
  <si>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</si>
  <si>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</si>
  <si>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</si>
  <si>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</si>
  <si>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</si>
  <si>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</si>
  <si>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</si>
  <si>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</si>
  <si>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</si>
  <si>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</si>
  <si>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</si>
  <si>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</si>
  <si>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</si>
  <si>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</si>
  <si>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</si>
  <si>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</si>
  <si>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</si>
  <si>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</si>
  <si>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</si>
  <si>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</si>
  <si>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</si>
  <si>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</si>
  <si>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</si>
  <si>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</si>
  <si>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</si>
  <si>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</si>
  <si>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</si>
  <si>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</si>
  <si>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</si>
  <si>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</si>
  <si>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</si>
  <si>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</si>
  <si>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</si>
  <si>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</si>
  <si>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</si>
  <si>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</si>
  <si>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</si>
  <si>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</si>
  <si>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</si>
  <si>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</si>
  <si>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</si>
  <si>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</si>
  <si>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</si>
  <si>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</si>
  <si>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</si>
  <si>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</si>
  <si>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</si>
  <si>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</si>
  <si>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</si>
  <si>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</si>
  <si>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</si>
  <si>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</si>
  <si>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</si>
  <si>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</si>
  <si>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</si>
  <si>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</si>
  <si>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</si>
  <si>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</si>
  <si>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</si>
  <si>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</si>
  <si>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</si>
  <si>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</si>
  <si>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</si>
  <si>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</si>
  <si>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</si>
  <si>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</si>
  <si>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</si>
  <si>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</si>
  <si>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</si>
  <si>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</si>
  <si>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</si>
  <si>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</si>
  <si>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</si>
  <si>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</si>
  <si>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</si>
  <si>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</si>
  <si>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</si>
  <si>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</si>
  <si>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</si>
  <si>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</si>
  <si>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</si>
  <si>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</si>
  <si>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</si>
  <si>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</si>
  <si>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</si>
  <si>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</si>
  <si>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</si>
  <si>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</si>
  <si>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</si>
  <si>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</si>
  <si>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</si>
  <si>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</si>
  <si>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</si>
  <si>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</si>
  <si>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</si>
  <si>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</si>
  <si>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</si>
  <si>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</si>
  <si>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</si>
  <si>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</si>
  <si>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</si>
  <si>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</si>
  <si>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</si>
  <si>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</si>
  <si>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</si>
  <si>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</si>
  <si>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</si>
  <si>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</si>
  <si>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</si>
  <si>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</si>
  <si>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</si>
  <si>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</si>
  <si>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</si>
  <si>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</si>
  <si>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</si>
  <si>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</si>
  <si>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</si>
  <si>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</si>
  <si>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</si>
  <si>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</si>
  <si>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</si>
  <si>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</si>
  <si>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</si>
  <si>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</si>
  <si>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</si>
  <si>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</si>
  <si>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</si>
  <si>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</si>
  <si>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</si>
  <si>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</si>
  <si>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</si>
  <si>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</si>
  <si>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</si>
  <si>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</si>
  <si>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</si>
  <si>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</si>
  <si>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</si>
  <si>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</si>
  <si>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</si>
  <si>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</si>
  <si>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</si>
  <si>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</si>
  <si>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</si>
  <si>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</si>
  <si>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</si>
  <si>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</si>
  <si>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</si>
  <si>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</si>
  <si>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</si>
  <si>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</si>
  <si>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</si>
  <si>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</si>
  <si>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</si>
  <si>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</si>
  <si>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</si>
  <si>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</si>
  <si>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</si>
  <si>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</si>
  <si>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</si>
  <si>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</si>
  <si>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</si>
  <si>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</si>
  <si>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</si>
  <si>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</si>
  <si>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</si>
  <si>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</si>
  <si>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</si>
  <si>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</si>
  <si>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</si>
  <si>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</si>
  <si>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</si>
  <si>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</si>
  <si>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</si>
  <si>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</si>
  <si>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</si>
  <si>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</si>
  <si>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</si>
  <si>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</si>
  <si>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</si>
  <si>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</si>
  <si>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</si>
  <si>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</si>
  <si>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</si>
  <si>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</si>
  <si>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</si>
  <si>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</si>
  <si>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</si>
  <si>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</si>
  <si>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</si>
  <si>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</si>
  <si>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</si>
  <si>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</si>
  <si>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</si>
  <si>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</si>
  <si>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</si>
  <si>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</si>
  <si>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</si>
  <si>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</si>
  <si>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</si>
  <si>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</si>
  <si>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</si>
  <si>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</si>
  <si>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</si>
  <si>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</si>
  <si>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</si>
  <si>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</si>
  <si>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</si>
  <si>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</si>
  <si>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</si>
  <si>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</si>
  <si>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</si>
  <si>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</si>
  <si>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</si>
  <si>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</si>
  <si>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</si>
  <si>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</si>
  <si>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</si>
  <si>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</si>
  <si>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</si>
  <si>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</si>
  <si>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</si>
  <si>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</si>
  <si>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</si>
  <si>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</si>
  <si>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</si>
  <si>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</si>
  <si>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</si>
  <si>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</si>
  <si>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</si>
  <si>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</si>
  <si>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</si>
  <si>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</si>
  <si>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</si>
  <si>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</si>
  <si>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</si>
  <si>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</si>
  <si>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</si>
  <si>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</si>
  <si>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</si>
  <si>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</si>
  <si>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</si>
  <si>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</si>
  <si>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</si>
  <si>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</si>
  <si>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</si>
  <si>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</si>
  <si>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</si>
  <si>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</si>
  <si>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</si>
  <si>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</si>
  <si>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</si>
  <si>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</si>
  <si>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</si>
  <si>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</si>
  <si>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</si>
  <si>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</si>
  <si>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</si>
  <si>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</si>
  <si>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</si>
  <si>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</si>
  <si>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</si>
  <si>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</si>
  <si>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</si>
  <si>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</si>
  <si>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</si>
  <si>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</si>
  <si>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</si>
  <si>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</si>
  <si>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</si>
  <si>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</si>
  <si>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</si>
  <si>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</si>
  <si>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</si>
  <si>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</si>
  <si>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</si>
  <si>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</si>
  <si>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</si>
  <si>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</si>
  <si>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</si>
  <si>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</si>
  <si>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</si>
  <si>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</si>
  <si>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</si>
  <si>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</si>
  <si>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</si>
  <si>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</si>
  <si>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</si>
  <si>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</si>
  <si>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</si>
  <si>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</si>
  <si>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</si>
  <si>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</si>
  <si>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</si>
  <si>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</si>
  <si>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</si>
  <si>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</si>
  <si>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</si>
  <si>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</si>
  <si>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</si>
  <si>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</si>
  <si>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</si>
  <si>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</si>
  <si>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</si>
  <si>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</si>
  <si>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</si>
  <si>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</si>
  <si>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</si>
  <si>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</si>
  <si>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</si>
  <si>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</si>
  <si>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</si>
  <si>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</si>
  <si>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</si>
  <si>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</si>
  <si>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</si>
  <si>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</si>
  <si>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</si>
  <si>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</si>
  <si>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</si>
  <si>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</si>
  <si>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</si>
  <si>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</si>
  <si>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</si>
  <si>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</si>
  <si>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</si>
  <si>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</si>
  <si>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</si>
  <si>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</si>
  <si>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</si>
  <si>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</si>
  <si>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</si>
  <si>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</si>
  <si>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</si>
  <si>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</si>
  <si>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</si>
  <si>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</si>
  <si>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</si>
  <si>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</si>
  <si>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</si>
  <si>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</si>
  <si>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</si>
  <si>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</si>
  <si>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</si>
  <si>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</si>
  <si>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</si>
  <si>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</si>
  <si>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</si>
  <si>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</si>
  <si>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</si>
  <si>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</si>
  <si>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</si>
  <si>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</si>
  <si>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</si>
  <si>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</si>
  <si>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</si>
  <si>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</si>
  <si>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</si>
  <si>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</si>
  <si>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</si>
  <si>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</si>
  <si>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</si>
  <si>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</si>
  <si>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</si>
  <si>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</si>
  <si>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</si>
  <si>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</si>
  <si>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</si>
  <si>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</si>
  <si>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</si>
  <si>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</si>
  <si>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</si>
  <si>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</si>
  <si>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</si>
  <si>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</si>
  <si>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</si>
  <si>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</si>
  <si>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</si>
  <si>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</si>
  <si>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</si>
  <si>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</si>
  <si>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</si>
  <si>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0 W, null N, Elev. null m -&gt; 127.51343 W, 54.7822 N, Elev. 980 m</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</si>
  <si>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</si>
  <si>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</si>
  <si>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</si>
  <si>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</si>
  <si>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</si>
  <si>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</si>
  <si>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</si>
  <si>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</si>
  <si>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</si>
  <si>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</si>
  <si>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</si>
  <si>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</si>
  <si>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</si>
  <si>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</si>
  <si>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</si>
  <si>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</si>
  <si>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</si>
  <si>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</si>
  <si>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</si>
  <si>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</si>
  <si>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</si>
  <si>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</si>
  <si>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</si>
  <si>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</si>
  <si>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</si>
  <si>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</si>
  <si>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</si>
  <si>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</si>
  <si>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</si>
  <si>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</si>
  <si>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</si>
  <si>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</si>
  <si>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</si>
  <si>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</si>
  <si>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</si>
  <si>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</si>
  <si>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</si>
  <si>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</si>
  <si>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</si>
  <si>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</si>
  <si>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</si>
  <si>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</si>
  <si>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</si>
  <si>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</si>
  <si>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</si>
  <si>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</si>
  <si>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</si>
  <si>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</si>
  <si>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</si>
  <si>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</si>
  <si>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</si>
  <si>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</si>
  <si>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</si>
  <si>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</si>
  <si>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</si>
  <si>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</si>
  <si>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</si>
  <si>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</si>
  <si>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</si>
  <si>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</si>
  <si>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</si>
  <si>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</si>
  <si>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</si>
  <si>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</si>
  <si>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</si>
  <si>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</si>
  <si>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</si>
  <si>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</si>
  <si>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</si>
  <si>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</si>
  <si>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</si>
  <si>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</si>
  <si>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</si>
  <si>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</si>
  <si>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</si>
  <si>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</si>
  <si>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</si>
  <si>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</si>
  <si>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</si>
  <si>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</si>
  <si>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</si>
  <si>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</si>
  <si>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</si>
  <si>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</si>
  <si>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</si>
  <si>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</si>
  <si>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</si>
  <si>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</si>
  <si>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</si>
  <si>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</si>
  <si>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</si>
  <si>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</si>
  <si>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</si>
  <si>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</si>
  <si>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</si>
  <si>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</si>
  <si>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</si>
  <si>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</si>
  <si>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</si>
  <si>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</si>
  <si>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</si>
  <si>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</si>
  <si>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</si>
  <si>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</si>
  <si>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</si>
  <si>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</si>
  <si>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</si>
  <si>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</si>
  <si>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</si>
  <si>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</si>
  <si>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</si>
  <si>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</si>
  <si>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</si>
  <si>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</si>
  <si>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</si>
  <si>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</si>
  <si>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</si>
  <si>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</si>
  <si>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</si>
  <si>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</si>
  <si>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</si>
  <si>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</si>
  <si>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</si>
  <si>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</si>
  <si>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</si>
  <si>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</si>
  <si>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</si>
  <si>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</si>
  <si>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</si>
  <si>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</si>
  <si>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</si>
  <si>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</si>
  <si>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</si>
  <si>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</si>
  <si>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</si>
  <si>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</si>
  <si>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</si>
  <si>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</si>
  <si>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</si>
  <si>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</si>
  <si>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</si>
  <si>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</si>
  <si>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</si>
  <si>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</si>
  <si>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</si>
  <si>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</si>
  <si>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Locaiton</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</si>
  <si>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</si>
  <si>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</si>
  <si>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</si>
  <si>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</si>
  <si>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</si>
  <si>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</si>
  <si>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</si>
  <si>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</si>
  <si>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</si>
  <si>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</si>
  <si>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</si>
  <si>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</si>
  <si>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</si>
  <si>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</si>
  <si>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</si>
  <si>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</si>
  <si>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</si>
  <si>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</si>
  <si>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</si>
  <si>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</si>
  <si>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</si>
  <si>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</si>
  <si>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</si>
  <si>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</si>
  <si>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</si>
  <si>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</si>
  <si>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</si>
  <si>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</si>
  <si>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</si>
  <si>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</si>
  <si>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</si>
  <si>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</si>
  <si>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</si>
  <si>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</si>
  <si>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</si>
  <si>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</si>
  <si>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</si>
  <si>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</si>
  <si>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</si>
  <si>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</si>
  <si>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</si>
  <si>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</si>
  <si>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</si>
  <si>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</si>
  <si>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</si>
  <si>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</si>
  <si>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</si>
  <si>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</si>
  <si>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</si>
  <si>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</si>
  <si>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</si>
  <si>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</si>
  <si>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</si>
  <si>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</si>
  <si>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</si>
  <si>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</si>
  <si>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</si>
  <si>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</si>
  <si>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</si>
  <si>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</si>
  <si>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</si>
  <si>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</si>
  <si>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</si>
  <si>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</si>
  <si>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</si>
  <si>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</si>
  <si>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</si>
  <si>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</si>
  <si>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</si>
  <si>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</si>
  <si>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</si>
  <si>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</si>
  <si>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</si>
  <si>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</si>
  <si>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</si>
  <si>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</si>
  <si>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</si>
  <si>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</si>
  <si>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</si>
  <si>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</si>
  <si>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</si>
  <si>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</si>
  <si>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</si>
  <si>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</si>
  <si>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</si>
  <si>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</si>
  <si>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</si>
  <si>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</si>
  <si>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</si>
  <si>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</si>
  <si>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</si>
  <si>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</si>
  <si>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</si>
  <si>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</si>
  <si>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</si>
  <si>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</si>
  <si>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</si>
  <si>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</si>
  <si>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</si>
  <si>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</si>
  <si>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</si>
  <si>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</si>
  <si>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</si>
  <si>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</si>
  <si>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</si>
  <si>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</si>
  <si>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</si>
  <si>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</si>
  <si>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</si>
  <si>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</si>
  <si>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</si>
  <si>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</si>
  <si>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</si>
  <si>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</si>
  <si>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</si>
  <si>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</si>
  <si>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</si>
  <si>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</si>
  <si>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</si>
  <si>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</si>
  <si>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</si>
  <si>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</si>
  <si>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</si>
  <si>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</si>
  <si>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</si>
  <si>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</si>
  <si>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</si>
  <si>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</si>
  <si>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</si>
  <si>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</si>
  <si>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 xml:space="preserve">Renamed to Sunbeam (13069) Check for duplicate data - delete this entry after identified gaps are filled. </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</si>
  <si>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</si>
  <si>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</si>
  <si>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</si>
  <si>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</si>
  <si>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</si>
  <si>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</si>
  <si>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</si>
  <si>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</si>
  <si>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</si>
  <si>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</si>
  <si>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</si>
  <si>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</si>
  <si>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</si>
  <si>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</si>
  <si>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</si>
  <si>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</si>
  <si>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</si>
  <si>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</si>
  <si>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</si>
  <si>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</si>
  <si>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</si>
  <si>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</si>
  <si>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</si>
  <si>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</si>
  <si>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</si>
  <si>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</si>
  <si>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</si>
  <si>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</si>
  <si>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</si>
  <si>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</si>
  <si>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</si>
  <si>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</si>
  <si>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</si>
  <si>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</si>
  <si>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</si>
  <si>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</si>
  <si>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</si>
  <si>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 xml:space="preserve"> -&gt; PC-FWx</t>
  </si>
  <si>
    <t>-&gt; CBA4C38A</t>
  </si>
  <si>
    <t>-&gt; Bennett</t>
  </si>
  <si>
    <t>-&gt; 135.0002 W, 59.8441 N, Elev. 702 m</t>
  </si>
  <si>
    <t>CRD</t>
  </si>
  <si>
    <t>AGRI -&gt; MVRD</t>
  </si>
  <si>
    <t>AGRI</t>
  </si>
  <si>
    <t>MoTIe</t>
  </si>
  <si>
    <t>-&gt; MoTIe</t>
  </si>
  <si>
    <t>114.8905 W, 49.88374 N, Elev. 1246 m -&gt; 114.89041 W, 48.44395 N, 1246 m</t>
  </si>
  <si>
    <t>FLNRO-WMB -&gt; PARKS CANADA</t>
  </si>
  <si>
    <t>FLNRO-WMB -&gt; ECCC</t>
  </si>
  <si>
    <t>FLNRO-WMB</t>
  </si>
  <si>
    <t>FLNRO-WMB -&gt; NAVCAN</t>
  </si>
  <si>
    <t>FLNRO-WMB -&gt; ECCC (NAVCN?)</t>
  </si>
  <si>
    <t>FLNRO-WMB -&gt; ECCC (NAVCAN)?</t>
  </si>
  <si>
    <t>FLNRO-WMB -&gt; ECCC???</t>
  </si>
  <si>
    <t>FLNRO-WMB -&gt; ECCC/NAVCAN</t>
  </si>
  <si>
    <t>FLNRO-WMB -&gt; CRD</t>
  </si>
  <si>
    <t>FLNRO-WMB -&gt; MVRD</t>
  </si>
  <si>
    <t>FLNRO-WMB -&gt; BC-FERN</t>
  </si>
  <si>
    <t>FLNRO-WMB -&gt; BC Hydro Site C</t>
  </si>
  <si>
    <t>FLNRO-WMB -&gt; BC Hydro</t>
  </si>
  <si>
    <t>-&gt; FLNRO-WMB</t>
  </si>
  <si>
    <t>ENV-AQN</t>
  </si>
  <si>
    <t>ENV-AQN -&gt; PRPA</t>
  </si>
  <si>
    <t>117.60711 W, 49.046405 N, Elev. null m -&gt; 11760711W, 49.04605 N, Elev. 428 m</t>
  </si>
  <si>
    <t>ENV-AQN -&gt; MVRD</t>
  </si>
  <si>
    <t>ENV-AQN -&gt; BCH Site C</t>
  </si>
  <si>
    <t>ENV-AQN -&gt; BC Hydro Site C</t>
  </si>
  <si>
    <t>ENV-AQN -&gt; BC H Site C</t>
  </si>
  <si>
    <r>
      <rPr>
        <rFont val="Aptos Narrow"/>
        <b/>
        <strike/>
        <color rgb="FF9C0006"/>
        <sz val="11.0"/>
      </rPr>
      <t>ENV-AQN</t>
    </r>
    <r>
      <rPr>
        <rFont val="Aptos Narrow"/>
        <b/>
        <color rgb="FF9C0006"/>
        <sz val="11.0"/>
      </rPr>
      <t xml:space="preserve"> -&gt; MVRD</t>
    </r>
  </si>
  <si>
    <t>ENV-ASP -&gt; RT</t>
  </si>
  <si>
    <t>-&gt; BCH</t>
  </si>
  <si>
    <t>BCH</t>
  </si>
  <si>
    <t>BCH -&gt; ENV ASP</t>
  </si>
  <si>
    <t>ENV-ASP</t>
  </si>
  <si>
    <t>-&gt; 126.109406 W, 49.7049639 N, Elev. 10 m</t>
  </si>
  <si>
    <t>122.942242 W, 50.730979 N, Elev. 1012 m</t>
  </si>
  <si>
    <t>BCH -&gt; PARKS CANADA</t>
  </si>
  <si>
    <t>125.669767 W, 50.093619 N, Elev. 226 m</t>
  </si>
  <si>
    <t>124.096333 W, 55.41635 N, Elev. 1189 m</t>
  </si>
  <si>
    <t>ENV-ASP -&gt; BCH</t>
  </si>
  <si>
    <t>ENV-ASP -&gt; MVRD</t>
  </si>
  <si>
    <t xml:space="preserve">ENV-ASP </t>
  </si>
  <si>
    <t>-&gt; ENV ASP</t>
  </si>
  <si>
    <t>FLNRO-FERN -&gt; BC-FERN</t>
  </si>
  <si>
    <t>SBSmc3Wx</t>
  </si>
  <si>
    <t xml:space="preserve"> -&gt; PARKS CANADA</t>
  </si>
  <si>
    <t>Network names</t>
  </si>
  <si>
    <t>New Name</t>
  </si>
  <si>
    <t>Old Designation</t>
  </si>
  <si>
    <t>Transitionary Designation</t>
  </si>
  <si>
    <t>Agency</t>
  </si>
  <si>
    <t>PCIC PCDS Naming</t>
  </si>
  <si>
    <r>
      <rPr>
        <rFont val="Aptos Narrow"/>
        <color theme="1"/>
        <sz val="11.0"/>
      </rPr>
      <t xml:space="preserve">DataMart Partner Directory </t>
    </r>
    <r>
      <rPr>
        <rFont val="Aptos Narrow"/>
        <i/>
        <color theme="1"/>
        <sz val="11.0"/>
      </rPr>
      <t>(italics and Rjustified planned)</t>
    </r>
  </si>
  <si>
    <t>Network</t>
  </si>
  <si>
    <t>Current</t>
  </si>
  <si>
    <t>Suggested Network name (blanks infer no change)</t>
  </si>
  <si>
    <t>AF</t>
  </si>
  <si>
    <t>BC Gov</t>
  </si>
  <si>
    <t>bc-agriweather</t>
  </si>
  <si>
    <t> AGRI                   | BC Ministry of Agriculture and Foods                                                    | f</t>
  </si>
  <si>
    <t> MoAg_GS                | BC Ministry of Agriculture Growers Supply                                               | f</t>
  </si>
  <si>
    <t>ENV</t>
  </si>
  <si>
    <t>AIR</t>
  </si>
  <si>
    <t>ENV/AIR</t>
  </si>
  <si>
    <t>Air</t>
  </si>
  <si>
    <t>bc-env-aq</t>
  </si>
  <si>
    <t> ENV-AQN                | BC Ministry of Environment and Climate Change Strategy - Air Quality Network            | t</t>
  </si>
  <si>
    <t>ASWS</t>
  </si>
  <si>
    <t>Snow</t>
  </si>
  <si>
    <t>bc-enc-snow</t>
  </si>
  <si>
    <t> ENV-ASP                | BC Ministry of Environment and Climate Change Strategy - Automated Snow Weather Network | t</t>
  </si>
  <si>
    <t>Hydrometric Agreement</t>
  </si>
  <si>
    <t>ENV/WSC</t>
  </si>
  <si>
    <t>Hydrometric</t>
  </si>
  <si>
    <t>ENV/CLIM</t>
  </si>
  <si>
    <t>FOR</t>
  </si>
  <si>
    <t>BCTS</t>
  </si>
  <si>
    <t>Timber Sales</t>
  </si>
  <si>
    <t>BC-TS</t>
  </si>
  <si>
    <t>bc-forestry</t>
  </si>
  <si>
    <t> FLNRO-WMB              | BC Ministry of Forests - Wildfire Service Network                                       | t</t>
  </si>
  <si>
    <t>BCWS</t>
  </si>
  <si>
    <t>Fire Weather</t>
  </si>
  <si>
    <t>FERN</t>
  </si>
  <si>
    <t>Forest Ecosystem Research</t>
  </si>
  <si>
    <t>FLNRO-FERN</t>
  </si>
  <si>
    <t> FLNRO-FERN             | BC Ministry of Forests - Forest Ecosystems Research Network                             | t</t>
  </si>
  <si>
    <t>MOTI or TRAN</t>
  </si>
  <si>
    <t>Ministry of Transportation and Infrastructure</t>
  </si>
  <si>
    <t>MoTT</t>
  </si>
  <si>
    <t>Avalanche &amp; Road Weather</t>
  </si>
  <si>
    <t>MoTIm</t>
  </si>
  <si>
    <t>bc-tran</t>
  </si>
  <si>
    <t>Not Transferred</t>
  </si>
  <si>
    <t> MoTIm                  | Ministry of Transportation and Infrastructure - Manual stations                         | t</t>
  </si>
  <si>
    <t> MoTIe                  | Ministry of Transportation and Infrastructure - Automated stations                      | t</t>
  </si>
  <si>
    <t> MoTI                   |                                                                                         | f</t>
  </si>
  <si>
    <t>ARDA</t>
  </si>
  <si>
    <t>Agriculture Research Development Network</t>
  </si>
  <si>
    <t> ARDA                   | Agricultural and Rural Development Act Network                                          | t</t>
  </si>
  <si>
    <t> PCIC Climate Variables | Synthetic network for climate variables computed by PCIC                                | t</t>
  </si>
  <si>
    <t>FRBC</t>
  </si>
  <si>
    <t>Forest Renewal BC</t>
  </si>
  <si>
    <t> FRBC                   | Forest Renewal British Columbia                                                         | t</t>
  </si>
  <si>
    <t>BC Hydro</t>
  </si>
  <si>
    <t>Hydrometeorologic Monitoring and Data Management</t>
  </si>
  <si>
    <t>GSO-HMP</t>
  </si>
  <si>
    <t>bc-hydro</t>
  </si>
  <si>
    <t>BCH                    | BC Hydro                                                                                | t</t>
  </si>
  <si>
    <t>Site C</t>
  </si>
  <si>
    <t>BCH-SiteC</t>
  </si>
  <si>
    <t>BC Hydro/Parks Canada</t>
  </si>
  <si>
    <t>Canada</t>
  </si>
  <si>
    <t>Parks Avalanche</t>
  </si>
  <si>
    <t>PC-Aval</t>
  </si>
  <si>
    <t xml:space="preserve">Parks Fire Weather </t>
  </si>
  <si>
    <t>PC-FWx</t>
  </si>
  <si>
    <t>pc-firewx</t>
  </si>
  <si>
    <t>ECCC</t>
  </si>
  <si>
    <t>Daily Climate</t>
  </si>
  <si>
    <t>ECCC/DAILYCLIM</t>
  </si>
  <si>
    <t>MSC Daily Climate</t>
  </si>
  <si>
    <t>EC</t>
  </si>
  <si>
    <t>EC RAW</t>
  </si>
  <si>
    <t>EC-RAW</t>
  </si>
  <si>
    <t> EC                     | Environment and Climate Change Canada (Canadian Daily Climate Data 2007)                | t</t>
  </si>
  <si>
    <t>HYDAT/CLIM</t>
  </si>
  <si>
    <t>ECCC/HYDATCLIM</t>
  </si>
  <si>
    <t>No longer required</t>
  </si>
  <si>
    <t> EC_raw                 | Environment and Climate Change Canada (raw observations from "Climate Data Online")     | t</t>
  </si>
  <si>
    <t>MARINE/Moored Buoy</t>
  </si>
  <si>
    <t>ECCC/BUOY</t>
  </si>
  <si>
    <t>MSC Bouy</t>
  </si>
  <si>
    <t> EC_AHCCD               | Environment and Climate Change Canada (Adjusted and Homogenized Canadian Climate Data)  | f</t>
  </si>
  <si>
    <t>SURFACE/CLIMATE</t>
  </si>
  <si>
    <t>ECCC/SFCWx</t>
  </si>
  <si>
    <t>MSC Surface Wx</t>
  </si>
  <si>
    <t> EC_Buoy                | Environment and Climate Change Canada (Marine Buoys)                                    | f</t>
  </si>
  <si>
    <t>Water Supply</t>
  </si>
  <si>
    <t>bc-crd</t>
  </si>
  <si>
    <t> CRD                    | Capital Regional District Water Supply Area                                             | t</t>
  </si>
  <si>
    <t>FOR-UNBC</t>
  </si>
  <si>
    <t>University of Northern British Columbia/Cariboo Alpine Mesonet</t>
  </si>
  <si>
    <t>UNBC/CAM</t>
  </si>
  <si>
    <t>UNBC</t>
  </si>
  <si>
    <t>Cariboo Alpine Monitoring</t>
  </si>
  <si>
    <t>UNBC_CAM</t>
  </si>
  <si>
    <t> UNBC_CAM               | UNBC Cariboo Alpine Mesonet                                                             | t</t>
  </si>
  <si>
    <t>Air Quality</t>
  </si>
  <si>
    <t>MVRD/AIR</t>
  </si>
  <si>
    <t>Mvan</t>
  </si>
  <si>
    <t>bc-mvrd</t>
  </si>
  <si>
    <t>Watershed Management Network</t>
  </si>
  <si>
    <t>MVRD/WT</t>
  </si>
  <si>
    <t> MVan                   | Metro Vancouver and Climate Change Strategy - Air Quality Network                       | t</t>
  </si>
  <si>
    <t>NAVCAN</t>
  </si>
  <si>
    <t>NAVCanada</t>
  </si>
  <si>
    <t>Nav Canada</t>
  </si>
  <si>
    <t>Rio Tinto</t>
  </si>
  <si>
    <t>bc-RioTinto</t>
  </si>
  <si>
    <t> RT                     | Rio Tinto                                                                               | t</t>
  </si>
  <si>
    <t>HAKAI</t>
  </si>
  <si>
    <t>HAK</t>
  </si>
  <si>
    <t> HAK                    | Hakai Institute                                                                         | f</t>
  </si>
  <si>
    <t>Prince Rupert Port Authority</t>
  </si>
  <si>
    <t>PRPA</t>
  </si>
  <si>
    <t> ARD                    | Agricultural Resource Development office - Alberta                                      | f</t>
  </si>
  <si>
    <t> YT_WFM                 | Yukon Wildland Fire Management Branch                                                   | f</t>
  </si>
  <si>
    <t> YAA                    | Yukon Avalanche Association                                                             | f</t>
  </si>
  <si>
    <t> DFO_CCG_lighthouse     | Department of Fisheries and Oceans - Lighthouses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</si>
</sst>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000"/>
    <numFmt numFmtId="166" formatCode="0.00000"/>
    <numFmt numFmtId="167" formatCode="#,##0.0000"/>
    <numFmt numFmtId="168" formatCode="0.0000"/>
  </numFmts>
  <fonts count="35">
    <font>
      <sz val="11.0"/>
      <color theme="1"/>
      <name val="Aptos Narrow"/>
      <scheme val="minor"/>
    </font>
    <font>
      <sz val="18.0"/>
      <color theme="1"/>
      <name val="Aptos Narrow"/>
    </font>
    <font>
      <sz val="11.0"/>
      <color theme="1"/>
      <name val="Aptos Narrow"/>
    </font>
    <font>
      <color theme="1"/>
      <name val="Aptos Narrow"/>
      <scheme val="minor"/>
    </font>
    <font>
      <b/>
      <sz val="11.0"/>
      <color theme="1"/>
      <name val="Aptos Narrow"/>
    </font>
    <font>
      <color theme="1"/>
      <name val="Arial"/>
    </font>
    <font>
      <b/>
      <sz val="11.0"/>
      <color rgb="FF9C0006"/>
      <name val="Aptos Narrow"/>
    </font>
    <font>
      <sz val="11.0"/>
      <color theme="1"/>
      <name val="Calibri"/>
    </font>
    <font>
      <sz val="11.0"/>
      <color rgb="FF006100"/>
      <name val="Aptos Narrow"/>
    </font>
    <font>
      <sz val="11.0"/>
      <color rgb="FF9C5700"/>
      <name val="Aptos Narrow"/>
    </font>
    <font>
      <i/>
      <sz val="11.0"/>
      <color theme="1"/>
      <name val="Aptos Narrow"/>
    </font>
    <font>
      <b/>
      <i/>
      <sz val="11.0"/>
      <color theme="1"/>
      <name val="Aptos Narrow"/>
    </font>
    <font>
      <sz val="11.0"/>
      <color rgb="FF9C0006"/>
      <name val="Aptos Narrow"/>
    </font>
    <font>
      <b/>
      <sz val="11.0"/>
      <color rgb="FF9C0006"/>
      <name val="Arial"/>
    </font>
    <font>
      <b/>
      <sz val="11.0"/>
      <color rgb="FFFA7D00"/>
      <name val="Aptos Narrow"/>
    </font>
    <font>
      <sz val="11.0"/>
      <color theme="0"/>
      <name val="Aptos Narrow"/>
    </font>
    <font>
      <b/>
      <sz val="11.0"/>
      <color rgb="FF006100"/>
      <name val="Aptos Narrow"/>
    </font>
    <font>
      <sz val="11.0"/>
      <color rgb="FF3F3F76"/>
      <name val="Aptos Narrow"/>
    </font>
    <font>
      <b/>
      <strike/>
      <sz val="11.0"/>
      <color rgb="FF9C0006"/>
      <name val="Aptos Narrow"/>
    </font>
    <font>
      <b/>
      <sz val="11.0"/>
      <color theme="0"/>
      <name val="Aptos Narrow"/>
    </font>
    <font>
      <b/>
      <strike/>
      <sz val="11.0"/>
      <color theme="1"/>
      <name val="Aptos Narrow"/>
    </font>
    <font>
      <strike/>
      <sz val="11.0"/>
      <color theme="1"/>
      <name val="Aptos Narrow"/>
    </font>
    <font>
      <b/>
      <sz val="11.0"/>
      <color rgb="FFFF0000"/>
      <name val="Aptos Narrow"/>
    </font>
    <font>
      <b/>
      <sz val="11.0"/>
      <color rgb="FF9C5700"/>
      <name val="Aptos Narrow"/>
    </font>
    <font>
      <b/>
      <color rgb="FFCC0000"/>
      <name val="Arial"/>
    </font>
    <font>
      <b/>
      <color rgb="FFCC4125"/>
      <name val="Arial"/>
    </font>
    <font>
      <b/>
      <color rgb="FF990000"/>
      <name val="Arial"/>
    </font>
    <font>
      <sz val="11.0"/>
      <color rgb="FF0E2841"/>
      <name val="Aptos Narrow"/>
    </font>
    <font>
      <sz val="11.0"/>
      <color rgb="FFFF0000"/>
      <name val="Aptos Narrow"/>
    </font>
    <font>
      <strike/>
      <sz val="11.0"/>
      <color rgb="FF9C0006"/>
      <name val="Aptos Narrow"/>
    </font>
    <font>
      <sz val="11.0"/>
      <color theme="1"/>
      <name val="Arial"/>
    </font>
    <font/>
    <font>
      <sz val="7.0"/>
      <color rgb="FF242424"/>
      <name val="Quattrocento Sans"/>
    </font>
    <font>
      <sz val="8.0"/>
      <color theme="0"/>
      <name val="Aptos Narrow"/>
    </font>
    <font>
      <b/>
      <i/>
      <sz val="11.0"/>
      <color rgb="FF006100"/>
      <name val="Aptos Narrow"/>
    </font>
  </fonts>
  <fills count="17">
    <fill>
      <patternFill patternType="none"/>
    </fill>
    <fill>
      <patternFill patternType="lightGray"/>
    </fill>
    <fill>
      <patternFill patternType="solid">
        <fgColor rgb="FFFFC7CE"/>
        <bgColor rgb="FFFFC7CE"/>
      </patternFill>
    </fill>
    <fill>
      <patternFill patternType="solid">
        <fgColor rgb="FFC6EFCE"/>
        <bgColor rgb="FFC6EFCE"/>
      </patternFill>
    </fill>
    <fill>
      <patternFill patternType="solid">
        <fgColor rgb="FFF1A983"/>
        <bgColor rgb="FFF1A983"/>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theme="1"/>
        <bgColor theme="1"/>
      </patternFill>
    </fill>
  </fills>
  <borders count="7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top/>
      <bottom/>
    </border>
    <border>
      <left style="thin">
        <color rgb="FF7F7F7F"/>
      </left>
      <right style="thin">
        <color rgb="FF7F7F7F"/>
      </right>
      <top style="thin">
        <color rgb="FF7F7F7F"/>
      </top>
      <bottom style="thin">
        <color rgb="FF7F7F7F"/>
      </bottom>
    </border>
    <border>
      <left style="thin">
        <color rgb="FFB2B2B2"/>
      </left>
      <right style="thin">
        <color rgb="FFB2B2B2"/>
      </right>
      <top style="thin">
        <color rgb="FFB2B2B2"/>
      </top>
      <bottom style="thin">
        <color rgb="FFB2B2B2"/>
      </bottom>
    </border>
    <border>
      <top style="thin">
        <color rgb="FFA9D08E"/>
      </top>
      <bottom style="thin">
        <color rgb="FFA9D08E"/>
      </bottom>
    </border>
    <border>
      <right style="thin">
        <color rgb="FFA9D08E"/>
      </right>
      <top style="thin">
        <color rgb="FFA9D08E"/>
      </top>
      <bottom style="thin">
        <color rgb="FFA9D08E"/>
      </bottom>
    </border>
    <border>
      <left/>
      <right/>
      <top style="thin">
        <color rgb="FFA9D08E"/>
      </top>
      <bottom style="thin">
        <color rgb="FFA9D08E"/>
      </bottom>
    </border>
    <border>
      <left/>
      <right style="medium">
        <color rgb="FF000000"/>
      </right>
      <top/>
      <bottom/>
    </border>
    <border>
      <left style="medium">
        <color rgb="FF000000"/>
      </left>
      <bottom style="medium">
        <color rgb="FF000000"/>
      </bottom>
    </border>
    <border>
      <bottom style="medium">
        <color rgb="FF000000"/>
      </bottom>
    </border>
    <border>
      <left/>
      <right/>
      <top/>
      <bottom style="medium">
        <color rgb="FF000000"/>
      </bottom>
    </border>
    <border>
      <left style="medium">
        <color rgb="FF000000"/>
      </left>
      <top style="thin">
        <color rgb="FFA9D08E"/>
      </top>
      <bottom style="thin">
        <color rgb="FFA9D08E"/>
      </bottom>
    </border>
    <border>
      <right style="thin">
        <color rgb="FF7F7F7F"/>
      </right>
      <top style="thin">
        <color rgb="FF7F7F7F"/>
      </top>
      <bottom style="thin">
        <color rgb="FF7F7F7F"/>
      </bottom>
    </border>
    <border>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style="medium">
        <color rgb="FF000000"/>
      </left>
      <right/>
      <top/>
      <bottom/>
    </border>
    <border>
      <left/>
      <right style="thin">
        <color rgb="FFA9D08E"/>
      </right>
      <top style="thin">
        <color rgb="FFA9D08E"/>
      </top>
      <bottom style="thin">
        <color rgb="FFA9D08E"/>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thin">
        <color rgb="FF000000"/>
      </top>
    </border>
    <border>
      <left style="medium">
        <color rgb="FF000000"/>
      </left>
      <right style="thin">
        <color rgb="FF000000"/>
      </right>
      <top style="thin">
        <color rgb="FF000000"/>
      </top>
    </border>
    <border>
      <left style="thin">
        <color rgb="FF000000"/>
      </left>
      <right style="medium">
        <color rgb="FF000000"/>
      </right>
      <top style="thin">
        <color rgb="FF000000"/>
      </top>
    </border>
    <border>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bottom style="thin">
        <color rgb="FF000000"/>
      </bottom>
    </border>
    <border>
      <left style="thin">
        <color rgb="FF000000"/>
      </left>
      <top/>
      <bottom style="thin">
        <color rgb="FF000000"/>
      </bottom>
    </border>
    <border>
      <right style="medium">
        <color rgb="FF000000"/>
      </right>
      <top/>
      <bottom style="thin">
        <color rgb="FF000000"/>
      </bottom>
    </border>
    <border>
      <top style="thin">
        <color rgb="FF000000"/>
      </top>
      <bottom style="thin">
        <color rgb="FF000000"/>
      </bottom>
    </border>
    <border>
      <left style="medium">
        <color rgb="FF000000"/>
      </left>
      <top style="thin">
        <color rgb="FF000000"/>
      </top>
    </border>
    <border>
      <left style="thin">
        <color rgb="FF000000"/>
      </left>
      <top style="thin">
        <color rgb="FF000000"/>
      </top>
    </border>
    <border>
      <right style="medium">
        <color rgb="FF000000"/>
      </right>
      <top style="thin">
        <color rgb="FF000000"/>
      </top>
    </border>
    <border>
      <left style="medium">
        <color rgb="FF000000"/>
      </left>
      <right style="thin">
        <color rgb="FF000000"/>
      </right>
    </border>
    <border>
      <left style="medium">
        <color rgb="FF000000"/>
      </left>
      <bottom style="thin">
        <color rgb="FF000000"/>
      </bottom>
    </border>
    <border>
      <left style="thin">
        <color rgb="FF000000"/>
      </left>
      <bottom style="thin">
        <color rgb="FF000000"/>
      </bottom>
    </border>
    <border>
      <right style="medium">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border>
    <border>
      <right style="thin">
        <color rgb="FF000000"/>
      </right>
    </border>
    <border>
      <left style="medium">
        <color rgb="FF000000"/>
      </left>
      <top style="thin">
        <color rgb="FF000000"/>
      </top>
      <bottom style="thin">
        <color rgb="FF000000"/>
      </bottom>
    </border>
    <border>
      <left style="medium">
        <color rgb="FF000000"/>
      </left>
      <right style="medium">
        <color rgb="FF000000"/>
      </right>
      <top style="thin">
        <color rgb="FF000000"/>
      </top>
    </border>
    <border>
      <left style="thin">
        <color rgb="FF000000"/>
      </left>
      <right style="thin">
        <color rgb="FF000000"/>
      </right>
      <top style="thin">
        <color rgb="FF000000"/>
      </top>
    </border>
    <border>
      <left/>
      <right style="thin">
        <color rgb="FF000000"/>
      </right>
      <top style="thin">
        <color rgb="FF000000"/>
      </top>
    </border>
    <border>
      <left style="thin">
        <color rgb="FF000000"/>
      </left>
      <right style="medium">
        <color rgb="FF000000"/>
      </right>
    </border>
    <border>
      <left style="medium">
        <color rgb="FF000000"/>
      </left>
      <right style="medium">
        <color rgb="FF000000"/>
      </right>
    </border>
    <border>
      <left style="thin">
        <color rgb="FF000000"/>
      </left>
      <right style="thin">
        <color rgb="FF000000"/>
      </right>
    </border>
    <border>
      <left/>
      <right style="thin">
        <color rgb="FF000000"/>
      </right>
    </border>
    <border>
      <left style="medium">
        <color rgb="FF000000"/>
      </left>
      <right style="medium">
        <color rgb="FF000000"/>
      </right>
      <bottom style="thin">
        <color rgb="FF000000"/>
      </bottom>
    </border>
    <border>
      <left style="thin">
        <color rgb="FF000000"/>
      </left>
      <right style="thin">
        <color rgb="FF000000"/>
      </right>
      <bottom style="thin">
        <color rgb="FF000000"/>
      </bottom>
    </border>
    <border>
      <left/>
      <right style="thin">
        <color rgb="FF000000"/>
      </right>
      <bottom style="thin">
        <color rgb="FF000000"/>
      </bottom>
    </border>
    <border>
      <left style="thin">
        <color rgb="FF000000"/>
      </left>
      <right style="medium">
        <color rgb="FF000000"/>
      </right>
      <top style="thin">
        <color rgb="FF000000"/>
      </top>
      <bottom/>
    </border>
    <border>
      <left style="thin">
        <color rgb="FF000000"/>
      </left>
      <right style="medium">
        <color rgb="FF000000"/>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border>
    <border>
      <left style="thin">
        <color rgb="FF000000"/>
      </left>
      <right style="medium">
        <color rgb="FF000000"/>
      </right>
      <top/>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Border="1" applyFont="1"/>
    <xf borderId="2" fillId="0" fontId="2" numFmtId="0" xfId="0" applyBorder="1" applyFont="1"/>
    <xf borderId="3" fillId="0" fontId="2" numFmtId="0" xfId="0" applyBorder="1" applyFont="1"/>
    <xf borderId="0" fillId="0" fontId="3" numFmtId="0" xfId="0" applyFont="1"/>
    <xf borderId="0" fillId="0" fontId="4" numFmtId="0" xfId="0" applyFont="1"/>
    <xf borderId="0" fillId="0" fontId="5" numFmtId="0" xfId="0" applyAlignment="1" applyFont="1">
      <alignment readingOrder="0"/>
    </xf>
    <xf borderId="4" fillId="0" fontId="2" numFmtId="0" xfId="0" applyBorder="1" applyFont="1"/>
    <xf borderId="5" fillId="0" fontId="2" numFmtId="0" xfId="0" applyBorder="1" applyFont="1"/>
    <xf borderId="6" fillId="2" fontId="6" numFmtId="0" xfId="0" applyBorder="1" applyFill="1" applyFont="1"/>
    <xf borderId="0" fillId="0" fontId="2" numFmtId="0" xfId="0" applyFont="1"/>
    <xf quotePrefix="1" borderId="6" fillId="2" fontId="6" numFmtId="0" xfId="0" applyBorder="1" applyFont="1"/>
    <xf borderId="0" fillId="0" fontId="7" numFmtId="0" xfId="0" applyFont="1"/>
    <xf borderId="0" fillId="0" fontId="7" numFmtId="0" xfId="0" applyAlignment="1" applyFont="1">
      <alignment horizontal="center" vertical="center"/>
    </xf>
    <xf borderId="6" fillId="2" fontId="6" numFmtId="0" xfId="0" applyAlignment="1" applyBorder="1" applyFont="1">
      <alignment horizontal="center" vertical="center"/>
    </xf>
    <xf borderId="6" fillId="3" fontId="8" numFmtId="0" xfId="0" applyBorder="1" applyFill="1" applyFont="1"/>
    <xf borderId="6" fillId="4" fontId="2" numFmtId="0" xfId="0" applyBorder="1" applyFill="1" applyFont="1"/>
    <xf borderId="6" fillId="5" fontId="9" numFmtId="0" xfId="0" applyBorder="1" applyFill="1" applyFont="1"/>
    <xf borderId="0" fillId="0" fontId="10" numFmtId="0" xfId="0" applyFont="1"/>
    <xf borderId="0" fillId="0" fontId="11" numFmtId="0" xfId="0" applyFont="1"/>
    <xf borderId="6" fillId="6" fontId="8" numFmtId="0" xfId="0" applyBorder="1" applyFill="1" applyFont="1"/>
    <xf borderId="0" fillId="0" fontId="2" numFmtId="0" xfId="0" applyAlignment="1" applyFont="1">
      <alignment horizontal="center" vertical="center"/>
    </xf>
    <xf borderId="0" fillId="0" fontId="2" numFmtId="14" xfId="0" applyFont="1" applyNumberFormat="1"/>
    <xf borderId="6" fillId="6" fontId="2" numFmtId="0" xfId="0" applyBorder="1" applyFont="1"/>
    <xf borderId="6" fillId="6" fontId="9" numFmtId="0" xfId="0" applyBorder="1" applyFont="1"/>
    <xf borderId="7" fillId="2" fontId="6" numFmtId="0" xfId="0" applyBorder="1" applyFont="1"/>
    <xf borderId="7" fillId="0" fontId="2" numFmtId="0" xfId="0" applyBorder="1" applyFont="1"/>
    <xf borderId="6" fillId="2" fontId="12" numFmtId="0" xfId="0" applyBorder="1" applyFont="1"/>
    <xf borderId="8" fillId="0" fontId="2" numFmtId="0" xfId="0" applyBorder="1" applyFont="1"/>
    <xf borderId="8" fillId="6" fontId="8" numFmtId="0" xfId="0" applyBorder="1" applyFont="1"/>
    <xf borderId="8" fillId="0" fontId="2" numFmtId="0" xfId="0" applyAlignment="1" applyBorder="1" applyFont="1">
      <alignment horizontal="center" vertical="center"/>
    </xf>
    <xf borderId="8" fillId="0" fontId="7" numFmtId="0" xfId="0" applyBorder="1" applyFont="1"/>
    <xf borderId="8" fillId="0" fontId="2" numFmtId="14" xfId="0" applyBorder="1" applyFont="1" applyNumberFormat="1"/>
    <xf borderId="8" fillId="3" fontId="8" numFmtId="0" xfId="0" applyBorder="1" applyFont="1"/>
    <xf quotePrefix="1" borderId="8" fillId="2" fontId="6" numFmtId="0" xfId="0" applyBorder="1" applyFont="1"/>
    <xf borderId="9" fillId="0" fontId="2" numFmtId="0" xfId="0" applyBorder="1" applyFont="1"/>
    <xf borderId="10" fillId="0" fontId="2" numFmtId="0" xfId="0" applyBorder="1" applyFont="1"/>
    <xf borderId="8" fillId="2" fontId="6" numFmtId="0" xfId="0" applyBorder="1" applyFont="1"/>
    <xf borderId="11" fillId="2" fontId="6" numFmtId="0" xfId="0" applyBorder="1" applyFont="1"/>
    <xf borderId="6" fillId="2" fontId="13" numFmtId="0" xfId="0" applyAlignment="1" applyBorder="1" applyFont="1">
      <alignment readingOrder="0"/>
    </xf>
    <xf quotePrefix="1" borderId="6" fillId="3" fontId="8" numFmtId="0" xfId="0" applyBorder="1" applyFont="1"/>
    <xf borderId="8" fillId="0" fontId="4" numFmtId="0" xfId="0" applyBorder="1" applyFont="1"/>
    <xf borderId="6" fillId="7" fontId="4" numFmtId="0" xfId="0" applyBorder="1" applyFill="1" applyFont="1"/>
    <xf borderId="6" fillId="7" fontId="2" numFmtId="0" xfId="0" applyBorder="1" applyFont="1"/>
    <xf borderId="6" fillId="6" fontId="14" numFmtId="0" xfId="0" applyBorder="1" applyFont="1"/>
    <xf borderId="6" fillId="6" fontId="14" numFmtId="164" xfId="0" applyBorder="1" applyFont="1" applyNumberFormat="1"/>
    <xf borderId="0" fillId="0" fontId="2" numFmtId="0" xfId="0" applyAlignment="1" applyFont="1">
      <alignment horizontal="right"/>
    </xf>
    <xf borderId="6" fillId="8" fontId="2" numFmtId="0" xfId="0" applyBorder="1" applyFill="1" applyFont="1"/>
    <xf borderId="0" fillId="0" fontId="2" numFmtId="0" xfId="0" applyAlignment="1" applyFont="1">
      <alignment horizontal="left"/>
    </xf>
    <xf borderId="6" fillId="9" fontId="15" numFmtId="0" xfId="0" applyBorder="1" applyFill="1" applyFont="1"/>
    <xf quotePrefix="1" borderId="0" fillId="0" fontId="2" numFmtId="0" xfId="0" applyFont="1"/>
    <xf borderId="6" fillId="3" fontId="16" numFmtId="0" xfId="0" applyBorder="1" applyFont="1"/>
    <xf borderId="0" fillId="0" fontId="7" numFmtId="14" xfId="0" applyFont="1" applyNumberFormat="1"/>
    <xf borderId="6" fillId="10" fontId="17" numFmtId="0" xfId="0" applyBorder="1" applyFill="1" applyFont="1"/>
    <xf borderId="6" fillId="10" fontId="2" numFmtId="0" xfId="0" applyBorder="1" applyFont="1"/>
    <xf borderId="6" fillId="2" fontId="18" numFmtId="0" xfId="0" applyBorder="1" applyFont="1"/>
    <xf borderId="6" fillId="2" fontId="18" numFmtId="0" xfId="0" applyAlignment="1" applyBorder="1" applyFont="1">
      <alignment horizontal="center" vertical="center"/>
    </xf>
    <xf borderId="6" fillId="2" fontId="18" numFmtId="14" xfId="0" applyBorder="1" applyFont="1" applyNumberFormat="1"/>
    <xf borderId="12" fillId="2" fontId="18" numFmtId="0" xfId="0" applyBorder="1" applyFont="1"/>
    <xf borderId="0" fillId="0" fontId="2" numFmtId="49" xfId="0" applyFont="1" applyNumberFormat="1"/>
    <xf borderId="13" fillId="0" fontId="2" numFmtId="0" xfId="0" applyBorder="1" applyFont="1"/>
    <xf borderId="14" fillId="0" fontId="2" numFmtId="0" xfId="0" applyBorder="1" applyFont="1"/>
    <xf borderId="15" fillId="5" fontId="9" numFmtId="0" xfId="0" applyBorder="1" applyFont="1"/>
    <xf borderId="16" fillId="0" fontId="2" numFmtId="0" xfId="0" applyBorder="1" applyFont="1"/>
    <xf borderId="11" fillId="3" fontId="8" numFmtId="0" xfId="0" applyBorder="1" applyFont="1"/>
    <xf borderId="6" fillId="11" fontId="19" numFmtId="0" xfId="0" applyBorder="1" applyFill="1" applyFont="1"/>
    <xf borderId="6" fillId="12" fontId="17" numFmtId="0" xfId="0" applyBorder="1" applyFill="1" applyFont="1"/>
    <xf borderId="9" fillId="0" fontId="2" numFmtId="14" xfId="0" applyBorder="1" applyFont="1" applyNumberFormat="1"/>
    <xf borderId="17" fillId="0" fontId="2" numFmtId="0" xfId="0" applyBorder="1" applyFont="1"/>
    <xf borderId="18" fillId="2" fontId="6" numFmtId="0" xfId="0" applyBorder="1" applyFont="1"/>
    <xf borderId="8" fillId="9" fontId="15" numFmtId="0" xfId="0" applyBorder="1" applyFont="1"/>
    <xf borderId="0" fillId="0" fontId="2" numFmtId="0" xfId="0" applyAlignment="1" applyFont="1">
      <alignment horizontal="center"/>
    </xf>
    <xf borderId="4" fillId="0" fontId="20" numFmtId="0" xfId="0" applyBorder="1" applyFont="1"/>
    <xf borderId="0" fillId="0" fontId="20" numFmtId="0" xfId="0" applyFont="1"/>
    <xf borderId="0" fillId="0" fontId="20" numFmtId="0" xfId="0" applyAlignment="1" applyFont="1">
      <alignment horizontal="center" vertical="center"/>
    </xf>
    <xf borderId="0" fillId="0" fontId="20" numFmtId="14" xfId="0" applyFont="1" applyNumberFormat="1"/>
    <xf borderId="4" fillId="0" fontId="21" numFmtId="0" xfId="0" applyBorder="1" applyFont="1"/>
    <xf borderId="0" fillId="0" fontId="21" numFmtId="0" xfId="0" applyFont="1"/>
    <xf borderId="0" fillId="0" fontId="21" numFmtId="0" xfId="0" applyAlignment="1" applyFont="1">
      <alignment horizontal="center" vertical="center"/>
    </xf>
    <xf borderId="19" fillId="0" fontId="2" numFmtId="0" xfId="0" applyBorder="1" applyFont="1"/>
    <xf borderId="0" fillId="0" fontId="12" numFmtId="0" xfId="0" applyFont="1"/>
    <xf borderId="0" fillId="0" fontId="6" numFmtId="0" xfId="0" applyFont="1"/>
    <xf borderId="20" fillId="7" fontId="2" numFmtId="0" xfId="0" applyBorder="1" applyFont="1"/>
    <xf borderId="12" fillId="7" fontId="2" numFmtId="0" xfId="0" applyBorder="1" applyFont="1"/>
    <xf borderId="7" fillId="7" fontId="2" numFmtId="0" xfId="0" applyBorder="1" applyFont="1"/>
    <xf borderId="6" fillId="7" fontId="22" numFmtId="0" xfId="0" applyBorder="1" applyFont="1"/>
    <xf borderId="20" fillId="7" fontId="22" numFmtId="0" xfId="0" applyBorder="1" applyFont="1"/>
    <xf borderId="6" fillId="7" fontId="4" numFmtId="0" xfId="0" applyAlignment="1" applyBorder="1" applyFont="1">
      <alignment shrinkToFit="0" wrapText="1"/>
    </xf>
    <xf borderId="6" fillId="13" fontId="2" numFmtId="0" xfId="0" applyBorder="1" applyFill="1" applyFont="1"/>
    <xf borderId="6" fillId="13" fontId="2" numFmtId="0" xfId="0" applyAlignment="1" applyBorder="1" applyFont="1">
      <alignment horizontal="center"/>
    </xf>
    <xf borderId="6" fillId="13" fontId="7" numFmtId="0" xfId="0" applyBorder="1" applyFont="1"/>
    <xf quotePrefix="1" borderId="6" fillId="2" fontId="6" numFmtId="0" xfId="0" applyAlignment="1" applyBorder="1" applyFont="1">
      <alignment readingOrder="0"/>
    </xf>
    <xf borderId="6" fillId="5" fontId="23" numFmtId="0" xfId="0" applyBorder="1" applyFont="1"/>
    <xf quotePrefix="1" borderId="6" fillId="2" fontId="13" numFmtId="0" xfId="0" applyAlignment="1" applyBorder="1" applyFont="1">
      <alignment readingOrder="0"/>
    </xf>
    <xf borderId="0" fillId="14" fontId="24" numFmtId="0" xfId="0" applyAlignment="1" applyFill="1" applyFont="1">
      <alignment readingOrder="0"/>
    </xf>
    <xf borderId="6" fillId="15" fontId="22" numFmtId="0" xfId="0" applyBorder="1" applyFill="1" applyFont="1"/>
    <xf borderId="6" fillId="15" fontId="4" numFmtId="0" xfId="0" applyBorder="1" applyFont="1"/>
    <xf borderId="6" fillId="15" fontId="4" numFmtId="0" xfId="0" applyAlignment="1" applyBorder="1" applyFont="1">
      <alignment horizontal="center"/>
    </xf>
    <xf borderId="8" fillId="10" fontId="2" numFmtId="0" xfId="0" applyBorder="1" applyFont="1"/>
    <xf borderId="0" fillId="14" fontId="25" numFmtId="0" xfId="0" applyAlignment="1" applyFont="1">
      <alignment readingOrder="0"/>
    </xf>
    <xf borderId="8" fillId="0" fontId="2" numFmtId="0" xfId="0" applyAlignment="1" applyBorder="1" applyFont="1">
      <alignment horizontal="center"/>
    </xf>
    <xf borderId="21" fillId="2" fontId="6" numFmtId="0" xfId="0" applyBorder="1" applyFont="1"/>
    <xf borderId="0" fillId="14" fontId="26" numFmtId="0" xfId="0" applyAlignment="1" applyFont="1">
      <alignment readingOrder="0"/>
    </xf>
    <xf borderId="11" fillId="10" fontId="2" numFmtId="0" xfId="0" applyBorder="1" applyFont="1"/>
    <xf borderId="21" fillId="10" fontId="2" numFmtId="0" xfId="0" applyBorder="1" applyFont="1"/>
    <xf borderId="6" fillId="13" fontId="27" numFmtId="0" xfId="0" applyBorder="1" applyFont="1"/>
    <xf borderId="6" fillId="7" fontId="28" numFmtId="0" xfId="0" applyBorder="1" applyFont="1"/>
    <xf borderId="6" fillId="2" fontId="29" numFmtId="0" xfId="0" applyBorder="1" applyFont="1"/>
    <xf borderId="6" fillId="2" fontId="29" numFmtId="0" xfId="0" applyAlignment="1" applyBorder="1" applyFont="1">
      <alignment horizontal="center" vertical="center"/>
    </xf>
    <xf borderId="6" fillId="2" fontId="29" numFmtId="49" xfId="0" applyBorder="1" applyFont="1" applyNumberFormat="1"/>
    <xf borderId="0" fillId="0" fontId="2" numFmtId="0" xfId="0" applyAlignment="1" applyFont="1">
      <alignment readingOrder="0"/>
    </xf>
    <xf borderId="6" fillId="2" fontId="18" numFmtId="49" xfId="0" applyBorder="1" applyFont="1" applyNumberFormat="1"/>
    <xf borderId="0" fillId="0" fontId="30" numFmtId="165" xfId="0" applyAlignment="1" applyFont="1" applyNumberFormat="1">
      <alignment horizontal="right" shrinkToFit="0" vertical="center" wrapText="1"/>
    </xf>
    <xf borderId="0" fillId="0" fontId="30" numFmtId="166" xfId="0" applyAlignment="1" applyFont="1" applyNumberFormat="1">
      <alignment horizontal="right" shrinkToFit="0" vertical="center" wrapText="1"/>
    </xf>
    <xf borderId="0" fillId="0" fontId="2" numFmtId="166" xfId="0" applyAlignment="1" applyFont="1" applyNumberFormat="1">
      <alignment horizontal="right"/>
    </xf>
    <xf borderId="0" fillId="0" fontId="30" numFmtId="167" xfId="0" applyAlignment="1" applyFont="1" applyNumberFormat="1">
      <alignment horizontal="right" shrinkToFit="0" vertical="center" wrapText="1"/>
    </xf>
    <xf borderId="0" fillId="0" fontId="30" numFmtId="0" xfId="0" applyAlignment="1" applyFont="1">
      <alignment readingOrder="0"/>
    </xf>
    <xf borderId="0" fillId="0" fontId="30" numFmtId="2" xfId="0" applyAlignment="1" applyFont="1" applyNumberFormat="1">
      <alignment horizontal="right" shrinkToFit="0" vertical="center" wrapText="1"/>
    </xf>
    <xf borderId="0" fillId="0" fontId="30" numFmtId="4" xfId="0" applyAlignment="1" applyFont="1" applyNumberFormat="1">
      <alignment horizontal="right" shrinkToFit="0" vertical="center" wrapText="1"/>
    </xf>
    <xf borderId="0" fillId="0" fontId="30" numFmtId="168" xfId="0" applyAlignment="1" applyFont="1" applyNumberFormat="1">
      <alignment horizontal="right" shrinkToFit="0" vertical="center" wrapText="1"/>
    </xf>
    <xf borderId="22" fillId="0" fontId="2" numFmtId="0" xfId="0" applyAlignment="1" applyBorder="1" applyFont="1">
      <alignment horizontal="center"/>
    </xf>
    <xf borderId="23" fillId="0" fontId="31" numFmtId="0" xfId="0" applyBorder="1" applyFont="1"/>
    <xf borderId="22" fillId="0" fontId="2" numFmtId="0" xfId="0" applyAlignment="1" applyBorder="1" applyFont="1">
      <alignment shrinkToFit="0" vertical="center" wrapText="1"/>
    </xf>
    <xf borderId="24" fillId="0" fontId="2" numFmtId="0" xfId="0" applyAlignment="1" applyBorder="1" applyFont="1">
      <alignment shrinkToFit="0" vertical="center" wrapText="1"/>
    </xf>
    <xf borderId="25" fillId="3" fontId="16" numFmtId="0" xfId="0" applyAlignment="1" applyBorder="1" applyFont="1">
      <alignment horizontal="center" shrinkToFit="0" vertical="center" wrapText="1"/>
    </xf>
    <xf borderId="26" fillId="3" fontId="16" numFmtId="0" xfId="0" applyAlignment="1" applyBorder="1" applyFont="1">
      <alignment shrinkToFit="0" vertical="center" wrapText="1"/>
    </xf>
    <xf borderId="2" fillId="0" fontId="2" numFmtId="0" xfId="0" applyAlignment="1" applyBorder="1" applyFont="1">
      <alignment horizontal="center" shrinkToFit="0" vertical="center" wrapText="1"/>
    </xf>
    <xf borderId="2" fillId="0" fontId="31" numFmtId="0" xfId="0" applyBorder="1" applyFont="1"/>
    <xf borderId="3" fillId="0" fontId="31" numFmtId="0" xfId="0" applyBorder="1" applyFont="1"/>
    <xf borderId="24" fillId="0" fontId="2" numFmtId="0" xfId="0" applyAlignment="1" applyBorder="1" applyFont="1">
      <alignment horizontal="left" shrinkToFit="0" vertical="center" wrapText="1"/>
    </xf>
    <xf borderId="27" fillId="0" fontId="31" numFmtId="0" xfId="0" applyBorder="1" applyFont="1"/>
    <xf borderId="28" fillId="0" fontId="2" numFmtId="0" xfId="0" applyAlignment="1" applyBorder="1" applyFont="1">
      <alignment shrinkToFit="0" vertical="center" wrapText="1"/>
    </xf>
    <xf borderId="29" fillId="0" fontId="2" numFmtId="0" xfId="0" applyAlignment="1" applyBorder="1" applyFont="1">
      <alignment shrinkToFit="0" vertical="center" wrapText="1"/>
    </xf>
    <xf borderId="30" fillId="0" fontId="31" numFmtId="0" xfId="0" applyBorder="1" applyFont="1"/>
    <xf borderId="31" fillId="0" fontId="31" numFmtId="0" xfId="0" applyBorder="1" applyFont="1"/>
    <xf borderId="32" fillId="0" fontId="31" numFmtId="0" xfId="0" applyBorder="1" applyFont="1"/>
    <xf borderId="30" fillId="0" fontId="2" numFmtId="0" xfId="0" applyAlignment="1" applyBorder="1" applyFont="1">
      <alignment horizontal="center" shrinkToFit="0" vertical="center" wrapText="1"/>
    </xf>
    <xf borderId="33" fillId="0" fontId="31" numFmtId="0" xfId="0" applyBorder="1" applyFont="1"/>
    <xf borderId="34" fillId="3" fontId="16" numFmtId="0" xfId="0" applyAlignment="1" applyBorder="1" applyFont="1">
      <alignment horizontal="center" shrinkToFit="0" vertical="center" wrapText="1"/>
    </xf>
    <xf borderId="35" fillId="0" fontId="31" numFmtId="0" xfId="0" applyBorder="1" applyFont="1"/>
    <xf borderId="25" fillId="0" fontId="2" numFmtId="0" xfId="0" applyAlignment="1" applyBorder="1" applyFont="1">
      <alignment horizontal="center" shrinkToFit="0" vertical="center" wrapText="1"/>
    </xf>
    <xf borderId="26" fillId="0" fontId="2" numFmtId="0" xfId="0" applyAlignment="1" applyBorder="1" applyFont="1">
      <alignment horizontal="center" shrinkToFit="0" vertical="center" wrapText="1"/>
    </xf>
    <xf borderId="36" fillId="0" fontId="2" numFmtId="0" xfId="0" applyAlignment="1" applyBorder="1" applyFont="1">
      <alignment shrinkToFit="0" vertical="center" wrapText="1"/>
    </xf>
    <xf borderId="26" fillId="3" fontId="16" numFmtId="0" xfId="0" applyAlignment="1" applyBorder="1" applyFont="1">
      <alignment horizontal="center" shrinkToFit="0" vertical="center" wrapText="1"/>
    </xf>
    <xf borderId="37" fillId="0" fontId="2" numFmtId="0" xfId="0" applyAlignment="1" applyBorder="1" applyFont="1">
      <alignment horizontal="center" shrinkToFit="0" vertical="center" wrapText="1"/>
    </xf>
    <xf borderId="38" fillId="3" fontId="16" numFmtId="0" xfId="0" applyAlignment="1" applyBorder="1" applyFont="1">
      <alignment horizontal="center" shrinkToFit="0" vertical="center" wrapText="1"/>
    </xf>
    <xf borderId="39" fillId="0" fontId="31" numFmtId="0" xfId="0" applyBorder="1" applyFont="1"/>
    <xf borderId="37" fillId="0" fontId="10" numFmtId="0" xfId="0" applyAlignment="1" applyBorder="1" applyFont="1">
      <alignment horizontal="center" shrinkToFit="0" vertical="center" wrapText="1"/>
    </xf>
    <xf borderId="0" fillId="0" fontId="32" numFmtId="0" xfId="0" applyFont="1"/>
    <xf borderId="40" fillId="0" fontId="31" numFmtId="0" xfId="0" applyBorder="1" applyFont="1"/>
    <xf borderId="41" fillId="0" fontId="31" numFmtId="0" xfId="0" applyBorder="1" applyFont="1"/>
    <xf borderId="42" fillId="0" fontId="31" numFmtId="0" xfId="0" applyBorder="1" applyFont="1"/>
    <xf borderId="43" fillId="0" fontId="31" numFmtId="0" xfId="0" applyBorder="1" applyFont="1"/>
    <xf borderId="25" fillId="0" fontId="2" numFmtId="0" xfId="0" applyAlignment="1" applyBorder="1" applyFont="1">
      <alignment shrinkToFit="0" vertical="center" wrapText="1"/>
    </xf>
    <xf borderId="29" fillId="3" fontId="16" numFmtId="0" xfId="0" applyAlignment="1" applyBorder="1" applyFont="1">
      <alignment shrinkToFit="0" vertical="center" wrapText="1"/>
    </xf>
    <xf borderId="44" fillId="0" fontId="31" numFmtId="0" xfId="0" applyBorder="1" applyFont="1"/>
    <xf borderId="45" fillId="3" fontId="16" numFmtId="0" xfId="0" applyAlignment="1" applyBorder="1" applyFont="1">
      <alignment horizontal="center" shrinkToFit="0" vertical="center" wrapText="1"/>
    </xf>
    <xf borderId="46" fillId="0" fontId="31" numFmtId="0" xfId="0" applyBorder="1" applyFont="1"/>
    <xf borderId="36" fillId="0" fontId="2" numFmtId="0" xfId="0" applyAlignment="1" applyBorder="1" applyFont="1">
      <alignment horizontal="left" shrinkToFit="0" vertical="center" wrapText="1"/>
    </xf>
    <xf borderId="47" fillId="0" fontId="32" numFmtId="0" xfId="0" applyAlignment="1" applyBorder="1" applyFont="1">
      <alignment horizontal="left" vertical="center"/>
    </xf>
    <xf borderId="48" fillId="0" fontId="31" numFmtId="0" xfId="0" applyBorder="1" applyFont="1"/>
    <xf borderId="47" fillId="0" fontId="31" numFmtId="0" xfId="0" applyBorder="1" applyFont="1"/>
    <xf borderId="5" fillId="0" fontId="31" numFmtId="0" xfId="0" applyBorder="1" applyFont="1"/>
    <xf borderId="49" fillId="0" fontId="2" numFmtId="0" xfId="0" applyAlignment="1" applyBorder="1" applyFont="1">
      <alignment horizontal="center" shrinkToFit="0" vertical="center" wrapText="1"/>
    </xf>
    <xf borderId="50" fillId="0" fontId="2" numFmtId="0" xfId="0" applyAlignment="1" applyBorder="1" applyFont="1">
      <alignment horizontal="center" shrinkToFit="0" vertical="center" wrapText="1"/>
    </xf>
    <xf borderId="51" fillId="0" fontId="2" numFmtId="0" xfId="0" applyAlignment="1" applyBorder="1" applyFont="1">
      <alignment horizontal="center" shrinkToFit="0" vertical="center" wrapText="1"/>
    </xf>
    <xf borderId="52" fillId="16" fontId="33" numFmtId="0" xfId="0" applyAlignment="1" applyBorder="1" applyFill="1" applyFont="1">
      <alignment horizontal="center" vertical="center"/>
    </xf>
    <xf borderId="53" fillId="0" fontId="31" numFmtId="0" xfId="0" applyBorder="1" applyFont="1"/>
    <xf borderId="54" fillId="0" fontId="31" numFmtId="0" xfId="0" applyBorder="1" applyFont="1"/>
    <xf borderId="55" fillId="0" fontId="31" numFmtId="0" xfId="0" applyBorder="1" applyFont="1"/>
    <xf borderId="4" fillId="0" fontId="31" numFmtId="0" xfId="0" applyBorder="1" applyFont="1"/>
    <xf borderId="56" fillId="0" fontId="31" numFmtId="0" xfId="0" applyBorder="1" applyFont="1"/>
    <xf borderId="57" fillId="0" fontId="31" numFmtId="0" xfId="0" applyBorder="1" applyFont="1"/>
    <xf borderId="58" fillId="0" fontId="31" numFmtId="0" xfId="0" applyBorder="1" applyFont="1"/>
    <xf borderId="59" fillId="0" fontId="31" numFmtId="0" xfId="0" applyBorder="1" applyFont="1"/>
    <xf borderId="37" fillId="6" fontId="2" numFmtId="0" xfId="0" applyAlignment="1" applyBorder="1" applyFont="1">
      <alignment horizontal="center" shrinkToFit="0" vertical="center" wrapText="1"/>
    </xf>
    <xf borderId="60" fillId="3" fontId="16" numFmtId="0" xfId="0" applyAlignment="1" applyBorder="1" applyFont="1">
      <alignment shrinkToFit="0" vertical="center" wrapText="1"/>
    </xf>
    <xf borderId="49" fillId="0" fontId="10" numFmtId="0" xfId="0" applyAlignment="1" applyBorder="1" applyFont="1">
      <alignment horizontal="right" vertical="center"/>
    </xf>
    <xf borderId="36" fillId="0" fontId="31" numFmtId="0" xfId="0" applyBorder="1" applyFont="1"/>
    <xf borderId="61" fillId="3" fontId="16" numFmtId="0" xfId="0" applyAlignment="1" applyBorder="1" applyFont="1">
      <alignment shrinkToFit="0" vertical="center" wrapText="1"/>
    </xf>
    <xf borderId="61" fillId="3" fontId="16" numFmtId="0" xfId="0" applyAlignment="1" applyBorder="1" applyFont="1">
      <alignment horizontal="left" shrinkToFit="0" vertical="center" wrapText="1"/>
    </xf>
    <xf borderId="44" fillId="0" fontId="2" numFmtId="0" xfId="0" applyAlignment="1" applyBorder="1" applyFont="1">
      <alignment shrinkToFit="0" vertical="center" wrapText="1"/>
    </xf>
    <xf borderId="45" fillId="3" fontId="34" numFmtId="0" xfId="0" applyAlignment="1" applyBorder="1" applyFont="1">
      <alignment horizontal="center" shrinkToFit="0" vertical="center" wrapText="1"/>
    </xf>
    <xf borderId="36" fillId="0" fontId="2" numFmtId="0" xfId="0" applyAlignment="1" applyBorder="1" applyFont="1">
      <alignment horizontal="center" shrinkToFit="0" vertical="center" wrapText="1"/>
    </xf>
    <xf borderId="49" fillId="0" fontId="2" numFmtId="0" xfId="0" applyAlignment="1" applyBorder="1" applyFont="1">
      <alignment horizontal="left" shrinkToFit="0" vertical="center" wrapText="1"/>
    </xf>
    <xf borderId="27" fillId="0" fontId="2" numFmtId="0" xfId="0" applyAlignment="1" applyBorder="1" applyFont="1">
      <alignment shrinkToFit="0" vertical="center" wrapText="1"/>
    </xf>
    <xf borderId="51" fillId="0" fontId="2" numFmtId="0" xfId="0" applyAlignment="1" applyBorder="1" applyFont="1">
      <alignment shrinkToFit="0" vertical="center" wrapText="1"/>
    </xf>
    <xf borderId="51" fillId="3" fontId="16" numFmtId="0" xfId="0" applyAlignment="1" applyBorder="1" applyFont="1">
      <alignment shrinkToFit="0" vertical="center" wrapText="1"/>
    </xf>
    <xf borderId="51" fillId="0" fontId="2" numFmtId="0" xfId="0" applyAlignment="1" applyBorder="1" applyFont="1">
      <alignment horizontal="center"/>
    </xf>
    <xf borderId="62" fillId="16" fontId="33" numFmtId="0" xfId="0" applyAlignment="1" applyBorder="1" applyFont="1">
      <alignment horizontal="center" vertical="center"/>
    </xf>
    <xf borderId="28" fillId="3" fontId="16" numFmtId="0" xfId="0" applyAlignment="1" applyBorder="1" applyFont="1">
      <alignment shrinkToFit="0" vertical="center" wrapText="1"/>
    </xf>
    <xf borderId="44" fillId="0" fontId="2" numFmtId="0" xfId="0" applyAlignment="1" applyBorder="1" applyFont="1">
      <alignment horizontal="left" shrinkToFit="0" vertical="center" wrapText="1"/>
    </xf>
    <xf borderId="62" fillId="0" fontId="2" numFmtId="0" xfId="0" applyAlignment="1" applyBorder="1" applyFont="1">
      <alignment horizontal="left"/>
    </xf>
    <xf borderId="25" fillId="3" fontId="16" numFmtId="0" xfId="0" applyAlignment="1" applyBorder="1" applyFont="1">
      <alignment shrinkToFit="0" vertical="center" wrapText="1"/>
    </xf>
    <xf borderId="37" fillId="0" fontId="2" numFmtId="0" xfId="0" applyAlignment="1" applyBorder="1" applyFont="1">
      <alignment horizontal="left" shrinkToFit="0" vertical="center" wrapText="1"/>
    </xf>
    <xf borderId="63" fillId="3" fontId="16" numFmtId="0" xfId="0" applyAlignment="1" applyBorder="1" applyFont="1">
      <alignment horizontal="center" shrinkToFit="0" vertical="center" wrapText="1"/>
    </xf>
    <xf borderId="64" fillId="3" fontId="16" numFmtId="0" xfId="0" applyAlignment="1" applyBorder="1" applyFont="1">
      <alignment horizontal="center" shrinkToFit="0" vertical="center" wrapText="1"/>
    </xf>
    <xf borderId="65" fillId="0" fontId="2" numFmtId="0" xfId="0" applyAlignment="1" applyBorder="1" applyFont="1">
      <alignment shrinkToFit="0" vertical="center" wrapText="1"/>
    </xf>
    <xf borderId="66" fillId="0" fontId="2" numFmtId="0" xfId="0" applyAlignment="1" applyBorder="1" applyFont="1">
      <alignment shrinkToFit="0" vertical="center" wrapText="1"/>
    </xf>
    <xf borderId="65" fillId="3" fontId="16" numFmtId="0" xfId="0" applyAlignment="1" applyBorder="1" applyFont="1">
      <alignment shrinkToFit="0" vertical="center" wrapText="1"/>
    </xf>
    <xf borderId="66" fillId="3" fontId="16" numFmtId="0" xfId="0" applyAlignment="1" applyBorder="1" applyFont="1">
      <alignment shrinkToFit="0" vertical="center" wrapText="1"/>
    </xf>
    <xf borderId="67" fillId="0" fontId="2" numFmtId="0" xfId="0" applyAlignment="1" applyBorder="1" applyFont="1">
      <alignment horizontal="center" shrinkToFit="0" vertical="center" wrapText="1"/>
    </xf>
    <xf borderId="68" fillId="0" fontId="31" numFmtId="0" xfId="0" applyBorder="1" applyFont="1"/>
    <xf borderId="69" fillId="3" fontId="16" numFmtId="0" xfId="0" applyAlignment="1" applyBorder="1" applyFont="1">
      <alignment horizontal="center" shrinkToFit="0" vertical="center" wrapText="1"/>
    </xf>
    <xf borderId="70" fillId="0" fontId="31" numFmtId="0" xfId="0" applyBorder="1" applyFont="1"/>
    <xf borderId="71" fillId="3" fontId="16" numFmtId="0" xfId="0" applyAlignment="1" applyBorder="1" applyFont="1">
      <alignment shrinkToFit="0" vertical="center" wrapText="1"/>
    </xf>
    <xf borderId="72" fillId="3" fontId="16" numFmtId="0" xfId="0" applyAlignment="1" applyBorder="1" applyFont="1">
      <alignment shrinkToFit="0" vertical="center" wrapText="1"/>
    </xf>
    <xf borderId="6" fillId="3" fontId="8" numFmtId="0" xfId="0" applyAlignment="1" applyBorder="1" applyFont="1">
      <alignment vertical="center"/>
    </xf>
  </cellXfs>
  <cellStyles count="1">
    <cellStyle xfId="0" name="Normal" builtinId="0"/>
  </cellStyles>
  <dxfs count="1">
    <dxf>
      <font>
        <color theme="0"/>
      </font>
      <fill>
        <patternFill patternType="solid">
          <fgColor rgb="FFC00000"/>
          <bgColor rgb="FFC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8.13"/>
    <col customWidth="1" min="2" max="3" width="16.13"/>
    <col customWidth="1" min="4" max="4" width="26.5"/>
    <col customWidth="1" min="5" max="5" width="16.13"/>
    <col customWidth="1" min="6" max="6" width="30.25"/>
    <col customWidth="1" min="7" max="7" width="81.25"/>
    <col customWidth="1" min="8" max="8" width="26.13"/>
    <col customWidth="1" min="9" max="9" width="19.88"/>
    <col customWidth="1" min="10" max="10" width="109.25"/>
    <col customWidth="1" min="11" max="11" width="10.0"/>
    <col customWidth="1" min="12" max="12" width="11.75"/>
    <col customWidth="1" min="13" max="14" width="15.38"/>
    <col customWidth="1" min="15" max="15" width="34.13"/>
    <col customWidth="1" min="16" max="16" width="27.25"/>
    <col customWidth="1" min="17" max="17" width="8.88"/>
    <col customWidth="1" min="18" max="18" width="30.88"/>
    <col customWidth="1" min="19" max="19" width="16.5"/>
    <col customWidth="1" min="20" max="20" width="16.75"/>
    <col customWidth="1" min="21" max="21" width="10.63"/>
    <col customWidth="1" min="22" max="22" width="8.63"/>
    <col customWidth="1" min="23" max="23" width="11.25"/>
    <col customWidth="1" min="24" max="24" width="19.88"/>
    <col customWidth="1" min="25" max="25" width="21.75"/>
    <col customWidth="1" min="26" max="40" width="8.63"/>
    <col customWidth="1" min="41" max="41" width="18.75"/>
    <col customWidth="1" min="42" max="72" width="8.63"/>
  </cols>
  <sheetData>
    <row r="1" ht="14.25" customHeight="1">
      <c r="A1" s="1" t="s">
        <v>0</v>
      </c>
      <c r="M1" s="2" t="s">
        <v>1</v>
      </c>
      <c r="N1" s="3"/>
      <c r="O1" s="3"/>
      <c r="P1" s="3"/>
      <c r="Q1" s="3"/>
      <c r="R1" s="3"/>
      <c r="S1" s="3"/>
      <c r="T1" s="3"/>
      <c r="U1" s="3"/>
      <c r="V1" s="3"/>
      <c r="W1" s="3"/>
      <c r="X1" s="3"/>
      <c r="Y1" s="3"/>
      <c r="Z1" s="3"/>
      <c r="AA1" s="3"/>
      <c r="AB1" s="3"/>
      <c r="AC1" s="3"/>
      <c r="AD1" s="3"/>
      <c r="AE1" s="3"/>
      <c r="AF1" s="3"/>
      <c r="AG1" s="3"/>
      <c r="AH1" s="3"/>
      <c r="AI1" s="3"/>
      <c r="AJ1" s="3"/>
      <c r="AK1" s="4"/>
      <c r="AL1" s="5" t="s">
        <v>2</v>
      </c>
      <c r="AM1" s="5" t="s">
        <v>3</v>
      </c>
      <c r="AN1" s="5" t="s">
        <v>4</v>
      </c>
    </row>
    <row r="2" ht="14.25" customHeight="1">
      <c r="A2" s="6" t="s">
        <v>5</v>
      </c>
      <c r="B2" s="5" t="s">
        <v>6</v>
      </c>
      <c r="C2" s="5" t="s">
        <v>7</v>
      </c>
      <c r="D2" s="7" t="s">
        <v>8</v>
      </c>
      <c r="E2" s="5" t="s">
        <v>9</v>
      </c>
      <c r="F2" s="5" t="s">
        <v>10</v>
      </c>
      <c r="G2" s="5" t="s">
        <v>11</v>
      </c>
      <c r="H2" s="5" t="s">
        <v>12</v>
      </c>
      <c r="I2" s="5" t="s">
        <v>13</v>
      </c>
      <c r="J2" s="5" t="s">
        <v>14</v>
      </c>
      <c r="K2" s="5" t="s">
        <v>15</v>
      </c>
      <c r="L2" s="5" t="s">
        <v>16</v>
      </c>
      <c r="M2" s="8" t="s">
        <v>17</v>
      </c>
      <c r="N2" s="5" t="s">
        <v>18</v>
      </c>
      <c r="O2" s="5" t="s">
        <v>19</v>
      </c>
      <c r="P2" s="5" t="s">
        <v>20</v>
      </c>
      <c r="Q2" s="5" t="s">
        <v>21</v>
      </c>
      <c r="R2" s="5" t="s">
        <v>22</v>
      </c>
      <c r="S2" s="5" t="s">
        <v>23</v>
      </c>
      <c r="U2" s="5" t="s">
        <v>24</v>
      </c>
      <c r="V2" s="5" t="s">
        <v>25</v>
      </c>
      <c r="W2" s="5" t="s">
        <v>26</v>
      </c>
      <c r="X2" s="5" t="s">
        <v>27</v>
      </c>
      <c r="Y2" s="5" t="s">
        <v>28</v>
      </c>
      <c r="AE2" s="5" t="s">
        <v>29</v>
      </c>
      <c r="AF2" s="5" t="s">
        <v>30</v>
      </c>
      <c r="AG2" s="5" t="s">
        <v>24</v>
      </c>
      <c r="AK2" s="9"/>
      <c r="AL2" s="5" t="s">
        <v>31</v>
      </c>
      <c r="AM2" s="5" t="s">
        <v>32</v>
      </c>
      <c r="AN2" s="5" t="s">
        <v>33</v>
      </c>
      <c r="AO2" s="5" t="s">
        <v>34</v>
      </c>
      <c r="AP2" s="5" t="s">
        <v>35</v>
      </c>
      <c r="AQ2" s="5" t="s">
        <v>36</v>
      </c>
      <c r="AR2" s="5" t="s">
        <v>37</v>
      </c>
      <c r="AS2" s="5" t="s">
        <v>38</v>
      </c>
      <c r="AT2" s="5" t="s">
        <v>39</v>
      </c>
      <c r="AU2" s="5" t="s">
        <v>40</v>
      </c>
      <c r="AV2" s="5" t="s">
        <v>41</v>
      </c>
      <c r="AW2" s="5" t="s">
        <v>42</v>
      </c>
      <c r="AX2" s="5" t="s">
        <v>43</v>
      </c>
    </row>
    <row r="3" ht="14.25" customHeight="1">
      <c r="A3" s="6"/>
      <c r="B3" s="5">
        <v>36.0</v>
      </c>
      <c r="C3" s="5" t="s">
        <v>44</v>
      </c>
      <c r="D3" s="5" t="s">
        <v>45</v>
      </c>
      <c r="E3" s="5">
        <v>12613.0</v>
      </c>
      <c r="F3" s="5" t="s">
        <v>46</v>
      </c>
      <c r="G3" s="5" t="s">
        <v>47</v>
      </c>
      <c r="H3" s="5" t="s">
        <v>48</v>
      </c>
      <c r="I3" s="5" t="s">
        <v>49</v>
      </c>
      <c r="J3" s="5" t="s">
        <v>50</v>
      </c>
      <c r="K3" s="5">
        <v>1.0</v>
      </c>
      <c r="L3" s="5">
        <v>14635.0</v>
      </c>
      <c r="M3" s="8">
        <v>48.494167</v>
      </c>
      <c r="N3" s="5">
        <v>-123.614722</v>
      </c>
      <c r="O3" s="5" t="s">
        <v>51</v>
      </c>
      <c r="P3" s="5" t="s">
        <v>45</v>
      </c>
      <c r="Q3" s="5">
        <v>3.0</v>
      </c>
      <c r="R3" s="5" t="s">
        <v>46</v>
      </c>
      <c r="S3" s="5" t="s">
        <v>44</v>
      </c>
      <c r="T3" s="5">
        <v>493.0</v>
      </c>
      <c r="V3" s="5" t="s">
        <v>52</v>
      </c>
      <c r="W3" s="5">
        <v>35886.0</v>
      </c>
      <c r="X3" s="5" t="s">
        <v>53</v>
      </c>
      <c r="Y3" s="5" t="s">
        <v>54</v>
      </c>
      <c r="AA3" s="5" t="s">
        <v>55</v>
      </c>
      <c r="AB3" s="5" t="s">
        <v>56</v>
      </c>
      <c r="AC3" s="5" t="s">
        <v>57</v>
      </c>
      <c r="AD3" s="5" t="s">
        <v>58</v>
      </c>
      <c r="AH3" s="5" t="s">
        <v>59</v>
      </c>
      <c r="AK3" s="9"/>
    </row>
    <row r="4" ht="14.25" customHeight="1">
      <c r="A4" s="6"/>
      <c r="B4" s="5">
        <v>36.0</v>
      </c>
      <c r="C4" s="5" t="s">
        <v>44</v>
      </c>
      <c r="D4" s="5" t="s">
        <v>60</v>
      </c>
      <c r="E4" s="5">
        <v>12614.0</v>
      </c>
      <c r="F4" s="5" t="s">
        <v>61</v>
      </c>
      <c r="G4" s="5" t="s">
        <v>62</v>
      </c>
      <c r="H4" s="5" t="s">
        <v>63</v>
      </c>
      <c r="I4" s="5" t="s">
        <v>49</v>
      </c>
      <c r="J4" s="5" t="s">
        <v>64</v>
      </c>
      <c r="K4" s="5">
        <v>1.0</v>
      </c>
      <c r="L4" s="5">
        <v>14636.0</v>
      </c>
      <c r="M4" s="8">
        <v>48.52944</v>
      </c>
      <c r="N4" s="5">
        <v>-123.638611</v>
      </c>
      <c r="O4" s="5" t="s">
        <v>51</v>
      </c>
      <c r="P4" s="5" t="s">
        <v>60</v>
      </c>
      <c r="Q4" s="5">
        <v>4.0</v>
      </c>
      <c r="R4" s="5" t="s">
        <v>61</v>
      </c>
      <c r="S4" s="5" t="s">
        <v>44</v>
      </c>
      <c r="T4" s="5">
        <v>606.0</v>
      </c>
      <c r="V4" s="5" t="s">
        <v>65</v>
      </c>
      <c r="W4" s="5">
        <v>35065.0</v>
      </c>
      <c r="X4" s="5" t="s">
        <v>53</v>
      </c>
      <c r="Y4" s="5" t="s">
        <v>54</v>
      </c>
      <c r="AA4" s="5" t="s">
        <v>55</v>
      </c>
      <c r="AB4" s="5" t="s">
        <v>56</v>
      </c>
      <c r="AC4" s="5" t="s">
        <v>66</v>
      </c>
      <c r="AK4" s="9"/>
    </row>
    <row r="5" ht="14.25" customHeight="1">
      <c r="A5" s="6"/>
      <c r="B5" s="5">
        <v>36.0</v>
      </c>
      <c r="C5" s="5" t="s">
        <v>44</v>
      </c>
      <c r="D5" s="5" t="s">
        <v>67</v>
      </c>
      <c r="E5" s="5">
        <v>12615.0</v>
      </c>
      <c r="F5" s="5" t="s">
        <v>68</v>
      </c>
      <c r="G5" s="5" t="s">
        <v>69</v>
      </c>
      <c r="H5" s="5" t="s">
        <v>70</v>
      </c>
      <c r="I5" s="5" t="s">
        <v>49</v>
      </c>
      <c r="J5" s="5" t="s">
        <v>71</v>
      </c>
      <c r="K5" s="5">
        <v>1.0</v>
      </c>
      <c r="L5" s="5">
        <v>14637.0</v>
      </c>
      <c r="M5" s="8">
        <v>48.585833</v>
      </c>
      <c r="N5" s="5">
        <v>-123.751111</v>
      </c>
      <c r="O5" s="5" t="s">
        <v>51</v>
      </c>
      <c r="P5" s="5" t="s">
        <v>67</v>
      </c>
      <c r="Q5" s="5">
        <v>4.0</v>
      </c>
      <c r="R5" s="5" t="s">
        <v>68</v>
      </c>
      <c r="S5" s="5" t="s">
        <v>44</v>
      </c>
      <c r="T5" s="5">
        <v>675.0</v>
      </c>
      <c r="V5" s="5" t="s">
        <v>72</v>
      </c>
      <c r="W5" s="5">
        <v>35125.0</v>
      </c>
      <c r="X5" s="5" t="s">
        <v>53</v>
      </c>
      <c r="Y5" s="5" t="s">
        <v>54</v>
      </c>
      <c r="AA5" s="5" t="s">
        <v>55</v>
      </c>
      <c r="AB5" s="5" t="s">
        <v>56</v>
      </c>
      <c r="AC5" s="5" t="s">
        <v>57</v>
      </c>
      <c r="AD5" s="5" t="s">
        <v>58</v>
      </c>
      <c r="AI5" s="5" t="s">
        <v>73</v>
      </c>
      <c r="AK5" s="9"/>
    </row>
    <row r="6" ht="14.25" customHeight="1">
      <c r="A6" s="6"/>
      <c r="B6" s="5">
        <v>36.0</v>
      </c>
      <c r="C6" s="5" t="s">
        <v>44</v>
      </c>
      <c r="D6" s="5" t="s">
        <v>74</v>
      </c>
      <c r="E6" s="5">
        <v>12616.0</v>
      </c>
      <c r="F6" s="5" t="s">
        <v>75</v>
      </c>
      <c r="G6" s="5" t="s">
        <v>76</v>
      </c>
      <c r="H6" s="5" t="s">
        <v>77</v>
      </c>
      <c r="I6" s="5" t="s">
        <v>49</v>
      </c>
      <c r="J6" s="5" t="s">
        <v>78</v>
      </c>
      <c r="K6" s="5">
        <v>1.0</v>
      </c>
      <c r="L6" s="5">
        <v>14638.0</v>
      </c>
      <c r="M6" s="5">
        <v>48.580278</v>
      </c>
      <c r="N6" s="5">
        <v>-123.840556</v>
      </c>
      <c r="O6" s="5" t="s">
        <v>51</v>
      </c>
      <c r="P6" s="5" t="s">
        <v>74</v>
      </c>
      <c r="Q6" s="5">
        <v>4.0</v>
      </c>
      <c r="R6" s="5" t="s">
        <v>75</v>
      </c>
      <c r="S6" s="5" t="s">
        <v>44</v>
      </c>
      <c r="T6" s="5">
        <v>561.0</v>
      </c>
      <c r="V6" s="5" t="s">
        <v>79</v>
      </c>
      <c r="W6" s="5">
        <v>42750.0</v>
      </c>
      <c r="X6" s="5" t="s">
        <v>53</v>
      </c>
      <c r="Y6" s="5" t="s">
        <v>54</v>
      </c>
      <c r="AA6" s="5" t="s">
        <v>55</v>
      </c>
      <c r="AB6" s="5" t="s">
        <v>56</v>
      </c>
      <c r="AC6" s="5" t="s">
        <v>57</v>
      </c>
      <c r="AD6" s="5" t="s">
        <v>58</v>
      </c>
    </row>
    <row r="7" ht="14.25" customHeight="1">
      <c r="A7" s="6" t="s">
        <v>80</v>
      </c>
      <c r="B7" s="5">
        <v>36.0</v>
      </c>
      <c r="C7" s="5" t="s">
        <v>44</v>
      </c>
      <c r="D7" s="5" t="s">
        <v>81</v>
      </c>
      <c r="E7" s="5">
        <v>12626.0</v>
      </c>
      <c r="F7" s="5" t="s">
        <v>82</v>
      </c>
      <c r="G7" s="5" t="s">
        <v>83</v>
      </c>
      <c r="H7" s="5" t="s">
        <v>84</v>
      </c>
      <c r="I7" s="5" t="s">
        <v>49</v>
      </c>
      <c r="K7" s="5">
        <v>1.0</v>
      </c>
      <c r="L7" s="5">
        <v>14648.0</v>
      </c>
      <c r="M7" s="5">
        <v>48.585278</v>
      </c>
      <c r="N7" s="5">
        <v>-123.673611</v>
      </c>
      <c r="O7" s="5" t="s">
        <v>51</v>
      </c>
      <c r="P7" s="5" t="s">
        <v>81</v>
      </c>
      <c r="Q7" s="5">
        <v>2.0</v>
      </c>
      <c r="R7" s="5" t="s">
        <v>82</v>
      </c>
      <c r="S7" s="5" t="s">
        <v>44</v>
      </c>
      <c r="T7" s="5">
        <v>200.0</v>
      </c>
      <c r="V7" s="5" t="s">
        <v>85</v>
      </c>
      <c r="W7" s="5">
        <v>34608.0</v>
      </c>
      <c r="X7" s="5" t="s">
        <v>53</v>
      </c>
      <c r="Y7" s="5" t="s">
        <v>54</v>
      </c>
      <c r="AA7" s="5" t="s">
        <v>55</v>
      </c>
      <c r="AB7" s="5" t="s">
        <v>56</v>
      </c>
      <c r="AC7" s="5" t="s">
        <v>86</v>
      </c>
      <c r="AK7" s="5" t="s">
        <v>87</v>
      </c>
    </row>
    <row r="8" ht="14.25" customHeight="1">
      <c r="A8" s="6" t="s">
        <v>88</v>
      </c>
      <c r="B8" s="5">
        <v>36.0</v>
      </c>
      <c r="C8" s="5" t="s">
        <v>44</v>
      </c>
      <c r="D8" s="5" t="s">
        <v>89</v>
      </c>
      <c r="E8" s="5">
        <v>12617.0</v>
      </c>
      <c r="F8" s="5" t="s">
        <v>90</v>
      </c>
      <c r="G8" s="10" t="s">
        <v>91</v>
      </c>
      <c r="H8" s="5" t="s">
        <v>92</v>
      </c>
      <c r="I8" s="5" t="s">
        <v>49</v>
      </c>
      <c r="J8" s="5" t="s">
        <v>78</v>
      </c>
      <c r="K8" s="5">
        <v>1.0</v>
      </c>
      <c r="L8" s="5">
        <v>14639.0</v>
      </c>
      <c r="M8" s="5">
        <v>48.51616</v>
      </c>
      <c r="N8" s="5">
        <v>-123.764438</v>
      </c>
      <c r="O8" s="5" t="s">
        <v>51</v>
      </c>
      <c r="P8" s="5" t="s">
        <v>89</v>
      </c>
      <c r="Q8" s="5">
        <v>3.0</v>
      </c>
      <c r="R8" s="5" t="s">
        <v>90</v>
      </c>
      <c r="S8" s="5" t="s">
        <v>44</v>
      </c>
      <c r="T8" s="5">
        <v>512.0</v>
      </c>
      <c r="V8" s="5" t="s">
        <v>93</v>
      </c>
      <c r="W8" s="5">
        <v>43048.0</v>
      </c>
      <c r="X8" s="5" t="s">
        <v>53</v>
      </c>
      <c r="Y8" s="5" t="s">
        <v>54</v>
      </c>
      <c r="AA8" s="5" t="s">
        <v>55</v>
      </c>
      <c r="AB8" s="5" t="s">
        <v>56</v>
      </c>
      <c r="AC8" s="5" t="s">
        <v>94</v>
      </c>
      <c r="AD8" s="5" t="s">
        <v>58</v>
      </c>
      <c r="AH8" s="5" t="s">
        <v>59</v>
      </c>
    </row>
    <row r="9" ht="14.25" customHeight="1">
      <c r="A9" s="6"/>
      <c r="B9" s="5">
        <v>36.0</v>
      </c>
      <c r="C9" s="5" t="s">
        <v>44</v>
      </c>
      <c r="D9" s="5" t="s">
        <v>95</v>
      </c>
      <c r="E9" s="5">
        <v>12618.0</v>
      </c>
      <c r="F9" s="5" t="s">
        <v>96</v>
      </c>
      <c r="G9" s="5" t="s">
        <v>97</v>
      </c>
      <c r="H9" s="5" t="s">
        <v>98</v>
      </c>
      <c r="I9" s="5" t="s">
        <v>49</v>
      </c>
      <c r="J9" s="5" t="s">
        <v>99</v>
      </c>
      <c r="K9" s="5">
        <v>1.0</v>
      </c>
      <c r="L9" s="5">
        <v>14640.0</v>
      </c>
      <c r="M9" s="5">
        <v>48.441944</v>
      </c>
      <c r="N9" s="5">
        <v>-123.568889</v>
      </c>
      <c r="O9" s="5" t="s">
        <v>51</v>
      </c>
      <c r="P9" s="5" t="s">
        <v>95</v>
      </c>
      <c r="Q9" s="5">
        <v>3.0</v>
      </c>
      <c r="R9" s="5" t="s">
        <v>96</v>
      </c>
      <c r="S9" s="5" t="s">
        <v>44</v>
      </c>
      <c r="T9" s="5">
        <v>436.0</v>
      </c>
      <c r="V9" s="5" t="s">
        <v>100</v>
      </c>
      <c r="W9" s="5">
        <v>35217.0</v>
      </c>
      <c r="X9" s="5" t="s">
        <v>53</v>
      </c>
      <c r="Y9" s="5" t="s">
        <v>54</v>
      </c>
      <c r="AA9" s="5" t="s">
        <v>55</v>
      </c>
      <c r="AB9" s="5" t="s">
        <v>56</v>
      </c>
      <c r="AC9" s="5" t="s">
        <v>66</v>
      </c>
    </row>
    <row r="10" ht="14.25" customHeight="1">
      <c r="A10" s="6"/>
      <c r="B10" s="5">
        <v>36.0</v>
      </c>
      <c r="C10" s="5" t="s">
        <v>44</v>
      </c>
      <c r="D10" s="5" t="s">
        <v>101</v>
      </c>
      <c r="E10" s="5">
        <v>12619.0</v>
      </c>
      <c r="F10" s="5" t="s">
        <v>102</v>
      </c>
      <c r="G10" s="5" t="s">
        <v>103</v>
      </c>
      <c r="H10" s="5" t="s">
        <v>104</v>
      </c>
      <c r="I10" s="5" t="s">
        <v>49</v>
      </c>
      <c r="J10" s="5" t="s">
        <v>105</v>
      </c>
      <c r="K10" s="5">
        <v>1.0</v>
      </c>
      <c r="L10" s="5">
        <v>14641.0</v>
      </c>
      <c r="M10" s="5">
        <v>48.5725</v>
      </c>
      <c r="N10" s="5">
        <v>-123.7075</v>
      </c>
      <c r="O10" s="5" t="s">
        <v>51</v>
      </c>
      <c r="P10" s="5" t="s">
        <v>101</v>
      </c>
      <c r="Q10" s="5">
        <v>2.0</v>
      </c>
      <c r="R10" s="5" t="s">
        <v>102</v>
      </c>
      <c r="S10" s="5" t="s">
        <v>44</v>
      </c>
      <c r="T10" s="5">
        <v>280.0</v>
      </c>
      <c r="V10" s="5" t="s">
        <v>106</v>
      </c>
      <c r="W10" s="5">
        <v>41495.0</v>
      </c>
      <c r="X10" s="5" t="s">
        <v>53</v>
      </c>
      <c r="Y10" s="5" t="s">
        <v>54</v>
      </c>
      <c r="AA10" s="5" t="s">
        <v>55</v>
      </c>
      <c r="AB10" s="5" t="s">
        <v>56</v>
      </c>
      <c r="AC10" s="5" t="s">
        <v>57</v>
      </c>
      <c r="AD10" s="5" t="s">
        <v>58</v>
      </c>
      <c r="AH10" s="5" t="s">
        <v>59</v>
      </c>
      <c r="AI10" s="5" t="s">
        <v>107</v>
      </c>
    </row>
    <row r="11" ht="14.25" customHeight="1">
      <c r="A11" s="6" t="s">
        <v>80</v>
      </c>
      <c r="B11" s="5">
        <v>36.0</v>
      </c>
      <c r="C11" s="5" t="s">
        <v>44</v>
      </c>
      <c r="D11" s="5" t="s">
        <v>108</v>
      </c>
      <c r="E11" s="5">
        <v>12625.0</v>
      </c>
      <c r="F11" s="5" t="s">
        <v>109</v>
      </c>
      <c r="G11" s="5" t="s">
        <v>110</v>
      </c>
      <c r="H11" s="5" t="s">
        <v>84</v>
      </c>
      <c r="I11" s="5" t="s">
        <v>49</v>
      </c>
      <c r="K11" s="5">
        <v>1.0</v>
      </c>
      <c r="L11" s="5">
        <v>14647.0</v>
      </c>
      <c r="M11" s="5">
        <v>48.5675</v>
      </c>
      <c r="N11" s="5">
        <v>-123.714167</v>
      </c>
      <c r="O11" s="5" t="s">
        <v>51</v>
      </c>
      <c r="P11" s="5" t="s">
        <v>108</v>
      </c>
      <c r="Q11" s="5">
        <v>2.0</v>
      </c>
      <c r="R11" s="5" t="s">
        <v>109</v>
      </c>
      <c r="S11" s="5" t="s">
        <v>44</v>
      </c>
      <c r="T11" s="5">
        <v>223.0</v>
      </c>
      <c r="V11" s="5" t="s">
        <v>85</v>
      </c>
      <c r="W11" s="5">
        <v>34608.0</v>
      </c>
      <c r="X11" s="5" t="s">
        <v>53</v>
      </c>
      <c r="Y11" s="5" t="s">
        <v>54</v>
      </c>
      <c r="AK11" s="5" t="s">
        <v>87</v>
      </c>
    </row>
    <row r="12" ht="14.25" customHeight="1">
      <c r="A12" s="6"/>
      <c r="B12" s="5">
        <v>36.0</v>
      </c>
      <c r="C12" s="5" t="s">
        <v>44</v>
      </c>
      <c r="D12" s="5" t="s">
        <v>111</v>
      </c>
      <c r="E12" s="5">
        <v>12621.0</v>
      </c>
      <c r="F12" s="5" t="s">
        <v>112</v>
      </c>
      <c r="G12" s="5" t="s">
        <v>113</v>
      </c>
      <c r="H12" s="5" t="s">
        <v>114</v>
      </c>
      <c r="I12" s="5" t="s">
        <v>49</v>
      </c>
      <c r="J12" s="5" t="s">
        <v>71</v>
      </c>
      <c r="K12" s="5">
        <v>1.0</v>
      </c>
      <c r="L12" s="5">
        <v>14643.0</v>
      </c>
      <c r="M12" s="5">
        <v>48.516111</v>
      </c>
      <c r="N12" s="5">
        <v>-123.700556</v>
      </c>
      <c r="O12" s="5" t="s">
        <v>51</v>
      </c>
      <c r="P12" s="5" t="s">
        <v>111</v>
      </c>
      <c r="Q12" s="5">
        <v>2.0</v>
      </c>
      <c r="R12" s="5" t="s">
        <v>112</v>
      </c>
      <c r="S12" s="5" t="s">
        <v>44</v>
      </c>
      <c r="T12" s="5">
        <v>180.0</v>
      </c>
      <c r="V12" s="5" t="s">
        <v>115</v>
      </c>
      <c r="W12" s="5">
        <v>35004.0</v>
      </c>
      <c r="X12" s="5" t="s">
        <v>53</v>
      </c>
      <c r="Y12" s="5" t="s">
        <v>54</v>
      </c>
      <c r="AA12" s="5" t="s">
        <v>55</v>
      </c>
      <c r="AB12" s="5" t="s">
        <v>56</v>
      </c>
      <c r="AC12" s="5" t="s">
        <v>116</v>
      </c>
      <c r="AD12" s="5" t="s">
        <v>58</v>
      </c>
      <c r="AH12" s="5" t="s">
        <v>117</v>
      </c>
      <c r="AK12" s="5" t="s">
        <v>118</v>
      </c>
    </row>
    <row r="13" ht="14.25" customHeight="1">
      <c r="A13" s="6"/>
      <c r="B13" s="5">
        <v>36.0</v>
      </c>
      <c r="C13" s="5" t="s">
        <v>44</v>
      </c>
      <c r="D13" s="5" t="s">
        <v>119</v>
      </c>
      <c r="E13" s="5">
        <v>12620.0</v>
      </c>
      <c r="F13" s="5" t="s">
        <v>120</v>
      </c>
      <c r="G13" s="5" t="s">
        <v>121</v>
      </c>
      <c r="H13" s="5" t="s">
        <v>122</v>
      </c>
      <c r="I13" s="5" t="s">
        <v>49</v>
      </c>
      <c r="J13" s="5" t="s">
        <v>123</v>
      </c>
      <c r="K13" s="5">
        <v>1.0</v>
      </c>
      <c r="L13" s="5">
        <v>14642.0</v>
      </c>
      <c r="M13" s="5">
        <v>48.56028</v>
      </c>
      <c r="N13" s="5">
        <v>-123.79913</v>
      </c>
      <c r="O13" s="5" t="s">
        <v>51</v>
      </c>
      <c r="P13" s="5" t="s">
        <v>119</v>
      </c>
      <c r="Q13" s="5">
        <v>5.0</v>
      </c>
      <c r="R13" s="5" t="s">
        <v>120</v>
      </c>
      <c r="S13" s="5" t="s">
        <v>44</v>
      </c>
      <c r="T13" s="5">
        <v>941.0</v>
      </c>
      <c r="V13" s="5" t="s">
        <v>124</v>
      </c>
      <c r="W13" s="5">
        <v>43669.0</v>
      </c>
      <c r="X13" s="5" t="s">
        <v>53</v>
      </c>
      <c r="Y13" s="5" t="s">
        <v>54</v>
      </c>
      <c r="AA13" s="5" t="s">
        <v>55</v>
      </c>
      <c r="AB13" s="5" t="s">
        <v>56</v>
      </c>
      <c r="AC13" s="5" t="s">
        <v>57</v>
      </c>
      <c r="AD13" s="5" t="s">
        <v>58</v>
      </c>
      <c r="AH13" s="5" t="s">
        <v>59</v>
      </c>
    </row>
    <row r="14" ht="14.25" customHeight="1">
      <c r="A14" s="6" t="s">
        <v>125</v>
      </c>
      <c r="B14" s="5">
        <v>36.0</v>
      </c>
      <c r="C14" s="5" t="s">
        <v>44</v>
      </c>
      <c r="D14" s="10" t="s">
        <v>126</v>
      </c>
      <c r="E14" s="5">
        <v>12627.0</v>
      </c>
      <c r="F14" s="11"/>
      <c r="G14" s="5" t="s">
        <v>127</v>
      </c>
      <c r="H14" s="5" t="s">
        <v>128</v>
      </c>
      <c r="I14" s="5" t="s">
        <v>49</v>
      </c>
      <c r="J14" s="5" t="s">
        <v>78</v>
      </c>
      <c r="K14" s="5">
        <v>1.0</v>
      </c>
      <c r="L14" s="5">
        <v>14649.0</v>
      </c>
    </row>
    <row r="15" ht="14.25" customHeight="1">
      <c r="A15" s="6" t="s">
        <v>125</v>
      </c>
      <c r="B15" s="5">
        <v>36.0</v>
      </c>
      <c r="C15" s="5" t="s">
        <v>44</v>
      </c>
      <c r="D15" s="10" t="s">
        <v>129</v>
      </c>
      <c r="E15" s="5">
        <v>12628.0</v>
      </c>
      <c r="F15" s="11"/>
      <c r="G15" s="5" t="s">
        <v>127</v>
      </c>
      <c r="H15" s="5" t="s">
        <v>128</v>
      </c>
      <c r="I15" s="5" t="s">
        <v>49</v>
      </c>
      <c r="J15" s="5" t="s">
        <v>64</v>
      </c>
      <c r="K15" s="5">
        <v>1.0</v>
      </c>
      <c r="L15" s="5">
        <v>14650.0</v>
      </c>
    </row>
    <row r="16" ht="14.25" customHeight="1">
      <c r="A16" s="6" t="s">
        <v>125</v>
      </c>
      <c r="B16" s="5">
        <v>36.0</v>
      </c>
      <c r="C16" s="5" t="s">
        <v>44</v>
      </c>
      <c r="D16" s="10" t="s">
        <v>130</v>
      </c>
      <c r="E16" s="5">
        <v>12629.0</v>
      </c>
      <c r="F16" s="11"/>
      <c r="G16" s="5" t="s">
        <v>127</v>
      </c>
      <c r="H16" s="5" t="s">
        <v>128</v>
      </c>
      <c r="I16" s="5" t="s">
        <v>49</v>
      </c>
      <c r="J16" s="5" t="s">
        <v>71</v>
      </c>
      <c r="K16" s="5">
        <v>1.0</v>
      </c>
      <c r="L16" s="5">
        <v>14651.0</v>
      </c>
    </row>
    <row r="17" ht="14.25" customHeight="1">
      <c r="A17" s="6" t="s">
        <v>125</v>
      </c>
      <c r="B17" s="5">
        <v>36.0</v>
      </c>
      <c r="C17" s="5" t="s">
        <v>44</v>
      </c>
      <c r="D17" s="10" t="s">
        <v>131</v>
      </c>
      <c r="E17" s="5">
        <v>12630.0</v>
      </c>
      <c r="F17" s="11"/>
      <c r="G17" s="5" t="s">
        <v>127</v>
      </c>
      <c r="H17" s="5" t="s">
        <v>128</v>
      </c>
      <c r="I17" s="5" t="s">
        <v>49</v>
      </c>
      <c r="J17" s="5" t="s">
        <v>78</v>
      </c>
      <c r="K17" s="5">
        <v>1.0</v>
      </c>
      <c r="L17" s="5">
        <v>14652.0</v>
      </c>
    </row>
    <row r="18" ht="14.25" customHeight="1">
      <c r="A18" s="6" t="s">
        <v>125</v>
      </c>
      <c r="B18" s="5">
        <v>36.0</v>
      </c>
      <c r="C18" s="5" t="s">
        <v>44</v>
      </c>
      <c r="D18" s="10" t="s">
        <v>132</v>
      </c>
      <c r="E18" s="5">
        <v>12631.0</v>
      </c>
      <c r="F18" s="11"/>
      <c r="G18" s="5" t="s">
        <v>127</v>
      </c>
      <c r="H18" s="5" t="s">
        <v>128</v>
      </c>
      <c r="I18" s="5" t="s">
        <v>49</v>
      </c>
      <c r="J18" s="5" t="s">
        <v>78</v>
      </c>
      <c r="K18" s="5">
        <v>1.0</v>
      </c>
      <c r="L18" s="5">
        <v>14653.0</v>
      </c>
    </row>
    <row r="19" ht="14.25" customHeight="1">
      <c r="A19" s="6" t="s">
        <v>125</v>
      </c>
      <c r="B19" s="5">
        <v>36.0</v>
      </c>
      <c r="C19" s="5" t="s">
        <v>44</v>
      </c>
      <c r="D19" s="10" t="s">
        <v>133</v>
      </c>
      <c r="E19" s="5">
        <v>12632.0</v>
      </c>
      <c r="F19" s="11"/>
      <c r="G19" s="5" t="s">
        <v>127</v>
      </c>
      <c r="H19" s="5" t="s">
        <v>128</v>
      </c>
      <c r="I19" s="5" t="s">
        <v>49</v>
      </c>
      <c r="J19" s="5" t="s">
        <v>64</v>
      </c>
      <c r="K19" s="5">
        <v>1.0</v>
      </c>
      <c r="L19" s="5">
        <v>14654.0</v>
      </c>
    </row>
    <row r="20" ht="14.25" customHeight="1">
      <c r="A20" s="6" t="s">
        <v>125</v>
      </c>
      <c r="B20" s="5">
        <v>36.0</v>
      </c>
      <c r="C20" s="5" t="s">
        <v>44</v>
      </c>
      <c r="D20" s="10" t="s">
        <v>134</v>
      </c>
      <c r="E20" s="5">
        <v>12633.0</v>
      </c>
      <c r="F20" s="11"/>
      <c r="G20" s="5" t="s">
        <v>127</v>
      </c>
      <c r="H20" s="5" t="s">
        <v>128</v>
      </c>
      <c r="I20" s="5" t="s">
        <v>49</v>
      </c>
      <c r="J20" s="5" t="s">
        <v>105</v>
      </c>
      <c r="K20" s="5">
        <v>1.0</v>
      </c>
      <c r="L20" s="5">
        <v>14655.0</v>
      </c>
    </row>
    <row r="21" ht="14.25" customHeight="1">
      <c r="A21" s="6" t="s">
        <v>125</v>
      </c>
      <c r="B21" s="5">
        <v>36.0</v>
      </c>
      <c r="C21" s="5" t="s">
        <v>44</v>
      </c>
      <c r="D21" s="10" t="s">
        <v>135</v>
      </c>
      <c r="E21" s="5">
        <v>12634.0</v>
      </c>
      <c r="F21" s="11"/>
      <c r="G21" s="5" t="s">
        <v>127</v>
      </c>
      <c r="H21" s="5" t="s">
        <v>128</v>
      </c>
      <c r="I21" s="5" t="s">
        <v>49</v>
      </c>
      <c r="J21" s="5" t="s">
        <v>136</v>
      </c>
      <c r="K21" s="5">
        <v>1.0</v>
      </c>
      <c r="L21" s="5">
        <v>14656.0</v>
      </c>
    </row>
    <row r="22" ht="14.25" customHeight="1">
      <c r="A22" s="6" t="s">
        <v>125</v>
      </c>
      <c r="B22" s="5">
        <v>36.0</v>
      </c>
      <c r="C22" s="5" t="s">
        <v>44</v>
      </c>
      <c r="D22" s="10" t="s">
        <v>137</v>
      </c>
      <c r="E22" s="5">
        <v>12635.0</v>
      </c>
      <c r="F22" s="11"/>
      <c r="G22" s="5" t="s">
        <v>127</v>
      </c>
      <c r="H22" s="5" t="s">
        <v>128</v>
      </c>
      <c r="I22" s="5" t="s">
        <v>49</v>
      </c>
      <c r="J22" s="5" t="s">
        <v>71</v>
      </c>
      <c r="K22" s="5">
        <v>1.0</v>
      </c>
      <c r="L22" s="5">
        <v>14657.0</v>
      </c>
    </row>
    <row r="23" ht="14.25" customHeight="1">
      <c r="A23" s="6" t="s">
        <v>138</v>
      </c>
      <c r="B23" s="5">
        <v>10.0</v>
      </c>
      <c r="C23" s="12" t="s">
        <v>139</v>
      </c>
      <c r="D23" s="12" t="s">
        <v>140</v>
      </c>
      <c r="E23" s="10"/>
      <c r="F23" s="10" t="s">
        <v>141</v>
      </c>
      <c r="G23" s="10" t="str">
        <f t="shared" ref="G23:G90" si="1">CONCATENATE("-&gt; ",-1*AF23," W, ",AE23," N, Elev. ",AG23," m")</f>
        <v>-&gt; 119.651 W, 49.5794 N, Elev. 426 m</v>
      </c>
      <c r="H23" s="11"/>
      <c r="I23" s="11"/>
      <c r="J23" s="11"/>
      <c r="M23" s="13">
        <v>49.5794</v>
      </c>
      <c r="N23" s="13">
        <v>-119.651</v>
      </c>
      <c r="O23" s="13" t="s">
        <v>142</v>
      </c>
      <c r="P23" s="13" t="s">
        <v>143</v>
      </c>
      <c r="Q23" s="14">
        <v>1.0</v>
      </c>
      <c r="R23" s="13" t="s">
        <v>144</v>
      </c>
      <c r="S23" s="13" t="s">
        <v>145</v>
      </c>
      <c r="T23" s="13">
        <v>426.0</v>
      </c>
      <c r="AE23" s="10">
        <v>49.5794</v>
      </c>
      <c r="AF23" s="10">
        <v>-119.651</v>
      </c>
      <c r="AG23" s="10">
        <v>426.0</v>
      </c>
    </row>
    <row r="24" ht="14.25" customHeight="1">
      <c r="A24" s="6" t="s">
        <v>138</v>
      </c>
      <c r="B24" s="5">
        <v>10.0</v>
      </c>
      <c r="C24" s="12" t="s">
        <v>139</v>
      </c>
      <c r="D24" s="10" t="s">
        <v>146</v>
      </c>
      <c r="E24" s="10"/>
      <c r="F24" s="12" t="s">
        <v>147</v>
      </c>
      <c r="G24" s="10" t="str">
        <f t="shared" si="1"/>
        <v>-&gt; 121.2511111 W, 51.79027778 N, Elev. 677 m</v>
      </c>
      <c r="M24" s="13">
        <v>51.79027778</v>
      </c>
      <c r="N24" s="13">
        <v>-121.2511111</v>
      </c>
      <c r="O24" s="13" t="s">
        <v>148</v>
      </c>
      <c r="P24" s="13" t="s">
        <v>149</v>
      </c>
      <c r="Q24" s="14">
        <v>1.0</v>
      </c>
      <c r="R24" s="13" t="s">
        <v>150</v>
      </c>
      <c r="S24" s="13" t="s">
        <v>145</v>
      </c>
      <c r="T24" s="13">
        <v>677.0</v>
      </c>
      <c r="AE24" s="10">
        <v>51.79027778</v>
      </c>
      <c r="AF24" s="10">
        <v>-121.2511111</v>
      </c>
      <c r="AG24" s="10">
        <v>677.0</v>
      </c>
    </row>
    <row r="25" ht="14.25" customHeight="1">
      <c r="A25" s="6" t="s">
        <v>138</v>
      </c>
      <c r="B25" s="5">
        <v>10.0</v>
      </c>
      <c r="C25" s="12" t="s">
        <v>139</v>
      </c>
      <c r="D25" s="10" t="s">
        <v>151</v>
      </c>
      <c r="E25" s="10"/>
      <c r="F25" s="12" t="s">
        <v>152</v>
      </c>
      <c r="G25" s="10" t="str">
        <f t="shared" si="1"/>
        <v>-&gt; 120.143 W, 55.7721 N, Elev. 673 m</v>
      </c>
      <c r="M25" s="13">
        <v>55.7721</v>
      </c>
      <c r="N25" s="13">
        <v>-120.143</v>
      </c>
      <c r="O25" s="13" t="s">
        <v>153</v>
      </c>
      <c r="P25" s="13" t="s">
        <v>154</v>
      </c>
      <c r="Q25" s="14">
        <v>2.0</v>
      </c>
      <c r="R25" s="13" t="s">
        <v>155</v>
      </c>
      <c r="S25" s="13" t="s">
        <v>145</v>
      </c>
      <c r="T25" s="13">
        <v>673.0</v>
      </c>
      <c r="AE25" s="10">
        <v>55.7721</v>
      </c>
      <c r="AF25" s="10">
        <v>-120.143</v>
      </c>
      <c r="AG25" s="10">
        <v>673.0</v>
      </c>
    </row>
    <row r="26" ht="14.25" customHeight="1">
      <c r="A26" s="6" t="s">
        <v>138</v>
      </c>
      <c r="B26" s="5">
        <v>10.0</v>
      </c>
      <c r="C26" s="12" t="s">
        <v>139</v>
      </c>
      <c r="D26" s="10" t="s">
        <v>156</v>
      </c>
      <c r="E26" s="10"/>
      <c r="F26" s="12" t="s">
        <v>157</v>
      </c>
      <c r="G26" s="10" t="str">
        <f t="shared" si="1"/>
        <v>-&gt; 121.308 W, 56.2461 N, Elev. 504 m</v>
      </c>
      <c r="M26" s="13">
        <v>56.2461</v>
      </c>
      <c r="N26" s="13">
        <v>-121.308</v>
      </c>
      <c r="O26" s="13" t="s">
        <v>148</v>
      </c>
      <c r="P26" s="13" t="s">
        <v>158</v>
      </c>
      <c r="Q26" s="14">
        <v>1.0</v>
      </c>
      <c r="R26" s="13" t="s">
        <v>159</v>
      </c>
      <c r="S26" s="13" t="s">
        <v>145</v>
      </c>
      <c r="T26" s="13">
        <v>504.0</v>
      </c>
      <c r="AE26" s="10">
        <v>56.2461</v>
      </c>
      <c r="AF26" s="10">
        <v>-121.308</v>
      </c>
      <c r="AG26" s="10">
        <v>504.0</v>
      </c>
    </row>
    <row r="27" ht="14.25" customHeight="1">
      <c r="A27" s="6" t="s">
        <v>138</v>
      </c>
      <c r="B27" s="5">
        <v>10.0</v>
      </c>
      <c r="C27" s="12" t="s">
        <v>139</v>
      </c>
      <c r="D27" s="10" t="s">
        <v>160</v>
      </c>
      <c r="E27" s="10"/>
      <c r="F27" s="12" t="s">
        <v>161</v>
      </c>
      <c r="G27" s="10" t="str">
        <f t="shared" si="1"/>
        <v>-&gt; 119.3413 W, 50.2551 N, Elev. 437 m</v>
      </c>
      <c r="M27" s="13">
        <v>50.2551</v>
      </c>
      <c r="N27" s="13">
        <v>-119.3413</v>
      </c>
      <c r="O27" s="13" t="s">
        <v>142</v>
      </c>
      <c r="P27" s="13" t="s">
        <v>162</v>
      </c>
      <c r="Q27" s="14">
        <v>1.0</v>
      </c>
      <c r="R27" s="13" t="s">
        <v>163</v>
      </c>
      <c r="S27" s="13" t="s">
        <v>145</v>
      </c>
      <c r="T27" s="13">
        <v>437.0</v>
      </c>
      <c r="Z27" s="13"/>
      <c r="AA27" s="13"/>
      <c r="AB27" s="13"/>
      <c r="AC27" s="13"/>
      <c r="AE27" s="10">
        <v>50.2551</v>
      </c>
      <c r="AF27" s="10">
        <v>-119.3413</v>
      </c>
      <c r="AG27" s="10">
        <v>437.0</v>
      </c>
    </row>
    <row r="28" ht="14.25" customHeight="1">
      <c r="A28" s="6" t="s">
        <v>138</v>
      </c>
      <c r="B28" s="5">
        <v>10.0</v>
      </c>
      <c r="C28" s="12" t="s">
        <v>139</v>
      </c>
      <c r="D28" s="10" t="s">
        <v>164</v>
      </c>
      <c r="E28" s="10"/>
      <c r="F28" s="12" t="s">
        <v>165</v>
      </c>
      <c r="G28" s="10" t="str">
        <f t="shared" si="1"/>
        <v>-&gt; 121.085 W, 56.7637 N, Elev. 757 m</v>
      </c>
      <c r="M28" s="13">
        <v>56.7637</v>
      </c>
      <c r="N28" s="13">
        <v>-121.085</v>
      </c>
      <c r="O28" s="13" t="s">
        <v>153</v>
      </c>
      <c r="P28" s="13" t="s">
        <v>166</v>
      </c>
      <c r="Q28" s="14">
        <v>4.0</v>
      </c>
      <c r="R28" s="13" t="s">
        <v>167</v>
      </c>
      <c r="S28" s="13" t="s">
        <v>145</v>
      </c>
      <c r="T28" s="13">
        <v>757.0</v>
      </c>
      <c r="AE28" s="10">
        <v>56.7637</v>
      </c>
      <c r="AF28" s="10">
        <v>-121.085</v>
      </c>
      <c r="AG28" s="10">
        <v>757.0</v>
      </c>
    </row>
    <row r="29" ht="14.25" customHeight="1">
      <c r="A29" s="6" t="s">
        <v>138</v>
      </c>
      <c r="B29" s="5">
        <v>10.0</v>
      </c>
      <c r="C29" s="12" t="s">
        <v>139</v>
      </c>
      <c r="D29" s="10" t="s">
        <v>168</v>
      </c>
      <c r="E29" s="10"/>
      <c r="F29" s="12" t="s">
        <v>169</v>
      </c>
      <c r="G29" s="10" t="str">
        <f t="shared" si="1"/>
        <v>-&gt; 116.4475 W, 49.0853 N, Elev. 659 m</v>
      </c>
      <c r="M29" s="13">
        <v>49.0853</v>
      </c>
      <c r="N29" s="13">
        <v>-116.4475</v>
      </c>
      <c r="O29" s="13" t="s">
        <v>170</v>
      </c>
      <c r="P29" s="13" t="s">
        <v>171</v>
      </c>
      <c r="Q29" s="14">
        <v>1.0</v>
      </c>
      <c r="R29" s="13" t="s">
        <v>172</v>
      </c>
      <c r="S29" s="13" t="s">
        <v>145</v>
      </c>
      <c r="T29" s="13">
        <v>659.0</v>
      </c>
      <c r="AE29" s="10">
        <v>49.0853</v>
      </c>
      <c r="AF29" s="10">
        <v>-116.4475</v>
      </c>
      <c r="AG29" s="10">
        <v>659.0</v>
      </c>
    </row>
    <row r="30" ht="14.25" customHeight="1">
      <c r="A30" s="6" t="s">
        <v>138</v>
      </c>
      <c r="B30" s="5">
        <v>10.0</v>
      </c>
      <c r="C30" s="12" t="s">
        <v>139</v>
      </c>
      <c r="D30" s="12" t="s">
        <v>173</v>
      </c>
      <c r="E30" s="10"/>
      <c r="F30" s="12" t="s">
        <v>174</v>
      </c>
      <c r="G30" s="10" t="str">
        <f t="shared" si="1"/>
        <v>-&gt; 120.531 W, 56.3062 N, Elev. 718 m</v>
      </c>
      <c r="M30" s="13">
        <v>56.3062</v>
      </c>
      <c r="N30" s="13">
        <v>-120.531</v>
      </c>
      <c r="O30" s="13" t="s">
        <v>153</v>
      </c>
      <c r="P30" s="13" t="s">
        <v>175</v>
      </c>
      <c r="Q30" s="14">
        <v>3.0</v>
      </c>
      <c r="R30" s="13" t="s">
        <v>176</v>
      </c>
      <c r="S30" s="13" t="s">
        <v>145</v>
      </c>
      <c r="T30" s="13">
        <v>718.0</v>
      </c>
      <c r="AE30" s="10">
        <v>56.3062</v>
      </c>
      <c r="AF30" s="10">
        <v>-120.531</v>
      </c>
      <c r="AG30" s="10">
        <v>718.0</v>
      </c>
    </row>
    <row r="31" ht="14.25" customHeight="1">
      <c r="A31" s="6" t="s">
        <v>138</v>
      </c>
      <c r="B31" s="5">
        <v>10.0</v>
      </c>
      <c r="C31" s="12" t="s">
        <v>139</v>
      </c>
      <c r="D31" s="12" t="s">
        <v>177</v>
      </c>
      <c r="E31" s="10"/>
      <c r="F31" s="12" t="s">
        <v>178</v>
      </c>
      <c r="G31" s="10" t="str">
        <f t="shared" si="1"/>
        <v>-&gt; 116.4851 W, 49.0884 N, Elev. 648 m</v>
      </c>
      <c r="M31" s="13">
        <v>49.0884</v>
      </c>
      <c r="N31" s="13">
        <v>-116.4851</v>
      </c>
      <c r="O31" s="13" t="s">
        <v>170</v>
      </c>
      <c r="P31" s="13" t="s">
        <v>179</v>
      </c>
      <c r="Q31" s="14">
        <v>1.0</v>
      </c>
      <c r="R31" s="13" t="s">
        <v>180</v>
      </c>
      <c r="S31" s="13" t="s">
        <v>145</v>
      </c>
      <c r="T31" s="13">
        <v>648.0</v>
      </c>
      <c r="AE31" s="10">
        <v>49.0884</v>
      </c>
      <c r="AF31" s="10">
        <v>-116.4851</v>
      </c>
      <c r="AG31" s="10">
        <v>648.0</v>
      </c>
    </row>
    <row r="32" ht="14.25" customHeight="1">
      <c r="A32" s="6" t="s">
        <v>138</v>
      </c>
      <c r="B32" s="5">
        <v>10.0</v>
      </c>
      <c r="C32" s="12" t="s">
        <v>139</v>
      </c>
      <c r="D32" s="10" t="s">
        <v>181</v>
      </c>
      <c r="E32" s="10"/>
      <c r="F32" s="12" t="s">
        <v>182</v>
      </c>
      <c r="G32" s="10" t="str">
        <f t="shared" si="1"/>
        <v>-&gt; 123.0348 W, 49.1255 N, Elev. 3 m</v>
      </c>
      <c r="M32" s="13">
        <v>49.1255</v>
      </c>
      <c r="N32" s="13">
        <v>-123.0348</v>
      </c>
      <c r="O32" s="13" t="s">
        <v>183</v>
      </c>
      <c r="P32" s="13" t="s">
        <v>184</v>
      </c>
      <c r="Q32" s="14">
        <v>1.0</v>
      </c>
      <c r="R32" s="13" t="s">
        <v>185</v>
      </c>
      <c r="S32" s="13" t="s">
        <v>145</v>
      </c>
      <c r="T32" s="13">
        <v>3.0</v>
      </c>
      <c r="AE32" s="10">
        <v>49.1255</v>
      </c>
      <c r="AF32" s="10">
        <v>-123.0348</v>
      </c>
      <c r="AG32" s="10">
        <v>3.0</v>
      </c>
    </row>
    <row r="33" ht="14.25" customHeight="1">
      <c r="A33" s="6" t="s">
        <v>138</v>
      </c>
      <c r="B33" s="5">
        <v>10.0</v>
      </c>
      <c r="C33" s="12" t="s">
        <v>139</v>
      </c>
      <c r="D33" s="10" t="s">
        <v>186</v>
      </c>
      <c r="E33" s="10"/>
      <c r="F33" s="12" t="s">
        <v>187</v>
      </c>
      <c r="G33" s="10" t="str">
        <f t="shared" si="1"/>
        <v>-&gt; 120.586 W, 55.9103 N, Elev. 717 m</v>
      </c>
      <c r="M33" s="13">
        <v>55.9103</v>
      </c>
      <c r="N33" s="13">
        <v>-120.586</v>
      </c>
      <c r="O33" s="13" t="s">
        <v>153</v>
      </c>
      <c r="P33" s="13" t="s">
        <v>188</v>
      </c>
      <c r="Q33" s="14">
        <v>3.0</v>
      </c>
      <c r="R33" s="13" t="s">
        <v>189</v>
      </c>
      <c r="S33" s="13" t="s">
        <v>145</v>
      </c>
      <c r="T33" s="13">
        <v>717.0</v>
      </c>
      <c r="AE33" s="10">
        <v>55.9103</v>
      </c>
      <c r="AF33" s="10">
        <v>-120.586</v>
      </c>
      <c r="AG33" s="10">
        <v>717.0</v>
      </c>
    </row>
    <row r="34" ht="14.25" customHeight="1">
      <c r="A34" s="6" t="s">
        <v>138</v>
      </c>
      <c r="B34" s="5">
        <v>10.0</v>
      </c>
      <c r="C34" s="12" t="s">
        <v>139</v>
      </c>
      <c r="D34" s="10" t="s">
        <v>190</v>
      </c>
      <c r="E34" s="10"/>
      <c r="F34" s="12" t="s">
        <v>191</v>
      </c>
      <c r="G34" s="10" t="str">
        <f t="shared" si="1"/>
        <v>-&gt; 120.421 W, 56.2691 N, Elev. 693 m</v>
      </c>
      <c r="M34" s="13">
        <v>56.2691</v>
      </c>
      <c r="N34" s="13">
        <v>-120.421</v>
      </c>
      <c r="O34" s="13" t="s">
        <v>153</v>
      </c>
      <c r="P34" s="13" t="s">
        <v>192</v>
      </c>
      <c r="Q34" s="14">
        <v>2.0</v>
      </c>
      <c r="R34" s="13" t="s">
        <v>193</v>
      </c>
      <c r="S34" s="13" t="s">
        <v>145</v>
      </c>
      <c r="T34" s="13">
        <v>693.0</v>
      </c>
      <c r="AE34" s="10">
        <v>56.2691</v>
      </c>
      <c r="AF34" s="10">
        <v>-120.421</v>
      </c>
      <c r="AG34" s="10">
        <v>693.0</v>
      </c>
    </row>
    <row r="35" ht="14.25" customHeight="1">
      <c r="A35" s="6" t="s">
        <v>138</v>
      </c>
      <c r="B35" s="5">
        <v>10.0</v>
      </c>
      <c r="C35" s="12" t="s">
        <v>139</v>
      </c>
      <c r="D35" s="10" t="s">
        <v>194</v>
      </c>
      <c r="E35" s="10"/>
      <c r="F35" s="12" t="s">
        <v>195</v>
      </c>
      <c r="G35" s="10" t="str">
        <f t="shared" si="1"/>
        <v>-&gt; 119.2963 W, 50.382 N, Elev. 461 m</v>
      </c>
      <c r="M35" s="13">
        <v>50.382</v>
      </c>
      <c r="N35" s="13">
        <v>-119.2963</v>
      </c>
      <c r="O35" s="13" t="s">
        <v>196</v>
      </c>
      <c r="P35" s="13" t="s">
        <v>197</v>
      </c>
      <c r="Q35" s="14">
        <v>1.0</v>
      </c>
      <c r="R35" s="13" t="s">
        <v>198</v>
      </c>
      <c r="S35" s="13" t="s">
        <v>145</v>
      </c>
      <c r="T35" s="13">
        <v>461.0</v>
      </c>
      <c r="AE35" s="10">
        <v>50.382</v>
      </c>
      <c r="AF35" s="10">
        <v>-119.2963</v>
      </c>
      <c r="AG35" s="10">
        <v>461.0</v>
      </c>
    </row>
    <row r="36" ht="14.25" customHeight="1">
      <c r="A36" s="6" t="s">
        <v>138</v>
      </c>
      <c r="B36" s="5">
        <v>10.0</v>
      </c>
      <c r="C36" s="12" t="s">
        <v>139</v>
      </c>
      <c r="D36" s="10" t="s">
        <v>199</v>
      </c>
      <c r="E36" s="10"/>
      <c r="F36" s="12" t="s">
        <v>200</v>
      </c>
      <c r="G36" s="10" t="str">
        <f t="shared" si="1"/>
        <v>-&gt; 120.874 W, 55.7703 N, Elev. 743 m</v>
      </c>
      <c r="M36" s="13">
        <v>55.7703</v>
      </c>
      <c r="N36" s="13">
        <v>-120.874</v>
      </c>
      <c r="O36" s="13" t="s">
        <v>170</v>
      </c>
      <c r="P36" s="13" t="s">
        <v>201</v>
      </c>
      <c r="Q36" s="14">
        <v>1.0</v>
      </c>
      <c r="R36" s="13" t="s">
        <v>202</v>
      </c>
      <c r="S36" s="13" t="s">
        <v>145</v>
      </c>
      <c r="T36" s="13">
        <v>743.0</v>
      </c>
      <c r="AE36" s="10">
        <v>55.7703</v>
      </c>
      <c r="AF36" s="10">
        <v>-120.874</v>
      </c>
      <c r="AG36" s="10">
        <v>743.0</v>
      </c>
    </row>
    <row r="37" ht="14.25" customHeight="1">
      <c r="A37" s="6" t="s">
        <v>138</v>
      </c>
      <c r="B37" s="5">
        <v>10.0</v>
      </c>
      <c r="C37" s="12" t="s">
        <v>139</v>
      </c>
      <c r="D37" s="10" t="s">
        <v>203</v>
      </c>
      <c r="E37" s="10"/>
      <c r="F37" s="12" t="s">
        <v>204</v>
      </c>
      <c r="G37" s="10" t="str">
        <f t="shared" si="1"/>
        <v>-&gt; 119.22888 W, 50.54694 N, Elev. 531 m</v>
      </c>
      <c r="M37" s="13">
        <v>50.54694</v>
      </c>
      <c r="N37" s="13">
        <v>-119.22888</v>
      </c>
      <c r="O37" s="13" t="s">
        <v>142</v>
      </c>
      <c r="P37" s="13" t="s">
        <v>205</v>
      </c>
      <c r="Q37" s="14">
        <v>1.0</v>
      </c>
      <c r="R37" s="13" t="s">
        <v>206</v>
      </c>
      <c r="S37" s="13" t="s">
        <v>145</v>
      </c>
      <c r="T37" s="13">
        <v>531.0</v>
      </c>
      <c r="AE37" s="10">
        <v>50.54694</v>
      </c>
      <c r="AF37" s="10">
        <v>-119.22888</v>
      </c>
      <c r="AG37" s="10">
        <v>531.0</v>
      </c>
    </row>
    <row r="38" ht="14.25" customHeight="1">
      <c r="A38" s="6" t="s">
        <v>138</v>
      </c>
      <c r="B38" s="5">
        <v>10.0</v>
      </c>
      <c r="C38" s="12" t="s">
        <v>139</v>
      </c>
      <c r="D38" s="10" t="s">
        <v>207</v>
      </c>
      <c r="E38" s="10"/>
      <c r="F38" s="12" t="s">
        <v>208</v>
      </c>
      <c r="G38" s="10" t="str">
        <f t="shared" si="1"/>
        <v>-&gt; 119.28027 W, 50.53416 N, Elev. 561 m</v>
      </c>
      <c r="M38" s="13">
        <v>50.53416</v>
      </c>
      <c r="N38" s="13">
        <v>-119.28027</v>
      </c>
      <c r="O38" s="13" t="s">
        <v>142</v>
      </c>
      <c r="P38" s="13" t="s">
        <v>209</v>
      </c>
      <c r="Q38" s="14">
        <v>1.0</v>
      </c>
      <c r="R38" s="13" t="s">
        <v>210</v>
      </c>
      <c r="S38" s="13" t="s">
        <v>145</v>
      </c>
      <c r="T38" s="13">
        <v>561.0</v>
      </c>
      <c r="AE38" s="10">
        <v>50.53416</v>
      </c>
      <c r="AF38" s="10">
        <v>-119.28027</v>
      </c>
      <c r="AG38" s="10">
        <v>561.0</v>
      </c>
    </row>
    <row r="39" ht="14.25" customHeight="1">
      <c r="A39" s="6" t="s">
        <v>138</v>
      </c>
      <c r="B39" s="5">
        <v>10.0</v>
      </c>
      <c r="C39" s="12" t="s">
        <v>139</v>
      </c>
      <c r="D39" s="10" t="s">
        <v>211</v>
      </c>
      <c r="E39" s="10"/>
      <c r="F39" s="12" t="s">
        <v>212</v>
      </c>
      <c r="G39" s="10" t="str">
        <f t="shared" si="1"/>
        <v>-&gt; 119.6045 W, 49.399 N, Elev. 440 m</v>
      </c>
      <c r="M39" s="13">
        <v>49.399</v>
      </c>
      <c r="N39" s="13">
        <v>-119.6045</v>
      </c>
      <c r="O39" s="13" t="s">
        <v>142</v>
      </c>
      <c r="P39" s="13" t="s">
        <v>213</v>
      </c>
      <c r="Q39" s="14">
        <v>1.0</v>
      </c>
      <c r="R39" s="13" t="s">
        <v>214</v>
      </c>
      <c r="S39" s="13" t="s">
        <v>145</v>
      </c>
      <c r="T39" s="13">
        <v>440.0</v>
      </c>
      <c r="AE39" s="10">
        <v>49.399</v>
      </c>
      <c r="AF39" s="10">
        <v>-119.6045</v>
      </c>
      <c r="AG39" s="10">
        <v>440.0</v>
      </c>
    </row>
    <row r="40" ht="14.25" customHeight="1">
      <c r="A40" s="6" t="s">
        <v>138</v>
      </c>
      <c r="B40" s="5">
        <v>10.0</v>
      </c>
      <c r="C40" s="12" t="s">
        <v>139</v>
      </c>
      <c r="D40" s="10" t="s">
        <v>215</v>
      </c>
      <c r="E40" s="10"/>
      <c r="F40" s="12" t="s">
        <v>216</v>
      </c>
      <c r="G40" s="10" t="str">
        <f t="shared" si="1"/>
        <v>-&gt; 120.079 W, 55.2531 N, Elev. 880 m</v>
      </c>
      <c r="M40" s="13">
        <v>55.2531</v>
      </c>
      <c r="N40" s="13">
        <v>-120.079</v>
      </c>
      <c r="O40" s="13" t="s">
        <v>153</v>
      </c>
      <c r="P40" s="13" t="s">
        <v>217</v>
      </c>
      <c r="Q40" s="14">
        <v>7.0</v>
      </c>
      <c r="R40" s="13" t="s">
        <v>218</v>
      </c>
      <c r="S40" s="13" t="s">
        <v>145</v>
      </c>
      <c r="T40" s="13">
        <v>880.0</v>
      </c>
      <c r="AE40" s="10">
        <v>55.2531</v>
      </c>
      <c r="AF40" s="10">
        <v>-120.079</v>
      </c>
      <c r="AG40" s="10">
        <v>880.0</v>
      </c>
    </row>
    <row r="41" ht="14.25" customHeight="1">
      <c r="A41" s="6" t="s">
        <v>138</v>
      </c>
      <c r="B41" s="5">
        <v>10.0</v>
      </c>
      <c r="C41" s="12" t="s">
        <v>139</v>
      </c>
      <c r="D41" s="10" t="s">
        <v>219</v>
      </c>
      <c r="E41" s="10"/>
      <c r="F41" s="12" t="s">
        <v>220</v>
      </c>
      <c r="G41" s="10" t="str">
        <f t="shared" si="1"/>
        <v>-&gt; 119.8242 W, 49.2218 N, Elev. 456 m</v>
      </c>
      <c r="M41" s="13">
        <v>49.2218</v>
      </c>
      <c r="N41" s="13">
        <v>-119.8242</v>
      </c>
      <c r="O41" s="13" t="s">
        <v>221</v>
      </c>
      <c r="P41" s="13" t="s">
        <v>222</v>
      </c>
      <c r="Q41" s="14">
        <v>1.0</v>
      </c>
      <c r="R41" s="13" t="s">
        <v>223</v>
      </c>
      <c r="S41" s="13" t="s">
        <v>145</v>
      </c>
      <c r="T41" s="13">
        <v>456.0</v>
      </c>
      <c r="AE41" s="10">
        <v>49.2218</v>
      </c>
      <c r="AF41" s="10">
        <v>-119.8242</v>
      </c>
      <c r="AG41" s="10">
        <v>456.0</v>
      </c>
    </row>
    <row r="42" ht="14.25" customHeight="1">
      <c r="A42" s="6" t="s">
        <v>138</v>
      </c>
      <c r="B42" s="5">
        <v>10.0</v>
      </c>
      <c r="C42" s="12" t="s">
        <v>139</v>
      </c>
      <c r="D42" s="10" t="s">
        <v>224</v>
      </c>
      <c r="E42" s="10"/>
      <c r="F42" s="12" t="s">
        <v>225</v>
      </c>
      <c r="G42" s="10" t="str">
        <f t="shared" si="1"/>
        <v>-&gt; 119.1002 W, 50.2254 N, Elev. 550 m</v>
      </c>
      <c r="M42" s="13">
        <v>50.2254</v>
      </c>
      <c r="N42" s="13">
        <v>-119.1002</v>
      </c>
      <c r="O42" s="13" t="s">
        <v>221</v>
      </c>
      <c r="P42" s="13" t="s">
        <v>226</v>
      </c>
      <c r="Q42" s="14">
        <v>1.0</v>
      </c>
      <c r="R42" s="13" t="s">
        <v>227</v>
      </c>
      <c r="S42" s="13" t="s">
        <v>145</v>
      </c>
      <c r="T42" s="13">
        <v>550.0</v>
      </c>
      <c r="AE42" s="10">
        <v>50.2254</v>
      </c>
      <c r="AF42" s="10">
        <v>-119.1002</v>
      </c>
      <c r="AG42" s="10">
        <v>550.0</v>
      </c>
    </row>
    <row r="43" ht="14.25" customHeight="1">
      <c r="A43" s="6" t="s">
        <v>138</v>
      </c>
      <c r="B43" s="5">
        <v>10.0</v>
      </c>
      <c r="C43" s="12" t="s">
        <v>139</v>
      </c>
      <c r="D43" s="10" t="s">
        <v>228</v>
      </c>
      <c r="E43" s="10"/>
      <c r="F43" s="12" t="s">
        <v>229</v>
      </c>
      <c r="G43" s="10" t="str">
        <f t="shared" si="1"/>
        <v>-&gt; 125.0485 W, 49.7788 N, Elev. 49 m</v>
      </c>
      <c r="M43" s="13">
        <v>49.7788</v>
      </c>
      <c r="N43" s="13">
        <v>-125.0485</v>
      </c>
      <c r="O43" s="13" t="s">
        <v>183</v>
      </c>
      <c r="P43" s="13" t="s">
        <v>230</v>
      </c>
      <c r="Q43" s="14">
        <v>2.0</v>
      </c>
      <c r="R43" s="13" t="s">
        <v>231</v>
      </c>
      <c r="S43" s="13" t="s">
        <v>145</v>
      </c>
      <c r="T43" s="13">
        <v>49.0</v>
      </c>
      <c r="AE43" s="10">
        <v>49.7788</v>
      </c>
      <c r="AF43" s="10">
        <v>-125.0485</v>
      </c>
      <c r="AG43" s="10">
        <v>49.0</v>
      </c>
    </row>
    <row r="44" ht="14.25" customHeight="1">
      <c r="A44" s="6" t="s">
        <v>138</v>
      </c>
      <c r="B44" s="5">
        <v>10.0</v>
      </c>
      <c r="C44" s="12" t="s">
        <v>139</v>
      </c>
      <c r="D44" s="10" t="s">
        <v>232</v>
      </c>
      <c r="E44" s="10"/>
      <c r="F44" s="12" t="s">
        <v>233</v>
      </c>
      <c r="G44" s="10" t="str">
        <f t="shared" si="1"/>
        <v>-&gt; 119.9330295 W, 50.6436078 N, Elev. 385 m</v>
      </c>
      <c r="M44" s="13">
        <v>50.6436078</v>
      </c>
      <c r="N44" s="13">
        <v>-119.9330295</v>
      </c>
      <c r="O44" s="13" t="s">
        <v>142</v>
      </c>
      <c r="P44" s="13" t="s">
        <v>234</v>
      </c>
      <c r="Q44" s="14">
        <v>1.0</v>
      </c>
      <c r="R44" s="13" t="s">
        <v>235</v>
      </c>
      <c r="S44" s="13" t="s">
        <v>145</v>
      </c>
      <c r="T44" s="13">
        <v>385.0</v>
      </c>
      <c r="AE44" s="10">
        <v>50.6436078</v>
      </c>
      <c r="AF44" s="10">
        <v>-119.9330295</v>
      </c>
      <c r="AG44" s="10">
        <v>385.0</v>
      </c>
    </row>
    <row r="45" ht="14.25" customHeight="1">
      <c r="A45" s="6" t="s">
        <v>138</v>
      </c>
      <c r="B45" s="5">
        <v>10.0</v>
      </c>
      <c r="C45" s="12" t="s">
        <v>139</v>
      </c>
      <c r="D45" s="10" t="s">
        <v>236</v>
      </c>
      <c r="E45" s="10"/>
      <c r="F45" s="12" t="s">
        <v>237</v>
      </c>
      <c r="G45" s="10" t="str">
        <f t="shared" si="1"/>
        <v>-&gt; 120.878 W, 56.3537 N, Elev. 693 m</v>
      </c>
      <c r="M45" s="13">
        <v>56.3537</v>
      </c>
      <c r="N45" s="13">
        <v>-120.878</v>
      </c>
      <c r="O45" s="13" t="s">
        <v>153</v>
      </c>
      <c r="P45" s="13" t="s">
        <v>238</v>
      </c>
      <c r="Q45" s="14">
        <v>2.0</v>
      </c>
      <c r="R45" s="13" t="s">
        <v>239</v>
      </c>
      <c r="S45" s="13" t="s">
        <v>145</v>
      </c>
      <c r="T45" s="13">
        <v>693.0</v>
      </c>
      <c r="AE45" s="10">
        <v>56.3537</v>
      </c>
      <c r="AF45" s="10">
        <v>-120.878</v>
      </c>
      <c r="AG45" s="10">
        <v>693.0</v>
      </c>
    </row>
    <row r="46" ht="14.25" customHeight="1">
      <c r="A46" s="6" t="s">
        <v>138</v>
      </c>
      <c r="B46" s="5">
        <v>10.0</v>
      </c>
      <c r="C46" s="12" t="s">
        <v>139</v>
      </c>
      <c r="D46" s="10" t="s">
        <v>240</v>
      </c>
      <c r="E46" s="10"/>
      <c r="F46" s="12" t="s">
        <v>241</v>
      </c>
      <c r="G46" s="10" t="str">
        <f t="shared" si="1"/>
        <v>-&gt; 119.5672 W, 49.5342 N, Elev. 413 m</v>
      </c>
      <c r="M46" s="13">
        <v>49.5342</v>
      </c>
      <c r="N46" s="13">
        <v>-119.5672</v>
      </c>
      <c r="O46" s="13" t="s">
        <v>221</v>
      </c>
      <c r="P46" s="13" t="s">
        <v>242</v>
      </c>
      <c r="Q46" s="14">
        <v>1.0</v>
      </c>
      <c r="R46" s="13" t="s">
        <v>243</v>
      </c>
      <c r="S46" s="13" t="s">
        <v>145</v>
      </c>
      <c r="T46" s="13">
        <v>413.0</v>
      </c>
      <c r="AE46" s="10">
        <v>49.5342</v>
      </c>
      <c r="AF46" s="10">
        <v>-119.5672</v>
      </c>
      <c r="AG46" s="10">
        <v>413.0</v>
      </c>
    </row>
    <row r="47" ht="14.25" customHeight="1">
      <c r="A47" s="6" t="s">
        <v>138</v>
      </c>
      <c r="B47" s="5">
        <v>10.0</v>
      </c>
      <c r="C47" s="12" t="s">
        <v>139</v>
      </c>
      <c r="D47" s="10" t="s">
        <v>244</v>
      </c>
      <c r="E47" s="10"/>
      <c r="F47" s="12" t="s">
        <v>245</v>
      </c>
      <c r="G47" s="10" t="str">
        <f t="shared" si="1"/>
        <v>-&gt; 119.2424 W, 50.4823 N, Elev. 535 m</v>
      </c>
      <c r="M47" s="13">
        <v>50.4823</v>
      </c>
      <c r="N47" s="13">
        <v>-119.2424</v>
      </c>
      <c r="O47" s="13" t="s">
        <v>142</v>
      </c>
      <c r="P47" s="13" t="s">
        <v>246</v>
      </c>
      <c r="Q47" s="14">
        <v>1.0</v>
      </c>
      <c r="R47" s="13" t="s">
        <v>247</v>
      </c>
      <c r="S47" s="13" t="s">
        <v>145</v>
      </c>
      <c r="T47" s="13">
        <v>535.0</v>
      </c>
      <c r="AE47" s="10">
        <v>50.4823</v>
      </c>
      <c r="AF47" s="10">
        <v>-119.2424</v>
      </c>
      <c r="AG47" s="10">
        <v>535.0</v>
      </c>
    </row>
    <row r="48" ht="14.25" customHeight="1">
      <c r="A48" s="6" t="s">
        <v>138</v>
      </c>
      <c r="B48" s="5">
        <v>10.0</v>
      </c>
      <c r="C48" s="12" t="s">
        <v>139</v>
      </c>
      <c r="D48" s="10" t="s">
        <v>248</v>
      </c>
      <c r="E48" s="10"/>
      <c r="F48" s="12" t="s">
        <v>249</v>
      </c>
      <c r="G48" s="10" t="str">
        <f t="shared" si="1"/>
        <v>-&gt; 116.4653 W, 49.104 N, Elev. 710 m</v>
      </c>
      <c r="M48" s="13">
        <v>49.104</v>
      </c>
      <c r="N48" s="13">
        <v>-116.4653</v>
      </c>
      <c r="O48" s="13" t="s">
        <v>170</v>
      </c>
      <c r="P48" s="13" t="s">
        <v>250</v>
      </c>
      <c r="Q48" s="14">
        <v>1.0</v>
      </c>
      <c r="R48" s="13" t="s">
        <v>251</v>
      </c>
      <c r="S48" s="13" t="s">
        <v>145</v>
      </c>
      <c r="T48" s="13">
        <v>710.0</v>
      </c>
      <c r="AE48" s="10">
        <v>49.104</v>
      </c>
      <c r="AF48" s="10">
        <v>-116.4653</v>
      </c>
      <c r="AG48" s="10">
        <v>710.0</v>
      </c>
    </row>
    <row r="49" ht="14.25" customHeight="1">
      <c r="A49" s="6" t="s">
        <v>138</v>
      </c>
      <c r="B49" s="5">
        <v>10.0</v>
      </c>
      <c r="C49" s="12" t="s">
        <v>139</v>
      </c>
      <c r="D49" s="10" t="s">
        <v>252</v>
      </c>
      <c r="E49" s="10"/>
      <c r="F49" s="12" t="s">
        <v>253</v>
      </c>
      <c r="G49" s="10" t="str">
        <f t="shared" si="1"/>
        <v>-&gt; 118.4845 W, 49.0465 N, Elev. 593 m</v>
      </c>
      <c r="M49" s="13">
        <v>49.0465</v>
      </c>
      <c r="N49" s="13">
        <v>-118.4845</v>
      </c>
      <c r="O49" s="13" t="s">
        <v>142</v>
      </c>
      <c r="P49" s="13" t="s">
        <v>254</v>
      </c>
      <c r="Q49" s="14">
        <v>1.0</v>
      </c>
      <c r="R49" s="13" t="s">
        <v>255</v>
      </c>
      <c r="S49" s="13" t="s">
        <v>145</v>
      </c>
      <c r="T49" s="13">
        <v>593.0</v>
      </c>
      <c r="AE49" s="10">
        <v>49.0465</v>
      </c>
      <c r="AF49" s="10">
        <v>-118.4845</v>
      </c>
      <c r="AG49" s="10">
        <v>593.0</v>
      </c>
    </row>
    <row r="50" ht="14.25" customHeight="1">
      <c r="A50" s="6" t="s">
        <v>138</v>
      </c>
      <c r="B50" s="5">
        <v>10.0</v>
      </c>
      <c r="C50" s="12" t="s">
        <v>139</v>
      </c>
      <c r="D50" s="10" t="s">
        <v>256</v>
      </c>
      <c r="E50" s="10"/>
      <c r="F50" s="12" t="s">
        <v>257</v>
      </c>
      <c r="G50" s="10" t="str">
        <f t="shared" si="1"/>
        <v>-&gt; 116.5081 W, 49.0618 N, Elev. 609 m</v>
      </c>
      <c r="M50" s="13">
        <v>49.0618</v>
      </c>
      <c r="N50" s="13">
        <v>-116.5081</v>
      </c>
      <c r="O50" s="13" t="s">
        <v>170</v>
      </c>
      <c r="P50" s="13" t="s">
        <v>258</v>
      </c>
      <c r="Q50" s="14">
        <v>1.0</v>
      </c>
      <c r="R50" s="13" t="s">
        <v>259</v>
      </c>
      <c r="S50" s="13" t="s">
        <v>145</v>
      </c>
      <c r="T50" s="13">
        <v>609.0</v>
      </c>
      <c r="AE50" s="10">
        <v>49.0618</v>
      </c>
      <c r="AF50" s="10">
        <v>-116.5081</v>
      </c>
      <c r="AG50" s="10">
        <v>609.0</v>
      </c>
    </row>
    <row r="51" ht="14.25" customHeight="1">
      <c r="A51" s="6" t="s">
        <v>138</v>
      </c>
      <c r="B51" s="5">
        <v>10.0</v>
      </c>
      <c r="C51" s="12" t="s">
        <v>139</v>
      </c>
      <c r="D51" s="10" t="s">
        <v>260</v>
      </c>
      <c r="E51" s="10"/>
      <c r="F51" s="12" t="s">
        <v>261</v>
      </c>
      <c r="G51" s="10" t="str">
        <f t="shared" si="1"/>
        <v>-&gt; 119.5088 W, 49.0582 N, Elev. 328 m</v>
      </c>
      <c r="M51" s="13">
        <v>49.0582</v>
      </c>
      <c r="N51" s="13">
        <v>-119.5088</v>
      </c>
      <c r="O51" s="13" t="s">
        <v>142</v>
      </c>
      <c r="P51" s="13" t="s">
        <v>262</v>
      </c>
      <c r="Q51" s="14">
        <v>1.0</v>
      </c>
      <c r="R51" s="13" t="s">
        <v>263</v>
      </c>
      <c r="S51" s="13" t="s">
        <v>145</v>
      </c>
      <c r="T51" s="13">
        <v>328.0</v>
      </c>
      <c r="AE51" s="10">
        <v>49.0582</v>
      </c>
      <c r="AF51" s="10">
        <v>-119.5088</v>
      </c>
      <c r="AG51" s="10">
        <v>328.0</v>
      </c>
    </row>
    <row r="52" ht="14.25" customHeight="1">
      <c r="A52" s="6" t="s">
        <v>138</v>
      </c>
      <c r="B52" s="5">
        <v>10.0</v>
      </c>
      <c r="C52" s="12" t="s">
        <v>139</v>
      </c>
      <c r="D52" s="10" t="s">
        <v>264</v>
      </c>
      <c r="E52" s="10"/>
      <c r="F52" s="12" t="s">
        <v>265</v>
      </c>
      <c r="G52" s="10" t="str">
        <f t="shared" si="1"/>
        <v>-&gt; 119.4227 W, 49.0224 N, Elev. 356 m</v>
      </c>
      <c r="M52" s="13">
        <v>49.0224</v>
      </c>
      <c r="N52" s="13">
        <v>-119.4227</v>
      </c>
      <c r="O52" s="13" t="s">
        <v>142</v>
      </c>
      <c r="P52" s="13" t="s">
        <v>266</v>
      </c>
      <c r="Q52" s="14">
        <v>1.0</v>
      </c>
      <c r="R52" s="13" t="s">
        <v>267</v>
      </c>
      <c r="S52" s="13" t="s">
        <v>145</v>
      </c>
      <c r="T52" s="13">
        <v>356.0</v>
      </c>
      <c r="AE52" s="10">
        <v>49.0224</v>
      </c>
      <c r="AF52" s="10">
        <v>-119.4227</v>
      </c>
      <c r="AG52" s="10">
        <v>356.0</v>
      </c>
    </row>
    <row r="53" ht="14.25" customHeight="1">
      <c r="A53" s="6" t="s">
        <v>138</v>
      </c>
      <c r="B53" s="5">
        <v>10.0</v>
      </c>
      <c r="C53" s="12" t="s">
        <v>139</v>
      </c>
      <c r="D53" s="10" t="s">
        <v>268</v>
      </c>
      <c r="E53" s="10"/>
      <c r="F53" s="12" t="s">
        <v>269</v>
      </c>
      <c r="G53" s="10" t="str">
        <f t="shared" si="1"/>
        <v>-&gt; 122.9662 W, 50.4912 N, Elev. 226 m</v>
      </c>
      <c r="M53" s="13">
        <v>50.4912</v>
      </c>
      <c r="N53" s="13">
        <v>-122.9662</v>
      </c>
      <c r="O53" s="13" t="s">
        <v>51</v>
      </c>
      <c r="P53" s="13" t="s">
        <v>270</v>
      </c>
      <c r="Q53" s="14">
        <v>2.0</v>
      </c>
      <c r="R53" s="13" t="s">
        <v>271</v>
      </c>
      <c r="S53" s="13" t="s">
        <v>145</v>
      </c>
      <c r="T53" s="13">
        <v>226.0</v>
      </c>
      <c r="AE53" s="10">
        <v>50.4912</v>
      </c>
      <c r="AF53" s="10">
        <v>-122.9662</v>
      </c>
      <c r="AG53" s="10">
        <v>226.0</v>
      </c>
    </row>
    <row r="54" ht="14.25" customHeight="1">
      <c r="A54" s="6" t="s">
        <v>138</v>
      </c>
      <c r="B54" s="5">
        <v>10.0</v>
      </c>
      <c r="C54" s="12" t="s">
        <v>139</v>
      </c>
      <c r="D54" s="10" t="s">
        <v>272</v>
      </c>
      <c r="E54" s="10"/>
      <c r="F54" s="12" t="s">
        <v>273</v>
      </c>
      <c r="G54" s="10" t="str">
        <f t="shared" si="1"/>
        <v>-&gt; 121.062 W, 56.9021 N, Elev. 734 m</v>
      </c>
      <c r="M54" s="13">
        <v>56.9021</v>
      </c>
      <c r="N54" s="13">
        <v>-121.062</v>
      </c>
      <c r="O54" s="13" t="s">
        <v>153</v>
      </c>
      <c r="P54" s="13" t="s">
        <v>274</v>
      </c>
      <c r="Q54" s="14">
        <v>4.0</v>
      </c>
      <c r="R54" s="13" t="s">
        <v>275</v>
      </c>
      <c r="S54" s="13" t="s">
        <v>145</v>
      </c>
      <c r="T54" s="13">
        <v>734.0</v>
      </c>
      <c r="AE54" s="10">
        <v>56.9021</v>
      </c>
      <c r="AF54" s="10">
        <v>-121.062</v>
      </c>
      <c r="AG54" s="10">
        <v>734.0</v>
      </c>
    </row>
    <row r="55" ht="14.25" customHeight="1">
      <c r="A55" s="6" t="s">
        <v>138</v>
      </c>
      <c r="B55" s="5">
        <v>10.0</v>
      </c>
      <c r="C55" s="12" t="s">
        <v>139</v>
      </c>
      <c r="D55" s="10" t="s">
        <v>276</v>
      </c>
      <c r="E55" s="10"/>
      <c r="F55" s="12" t="s">
        <v>277</v>
      </c>
      <c r="G55" s="10" t="str">
        <f t="shared" si="1"/>
        <v>-&gt; 120.196 W, 55.8597 N, Elev. 718 m</v>
      </c>
      <c r="M55" s="13">
        <v>55.8597</v>
      </c>
      <c r="N55" s="13">
        <v>-120.196</v>
      </c>
      <c r="O55" s="13" t="s">
        <v>153</v>
      </c>
      <c r="P55" s="13" t="s">
        <v>278</v>
      </c>
      <c r="Q55" s="14">
        <v>3.0</v>
      </c>
      <c r="R55" s="13" t="s">
        <v>279</v>
      </c>
      <c r="S55" s="13" t="s">
        <v>145</v>
      </c>
      <c r="T55" s="13">
        <v>718.0</v>
      </c>
      <c r="AE55" s="10">
        <v>55.8597</v>
      </c>
      <c r="AF55" s="10">
        <v>-120.196</v>
      </c>
      <c r="AG55" s="10">
        <v>718.0</v>
      </c>
    </row>
    <row r="56" ht="14.25" customHeight="1">
      <c r="A56" s="6" t="s">
        <v>138</v>
      </c>
      <c r="B56" s="5">
        <v>10.0</v>
      </c>
      <c r="C56" s="12" t="s">
        <v>139</v>
      </c>
      <c r="D56" s="10" t="s">
        <v>280</v>
      </c>
      <c r="E56" s="10"/>
      <c r="F56" s="10" t="s">
        <v>281</v>
      </c>
      <c r="G56" s="10" t="str">
        <f t="shared" si="1"/>
        <v>-&gt; 123.4153 W, 48.5564 N, Elev. 90 m</v>
      </c>
      <c r="M56" s="13">
        <v>48.5564</v>
      </c>
      <c r="N56" s="13">
        <v>-123.4153</v>
      </c>
      <c r="O56" s="13" t="s">
        <v>183</v>
      </c>
      <c r="P56" s="13" t="s">
        <v>282</v>
      </c>
      <c r="Q56" s="14">
        <v>3.0</v>
      </c>
      <c r="R56" s="13" t="s">
        <v>283</v>
      </c>
      <c r="S56" s="13" t="s">
        <v>145</v>
      </c>
      <c r="T56" s="13">
        <v>90.0</v>
      </c>
      <c r="AE56" s="10">
        <v>48.5564</v>
      </c>
      <c r="AF56" s="10">
        <v>-123.4153</v>
      </c>
      <c r="AG56" s="10">
        <v>90.0</v>
      </c>
    </row>
    <row r="57" ht="14.25" customHeight="1">
      <c r="A57" s="6" t="s">
        <v>138</v>
      </c>
      <c r="B57" s="5">
        <v>10.0</v>
      </c>
      <c r="C57" s="12" t="s">
        <v>139</v>
      </c>
      <c r="D57" s="10" t="s">
        <v>284</v>
      </c>
      <c r="E57" s="10"/>
      <c r="F57" s="12" t="s">
        <v>285</v>
      </c>
      <c r="G57" s="10" t="str">
        <f t="shared" si="1"/>
        <v>-&gt; 116.4931 W, 49.0803 N, Elev. 650 m</v>
      </c>
      <c r="M57" s="13">
        <v>49.0803</v>
      </c>
      <c r="N57" s="13">
        <v>-116.4931</v>
      </c>
      <c r="O57" s="13" t="s">
        <v>170</v>
      </c>
      <c r="P57" s="13" t="s">
        <v>286</v>
      </c>
      <c r="Q57" s="14">
        <v>1.0</v>
      </c>
      <c r="R57" s="13" t="s">
        <v>287</v>
      </c>
      <c r="S57" s="13" t="s">
        <v>145</v>
      </c>
      <c r="T57" s="13">
        <v>650.0</v>
      </c>
      <c r="AE57" s="10">
        <v>49.0803</v>
      </c>
      <c r="AF57" s="10">
        <v>-116.4931</v>
      </c>
      <c r="AG57" s="10">
        <v>650.0</v>
      </c>
    </row>
    <row r="58" ht="14.25" customHeight="1">
      <c r="A58" s="6" t="s">
        <v>138</v>
      </c>
      <c r="B58" s="5">
        <v>10.0</v>
      </c>
      <c r="C58" s="12" t="s">
        <v>139</v>
      </c>
      <c r="D58" s="10" t="s">
        <v>288</v>
      </c>
      <c r="E58" s="10"/>
      <c r="F58" s="10" t="s">
        <v>289</v>
      </c>
      <c r="G58" s="10" t="str">
        <f t="shared" si="1"/>
        <v>-&gt; 119.452 W, 49.8299 N, Elev. 473 m</v>
      </c>
      <c r="M58" s="13">
        <v>49.8299</v>
      </c>
      <c r="N58" s="13">
        <v>-119.452</v>
      </c>
      <c r="O58" s="13" t="s">
        <v>142</v>
      </c>
      <c r="P58" s="13" t="s">
        <v>290</v>
      </c>
      <c r="Q58" s="14">
        <v>1.0</v>
      </c>
      <c r="R58" s="13" t="s">
        <v>291</v>
      </c>
      <c r="S58" s="13" t="s">
        <v>145</v>
      </c>
      <c r="T58" s="13">
        <v>473.0</v>
      </c>
      <c r="AE58" s="10">
        <v>49.8299</v>
      </c>
      <c r="AF58" s="10">
        <v>-119.452</v>
      </c>
      <c r="AG58" s="10">
        <v>473.0</v>
      </c>
    </row>
    <row r="59" ht="14.25" customHeight="1">
      <c r="A59" s="6" t="s">
        <v>138</v>
      </c>
      <c r="B59" s="5">
        <v>10.0</v>
      </c>
      <c r="C59" s="12" t="s">
        <v>139</v>
      </c>
      <c r="D59" s="10" t="s">
        <v>292</v>
      </c>
      <c r="E59" s="10"/>
      <c r="F59" s="12" t="s">
        <v>293</v>
      </c>
      <c r="G59" s="10" t="str">
        <f t="shared" si="1"/>
        <v>-&gt; 120.128 W, 55.569 N, Elev. 744 m</v>
      </c>
      <c r="M59" s="13">
        <v>55.569</v>
      </c>
      <c r="N59" s="13">
        <v>-120.128</v>
      </c>
      <c r="O59" s="13" t="s">
        <v>153</v>
      </c>
      <c r="P59" s="13" t="s">
        <v>294</v>
      </c>
      <c r="Q59" s="14">
        <v>4.0</v>
      </c>
      <c r="R59" s="13" t="s">
        <v>295</v>
      </c>
      <c r="S59" s="13" t="s">
        <v>145</v>
      </c>
      <c r="T59" s="13">
        <v>744.0</v>
      </c>
      <c r="AE59" s="10">
        <v>55.569</v>
      </c>
      <c r="AF59" s="10">
        <v>-120.128</v>
      </c>
      <c r="AG59" s="10">
        <v>744.0</v>
      </c>
    </row>
    <row r="60" ht="14.25" customHeight="1">
      <c r="A60" s="6" t="s">
        <v>138</v>
      </c>
      <c r="B60" s="5">
        <v>10.0</v>
      </c>
      <c r="C60" s="12" t="s">
        <v>139</v>
      </c>
      <c r="D60" s="10" t="s">
        <v>296</v>
      </c>
      <c r="E60" s="10"/>
      <c r="F60" s="12" t="s">
        <v>297</v>
      </c>
      <c r="G60" s="10" t="str">
        <f t="shared" si="1"/>
        <v>-&gt; 120.601 W, 56.0151 N, Elev. 783 m</v>
      </c>
      <c r="M60" s="13">
        <v>56.0151</v>
      </c>
      <c r="N60" s="13">
        <v>-120.601</v>
      </c>
      <c r="O60" s="13" t="s">
        <v>153</v>
      </c>
      <c r="P60" s="13" t="s">
        <v>298</v>
      </c>
      <c r="Q60" s="14">
        <v>7.0</v>
      </c>
      <c r="R60" s="13" t="s">
        <v>299</v>
      </c>
      <c r="S60" s="13" t="s">
        <v>145</v>
      </c>
      <c r="T60" s="13">
        <v>783.0</v>
      </c>
      <c r="AE60" s="10">
        <v>56.0151</v>
      </c>
      <c r="AF60" s="10">
        <v>-120.601</v>
      </c>
      <c r="AG60" s="10">
        <v>783.0</v>
      </c>
    </row>
    <row r="61" ht="14.25" customHeight="1">
      <c r="A61" s="6" t="s">
        <v>138</v>
      </c>
      <c r="B61" s="5">
        <v>10.0</v>
      </c>
      <c r="C61" s="12" t="s">
        <v>139</v>
      </c>
      <c r="D61" s="10" t="s">
        <v>300</v>
      </c>
      <c r="E61" s="10"/>
      <c r="F61" s="12" t="s">
        <v>301</v>
      </c>
      <c r="G61" s="10" t="str">
        <f t="shared" si="1"/>
        <v>-&gt; 123.0639 W, 49.0393 N, Elev. 3 m</v>
      </c>
      <c r="M61" s="13">
        <v>49.0393</v>
      </c>
      <c r="N61" s="13">
        <v>-123.0639</v>
      </c>
      <c r="O61" s="13" t="s">
        <v>183</v>
      </c>
      <c r="P61" s="13" t="s">
        <v>302</v>
      </c>
      <c r="Q61" s="14">
        <v>1.0</v>
      </c>
      <c r="R61" s="13" t="s">
        <v>303</v>
      </c>
      <c r="S61" s="13" t="s">
        <v>145</v>
      </c>
      <c r="T61" s="13">
        <v>3.0</v>
      </c>
      <c r="Z61" s="13"/>
      <c r="AA61" s="13"/>
      <c r="AB61" s="13"/>
      <c r="AC61" s="13"/>
      <c r="AE61" s="10">
        <v>49.0393</v>
      </c>
      <c r="AF61" s="10">
        <v>-123.0639</v>
      </c>
      <c r="AG61" s="10">
        <v>3.0</v>
      </c>
    </row>
    <row r="62" ht="14.25" customHeight="1">
      <c r="A62" s="6" t="s">
        <v>138</v>
      </c>
      <c r="B62" s="5">
        <v>10.0</v>
      </c>
      <c r="C62" s="12" t="s">
        <v>139</v>
      </c>
      <c r="D62" s="10" t="s">
        <v>304</v>
      </c>
      <c r="E62" s="10"/>
      <c r="F62" s="12" t="s">
        <v>305</v>
      </c>
      <c r="G62" s="10" t="str">
        <f t="shared" si="1"/>
        <v>-&gt; 122.313 W, 56.5215 N, Elev. 674 m</v>
      </c>
      <c r="M62" s="13">
        <v>56.5215</v>
      </c>
      <c r="N62" s="13">
        <v>-122.313</v>
      </c>
      <c r="O62" s="13" t="s">
        <v>153</v>
      </c>
      <c r="P62" s="13" t="s">
        <v>306</v>
      </c>
      <c r="Q62" s="14">
        <v>2.0</v>
      </c>
      <c r="R62" s="13" t="s">
        <v>307</v>
      </c>
      <c r="S62" s="13" t="s">
        <v>145</v>
      </c>
      <c r="T62" s="13">
        <v>674.0</v>
      </c>
      <c r="AE62" s="10">
        <v>56.5215</v>
      </c>
      <c r="AF62" s="10">
        <v>-122.313</v>
      </c>
      <c r="AG62" s="10">
        <v>674.0</v>
      </c>
    </row>
    <row r="63" ht="14.25" customHeight="1">
      <c r="A63" s="6" t="s">
        <v>138</v>
      </c>
      <c r="B63" s="5">
        <v>10.0</v>
      </c>
      <c r="C63" s="12" t="s">
        <v>139</v>
      </c>
      <c r="D63" s="10" t="s">
        <v>308</v>
      </c>
      <c r="E63" s="10"/>
      <c r="F63" s="12" t="s">
        <v>309</v>
      </c>
      <c r="G63" s="10" t="str">
        <f t="shared" si="1"/>
        <v>-&gt; 119.5746 W, 49.868 N, Elev. 487 m</v>
      </c>
      <c r="M63" s="13">
        <v>49.868</v>
      </c>
      <c r="N63" s="13">
        <v>-119.5746</v>
      </c>
      <c r="O63" s="13" t="s">
        <v>142</v>
      </c>
      <c r="P63" s="13" t="s">
        <v>310</v>
      </c>
      <c r="Q63" s="14">
        <v>1.0</v>
      </c>
      <c r="R63" s="13" t="s">
        <v>311</v>
      </c>
      <c r="S63" s="13" t="s">
        <v>145</v>
      </c>
      <c r="T63" s="13">
        <v>487.0</v>
      </c>
      <c r="AE63" s="10">
        <v>49.868</v>
      </c>
      <c r="AF63" s="10">
        <v>-119.5746</v>
      </c>
      <c r="AG63" s="10">
        <v>487.0</v>
      </c>
    </row>
    <row r="64" ht="14.25" customHeight="1">
      <c r="A64" s="6" t="s">
        <v>138</v>
      </c>
      <c r="B64" s="5">
        <v>10.0</v>
      </c>
      <c r="C64" s="12" t="s">
        <v>139</v>
      </c>
      <c r="D64" s="10" t="s">
        <v>312</v>
      </c>
      <c r="E64" s="10"/>
      <c r="F64" s="12" t="s">
        <v>313</v>
      </c>
      <c r="G64" s="10" t="str">
        <f t="shared" si="1"/>
        <v>-&gt; 123.158 W, 49.0827 N, Elev. 7 m</v>
      </c>
      <c r="M64" s="13">
        <v>49.0827</v>
      </c>
      <c r="N64" s="13">
        <v>-123.158</v>
      </c>
      <c r="O64" s="13" t="s">
        <v>183</v>
      </c>
      <c r="P64" s="13" t="s">
        <v>314</v>
      </c>
      <c r="Q64" s="14">
        <v>1.0</v>
      </c>
      <c r="R64" s="13" t="s">
        <v>315</v>
      </c>
      <c r="S64" s="13" t="s">
        <v>145</v>
      </c>
      <c r="T64" s="13">
        <v>7.0</v>
      </c>
      <c r="AE64" s="10">
        <v>49.0827</v>
      </c>
      <c r="AF64" s="10">
        <v>-123.158</v>
      </c>
      <c r="AG64" s="10">
        <v>7.0</v>
      </c>
    </row>
    <row r="65" ht="14.25" customHeight="1">
      <c r="A65" s="6" t="s">
        <v>138</v>
      </c>
      <c r="B65" s="5">
        <v>10.0</v>
      </c>
      <c r="C65" s="12" t="s">
        <v>139</v>
      </c>
      <c r="D65" s="10" t="s">
        <v>316</v>
      </c>
      <c r="E65" s="10"/>
      <c r="F65" s="12" t="s">
        <v>317</v>
      </c>
      <c r="G65" s="10" t="str">
        <f t="shared" si="1"/>
        <v>-&gt; 119.4343 W, 50.0596 N, Elev. 455 m</v>
      </c>
      <c r="M65" s="13">
        <v>50.0596</v>
      </c>
      <c r="N65" s="13">
        <v>-119.4343</v>
      </c>
      <c r="O65" s="13" t="s">
        <v>142</v>
      </c>
      <c r="P65" s="13" t="s">
        <v>318</v>
      </c>
      <c r="Q65" s="14">
        <v>1.0</v>
      </c>
      <c r="R65" s="13" t="s">
        <v>319</v>
      </c>
      <c r="S65" s="13" t="s">
        <v>145</v>
      </c>
      <c r="T65" s="13">
        <v>455.0</v>
      </c>
      <c r="AE65" s="10">
        <v>50.0596</v>
      </c>
      <c r="AF65" s="10">
        <v>-119.4343</v>
      </c>
      <c r="AG65" s="10">
        <v>455.0</v>
      </c>
    </row>
    <row r="66" ht="14.25" customHeight="1">
      <c r="A66" s="6" t="s">
        <v>138</v>
      </c>
      <c r="B66" s="5">
        <v>10.0</v>
      </c>
      <c r="C66" s="12" t="s">
        <v>139</v>
      </c>
      <c r="D66" s="10" t="s">
        <v>320</v>
      </c>
      <c r="E66" s="10"/>
      <c r="F66" s="12" t="s">
        <v>321</v>
      </c>
      <c r="G66" s="10" t="str">
        <f t="shared" si="1"/>
        <v>-&gt; 119.4205 W, 50.0471 N, Elev. 506 m</v>
      </c>
      <c r="M66" s="13">
        <v>50.0471</v>
      </c>
      <c r="N66" s="13">
        <v>-119.4205</v>
      </c>
      <c r="O66" s="13" t="s">
        <v>183</v>
      </c>
      <c r="P66" s="13" t="s">
        <v>322</v>
      </c>
      <c r="Q66" s="14">
        <v>6.0</v>
      </c>
      <c r="R66" s="13" t="s">
        <v>323</v>
      </c>
      <c r="S66" s="13" t="s">
        <v>145</v>
      </c>
      <c r="T66" s="13">
        <v>506.0</v>
      </c>
      <c r="AE66" s="10">
        <v>50.0471</v>
      </c>
      <c r="AF66" s="10">
        <v>-119.4205</v>
      </c>
      <c r="AG66" s="10">
        <v>506.0</v>
      </c>
    </row>
    <row r="67" ht="14.25" customHeight="1">
      <c r="A67" s="6" t="s">
        <v>138</v>
      </c>
      <c r="B67" s="5">
        <v>10.0</v>
      </c>
      <c r="C67" s="12" t="s">
        <v>139</v>
      </c>
      <c r="D67" s="10" t="s">
        <v>324</v>
      </c>
      <c r="E67" s="10"/>
      <c r="F67" s="12" t="s">
        <v>325</v>
      </c>
      <c r="G67" s="10" t="str">
        <f t="shared" si="1"/>
        <v>-&gt; 116.5696 W, 49.1678 N, Elev. 533 m</v>
      </c>
      <c r="M67" s="13">
        <v>49.1678</v>
      </c>
      <c r="N67" s="13">
        <v>-116.5696</v>
      </c>
      <c r="O67" s="13" t="s">
        <v>170</v>
      </c>
      <c r="P67" s="13" t="s">
        <v>326</v>
      </c>
      <c r="Q67" s="14">
        <v>1.0</v>
      </c>
      <c r="R67" s="13" t="s">
        <v>327</v>
      </c>
      <c r="S67" s="13" t="s">
        <v>145</v>
      </c>
      <c r="T67" s="13">
        <v>533.0</v>
      </c>
      <c r="AE67" s="10">
        <v>49.1678</v>
      </c>
      <c r="AF67" s="10">
        <v>-116.5696</v>
      </c>
      <c r="AG67" s="10">
        <v>533.0</v>
      </c>
    </row>
    <row r="68" ht="14.25" customHeight="1">
      <c r="A68" s="6" t="s">
        <v>328</v>
      </c>
      <c r="B68" s="5">
        <v>10.0</v>
      </c>
      <c r="C68" s="12" t="s">
        <v>139</v>
      </c>
      <c r="D68" s="10" t="s">
        <v>329</v>
      </c>
      <c r="E68" s="10"/>
      <c r="F68" s="12" t="s">
        <v>330</v>
      </c>
      <c r="G68" s="10" t="str">
        <f t="shared" si="1"/>
        <v>-&gt; 119.384 W, 49.8767 N, Elev. 468 m</v>
      </c>
      <c r="M68" s="13">
        <v>49.8767</v>
      </c>
      <c r="N68" s="13">
        <v>-119.384</v>
      </c>
      <c r="O68" s="13" t="s">
        <v>142</v>
      </c>
      <c r="P68" s="13" t="s">
        <v>331</v>
      </c>
      <c r="Q68" s="14">
        <v>1.0</v>
      </c>
      <c r="R68" s="10" t="s">
        <v>332</v>
      </c>
      <c r="S68" s="13" t="s">
        <v>145</v>
      </c>
      <c r="T68" s="13">
        <v>468.0</v>
      </c>
      <c r="AE68" s="10">
        <v>49.8767</v>
      </c>
      <c r="AF68" s="10">
        <v>-119.384</v>
      </c>
      <c r="AG68" s="10">
        <v>468.0</v>
      </c>
    </row>
    <row r="69" ht="14.25" customHeight="1">
      <c r="A69" s="6" t="s">
        <v>328</v>
      </c>
      <c r="B69" s="5">
        <v>10.0</v>
      </c>
      <c r="C69" s="12" t="s">
        <v>139</v>
      </c>
      <c r="D69" s="10" t="s">
        <v>333</v>
      </c>
      <c r="E69" s="10"/>
      <c r="F69" s="12" t="s">
        <v>334</v>
      </c>
      <c r="G69" s="10" t="str">
        <f t="shared" si="1"/>
        <v>-&gt; 119.4491 W, 49.872 N, Elev. 357 m</v>
      </c>
      <c r="M69" s="13">
        <v>49.872</v>
      </c>
      <c r="N69" s="13">
        <v>-119.4491</v>
      </c>
      <c r="O69" s="13" t="s">
        <v>142</v>
      </c>
      <c r="P69" s="13" t="s">
        <v>335</v>
      </c>
      <c r="Q69" s="14">
        <v>1.0</v>
      </c>
      <c r="R69" s="13" t="s">
        <v>336</v>
      </c>
      <c r="S69" s="13" t="s">
        <v>145</v>
      </c>
      <c r="T69" s="13">
        <v>357.0</v>
      </c>
      <c r="AE69" s="10">
        <v>49.872</v>
      </c>
      <c r="AF69" s="10">
        <v>-119.4491</v>
      </c>
      <c r="AG69" s="10">
        <v>357.0</v>
      </c>
    </row>
    <row r="70" ht="14.25" customHeight="1">
      <c r="A70" s="6" t="s">
        <v>328</v>
      </c>
      <c r="B70" s="5">
        <v>10.0</v>
      </c>
      <c r="C70" s="12" t="s">
        <v>139</v>
      </c>
      <c r="D70" s="12" t="s">
        <v>337</v>
      </c>
      <c r="E70" s="10"/>
      <c r="F70" s="12" t="s">
        <v>338</v>
      </c>
      <c r="G70" s="10" t="str">
        <f t="shared" si="1"/>
        <v>-&gt; 118.869 W, 50.248 N, Elev. 580 m</v>
      </c>
      <c r="M70" s="10">
        <v>50.248</v>
      </c>
      <c r="N70" s="10">
        <v>-118.87</v>
      </c>
      <c r="O70" s="10"/>
      <c r="P70" s="10" t="s">
        <v>339</v>
      </c>
      <c r="Q70" s="15"/>
      <c r="R70" s="10" t="s">
        <v>340</v>
      </c>
      <c r="S70" s="10" t="s">
        <v>145</v>
      </c>
      <c r="T70" s="10">
        <v>580.0</v>
      </c>
      <c r="AE70" s="10">
        <v>50.248</v>
      </c>
      <c r="AF70" s="10">
        <v>-118.869</v>
      </c>
      <c r="AG70" s="10">
        <v>580.0</v>
      </c>
    </row>
    <row r="71" ht="14.25" customHeight="1">
      <c r="A71" s="6" t="s">
        <v>328</v>
      </c>
      <c r="B71" s="5">
        <v>10.0</v>
      </c>
      <c r="C71" s="12" t="s">
        <v>139</v>
      </c>
      <c r="D71" s="10" t="s">
        <v>341</v>
      </c>
      <c r="E71" s="10"/>
      <c r="F71" s="12" t="s">
        <v>342</v>
      </c>
      <c r="G71" s="10" t="str">
        <f t="shared" si="1"/>
        <v>-&gt; 122.986 W, 49.0791 N, Elev. 8 m</v>
      </c>
      <c r="M71" s="13">
        <v>49.0791</v>
      </c>
      <c r="N71" s="13">
        <v>-122.986</v>
      </c>
      <c r="O71" s="13" t="s">
        <v>183</v>
      </c>
      <c r="P71" s="13" t="s">
        <v>343</v>
      </c>
      <c r="Q71" s="14">
        <v>1.0</v>
      </c>
      <c r="R71" s="13" t="s">
        <v>344</v>
      </c>
      <c r="S71" s="13" t="s">
        <v>145</v>
      </c>
      <c r="T71" s="13">
        <v>8.0</v>
      </c>
      <c r="AE71" s="10">
        <v>49.0791</v>
      </c>
      <c r="AF71" s="10">
        <v>-122.986</v>
      </c>
      <c r="AG71" s="10">
        <v>8.0</v>
      </c>
    </row>
    <row r="72" ht="14.25" customHeight="1">
      <c r="A72" s="6" t="s">
        <v>328</v>
      </c>
      <c r="B72" s="5">
        <v>10.0</v>
      </c>
      <c r="C72" s="12" t="s">
        <v>139</v>
      </c>
      <c r="D72" s="10" t="s">
        <v>345</v>
      </c>
      <c r="E72" s="10"/>
      <c r="F72" s="12" t="s">
        <v>346</v>
      </c>
      <c r="G72" s="10" t="str">
        <f t="shared" si="1"/>
        <v>-&gt; 119.7442 W, 49.1851 N, Elev. 421 m</v>
      </c>
      <c r="M72" s="13">
        <v>49.1851</v>
      </c>
      <c r="N72" s="13">
        <v>-119.7442</v>
      </c>
      <c r="O72" s="13" t="s">
        <v>142</v>
      </c>
      <c r="P72" s="13" t="s">
        <v>347</v>
      </c>
      <c r="Q72" s="14">
        <v>1.0</v>
      </c>
      <c r="R72" s="13" t="s">
        <v>348</v>
      </c>
      <c r="S72" s="13" t="s">
        <v>145</v>
      </c>
      <c r="T72" s="13">
        <v>421.0</v>
      </c>
      <c r="AE72" s="10">
        <v>49.1851</v>
      </c>
      <c r="AF72" s="10">
        <v>-119.7442</v>
      </c>
      <c r="AG72" s="10">
        <v>421.0</v>
      </c>
    </row>
    <row r="73" ht="14.25" customHeight="1">
      <c r="A73" s="6" t="s">
        <v>349</v>
      </c>
      <c r="B73" s="5">
        <v>10.0</v>
      </c>
      <c r="C73" s="12" t="s">
        <v>139</v>
      </c>
      <c r="D73" s="10" t="s">
        <v>350</v>
      </c>
      <c r="E73" s="10"/>
      <c r="F73" s="12" t="s">
        <v>351</v>
      </c>
      <c r="G73" s="10" t="str">
        <f t="shared" si="1"/>
        <v>-&gt; 116.5674 W, 49.0418 N, Elev. 536 m</v>
      </c>
      <c r="M73" s="13">
        <v>49.0418</v>
      </c>
      <c r="N73" s="13">
        <v>-116.5674</v>
      </c>
      <c r="O73" s="13" t="s">
        <v>170</v>
      </c>
      <c r="P73" s="13" t="s">
        <v>352</v>
      </c>
      <c r="Q73" s="14">
        <v>1.0</v>
      </c>
      <c r="R73" s="13" t="s">
        <v>353</v>
      </c>
      <c r="S73" s="13" t="s">
        <v>145</v>
      </c>
      <c r="T73" s="13">
        <v>536.0</v>
      </c>
      <c r="AE73" s="10">
        <v>49.0418</v>
      </c>
      <c r="AF73" s="10">
        <v>-116.5674</v>
      </c>
      <c r="AG73" s="10">
        <v>536.0</v>
      </c>
    </row>
    <row r="74" ht="14.25" customHeight="1">
      <c r="A74" s="6" t="s">
        <v>328</v>
      </c>
      <c r="B74" s="5">
        <v>10.0</v>
      </c>
      <c r="C74" s="12" t="s">
        <v>139</v>
      </c>
      <c r="D74" s="10" t="s">
        <v>354</v>
      </c>
      <c r="E74" s="10"/>
      <c r="F74" s="12" t="s">
        <v>355</v>
      </c>
      <c r="G74" s="10" t="str">
        <f t="shared" si="1"/>
        <v>-&gt; 120.038 W, 56.0888 N, Elev. 606 m</v>
      </c>
      <c r="M74" s="13">
        <v>56.0888</v>
      </c>
      <c r="N74" s="13">
        <v>-120.038</v>
      </c>
      <c r="O74" s="13" t="s">
        <v>153</v>
      </c>
      <c r="P74" s="13" t="s">
        <v>356</v>
      </c>
      <c r="Q74" s="14">
        <v>1.0</v>
      </c>
      <c r="R74" s="13" t="s">
        <v>357</v>
      </c>
      <c r="S74" s="13" t="s">
        <v>145</v>
      </c>
      <c r="T74" s="13">
        <v>606.0</v>
      </c>
      <c r="AE74" s="10">
        <v>56.0888</v>
      </c>
      <c r="AF74" s="10">
        <v>-120.038</v>
      </c>
      <c r="AG74" s="10">
        <v>606.0</v>
      </c>
    </row>
    <row r="75" ht="14.25" customHeight="1">
      <c r="A75" s="6" t="s">
        <v>328</v>
      </c>
      <c r="B75" s="5">
        <v>10.0</v>
      </c>
      <c r="C75" s="12" t="s">
        <v>139</v>
      </c>
      <c r="D75" s="10" t="s">
        <v>358</v>
      </c>
      <c r="E75" s="10"/>
      <c r="F75" s="12" t="s">
        <v>359</v>
      </c>
      <c r="G75" s="10" t="str">
        <f t="shared" si="1"/>
        <v>-&gt; 119.4201 W, 49.8654 N, Elev. 434 m</v>
      </c>
      <c r="M75" s="13">
        <v>49.8654</v>
      </c>
      <c r="N75" s="13">
        <v>-119.4201</v>
      </c>
      <c r="O75" s="13" t="s">
        <v>142</v>
      </c>
      <c r="P75" s="16" t="s">
        <v>360</v>
      </c>
      <c r="Q75" s="14">
        <v>1.0</v>
      </c>
      <c r="R75" s="13" t="s">
        <v>361</v>
      </c>
      <c r="S75" s="13" t="s">
        <v>145</v>
      </c>
      <c r="T75" s="13">
        <v>434.0</v>
      </c>
      <c r="AE75" s="10">
        <v>49.8654</v>
      </c>
      <c r="AF75" s="10">
        <v>-119.4201</v>
      </c>
      <c r="AG75" s="10">
        <v>434.0</v>
      </c>
    </row>
    <row r="76" ht="14.25" customHeight="1">
      <c r="A76" s="6" t="s">
        <v>328</v>
      </c>
      <c r="B76" s="5">
        <v>10.0</v>
      </c>
      <c r="C76" s="12" t="s">
        <v>139</v>
      </c>
      <c r="D76" s="10" t="s">
        <v>362</v>
      </c>
      <c r="E76" s="10"/>
      <c r="F76" s="12" t="s">
        <v>363</v>
      </c>
      <c r="G76" s="10" t="str">
        <f t="shared" si="1"/>
        <v>-&gt; 119.3652 W, 49.9508 N, Elev. 436 m</v>
      </c>
      <c r="M76" s="13">
        <v>49.9508</v>
      </c>
      <c r="N76" s="13">
        <v>-119.3652</v>
      </c>
      <c r="O76" s="13" t="s">
        <v>142</v>
      </c>
      <c r="P76" s="13" t="s">
        <v>364</v>
      </c>
      <c r="Q76" s="14">
        <v>1.0</v>
      </c>
      <c r="R76" s="13" t="s">
        <v>365</v>
      </c>
      <c r="S76" s="13" t="s">
        <v>145</v>
      </c>
      <c r="T76" s="13">
        <v>436.0</v>
      </c>
      <c r="AE76" s="10">
        <v>49.9508</v>
      </c>
      <c r="AF76" s="10">
        <v>-119.3652</v>
      </c>
      <c r="AG76" s="10">
        <v>436.0</v>
      </c>
    </row>
    <row r="77" ht="14.25" customHeight="1">
      <c r="A77" s="6" t="s">
        <v>138</v>
      </c>
      <c r="B77" s="5">
        <v>10.0</v>
      </c>
      <c r="C77" s="12" t="s">
        <v>139</v>
      </c>
      <c r="D77" s="10" t="s">
        <v>366</v>
      </c>
      <c r="E77" s="10"/>
      <c r="F77" s="12" t="s">
        <v>367</v>
      </c>
      <c r="G77" s="10" t="str">
        <f t="shared" si="1"/>
        <v>-&gt; 120.513 W, 55.6058 N, Elev. 731 m</v>
      </c>
      <c r="M77" s="13">
        <v>55.6058</v>
      </c>
      <c r="N77" s="13">
        <v>-120.513</v>
      </c>
      <c r="O77" s="13" t="s">
        <v>153</v>
      </c>
      <c r="P77" s="13" t="s">
        <v>368</v>
      </c>
      <c r="Q77" s="14">
        <v>3.0</v>
      </c>
      <c r="R77" s="13" t="s">
        <v>369</v>
      </c>
      <c r="S77" s="13" t="s">
        <v>145</v>
      </c>
      <c r="T77" s="13">
        <v>731.0</v>
      </c>
      <c r="AE77" s="10">
        <v>55.6058</v>
      </c>
      <c r="AF77" s="10">
        <v>-120.513</v>
      </c>
      <c r="AG77" s="10">
        <v>731.0</v>
      </c>
    </row>
    <row r="78" ht="14.25" customHeight="1">
      <c r="A78" s="6" t="s">
        <v>138</v>
      </c>
      <c r="B78" s="5">
        <v>10.0</v>
      </c>
      <c r="C78" s="12" t="s">
        <v>139</v>
      </c>
      <c r="D78" s="10" t="s">
        <v>370</v>
      </c>
      <c r="E78" s="10"/>
      <c r="F78" s="12" t="s">
        <v>371</v>
      </c>
      <c r="G78" s="10" t="str">
        <f t="shared" si="1"/>
        <v>-&gt; 119.4223 W, 49.9154 N, Elev. 447 m</v>
      </c>
      <c r="M78" s="13">
        <v>49.9154</v>
      </c>
      <c r="N78" s="13">
        <v>-119.4223</v>
      </c>
      <c r="O78" s="13" t="s">
        <v>142</v>
      </c>
      <c r="P78" s="13" t="s">
        <v>372</v>
      </c>
      <c r="Q78" s="14">
        <v>1.0</v>
      </c>
      <c r="R78" s="13" t="s">
        <v>373</v>
      </c>
      <c r="S78" s="13" t="s">
        <v>145</v>
      </c>
      <c r="T78" s="13">
        <v>447.0</v>
      </c>
      <c r="AE78" s="10">
        <v>49.9154</v>
      </c>
      <c r="AF78" s="10">
        <v>-119.4223</v>
      </c>
      <c r="AG78" s="10">
        <v>447.0</v>
      </c>
    </row>
    <row r="79" ht="14.25" customHeight="1">
      <c r="A79" s="6" t="s">
        <v>328</v>
      </c>
      <c r="B79" s="5">
        <v>10.0</v>
      </c>
      <c r="C79" s="12" t="s">
        <v>139</v>
      </c>
      <c r="D79" s="10" t="s">
        <v>374</v>
      </c>
      <c r="E79" s="10"/>
      <c r="F79" s="12" t="s">
        <v>375</v>
      </c>
      <c r="G79" s="10" t="str">
        <f t="shared" si="1"/>
        <v>-&gt; 120.183 W, 56.3335 N, Elev. 676 m</v>
      </c>
      <c r="M79" s="13">
        <v>56.3335</v>
      </c>
      <c r="N79" s="13">
        <v>-120.183</v>
      </c>
      <c r="O79" s="13" t="s">
        <v>153</v>
      </c>
      <c r="P79" s="13" t="s">
        <v>376</v>
      </c>
      <c r="Q79" s="14">
        <v>2.0</v>
      </c>
      <c r="R79" s="13" t="s">
        <v>377</v>
      </c>
      <c r="S79" s="13" t="s">
        <v>145</v>
      </c>
      <c r="T79" s="13">
        <v>676.0</v>
      </c>
      <c r="AE79" s="10">
        <v>56.3335</v>
      </c>
      <c r="AF79" s="10">
        <v>-120.183</v>
      </c>
      <c r="AG79" s="10">
        <v>676.0</v>
      </c>
    </row>
    <row r="80" ht="14.25" customHeight="1">
      <c r="A80" s="6" t="s">
        <v>328</v>
      </c>
      <c r="B80" s="5">
        <v>10.0</v>
      </c>
      <c r="C80" s="12" t="s">
        <v>139</v>
      </c>
      <c r="D80" s="10" t="s">
        <v>378</v>
      </c>
      <c r="E80" s="10"/>
      <c r="F80" s="12" t="s">
        <v>379</v>
      </c>
      <c r="G80" s="10" t="str">
        <f t="shared" si="1"/>
        <v>-&gt; 118.485 W, 49.006 N, Elev. 536 m</v>
      </c>
      <c r="M80" s="13">
        <v>49.006</v>
      </c>
      <c r="N80" s="13">
        <v>-118.485</v>
      </c>
      <c r="O80" s="13" t="s">
        <v>142</v>
      </c>
      <c r="P80" s="13" t="s">
        <v>380</v>
      </c>
      <c r="Q80" s="14">
        <v>1.0</v>
      </c>
      <c r="R80" s="13" t="s">
        <v>381</v>
      </c>
      <c r="S80" s="13" t="s">
        <v>145</v>
      </c>
      <c r="T80" s="13">
        <v>536.0</v>
      </c>
      <c r="AE80" s="10">
        <v>49.006</v>
      </c>
      <c r="AF80" s="10">
        <v>-118.485</v>
      </c>
      <c r="AG80" s="10">
        <v>536.0</v>
      </c>
    </row>
    <row r="81" ht="14.25" customHeight="1">
      <c r="A81" s="6" t="s">
        <v>328</v>
      </c>
      <c r="B81" s="5">
        <v>10.0</v>
      </c>
      <c r="C81" s="12" t="s">
        <v>139</v>
      </c>
      <c r="D81" s="10" t="s">
        <v>382</v>
      </c>
      <c r="E81" s="10"/>
      <c r="F81" s="12" t="s">
        <v>383</v>
      </c>
      <c r="G81" s="10" t="str">
        <f t="shared" si="1"/>
        <v>-&gt; 123.6917 W, 48.7319 N, Elev. 40 m</v>
      </c>
      <c r="M81" s="13">
        <v>48.7319</v>
      </c>
      <c r="N81" s="13">
        <v>-123.6917</v>
      </c>
      <c r="O81" s="13" t="s">
        <v>183</v>
      </c>
      <c r="P81" s="13" t="s">
        <v>384</v>
      </c>
      <c r="Q81" s="14">
        <v>2.0</v>
      </c>
      <c r="R81" s="13" t="s">
        <v>385</v>
      </c>
      <c r="S81" s="13" t="s">
        <v>145</v>
      </c>
      <c r="T81" s="13">
        <v>40.0</v>
      </c>
      <c r="AE81" s="10">
        <v>48.7319</v>
      </c>
      <c r="AF81" s="10">
        <v>-123.6917</v>
      </c>
      <c r="AG81" s="10">
        <v>40.0</v>
      </c>
    </row>
    <row r="82" ht="14.25" customHeight="1">
      <c r="A82" s="6" t="s">
        <v>328</v>
      </c>
      <c r="B82" s="5">
        <v>10.0</v>
      </c>
      <c r="C82" s="12" t="s">
        <v>139</v>
      </c>
      <c r="D82" s="10" t="s">
        <v>386</v>
      </c>
      <c r="E82" s="10"/>
      <c r="F82" s="12" t="s">
        <v>387</v>
      </c>
      <c r="G82" s="10" t="str">
        <f t="shared" si="1"/>
        <v>-&gt; 123.0793 W, 49.0637 N, Elev. 0 m</v>
      </c>
      <c r="M82" s="13">
        <v>49.0637</v>
      </c>
      <c r="N82" s="13">
        <v>-123.0793</v>
      </c>
      <c r="O82" s="13" t="s">
        <v>183</v>
      </c>
      <c r="P82" s="13" t="s">
        <v>388</v>
      </c>
      <c r="Q82" s="14">
        <v>1.0</v>
      </c>
      <c r="R82" s="13" t="s">
        <v>389</v>
      </c>
      <c r="S82" s="13" t="s">
        <v>145</v>
      </c>
      <c r="T82" s="13">
        <v>0.0</v>
      </c>
      <c r="AE82" s="10">
        <v>49.0637</v>
      </c>
      <c r="AF82" s="10">
        <v>-123.0793</v>
      </c>
      <c r="AG82" s="10">
        <v>0.0</v>
      </c>
    </row>
    <row r="83" ht="14.25" customHeight="1">
      <c r="A83" s="6" t="s">
        <v>328</v>
      </c>
      <c r="B83" s="5">
        <v>10.0</v>
      </c>
      <c r="C83" s="12" t="s">
        <v>139</v>
      </c>
      <c r="D83" s="10" t="s">
        <v>390</v>
      </c>
      <c r="E83" s="10"/>
      <c r="F83" s="12" t="s">
        <v>391</v>
      </c>
      <c r="G83" s="10" t="str">
        <f t="shared" si="1"/>
        <v>-&gt; 121.26 W, 55.5903 N, Elev. 729 m</v>
      </c>
      <c r="M83" s="13">
        <v>55.5903</v>
      </c>
      <c r="N83" s="13">
        <v>-121.26</v>
      </c>
      <c r="O83" s="13" t="s">
        <v>153</v>
      </c>
      <c r="P83" s="13" t="s">
        <v>392</v>
      </c>
      <c r="Q83" s="14">
        <v>3.0</v>
      </c>
      <c r="R83" s="13" t="s">
        <v>393</v>
      </c>
      <c r="S83" s="13" t="s">
        <v>145</v>
      </c>
      <c r="T83" s="13">
        <v>729.0</v>
      </c>
      <c r="AE83" s="10">
        <v>55.5903</v>
      </c>
      <c r="AF83" s="10">
        <v>-121.26</v>
      </c>
      <c r="AG83" s="10">
        <v>729.0</v>
      </c>
    </row>
    <row r="84" ht="14.25" customHeight="1">
      <c r="A84" s="6" t="s">
        <v>328</v>
      </c>
      <c r="B84" s="5">
        <v>10.0</v>
      </c>
      <c r="C84" s="12" t="s">
        <v>139</v>
      </c>
      <c r="D84" s="10" t="s">
        <v>394</v>
      </c>
      <c r="E84" s="10"/>
      <c r="F84" s="12" t="s">
        <v>395</v>
      </c>
      <c r="G84" s="10" t="str">
        <f t="shared" si="1"/>
        <v>-&gt; 119.575 W, 49.4617 N, Elev. 400 m</v>
      </c>
      <c r="M84" s="13">
        <v>49.4617</v>
      </c>
      <c r="N84" s="13">
        <v>-119.575</v>
      </c>
      <c r="O84" s="13" t="s">
        <v>142</v>
      </c>
      <c r="P84" s="13" t="s">
        <v>396</v>
      </c>
      <c r="Q84" s="14">
        <v>1.0</v>
      </c>
      <c r="R84" s="13" t="s">
        <v>397</v>
      </c>
      <c r="S84" s="13" t="s">
        <v>145</v>
      </c>
      <c r="T84" s="13">
        <v>400.0</v>
      </c>
      <c r="AE84" s="10">
        <v>49.4617</v>
      </c>
      <c r="AF84" s="10">
        <v>-119.575</v>
      </c>
      <c r="AG84" s="10">
        <v>400.0</v>
      </c>
    </row>
    <row r="85" ht="14.25" customHeight="1">
      <c r="A85" s="6" t="s">
        <v>328</v>
      </c>
      <c r="B85" s="5">
        <v>10.0</v>
      </c>
      <c r="C85" s="12" t="s">
        <v>139</v>
      </c>
      <c r="D85" s="10" t="s">
        <v>398</v>
      </c>
      <c r="E85" s="10"/>
      <c r="F85" s="12" t="s">
        <v>399</v>
      </c>
      <c r="G85" s="10" t="str">
        <f t="shared" si="1"/>
        <v>-&gt; 120.087 W, 55.7056 N, Elev. 665 m</v>
      </c>
      <c r="M85" s="13">
        <v>55.7056</v>
      </c>
      <c r="N85" s="13">
        <v>-120.087</v>
      </c>
      <c r="O85" s="13" t="s">
        <v>153</v>
      </c>
      <c r="P85" s="13" t="s">
        <v>400</v>
      </c>
      <c r="Q85" s="14">
        <v>2.0</v>
      </c>
      <c r="R85" s="13" t="s">
        <v>401</v>
      </c>
      <c r="S85" s="13" t="s">
        <v>145</v>
      </c>
      <c r="T85" s="13">
        <v>665.0</v>
      </c>
      <c r="AE85" s="10">
        <v>55.7056</v>
      </c>
      <c r="AF85" s="10">
        <v>-120.087</v>
      </c>
      <c r="AG85" s="10">
        <v>665.0</v>
      </c>
    </row>
    <row r="86" ht="14.25" customHeight="1">
      <c r="A86" s="6" t="s">
        <v>328</v>
      </c>
      <c r="B86" s="5">
        <v>10.0</v>
      </c>
      <c r="C86" s="12" t="s">
        <v>139</v>
      </c>
      <c r="D86" s="10" t="s">
        <v>402</v>
      </c>
      <c r="E86" s="10"/>
      <c r="F86" s="12" t="s">
        <v>403</v>
      </c>
      <c r="G86" s="10" t="str">
        <f t="shared" si="1"/>
        <v>-&gt; 120.767 W, 56.5376 N, Elev. 713 m</v>
      </c>
      <c r="M86" s="13">
        <v>56.5376</v>
      </c>
      <c r="N86" s="13">
        <v>-120.767</v>
      </c>
      <c r="O86" s="13" t="s">
        <v>153</v>
      </c>
      <c r="P86" s="13" t="s">
        <v>404</v>
      </c>
      <c r="Q86" s="14">
        <v>3.0</v>
      </c>
      <c r="R86" s="13" t="s">
        <v>405</v>
      </c>
      <c r="S86" s="13" t="s">
        <v>145</v>
      </c>
      <c r="T86" s="13">
        <v>713.0</v>
      </c>
      <c r="AE86" s="10">
        <v>56.5376</v>
      </c>
      <c r="AF86" s="10">
        <v>-120.767</v>
      </c>
      <c r="AG86" s="10">
        <v>713.0</v>
      </c>
    </row>
    <row r="87" ht="14.25" customHeight="1">
      <c r="A87" s="6" t="s">
        <v>328</v>
      </c>
      <c r="B87" s="5">
        <v>10.0</v>
      </c>
      <c r="C87" s="12" t="s">
        <v>139</v>
      </c>
      <c r="D87" s="12" t="s">
        <v>406</v>
      </c>
      <c r="E87" s="10"/>
      <c r="F87" s="12" t="s">
        <v>407</v>
      </c>
      <c r="G87" s="10" t="str">
        <f t="shared" si="1"/>
        <v>-&gt; 119.765 W, 50.4788 N, Elev. 654 m</v>
      </c>
      <c r="M87" s="10">
        <v>50.4788</v>
      </c>
      <c r="N87" s="10">
        <v>-119.77</v>
      </c>
      <c r="O87" s="10"/>
      <c r="P87" s="10" t="s">
        <v>408</v>
      </c>
      <c r="Q87" s="15"/>
      <c r="R87" s="10" t="s">
        <v>409</v>
      </c>
      <c r="S87" s="10" t="s">
        <v>145</v>
      </c>
      <c r="T87" s="10">
        <v>654.0</v>
      </c>
      <c r="AE87" s="10">
        <v>50.4788</v>
      </c>
      <c r="AF87" s="10">
        <v>-119.765</v>
      </c>
      <c r="AG87" s="10">
        <v>654.0</v>
      </c>
    </row>
    <row r="88" ht="14.25" customHeight="1">
      <c r="A88" s="6" t="s">
        <v>138</v>
      </c>
      <c r="B88" s="5">
        <v>10.0</v>
      </c>
      <c r="C88" s="12" t="s">
        <v>139</v>
      </c>
      <c r="D88" s="10" t="s">
        <v>410</v>
      </c>
      <c r="E88" s="10"/>
      <c r="F88" s="12" t="s">
        <v>411</v>
      </c>
      <c r="G88" s="10" t="str">
        <f t="shared" si="1"/>
        <v>-&gt; 121.0258333 W, 50.14111111 N, Elev. 531 m</v>
      </c>
      <c r="M88" s="13">
        <v>50.14111111</v>
      </c>
      <c r="N88" s="13">
        <v>-121.0258333</v>
      </c>
      <c r="O88" s="13" t="s">
        <v>142</v>
      </c>
      <c r="P88" s="13" t="s">
        <v>412</v>
      </c>
      <c r="Q88" s="14">
        <v>1.0</v>
      </c>
      <c r="R88" s="13" t="s">
        <v>413</v>
      </c>
      <c r="S88" s="13" t="s">
        <v>145</v>
      </c>
      <c r="T88" s="13">
        <v>531.0</v>
      </c>
      <c r="AE88" s="10">
        <v>50.14111111</v>
      </c>
      <c r="AF88" s="10">
        <v>-121.0258333</v>
      </c>
      <c r="AG88" s="10">
        <v>531.0</v>
      </c>
    </row>
    <row r="89" ht="14.25" customHeight="1">
      <c r="A89" s="6" t="s">
        <v>328</v>
      </c>
      <c r="B89" s="5">
        <v>10.0</v>
      </c>
      <c r="C89" s="12" t="s">
        <v>139</v>
      </c>
      <c r="D89" s="10" t="s">
        <v>414</v>
      </c>
      <c r="E89" s="10"/>
      <c r="F89" s="12" t="s">
        <v>415</v>
      </c>
      <c r="G89" s="10" t="str">
        <f t="shared" si="1"/>
        <v>-&gt; 119.6944 W, 49.6141 N, Elev. 514 m</v>
      </c>
      <c r="M89" s="13">
        <v>49.6141</v>
      </c>
      <c r="N89" s="13">
        <v>-119.6944</v>
      </c>
      <c r="O89" s="13" t="s">
        <v>142</v>
      </c>
      <c r="P89" s="13" t="s">
        <v>416</v>
      </c>
      <c r="Q89" s="14">
        <v>1.0</v>
      </c>
      <c r="R89" s="13" t="s">
        <v>417</v>
      </c>
      <c r="S89" s="13" t="s">
        <v>145</v>
      </c>
      <c r="T89" s="13">
        <v>514.0</v>
      </c>
      <c r="AE89" s="10">
        <v>49.6141</v>
      </c>
      <c r="AF89" s="10">
        <v>-119.6944</v>
      </c>
      <c r="AG89" s="10">
        <v>514.0</v>
      </c>
    </row>
    <row r="90" ht="14.25" customHeight="1">
      <c r="A90" s="6" t="s">
        <v>328</v>
      </c>
      <c r="B90" s="5">
        <v>10.0</v>
      </c>
      <c r="C90" s="12" t="s">
        <v>139</v>
      </c>
      <c r="D90" s="12" t="s">
        <v>418</v>
      </c>
      <c r="E90" s="10"/>
      <c r="F90" s="10" t="s">
        <v>419</v>
      </c>
      <c r="G90" s="10" t="str">
        <f t="shared" si="1"/>
        <v>-&gt; 119.3839 W, 50.6304 N, Elev. 361 m</v>
      </c>
      <c r="M90" s="13">
        <v>50.6304</v>
      </c>
      <c r="N90" s="13">
        <v>-119.38</v>
      </c>
      <c r="O90" s="13"/>
      <c r="P90" s="13" t="s">
        <v>420</v>
      </c>
      <c r="Q90" s="14"/>
      <c r="R90" s="13" t="s">
        <v>421</v>
      </c>
      <c r="T90" s="13">
        <v>361.0</v>
      </c>
      <c r="AE90" s="10">
        <v>50.6304</v>
      </c>
      <c r="AF90" s="10">
        <v>-119.3839</v>
      </c>
      <c r="AG90" s="10">
        <v>361.0</v>
      </c>
    </row>
    <row r="91" ht="14.25" customHeight="1">
      <c r="A91" s="17" t="s">
        <v>422</v>
      </c>
      <c r="B91" s="5">
        <v>10.0</v>
      </c>
      <c r="C91" s="5" t="s">
        <v>423</v>
      </c>
      <c r="D91" s="5" t="s">
        <v>424</v>
      </c>
      <c r="E91" s="5">
        <v>1527.0</v>
      </c>
      <c r="F91" s="5" t="s">
        <v>425</v>
      </c>
      <c r="G91" s="5">
        <v>1930.0</v>
      </c>
      <c r="H91" s="5" t="s">
        <v>426</v>
      </c>
      <c r="I91" s="5" t="s">
        <v>427</v>
      </c>
      <c r="J91" s="5">
        <v>36169.0</v>
      </c>
      <c r="M91" s="13"/>
      <c r="N91" s="13"/>
      <c r="O91" s="13"/>
      <c r="P91" s="13"/>
      <c r="Q91" s="14"/>
      <c r="R91" s="13"/>
      <c r="S91" s="18"/>
      <c r="T91" s="18"/>
      <c r="U91" s="18"/>
      <c r="V91" s="18"/>
      <c r="W91" s="18"/>
      <c r="X91" s="18"/>
      <c r="Y91" s="18"/>
      <c r="Z91" s="18"/>
      <c r="AA91" s="18"/>
      <c r="AB91" s="18"/>
      <c r="AC91" s="18"/>
      <c r="AD91" s="18"/>
      <c r="AE91" s="18">
        <v>49.15611111</v>
      </c>
      <c r="AF91" s="18">
        <v>-121.9405556</v>
      </c>
      <c r="AG91" s="18">
        <v>11.0</v>
      </c>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row>
    <row r="92" ht="14.25" customHeight="1">
      <c r="A92" s="17" t="s">
        <v>422</v>
      </c>
      <c r="B92" s="5">
        <v>10.0</v>
      </c>
      <c r="C92" s="5" t="s">
        <v>423</v>
      </c>
      <c r="D92" s="5" t="s">
        <v>428</v>
      </c>
      <c r="E92" s="5">
        <v>1528.0</v>
      </c>
      <c r="F92" s="5" t="s">
        <v>429</v>
      </c>
      <c r="G92" s="5">
        <v>1931.0</v>
      </c>
      <c r="H92" s="5" t="s">
        <v>426</v>
      </c>
      <c r="I92" s="5" t="s">
        <v>427</v>
      </c>
      <c r="J92" s="5">
        <v>33555.0</v>
      </c>
      <c r="M92" s="13"/>
      <c r="N92" s="13"/>
      <c r="O92" s="13"/>
      <c r="P92" s="13"/>
      <c r="Q92" s="14"/>
      <c r="R92" s="13"/>
      <c r="S92" s="18"/>
      <c r="T92" s="18"/>
      <c r="U92" s="18"/>
      <c r="V92" s="18"/>
      <c r="W92" s="18"/>
      <c r="X92" s="18"/>
      <c r="Y92" s="18"/>
      <c r="Z92" s="18"/>
      <c r="AA92" s="18"/>
      <c r="AB92" s="18"/>
      <c r="AC92" s="18"/>
      <c r="AD92" s="18"/>
      <c r="AE92" s="18">
        <v>49.15833333</v>
      </c>
      <c r="AF92" s="18">
        <v>-122.9016667</v>
      </c>
      <c r="AG92" s="18">
        <v>111.0</v>
      </c>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row>
    <row r="93" ht="14.25" customHeight="1">
      <c r="A93" s="17" t="s">
        <v>422</v>
      </c>
      <c r="B93" s="5">
        <v>10.0</v>
      </c>
      <c r="C93" s="5" t="s">
        <v>423</v>
      </c>
      <c r="D93" s="5" t="s">
        <v>430</v>
      </c>
      <c r="E93" s="5">
        <v>1529.0</v>
      </c>
      <c r="F93" s="5" t="s">
        <v>431</v>
      </c>
      <c r="G93" s="5">
        <v>1932.0</v>
      </c>
      <c r="H93" s="5" t="s">
        <v>426</v>
      </c>
      <c r="I93" s="5" t="s">
        <v>427</v>
      </c>
      <c r="J93" s="5">
        <v>33532.0</v>
      </c>
      <c r="M93" s="13"/>
      <c r="N93" s="13"/>
      <c r="O93" s="13"/>
      <c r="P93" s="13"/>
      <c r="Q93" s="14"/>
      <c r="R93" s="13"/>
      <c r="S93" s="18"/>
      <c r="T93" s="18"/>
      <c r="U93" s="18"/>
      <c r="V93" s="18"/>
      <c r="W93" s="18"/>
      <c r="X93" s="18"/>
      <c r="Y93" s="18"/>
      <c r="Z93" s="18"/>
      <c r="AA93" s="18"/>
      <c r="AB93" s="18"/>
      <c r="AC93" s="18"/>
      <c r="AD93" s="18"/>
      <c r="AE93" s="18">
        <v>49.13277778</v>
      </c>
      <c r="AF93" s="18">
        <v>-122.6933333</v>
      </c>
      <c r="AG93" s="18">
        <v>79.0</v>
      </c>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row>
    <row r="94" ht="14.25" customHeight="1">
      <c r="A94" s="17" t="s">
        <v>422</v>
      </c>
      <c r="B94" s="5">
        <v>10.0</v>
      </c>
      <c r="C94" s="5" t="s">
        <v>423</v>
      </c>
      <c r="D94" s="5" t="s">
        <v>432</v>
      </c>
      <c r="E94" s="5">
        <v>1530.0</v>
      </c>
      <c r="F94" s="5" t="s">
        <v>433</v>
      </c>
      <c r="G94" s="5">
        <v>1933.0</v>
      </c>
      <c r="H94" s="5" t="s">
        <v>426</v>
      </c>
      <c r="I94" s="5" t="s">
        <v>427</v>
      </c>
      <c r="J94" s="5">
        <v>33800.0</v>
      </c>
      <c r="M94" s="13"/>
      <c r="N94" s="13"/>
      <c r="O94" s="13"/>
      <c r="P94" s="13"/>
      <c r="Q94" s="14"/>
      <c r="R94" s="13"/>
      <c r="S94" s="18"/>
      <c r="T94" s="18"/>
      <c r="U94" s="18"/>
      <c r="V94" s="18"/>
      <c r="W94" s="18"/>
      <c r="X94" s="18"/>
      <c r="Y94" s="18"/>
      <c r="Z94" s="18"/>
      <c r="AA94" s="18"/>
      <c r="AB94" s="18"/>
      <c r="AC94" s="18"/>
      <c r="AD94" s="18"/>
      <c r="AE94" s="18">
        <v>49.14166667</v>
      </c>
      <c r="AF94" s="18">
        <v>-123.1080556</v>
      </c>
      <c r="AG94" s="18">
        <v>5.0</v>
      </c>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row>
    <row r="95" ht="14.25" customHeight="1">
      <c r="A95" s="17" t="s">
        <v>422</v>
      </c>
      <c r="B95" s="5">
        <v>10.0</v>
      </c>
      <c r="C95" s="5" t="s">
        <v>423</v>
      </c>
      <c r="D95" s="5" t="s">
        <v>434</v>
      </c>
      <c r="E95" s="5">
        <v>1531.0</v>
      </c>
      <c r="F95" s="5" t="s">
        <v>435</v>
      </c>
      <c r="G95" s="5">
        <v>1934.0</v>
      </c>
      <c r="H95" s="5" t="s">
        <v>426</v>
      </c>
      <c r="I95" s="5" t="s">
        <v>427</v>
      </c>
      <c r="J95" s="5">
        <v>36288.0</v>
      </c>
      <c r="M95" s="13"/>
      <c r="N95" s="13"/>
      <c r="O95" s="13"/>
      <c r="P95" s="13"/>
      <c r="Q95" s="14"/>
      <c r="R95" s="13"/>
      <c r="S95" s="18"/>
      <c r="T95" s="18"/>
      <c r="U95" s="18"/>
      <c r="V95" s="18"/>
      <c r="W95" s="18"/>
      <c r="X95" s="18"/>
      <c r="Y95" s="18"/>
      <c r="Z95" s="18"/>
      <c r="AA95" s="18"/>
      <c r="AB95" s="18"/>
      <c r="AC95" s="18"/>
      <c r="AD95" s="18"/>
      <c r="AE95" s="18">
        <v>49.21555556</v>
      </c>
      <c r="AF95" s="18">
        <v>-122.9825</v>
      </c>
      <c r="AG95" s="18">
        <v>145.0</v>
      </c>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row>
    <row r="96" ht="14.25" customHeight="1">
      <c r="A96" s="17" t="s">
        <v>422</v>
      </c>
      <c r="B96" s="5">
        <v>10.0</v>
      </c>
      <c r="C96" s="5" t="s">
        <v>423</v>
      </c>
      <c r="D96" s="5" t="s">
        <v>436</v>
      </c>
      <c r="E96" s="5">
        <v>1532.0</v>
      </c>
      <c r="F96" s="5" t="s">
        <v>437</v>
      </c>
      <c r="G96" s="5">
        <v>1935.0</v>
      </c>
      <c r="H96" s="5" t="s">
        <v>426</v>
      </c>
      <c r="I96" s="5" t="s">
        <v>427</v>
      </c>
      <c r="J96" s="5">
        <v>37773.0</v>
      </c>
      <c r="M96" s="13"/>
      <c r="N96" s="13"/>
      <c r="O96" s="13"/>
      <c r="P96" s="13"/>
      <c r="Q96" s="14"/>
      <c r="R96" s="13"/>
      <c r="S96" s="18"/>
      <c r="T96" s="18"/>
      <c r="U96" s="18"/>
      <c r="V96" s="18"/>
      <c r="W96" s="18"/>
      <c r="X96" s="18"/>
      <c r="Y96" s="18"/>
      <c r="Z96" s="18"/>
      <c r="AA96" s="18"/>
      <c r="AB96" s="18"/>
      <c r="AC96" s="18"/>
      <c r="AD96" s="18"/>
      <c r="AE96" s="18">
        <v>49.24527778</v>
      </c>
      <c r="AF96" s="18">
        <v>-122.7091667</v>
      </c>
      <c r="AG96" s="18">
        <v>20.0</v>
      </c>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row>
    <row r="97" ht="14.25" customHeight="1">
      <c r="A97" s="17" t="s">
        <v>422</v>
      </c>
      <c r="B97" s="5">
        <v>10.0</v>
      </c>
      <c r="C97" s="5" t="s">
        <v>423</v>
      </c>
      <c r="D97" s="5" t="s">
        <v>438</v>
      </c>
      <c r="E97" s="5">
        <v>1533.0</v>
      </c>
      <c r="F97" s="5" t="s">
        <v>439</v>
      </c>
      <c r="G97" s="5">
        <v>1936.0</v>
      </c>
      <c r="H97" s="5" t="s">
        <v>426</v>
      </c>
      <c r="I97" s="5" t="s">
        <v>427</v>
      </c>
      <c r="J97" s="5">
        <v>33930.0</v>
      </c>
      <c r="M97" s="13"/>
      <c r="N97" s="13"/>
      <c r="O97" s="13"/>
      <c r="P97" s="13"/>
      <c r="Q97" s="14"/>
      <c r="R97" s="13"/>
      <c r="S97" s="18"/>
      <c r="T97" s="18"/>
      <c r="U97" s="18"/>
      <c r="V97" s="18"/>
      <c r="W97" s="18"/>
      <c r="X97" s="18"/>
      <c r="Y97" s="18"/>
      <c r="Z97" s="13"/>
      <c r="AA97" s="13"/>
      <c r="AB97" s="13"/>
      <c r="AC97" s="13"/>
      <c r="AD97" s="18"/>
      <c r="AE97" s="18">
        <v>49.09611111</v>
      </c>
      <c r="AF97" s="18">
        <v>-122.5663889</v>
      </c>
      <c r="AG97" s="18">
        <v>82.0</v>
      </c>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row>
    <row r="98" ht="14.25" customHeight="1">
      <c r="A98" s="17" t="s">
        <v>422</v>
      </c>
      <c r="B98" s="5">
        <v>10.0</v>
      </c>
      <c r="C98" s="5" t="s">
        <v>423</v>
      </c>
      <c r="D98" s="5" t="s">
        <v>440</v>
      </c>
      <c r="E98" s="5">
        <v>1534.0</v>
      </c>
      <c r="F98" s="5" t="s">
        <v>441</v>
      </c>
      <c r="G98" s="5">
        <v>1937.0</v>
      </c>
      <c r="H98" s="5" t="s">
        <v>426</v>
      </c>
      <c r="I98" s="5" t="s">
        <v>427</v>
      </c>
      <c r="J98" s="5">
        <v>35998.0</v>
      </c>
      <c r="M98" s="13"/>
      <c r="N98" s="13"/>
      <c r="O98" s="13"/>
      <c r="P98" s="13"/>
      <c r="Q98" s="14"/>
      <c r="R98" s="13"/>
      <c r="S98" s="18"/>
      <c r="T98" s="18"/>
      <c r="U98" s="18"/>
      <c r="V98" s="18"/>
      <c r="W98" s="18"/>
      <c r="X98" s="18"/>
      <c r="Y98" s="18"/>
      <c r="Z98" s="18"/>
      <c r="AA98" s="18"/>
      <c r="AB98" s="18"/>
      <c r="AC98" s="18"/>
      <c r="AD98" s="18"/>
      <c r="AE98" s="18">
        <v>49.21472222</v>
      </c>
      <c r="AF98" s="18">
        <v>-122.5819444</v>
      </c>
      <c r="AG98" s="18">
        <v>100.0</v>
      </c>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row>
    <row r="99" ht="14.25" customHeight="1">
      <c r="A99" s="17" t="s">
        <v>422</v>
      </c>
      <c r="B99" s="5">
        <v>10.0</v>
      </c>
      <c r="C99" s="5" t="s">
        <v>423</v>
      </c>
      <c r="D99" s="5" t="s">
        <v>442</v>
      </c>
      <c r="E99" s="5">
        <v>1535.0</v>
      </c>
      <c r="F99" s="5" t="s">
        <v>443</v>
      </c>
      <c r="G99" s="5">
        <v>1938.0</v>
      </c>
      <c r="H99" s="5" t="s">
        <v>426</v>
      </c>
      <c r="I99" s="5" t="s">
        <v>427</v>
      </c>
      <c r="J99" s="5">
        <v>37773.0</v>
      </c>
      <c r="M99" s="13"/>
      <c r="N99" s="13"/>
      <c r="O99" s="13"/>
      <c r="P99" s="13"/>
      <c r="Q99" s="14"/>
      <c r="R99" s="13"/>
      <c r="S99" s="18"/>
      <c r="T99" s="18"/>
      <c r="U99" s="18"/>
      <c r="V99" s="18"/>
      <c r="W99" s="18"/>
      <c r="X99" s="18"/>
      <c r="Y99" s="18"/>
      <c r="Z99" s="13"/>
      <c r="AA99" s="13"/>
      <c r="AB99" s="13"/>
      <c r="AC99" s="13"/>
      <c r="AD99" s="18"/>
      <c r="AE99" s="18">
        <v>49.18638889</v>
      </c>
      <c r="AF99" s="18">
        <v>-123.1525</v>
      </c>
      <c r="AG99" s="18">
        <v>5.0</v>
      </c>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row>
    <row r="100" ht="14.25" customHeight="1">
      <c r="A100" s="17" t="s">
        <v>422</v>
      </c>
      <c r="B100" s="5">
        <v>10.0</v>
      </c>
      <c r="C100" s="5" t="s">
        <v>423</v>
      </c>
      <c r="D100" s="5" t="s">
        <v>444</v>
      </c>
      <c r="E100" s="5">
        <v>1536.0</v>
      </c>
      <c r="F100" s="5" t="s">
        <v>445</v>
      </c>
      <c r="G100" s="5">
        <v>1939.0</v>
      </c>
      <c r="H100" s="5" t="s">
        <v>426</v>
      </c>
      <c r="I100" s="5" t="s">
        <v>427</v>
      </c>
      <c r="J100" s="5">
        <v>37773.0</v>
      </c>
      <c r="M100" s="13"/>
      <c r="N100" s="13"/>
      <c r="O100" s="13"/>
      <c r="P100" s="13"/>
      <c r="Q100" s="14"/>
      <c r="R100" s="13"/>
      <c r="S100" s="18"/>
      <c r="T100" s="18"/>
      <c r="U100" s="18"/>
      <c r="V100" s="18"/>
      <c r="W100" s="18"/>
      <c r="X100" s="18"/>
      <c r="Y100" s="18"/>
      <c r="Z100" s="18"/>
      <c r="AA100" s="18"/>
      <c r="AB100" s="18"/>
      <c r="AC100" s="18"/>
      <c r="AD100" s="18"/>
      <c r="AE100" s="18">
        <v>49.02361111</v>
      </c>
      <c r="AF100" s="18">
        <v>-122.3438889</v>
      </c>
      <c r="AG100" s="18">
        <v>58.0</v>
      </c>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row>
    <row r="101" ht="14.25" customHeight="1">
      <c r="A101" s="17" t="s">
        <v>422</v>
      </c>
      <c r="B101" s="5">
        <v>10.0</v>
      </c>
      <c r="C101" s="5" t="s">
        <v>423</v>
      </c>
      <c r="D101" s="5" t="s">
        <v>446</v>
      </c>
      <c r="E101" s="5">
        <v>1537.0</v>
      </c>
      <c r="F101" s="5" t="s">
        <v>447</v>
      </c>
      <c r="G101" s="5">
        <v>1940.0</v>
      </c>
      <c r="H101" s="5" t="s">
        <v>426</v>
      </c>
      <c r="I101" s="5" t="s">
        <v>427</v>
      </c>
      <c r="J101" s="5">
        <v>37054.0</v>
      </c>
      <c r="M101" s="13"/>
      <c r="N101" s="13"/>
      <c r="O101" s="13"/>
      <c r="P101" s="13"/>
      <c r="Q101" s="14"/>
      <c r="R101" s="13"/>
      <c r="S101" s="18"/>
      <c r="T101" s="18"/>
      <c r="U101" s="18"/>
      <c r="V101" s="18"/>
      <c r="W101" s="18"/>
      <c r="X101" s="18"/>
      <c r="Y101" s="18"/>
      <c r="Z101" s="18"/>
      <c r="AA101" s="18"/>
      <c r="AB101" s="18"/>
      <c r="AC101" s="18"/>
      <c r="AD101" s="18"/>
      <c r="AE101" s="18">
        <v>50.71666667</v>
      </c>
      <c r="AF101" s="18">
        <v>-121.3333333</v>
      </c>
      <c r="AG101" s="18">
        <v>305.0</v>
      </c>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row>
    <row r="102" ht="14.25" customHeight="1">
      <c r="A102" s="17" t="s">
        <v>422</v>
      </c>
      <c r="B102" s="5">
        <v>10.0</v>
      </c>
      <c r="C102" s="5" t="s">
        <v>423</v>
      </c>
      <c r="D102" s="18" t="s">
        <v>448</v>
      </c>
      <c r="E102" s="18">
        <v>1554.0</v>
      </c>
      <c r="F102" s="18" t="s">
        <v>449</v>
      </c>
      <c r="G102" s="18">
        <v>1957.0</v>
      </c>
      <c r="H102" s="18" t="s">
        <v>426</v>
      </c>
      <c r="I102" s="18" t="s">
        <v>427</v>
      </c>
      <c r="J102" s="18">
        <v>37773.0</v>
      </c>
      <c r="K102" s="18"/>
      <c r="L102" s="18"/>
      <c r="M102" s="13"/>
      <c r="N102" s="13"/>
      <c r="O102" s="13"/>
      <c r="P102" s="13"/>
      <c r="Q102" s="14"/>
      <c r="R102" s="13"/>
      <c r="S102" s="18"/>
      <c r="T102" s="18"/>
      <c r="U102" s="18"/>
      <c r="V102" s="18"/>
      <c r="W102" s="18"/>
      <c r="X102" s="18"/>
      <c r="Y102" s="18"/>
      <c r="Z102" s="18"/>
      <c r="AA102" s="18"/>
      <c r="AB102" s="18"/>
      <c r="AC102" s="18"/>
      <c r="AD102" s="18"/>
      <c r="AE102" s="18">
        <v>49.369722</v>
      </c>
      <c r="AF102" s="18">
        <v>-121.499444</v>
      </c>
      <c r="AG102" s="18">
        <v>131.0</v>
      </c>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row>
    <row r="103" ht="14.25" customHeight="1">
      <c r="A103" s="6"/>
      <c r="B103" s="5">
        <v>10.0</v>
      </c>
      <c r="C103" s="5" t="s">
        <v>450</v>
      </c>
      <c r="D103" s="5" t="s">
        <v>451</v>
      </c>
      <c r="E103" s="5">
        <v>1507.0</v>
      </c>
      <c r="F103" s="5" t="s">
        <v>409</v>
      </c>
      <c r="G103" s="11" t="str">
        <f t="shared" ref="G103:G121" si="2">CONCATENATE(-1*AF103," W, ",AE103," N, Elev. ",AG103," m")</f>
        <v>119.7644719 W, 50.46743472 N, Elev. 653.6 m</v>
      </c>
      <c r="H103" s="5" t="s">
        <v>426</v>
      </c>
      <c r="I103" s="5" t="s">
        <v>427</v>
      </c>
      <c r="J103" s="5">
        <v>38133.0</v>
      </c>
      <c r="M103" s="13"/>
      <c r="N103" s="13"/>
      <c r="O103" s="13"/>
      <c r="P103" s="13"/>
      <c r="Q103" s="14"/>
      <c r="R103" s="13"/>
      <c r="AE103" s="5">
        <v>50.46743472</v>
      </c>
      <c r="AF103" s="5">
        <v>-119.7644719</v>
      </c>
      <c r="AG103" s="5">
        <v>653.6</v>
      </c>
    </row>
    <row r="104" ht="14.25" customHeight="1">
      <c r="A104" s="6"/>
      <c r="B104" s="5">
        <v>10.0</v>
      </c>
      <c r="C104" s="5" t="s">
        <v>450</v>
      </c>
      <c r="D104" s="5" t="s">
        <v>452</v>
      </c>
      <c r="E104" s="5">
        <v>1521.0</v>
      </c>
      <c r="F104" s="5" t="s">
        <v>413</v>
      </c>
      <c r="G104" s="11" t="str">
        <f t="shared" si="2"/>
        <v>121.0258333 W, 50.14111111 N, Elev. 530.9616 m</v>
      </c>
      <c r="H104" s="5" t="s">
        <v>426</v>
      </c>
      <c r="I104" s="5" t="s">
        <v>427</v>
      </c>
      <c r="J104" s="5">
        <v>38569.0</v>
      </c>
      <c r="M104" s="13"/>
      <c r="N104" s="13"/>
      <c r="O104" s="13"/>
      <c r="P104" s="13"/>
      <c r="Q104" s="14"/>
      <c r="R104" s="13"/>
      <c r="AE104" s="5">
        <v>50.14111111</v>
      </c>
      <c r="AF104" s="5">
        <v>-121.0258333</v>
      </c>
      <c r="AG104" s="5">
        <v>530.9616</v>
      </c>
    </row>
    <row r="105" ht="14.25" customHeight="1">
      <c r="A105" s="6"/>
      <c r="B105" s="5">
        <v>10.0</v>
      </c>
      <c r="C105" s="5" t="s">
        <v>450</v>
      </c>
      <c r="D105" s="5">
        <v>18482.0</v>
      </c>
      <c r="E105" s="5">
        <v>1524.0</v>
      </c>
      <c r="F105" s="5" t="s">
        <v>453</v>
      </c>
      <c r="G105" s="11" t="str">
        <f t="shared" si="2"/>
        <v>119.4208056 W, 49.02408333 N, Elev. 371 m</v>
      </c>
      <c r="H105" s="5" t="s">
        <v>426</v>
      </c>
      <c r="I105" s="5" t="s">
        <v>427</v>
      </c>
      <c r="J105" s="5">
        <v>38557.0</v>
      </c>
      <c r="M105" s="13"/>
      <c r="N105" s="13"/>
      <c r="O105" s="13"/>
      <c r="P105" s="13"/>
      <c r="Q105" s="14"/>
      <c r="R105" s="13"/>
      <c r="AE105" s="5">
        <v>49.02408333</v>
      </c>
      <c r="AF105" s="5">
        <v>-119.4208056</v>
      </c>
      <c r="AG105" s="5">
        <v>371.0</v>
      </c>
    </row>
    <row r="106" ht="14.25" customHeight="1">
      <c r="A106" s="6"/>
      <c r="B106" s="5">
        <v>10.0</v>
      </c>
      <c r="C106" s="5" t="s">
        <v>450</v>
      </c>
      <c r="D106" s="5">
        <v>25602.0</v>
      </c>
      <c r="E106" s="5">
        <v>1525.0</v>
      </c>
      <c r="F106" s="5" t="s">
        <v>454</v>
      </c>
      <c r="G106" s="11" t="str">
        <f t="shared" si="2"/>
        <v>119.46275 W, 49.01183333 N, Elev. 295.5 m</v>
      </c>
      <c r="H106" s="5" t="s">
        <v>426</v>
      </c>
      <c r="I106" s="5" t="s">
        <v>427</v>
      </c>
      <c r="J106" s="5">
        <v>38557.0</v>
      </c>
      <c r="M106" s="13"/>
      <c r="N106" s="13"/>
      <c r="O106" s="13"/>
      <c r="P106" s="13"/>
      <c r="Q106" s="14"/>
      <c r="R106" s="13"/>
      <c r="AE106" s="5">
        <v>49.01183333</v>
      </c>
      <c r="AF106" s="5">
        <v>-119.46275</v>
      </c>
      <c r="AG106" s="5">
        <v>295.5</v>
      </c>
    </row>
    <row r="107" ht="14.25" customHeight="1">
      <c r="A107" s="6"/>
      <c r="B107" s="5">
        <v>10.0</v>
      </c>
      <c r="C107" s="5" t="s">
        <v>450</v>
      </c>
      <c r="D107" s="5" t="s">
        <v>455</v>
      </c>
      <c r="E107" s="5">
        <v>1552.0</v>
      </c>
      <c r="F107" s="5" t="s">
        <v>456</v>
      </c>
      <c r="G107" s="11" t="str">
        <f t="shared" si="2"/>
        <v>119.373225 W, 49.879864 N, Elev. 475.5 m</v>
      </c>
      <c r="H107" s="5" t="s">
        <v>426</v>
      </c>
      <c r="I107" s="5" t="s">
        <v>427</v>
      </c>
      <c r="J107" s="5">
        <v>37988.0</v>
      </c>
      <c r="M107" s="13"/>
      <c r="N107" s="13"/>
      <c r="O107" s="13"/>
      <c r="P107" s="13"/>
      <c r="Q107" s="14"/>
      <c r="R107" s="13"/>
      <c r="AE107" s="5">
        <v>49.879864</v>
      </c>
      <c r="AF107" s="5">
        <v>-119.373225</v>
      </c>
      <c r="AG107" s="5">
        <v>475.5</v>
      </c>
    </row>
    <row r="108" ht="14.25" customHeight="1">
      <c r="A108" s="6"/>
      <c r="B108" s="5">
        <v>10.0</v>
      </c>
      <c r="C108" s="5" t="s">
        <v>450</v>
      </c>
      <c r="D108" s="5" t="s">
        <v>457</v>
      </c>
      <c r="E108" s="5">
        <v>1555.0</v>
      </c>
      <c r="F108" s="5" t="s">
        <v>458</v>
      </c>
      <c r="G108" s="11" t="str">
        <f t="shared" si="2"/>
        <v>118.97295 W, 50.5367 N, Elev. 362 m</v>
      </c>
      <c r="H108" s="5" t="s">
        <v>426</v>
      </c>
      <c r="I108" s="5" t="s">
        <v>427</v>
      </c>
      <c r="J108" s="5">
        <v>38975.0</v>
      </c>
      <c r="M108" s="13"/>
      <c r="N108" s="13"/>
      <c r="O108" s="13"/>
      <c r="P108" s="13"/>
      <c r="Q108" s="14"/>
      <c r="R108" s="13"/>
      <c r="AE108" s="5">
        <v>50.5367</v>
      </c>
      <c r="AF108" s="5">
        <v>-118.97295</v>
      </c>
      <c r="AG108" s="5">
        <v>362.0</v>
      </c>
    </row>
    <row r="109" ht="14.25" customHeight="1">
      <c r="A109" s="6"/>
      <c r="B109" s="5">
        <v>10.0</v>
      </c>
      <c r="C109" s="5" t="s">
        <v>450</v>
      </c>
      <c r="D109" s="5" t="s">
        <v>459</v>
      </c>
      <c r="E109" s="5">
        <v>3097.0</v>
      </c>
      <c r="F109" s="5" t="s">
        <v>373</v>
      </c>
      <c r="G109" s="11" t="str">
        <f t="shared" si="2"/>
        <v>119.421042 W, 49.912417 N, Elev. 439.6 m</v>
      </c>
      <c r="H109" s="5" t="s">
        <v>426</v>
      </c>
      <c r="I109" s="5" t="s">
        <v>427</v>
      </c>
      <c r="J109" s="5">
        <v>37988.0</v>
      </c>
      <c r="M109" s="13"/>
      <c r="N109" s="13"/>
      <c r="O109" s="13"/>
      <c r="P109" s="13"/>
      <c r="Q109" s="14"/>
      <c r="R109" s="13"/>
      <c r="AE109" s="5">
        <v>49.912417</v>
      </c>
      <c r="AF109" s="5">
        <v>-119.421042</v>
      </c>
      <c r="AG109" s="5">
        <v>439.6</v>
      </c>
    </row>
    <row r="110" ht="14.25" customHeight="1">
      <c r="A110" s="6"/>
      <c r="B110" s="5">
        <v>10.0</v>
      </c>
      <c r="C110" s="5" t="s">
        <v>450</v>
      </c>
      <c r="D110" s="5" t="s">
        <v>460</v>
      </c>
      <c r="E110" s="5">
        <v>3098.0</v>
      </c>
      <c r="F110" s="5" t="s">
        <v>461</v>
      </c>
      <c r="G110" s="11" t="str">
        <f t="shared" si="2"/>
        <v>119.421542 W, 49.872875 N, Elev. 416 m</v>
      </c>
      <c r="H110" s="5" t="s">
        <v>426</v>
      </c>
      <c r="I110" s="5" t="s">
        <v>427</v>
      </c>
      <c r="J110" s="5">
        <v>37988.0</v>
      </c>
      <c r="AE110" s="5">
        <v>49.872875</v>
      </c>
      <c r="AF110" s="5">
        <v>-119.421542</v>
      </c>
      <c r="AG110" s="5">
        <v>416.0</v>
      </c>
    </row>
    <row r="111" ht="14.25" customHeight="1">
      <c r="A111" s="6"/>
      <c r="B111" s="5">
        <v>10.0</v>
      </c>
      <c r="C111" s="5" t="s">
        <v>450</v>
      </c>
      <c r="D111" s="5" t="s">
        <v>462</v>
      </c>
      <c r="E111" s="5">
        <v>3099.0</v>
      </c>
      <c r="F111" s="5" t="s">
        <v>463</v>
      </c>
      <c r="G111" s="11" t="str">
        <f t="shared" si="2"/>
        <v>119.446385 W, 49.838374 N, Elev. 419.4 m</v>
      </c>
      <c r="H111" s="5" t="s">
        <v>426</v>
      </c>
      <c r="I111" s="5" t="s">
        <v>427</v>
      </c>
      <c r="J111" s="5">
        <v>37988.0</v>
      </c>
      <c r="AE111" s="5">
        <v>49.838374</v>
      </c>
      <c r="AF111" s="5">
        <v>-119.446385</v>
      </c>
      <c r="AG111" s="5">
        <v>419.4</v>
      </c>
    </row>
    <row r="112" ht="14.25" customHeight="1">
      <c r="A112" s="6"/>
      <c r="B112" s="5">
        <v>10.0</v>
      </c>
      <c r="C112" s="5" t="s">
        <v>450</v>
      </c>
      <c r="D112" s="5" t="s">
        <v>464</v>
      </c>
      <c r="E112" s="5">
        <v>3100.0</v>
      </c>
      <c r="F112" s="5" t="s">
        <v>465</v>
      </c>
      <c r="G112" s="11" t="str">
        <f t="shared" si="2"/>
        <v>119.342583 W, 50.257171 N, Elev. 437 m</v>
      </c>
      <c r="H112" s="5" t="s">
        <v>426</v>
      </c>
      <c r="I112" s="5" t="s">
        <v>427</v>
      </c>
      <c r="J112" s="5">
        <v>38225.0</v>
      </c>
      <c r="AE112" s="5">
        <v>50.257171</v>
      </c>
      <c r="AF112" s="5">
        <v>-119.342583</v>
      </c>
      <c r="AG112" s="5">
        <v>437.0</v>
      </c>
    </row>
    <row r="113" ht="14.25" customHeight="1">
      <c r="A113" s="6"/>
      <c r="B113" s="5">
        <v>10.0</v>
      </c>
      <c r="C113" s="5" t="s">
        <v>450</v>
      </c>
      <c r="D113" s="5" t="s">
        <v>466</v>
      </c>
      <c r="E113" s="5">
        <v>3103.0</v>
      </c>
      <c r="F113" s="5" t="s">
        <v>467</v>
      </c>
      <c r="G113" s="11" t="str">
        <f t="shared" si="2"/>
        <v>119.624523 W, 49.821304 N, Elev. 391.6 m</v>
      </c>
      <c r="H113" s="5" t="s">
        <v>426</v>
      </c>
      <c r="I113" s="5" t="s">
        <v>427</v>
      </c>
      <c r="J113" s="5">
        <v>37988.0</v>
      </c>
      <c r="AE113" s="5">
        <v>49.821304</v>
      </c>
      <c r="AF113" s="5">
        <v>-119.624523</v>
      </c>
      <c r="AG113" s="5">
        <v>391.6</v>
      </c>
    </row>
    <row r="114" ht="14.25" customHeight="1">
      <c r="A114" s="6"/>
      <c r="B114" s="5">
        <v>10.0</v>
      </c>
      <c r="C114" s="5" t="s">
        <v>450</v>
      </c>
      <c r="D114" s="5" t="s">
        <v>468</v>
      </c>
      <c r="E114" s="5">
        <v>3104.0</v>
      </c>
      <c r="F114" s="5" t="s">
        <v>319</v>
      </c>
      <c r="G114" s="11" t="str">
        <f t="shared" si="2"/>
        <v>119.414536 W, 50.063203 N, Elev. 468 m</v>
      </c>
      <c r="H114" s="5" t="s">
        <v>426</v>
      </c>
      <c r="I114" s="5" t="s">
        <v>427</v>
      </c>
      <c r="J114" s="5">
        <v>37988.0</v>
      </c>
      <c r="AE114" s="5">
        <v>50.063203</v>
      </c>
      <c r="AF114" s="5">
        <v>-119.414536</v>
      </c>
      <c r="AG114" s="5">
        <v>468.0</v>
      </c>
    </row>
    <row r="115" ht="14.25" customHeight="1">
      <c r="A115" s="6"/>
      <c r="B115" s="5">
        <v>10.0</v>
      </c>
      <c r="C115" s="5" t="s">
        <v>450</v>
      </c>
      <c r="D115" s="5" t="s">
        <v>469</v>
      </c>
      <c r="E115" s="5">
        <v>3105.0</v>
      </c>
      <c r="F115" s="5" t="s">
        <v>323</v>
      </c>
      <c r="G115" s="11" t="str">
        <f t="shared" si="2"/>
        <v>119.424527 W, 50.041193 N, Elev. 525 m</v>
      </c>
      <c r="H115" s="5" t="s">
        <v>426</v>
      </c>
      <c r="I115" s="5" t="s">
        <v>427</v>
      </c>
      <c r="J115" s="5">
        <v>37988.0</v>
      </c>
      <c r="AE115" s="5">
        <v>50.041193</v>
      </c>
      <c r="AF115" s="5">
        <v>-119.424527</v>
      </c>
      <c r="AG115" s="5">
        <v>525.0</v>
      </c>
    </row>
    <row r="116" ht="14.25" customHeight="1">
      <c r="A116" s="6"/>
      <c r="B116" s="5">
        <v>10.0</v>
      </c>
      <c r="C116" s="5" t="s">
        <v>450</v>
      </c>
      <c r="D116" s="5" t="s">
        <v>470</v>
      </c>
      <c r="E116" s="5">
        <v>3106.0</v>
      </c>
      <c r="F116" s="5" t="s">
        <v>471</v>
      </c>
      <c r="G116" s="11" t="str">
        <f t="shared" si="2"/>
        <v>119.74325 W, 49.182528 N, Elev. 414.1 m</v>
      </c>
      <c r="H116" s="5" t="s">
        <v>426</v>
      </c>
      <c r="I116" s="5" t="s">
        <v>427</v>
      </c>
      <c r="J116" s="5">
        <v>38200.0</v>
      </c>
      <c r="AE116" s="5">
        <v>49.182528</v>
      </c>
      <c r="AF116" s="5">
        <v>-119.74325</v>
      </c>
      <c r="AG116" s="5">
        <v>414.1</v>
      </c>
    </row>
    <row r="117" ht="14.25" customHeight="1">
      <c r="A117" s="6"/>
      <c r="B117" s="5">
        <v>10.0</v>
      </c>
      <c r="C117" s="5" t="s">
        <v>450</v>
      </c>
      <c r="D117" s="5" t="s">
        <v>472</v>
      </c>
      <c r="E117" s="5">
        <v>3108.0</v>
      </c>
      <c r="F117" s="5" t="s">
        <v>473</v>
      </c>
      <c r="G117" s="11" t="str">
        <f t="shared" si="2"/>
        <v>119.56442 W, 49.498417 N, Elev. 374.7 m</v>
      </c>
      <c r="H117" s="5" t="s">
        <v>426</v>
      </c>
      <c r="I117" s="5" t="s">
        <v>427</v>
      </c>
      <c r="J117" s="5">
        <v>38200.0</v>
      </c>
      <c r="AE117" s="5">
        <v>49.498417</v>
      </c>
      <c r="AF117" s="5">
        <v>-119.56442</v>
      </c>
      <c r="AG117" s="5">
        <v>374.7</v>
      </c>
    </row>
    <row r="118" ht="14.25" customHeight="1">
      <c r="A118" s="6"/>
      <c r="B118" s="11">
        <v>10.0</v>
      </c>
      <c r="C118" s="5" t="s">
        <v>450</v>
      </c>
      <c r="D118" s="11" t="s">
        <v>474</v>
      </c>
      <c r="E118" s="11">
        <v>3109.0</v>
      </c>
      <c r="F118" s="11" t="s">
        <v>475</v>
      </c>
      <c r="G118" s="11" t="str">
        <f t="shared" si="2"/>
        <v>119.684639 W, 49.613667 N, Elev. 492.2 m</v>
      </c>
      <c r="H118" s="11" t="s">
        <v>426</v>
      </c>
      <c r="I118" s="11" t="s">
        <v>427</v>
      </c>
      <c r="J118" s="11">
        <v>38229.0</v>
      </c>
      <c r="K118" s="11"/>
      <c r="L118" s="11"/>
      <c r="M118" s="11"/>
      <c r="N118" s="11"/>
      <c r="O118" s="11"/>
      <c r="P118" s="11"/>
      <c r="Q118" s="11"/>
      <c r="R118" s="11"/>
      <c r="S118" s="11"/>
      <c r="T118" s="11"/>
      <c r="U118" s="11"/>
      <c r="V118" s="11"/>
      <c r="W118" s="11"/>
      <c r="X118" s="11"/>
      <c r="Y118" s="11"/>
      <c r="Z118" s="11"/>
      <c r="AA118" s="11"/>
      <c r="AB118" s="11"/>
      <c r="AC118" s="11"/>
      <c r="AD118" s="11"/>
      <c r="AE118" s="11">
        <v>49.613667</v>
      </c>
      <c r="AF118" s="11">
        <v>-119.684639</v>
      </c>
      <c r="AG118" s="11">
        <v>492.2</v>
      </c>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row>
    <row r="119" ht="14.25" customHeight="1">
      <c r="A119" s="6"/>
      <c r="B119" s="11">
        <v>10.0</v>
      </c>
      <c r="C119" s="5" t="s">
        <v>450</v>
      </c>
      <c r="D119" s="11" t="s">
        <v>476</v>
      </c>
      <c r="E119" s="11">
        <v>3111.0</v>
      </c>
      <c r="F119" s="11" t="s">
        <v>365</v>
      </c>
      <c r="G119" s="11" t="str">
        <f t="shared" si="2"/>
        <v>119.354164 W, 49.943325 N, Elev. 473.3 m</v>
      </c>
      <c r="H119" s="11" t="s">
        <v>426</v>
      </c>
      <c r="I119" s="11" t="s">
        <v>427</v>
      </c>
      <c r="J119" s="11">
        <v>37988.0</v>
      </c>
      <c r="K119" s="11"/>
      <c r="L119" s="11"/>
      <c r="M119" s="11"/>
      <c r="N119" s="11"/>
      <c r="O119" s="11"/>
      <c r="P119" s="11"/>
      <c r="Q119" s="11"/>
      <c r="R119" s="11"/>
      <c r="S119" s="11"/>
      <c r="T119" s="11"/>
      <c r="U119" s="11"/>
      <c r="V119" s="11"/>
      <c r="W119" s="11"/>
      <c r="X119" s="11"/>
      <c r="Y119" s="11"/>
      <c r="Z119" s="11"/>
      <c r="AA119" s="11"/>
      <c r="AB119" s="11"/>
      <c r="AC119" s="11"/>
      <c r="AD119" s="11"/>
      <c r="AE119" s="11">
        <v>49.943325</v>
      </c>
      <c r="AF119" s="11">
        <v>-119.354164</v>
      </c>
      <c r="AG119" s="11">
        <v>473.3</v>
      </c>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row>
    <row r="120" ht="14.25" customHeight="1">
      <c r="A120" s="6"/>
      <c r="B120" s="5">
        <v>10.0</v>
      </c>
      <c r="C120" s="5" t="s">
        <v>450</v>
      </c>
      <c r="D120" s="5" t="s">
        <v>477</v>
      </c>
      <c r="E120" s="5">
        <v>1506.0</v>
      </c>
      <c r="F120" s="5" t="s">
        <v>421</v>
      </c>
      <c r="G120" s="11" t="str">
        <f t="shared" si="2"/>
        <v>119.385515 W, 50.63235361 N, Elev. 374.3 m</v>
      </c>
      <c r="H120" s="5" t="s">
        <v>426</v>
      </c>
      <c r="I120" s="5" t="s">
        <v>427</v>
      </c>
      <c r="J120" s="5">
        <v>38133.0</v>
      </c>
      <c r="K120" s="11"/>
      <c r="L120" s="11"/>
      <c r="M120" s="11"/>
      <c r="N120" s="11"/>
      <c r="O120" s="11"/>
      <c r="P120" s="11"/>
      <c r="Q120" s="11"/>
      <c r="R120" s="11"/>
      <c r="S120" s="11"/>
      <c r="T120" s="11"/>
      <c r="U120" s="11"/>
      <c r="V120" s="11"/>
      <c r="W120" s="11"/>
      <c r="X120" s="11"/>
      <c r="Y120" s="11"/>
      <c r="Z120" s="11"/>
      <c r="AA120" s="11"/>
      <c r="AB120" s="11"/>
      <c r="AC120" s="11"/>
      <c r="AD120" s="11"/>
      <c r="AE120" s="5">
        <v>50.63235361</v>
      </c>
      <c r="AF120" s="5">
        <v>-119.385515</v>
      </c>
      <c r="AG120" s="5">
        <v>374.3</v>
      </c>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row>
    <row r="121" ht="14.25" customHeight="1">
      <c r="A121" s="6" t="s">
        <v>478</v>
      </c>
      <c r="B121" s="11">
        <v>10.0</v>
      </c>
      <c r="C121" s="5" t="s">
        <v>450</v>
      </c>
      <c r="D121" s="11" t="s">
        <v>479</v>
      </c>
      <c r="E121" s="11">
        <v>3284.0</v>
      </c>
      <c r="F121" s="11" t="s">
        <v>480</v>
      </c>
      <c r="G121" s="11" t="str">
        <f t="shared" si="2"/>
        <v>120.8044444 W, 50.36222222 N, Elev. 979 m</v>
      </c>
      <c r="H121" s="11" t="s">
        <v>426</v>
      </c>
      <c r="I121" s="11"/>
      <c r="J121" s="11">
        <v>40183.0</v>
      </c>
      <c r="K121" s="11"/>
      <c r="L121" s="11"/>
      <c r="M121" s="11"/>
      <c r="N121" s="11"/>
      <c r="O121" s="11"/>
      <c r="P121" s="11"/>
      <c r="Q121" s="11"/>
      <c r="R121" s="11"/>
      <c r="S121" s="11"/>
      <c r="T121" s="11"/>
      <c r="U121" s="11"/>
      <c r="V121" s="11"/>
      <c r="W121" s="11"/>
      <c r="X121" s="11"/>
      <c r="Y121" s="11"/>
      <c r="Z121" s="11"/>
      <c r="AA121" s="11"/>
      <c r="AB121" s="11"/>
      <c r="AC121" s="11"/>
      <c r="AD121" s="11"/>
      <c r="AE121" s="11">
        <v>50.36222222</v>
      </c>
      <c r="AF121" s="11">
        <v>-120.8044444</v>
      </c>
      <c r="AG121" s="11">
        <v>979.0</v>
      </c>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row>
    <row r="122" ht="14.25" customHeight="1">
      <c r="A122" s="6" t="s">
        <v>481</v>
      </c>
      <c r="B122" s="5">
        <v>10.0</v>
      </c>
      <c r="C122" s="12" t="s">
        <v>139</v>
      </c>
      <c r="D122" s="12" t="s">
        <v>482</v>
      </c>
      <c r="E122" s="11"/>
      <c r="F122" s="12" t="s">
        <v>483</v>
      </c>
      <c r="G122" s="10" t="str">
        <f>CONCATENATE("-&gt; ",-1*AF122," W, ",AE122," N, Elev. ",AG122," m")</f>
        <v>-&gt; 120.8044444 W, 50.36222222 N, Elev. 979 m</v>
      </c>
      <c r="H122" s="11"/>
      <c r="I122" s="11"/>
      <c r="J122" s="11"/>
      <c r="K122" s="11"/>
      <c r="L122" s="11"/>
      <c r="M122" s="13">
        <v>50.36222222</v>
      </c>
      <c r="N122" s="13">
        <v>-120.8044444</v>
      </c>
      <c r="O122" s="13" t="s">
        <v>142</v>
      </c>
      <c r="P122" s="13" t="s">
        <v>484</v>
      </c>
      <c r="Q122" s="14">
        <v>2.0</v>
      </c>
      <c r="R122" s="13" t="s">
        <v>480</v>
      </c>
      <c r="S122" s="13" t="s">
        <v>145</v>
      </c>
      <c r="T122" s="13">
        <v>979.0</v>
      </c>
      <c r="U122" s="11"/>
      <c r="V122" s="11"/>
      <c r="W122" s="11"/>
      <c r="X122" s="11"/>
      <c r="Y122" s="11"/>
      <c r="Z122" s="11"/>
      <c r="AA122" s="11"/>
      <c r="AB122" s="11"/>
      <c r="AC122" s="11"/>
      <c r="AD122" s="11"/>
      <c r="AE122" s="10">
        <v>50.36222222</v>
      </c>
      <c r="AF122" s="10">
        <v>-120.8044444</v>
      </c>
      <c r="AG122" s="10">
        <v>979.0</v>
      </c>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row>
    <row r="123" ht="14.25" customHeight="1">
      <c r="A123" s="6" t="s">
        <v>485</v>
      </c>
      <c r="B123" s="5">
        <v>10.0</v>
      </c>
      <c r="C123" s="5" t="s">
        <v>450</v>
      </c>
      <c r="D123" s="11" t="s">
        <v>486</v>
      </c>
      <c r="E123" s="11">
        <v>1508.0</v>
      </c>
      <c r="F123" s="11" t="s">
        <v>487</v>
      </c>
      <c r="G123" s="11" t="str">
        <f>CONCATENATE(-1*AF123," W, ",AE123," N, Elev. ",AG123," m")</f>
        <v>120.8913889 W, 50.00777778 N, Elev. 729 m</v>
      </c>
      <c r="H123" s="11" t="s">
        <v>426</v>
      </c>
      <c r="I123" s="11" t="s">
        <v>427</v>
      </c>
      <c r="J123" s="11">
        <v>38557.0</v>
      </c>
      <c r="K123" s="11"/>
      <c r="L123" s="11"/>
      <c r="M123" s="11"/>
      <c r="N123" s="11"/>
      <c r="O123" s="11"/>
      <c r="P123" s="11"/>
      <c r="Q123" s="11"/>
      <c r="R123" s="11"/>
      <c r="S123" s="11"/>
      <c r="T123" s="11"/>
      <c r="U123" s="11"/>
      <c r="V123" s="11"/>
      <c r="W123" s="11"/>
      <c r="X123" s="11"/>
      <c r="Y123" s="11"/>
      <c r="Z123" s="11"/>
      <c r="AA123" s="11"/>
      <c r="AB123" s="11"/>
      <c r="AC123" s="11"/>
      <c r="AD123" s="11"/>
      <c r="AE123" s="11">
        <v>50.00777778</v>
      </c>
      <c r="AF123" s="11">
        <v>-120.8913889</v>
      </c>
      <c r="AG123" s="11">
        <v>729.0</v>
      </c>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row>
    <row r="124" ht="14.25" customHeight="1">
      <c r="A124" s="6" t="s">
        <v>488</v>
      </c>
      <c r="B124" s="5">
        <v>10.0</v>
      </c>
      <c r="C124" s="12" t="s">
        <v>139</v>
      </c>
      <c r="D124" s="12" t="s">
        <v>489</v>
      </c>
      <c r="E124" s="10"/>
      <c r="F124" s="12" t="s">
        <v>490</v>
      </c>
      <c r="G124" s="10" t="str">
        <f>CONCATENATE("-&gt; ",-1*AF124," W, ",AE124," N, Elev. ",AG124," m")</f>
        <v>-&gt; 118.7758333 W, 50.39361111 N, Elev. 729 m</v>
      </c>
      <c r="I124" s="11"/>
      <c r="J124" s="11"/>
      <c r="K124" s="11"/>
      <c r="L124" s="11"/>
      <c r="M124" s="13">
        <v>50.39361111</v>
      </c>
      <c r="N124" s="13">
        <v>-118.7758333</v>
      </c>
      <c r="O124" s="13" t="s">
        <v>142</v>
      </c>
      <c r="P124" s="13" t="s">
        <v>491</v>
      </c>
      <c r="Q124" s="14">
        <v>2.0</v>
      </c>
      <c r="R124" s="13" t="s">
        <v>487</v>
      </c>
      <c r="S124" s="13" t="s">
        <v>145</v>
      </c>
      <c r="T124" s="13">
        <v>729.0</v>
      </c>
      <c r="U124" s="11"/>
      <c r="V124" s="11"/>
      <c r="W124" s="11"/>
      <c r="X124" s="11"/>
      <c r="Y124" s="11"/>
      <c r="Z124" s="11"/>
      <c r="AA124" s="11"/>
      <c r="AB124" s="11"/>
      <c r="AC124" s="11"/>
      <c r="AD124" s="11"/>
      <c r="AE124" s="10">
        <v>50.39361111</v>
      </c>
      <c r="AF124" s="10">
        <v>-118.7758333</v>
      </c>
      <c r="AG124" s="10">
        <v>729.0</v>
      </c>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row>
    <row r="125" ht="14.25" customHeight="1">
      <c r="A125" s="6" t="s">
        <v>492</v>
      </c>
      <c r="B125" s="5">
        <v>10.0</v>
      </c>
      <c r="C125" s="5" t="s">
        <v>450</v>
      </c>
      <c r="D125" s="11" t="s">
        <v>493</v>
      </c>
      <c r="E125" s="11">
        <v>1509.0</v>
      </c>
      <c r="F125" s="11" t="s">
        <v>494</v>
      </c>
      <c r="G125" s="11" t="str">
        <f>CONCATENATE(-1*AF125," W, ",AE125," N, Elev. ",AG125," m")</f>
        <v>118.6905556 W, 50.25333333 N, Elev. 495 m</v>
      </c>
      <c r="H125" s="5" t="s">
        <v>426</v>
      </c>
      <c r="I125" s="11" t="s">
        <v>427</v>
      </c>
      <c r="J125" s="11">
        <v>39555.0</v>
      </c>
      <c r="K125" s="11"/>
      <c r="L125" s="11"/>
      <c r="M125" s="11"/>
      <c r="N125" s="11"/>
      <c r="O125" s="11"/>
      <c r="P125" s="11"/>
      <c r="Q125" s="11"/>
      <c r="R125" s="11"/>
      <c r="S125" s="11"/>
      <c r="T125" s="11"/>
      <c r="U125" s="11"/>
      <c r="V125" s="11"/>
      <c r="W125" s="11"/>
      <c r="X125" s="11"/>
      <c r="Y125" s="11"/>
      <c r="Z125" s="11"/>
      <c r="AA125" s="11"/>
      <c r="AB125" s="11"/>
      <c r="AC125" s="11"/>
      <c r="AD125" s="11"/>
      <c r="AE125" s="11">
        <v>50.25333333</v>
      </c>
      <c r="AF125" s="11">
        <v>-118.6905556</v>
      </c>
      <c r="AG125" s="11">
        <v>495.0</v>
      </c>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row>
    <row r="126" ht="14.25" customHeight="1">
      <c r="A126" s="6" t="s">
        <v>495</v>
      </c>
      <c r="B126" s="5">
        <v>10.0</v>
      </c>
      <c r="C126" s="12" t="s">
        <v>139</v>
      </c>
      <c r="D126" s="12" t="s">
        <v>496</v>
      </c>
      <c r="E126" s="10"/>
      <c r="F126" s="12" t="s">
        <v>497</v>
      </c>
      <c r="G126" s="10" t="str">
        <f>CONCATENATE("-&gt; ",-1*AF126," W, ",AE126," N, Elev. ",AG126," m")</f>
        <v>-&gt; 118.6905556 W, 50.25333333 N, Elev. 495 m</v>
      </c>
      <c r="I126" s="11"/>
      <c r="J126" s="11"/>
      <c r="K126" s="11"/>
      <c r="L126" s="11"/>
      <c r="M126" s="13">
        <v>50.25333333</v>
      </c>
      <c r="N126" s="13">
        <v>-118.6905556</v>
      </c>
      <c r="O126" s="13" t="s">
        <v>142</v>
      </c>
      <c r="P126" s="13" t="s">
        <v>498</v>
      </c>
      <c r="Q126" s="14">
        <v>1.0</v>
      </c>
      <c r="R126" s="13" t="s">
        <v>499</v>
      </c>
      <c r="S126" s="13" t="s">
        <v>145</v>
      </c>
      <c r="T126" s="13">
        <v>495.0</v>
      </c>
      <c r="U126" s="11"/>
      <c r="V126" s="11"/>
      <c r="W126" s="11"/>
      <c r="X126" s="11"/>
      <c r="Y126" s="11"/>
      <c r="Z126" s="11"/>
      <c r="AA126" s="11"/>
      <c r="AB126" s="11"/>
      <c r="AC126" s="11"/>
      <c r="AD126" s="11"/>
      <c r="AE126" s="10">
        <v>50.25333333</v>
      </c>
      <c r="AF126" s="10">
        <v>-118.6905556</v>
      </c>
      <c r="AG126" s="10">
        <v>495.0</v>
      </c>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row>
    <row r="127" ht="14.25" customHeight="1">
      <c r="A127" s="6" t="s">
        <v>500</v>
      </c>
      <c r="B127" s="5">
        <v>10.0</v>
      </c>
      <c r="C127" s="5" t="s">
        <v>450</v>
      </c>
      <c r="D127" s="11" t="s">
        <v>501</v>
      </c>
      <c r="E127" s="11">
        <v>1510.0</v>
      </c>
      <c r="F127" s="11" t="s">
        <v>502</v>
      </c>
      <c r="G127" s="11" t="str">
        <f>CONCATENATE(-1*AF127," W, ",AE127," N, Elev. ",AG127," m")</f>
        <v>121.2794667 W, 50.7448 N, Elev. 446 m</v>
      </c>
      <c r="H127" s="5" t="s">
        <v>426</v>
      </c>
      <c r="I127" s="11" t="s">
        <v>427</v>
      </c>
      <c r="J127" s="11">
        <v>38982.0</v>
      </c>
      <c r="K127" s="11"/>
      <c r="L127" s="11"/>
      <c r="M127" s="11"/>
      <c r="N127" s="11"/>
      <c r="O127" s="11"/>
      <c r="P127" s="11"/>
      <c r="Q127" s="11"/>
      <c r="R127" s="11"/>
      <c r="S127" s="11"/>
      <c r="T127" s="11"/>
      <c r="U127" s="11"/>
      <c r="V127" s="11"/>
      <c r="W127" s="11"/>
      <c r="X127" s="11"/>
      <c r="Y127" s="11"/>
      <c r="Z127" s="11"/>
      <c r="AA127" s="11"/>
      <c r="AB127" s="11"/>
      <c r="AC127" s="11"/>
      <c r="AD127" s="11"/>
      <c r="AE127" s="11">
        <v>50.7448</v>
      </c>
      <c r="AF127" s="11">
        <v>-121.2794667</v>
      </c>
      <c r="AG127" s="11">
        <v>446.0</v>
      </c>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row>
    <row r="128" ht="14.25" customHeight="1">
      <c r="A128" s="6" t="s">
        <v>503</v>
      </c>
      <c r="B128" s="5">
        <v>10.0</v>
      </c>
      <c r="C128" s="12" t="s">
        <v>139</v>
      </c>
      <c r="D128" s="12" t="s">
        <v>504</v>
      </c>
      <c r="E128" s="10"/>
      <c r="F128" s="12" t="s">
        <v>505</v>
      </c>
      <c r="G128" s="10" t="str">
        <f>CONCATENATE("-&gt; ",-1*AF128," W, ",AE128," N, Elev. ",AG128," m")</f>
        <v>-&gt; 121.2794444 W, 50.74472222 N, Elev. 446 m</v>
      </c>
      <c r="I128" s="11"/>
      <c r="J128" s="11"/>
      <c r="K128" s="11"/>
      <c r="L128" s="11"/>
      <c r="M128" s="13">
        <v>50.74472222</v>
      </c>
      <c r="N128" s="13">
        <v>-121.2794444</v>
      </c>
      <c r="O128" s="13" t="s">
        <v>142</v>
      </c>
      <c r="P128" s="13" t="s">
        <v>506</v>
      </c>
      <c r="Q128" s="14">
        <v>1.0</v>
      </c>
      <c r="R128" s="13" t="s">
        <v>502</v>
      </c>
      <c r="S128" s="13" t="s">
        <v>145</v>
      </c>
      <c r="T128" s="13">
        <v>446.0</v>
      </c>
      <c r="U128" s="11"/>
      <c r="V128" s="11"/>
      <c r="W128" s="11"/>
      <c r="X128" s="11"/>
      <c r="Y128" s="11"/>
      <c r="Z128" s="11"/>
      <c r="AA128" s="11"/>
      <c r="AB128" s="11"/>
      <c r="AC128" s="11"/>
      <c r="AD128" s="11"/>
      <c r="AE128" s="10">
        <v>50.74472222</v>
      </c>
      <c r="AF128" s="10">
        <v>-121.2794444</v>
      </c>
      <c r="AG128" s="10">
        <v>446.0</v>
      </c>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row>
    <row r="129" ht="14.25" customHeight="1">
      <c r="A129" s="6" t="s">
        <v>507</v>
      </c>
      <c r="B129" s="5">
        <v>10.0</v>
      </c>
      <c r="C129" s="5" t="s">
        <v>450</v>
      </c>
      <c r="D129" s="11" t="s">
        <v>508</v>
      </c>
      <c r="E129" s="11">
        <v>1511.0</v>
      </c>
      <c r="F129" s="11" t="s">
        <v>509</v>
      </c>
      <c r="G129" s="11" t="str">
        <f>CONCATENATE(-1*AF129," W, ",AE129," N, Elev. ",AG129," m")</f>
        <v>119.7084833 W, 50.8039 N, Elev. 355 m</v>
      </c>
      <c r="H129" s="5" t="s">
        <v>426</v>
      </c>
      <c r="I129" s="11" t="s">
        <v>427</v>
      </c>
      <c r="J129" s="11">
        <v>38960.0</v>
      </c>
      <c r="K129" s="11"/>
      <c r="L129" s="11"/>
      <c r="M129" s="11"/>
      <c r="N129" s="11"/>
      <c r="O129" s="11"/>
      <c r="P129" s="11"/>
      <c r="Q129" s="11"/>
      <c r="R129" s="11"/>
      <c r="S129" s="11"/>
      <c r="T129" s="11"/>
      <c r="U129" s="11"/>
      <c r="V129" s="11"/>
      <c r="W129" s="11"/>
      <c r="X129" s="11"/>
      <c r="Y129" s="11"/>
      <c r="Z129" s="11"/>
      <c r="AA129" s="11"/>
      <c r="AB129" s="11"/>
      <c r="AC129" s="11"/>
      <c r="AD129" s="11"/>
      <c r="AE129" s="11">
        <v>50.8039</v>
      </c>
      <c r="AF129" s="11">
        <v>-119.7084833</v>
      </c>
      <c r="AG129" s="11">
        <v>355.0</v>
      </c>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row>
    <row r="130" ht="14.25" customHeight="1">
      <c r="A130" s="6" t="s">
        <v>510</v>
      </c>
      <c r="B130" s="5">
        <v>10.0</v>
      </c>
      <c r="C130" s="12" t="s">
        <v>139</v>
      </c>
      <c r="D130" s="12" t="s">
        <v>511</v>
      </c>
      <c r="E130" s="10"/>
      <c r="F130" s="12" t="s">
        <v>512</v>
      </c>
      <c r="G130" s="10" t="str">
        <f>CONCATENATE("-&gt; ",-1*AF130," W, ",AE130," N, Elev. ",AG130," m")</f>
        <v>-&gt; 119.7083333 W, 50.80388889 N, Elev. 355 m</v>
      </c>
      <c r="I130" s="11"/>
      <c r="J130" s="11"/>
      <c r="K130" s="11"/>
      <c r="L130" s="11"/>
      <c r="M130" s="13">
        <v>50.80388889</v>
      </c>
      <c r="N130" s="13">
        <v>-119.7083333</v>
      </c>
      <c r="O130" s="13" t="s">
        <v>142</v>
      </c>
      <c r="P130" s="13" t="s">
        <v>513</v>
      </c>
      <c r="Q130" s="14">
        <v>1.0</v>
      </c>
      <c r="R130" s="13" t="s">
        <v>509</v>
      </c>
      <c r="S130" s="13" t="s">
        <v>145</v>
      </c>
      <c r="T130" s="13">
        <v>355.0</v>
      </c>
      <c r="U130" s="11"/>
      <c r="V130" s="11"/>
      <c r="W130" s="11"/>
      <c r="X130" s="11"/>
      <c r="Y130" s="11"/>
      <c r="Z130" s="11"/>
      <c r="AA130" s="11"/>
      <c r="AB130" s="11"/>
      <c r="AC130" s="11"/>
      <c r="AD130" s="11"/>
      <c r="AE130" s="10">
        <v>50.80388889</v>
      </c>
      <c r="AF130" s="10">
        <v>-119.7083333</v>
      </c>
      <c r="AG130" s="10">
        <v>355.0</v>
      </c>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row>
    <row r="131" ht="14.25" customHeight="1">
      <c r="A131" s="6" t="s">
        <v>514</v>
      </c>
      <c r="B131" s="5">
        <v>10.0</v>
      </c>
      <c r="C131" s="5" t="s">
        <v>450</v>
      </c>
      <c r="D131" s="11" t="s">
        <v>515</v>
      </c>
      <c r="E131" s="11">
        <v>1512.0</v>
      </c>
      <c r="F131" s="11" t="s">
        <v>516</v>
      </c>
      <c r="G131" s="11" t="str">
        <f>CONCATENATE(-1*AF131," W, ",AE131," N, Elev. ",AG131," m")</f>
        <v>120.8911667 W, 50.01166667 N, Elev. 718 m</v>
      </c>
      <c r="H131" s="5" t="s">
        <v>426</v>
      </c>
      <c r="I131" s="11" t="s">
        <v>427</v>
      </c>
      <c r="J131" s="11">
        <v>39792.0</v>
      </c>
      <c r="K131" s="11"/>
      <c r="L131" s="11"/>
      <c r="M131" s="11"/>
      <c r="N131" s="11"/>
      <c r="O131" s="11"/>
      <c r="P131" s="11"/>
      <c r="Q131" s="11"/>
      <c r="R131" s="11"/>
      <c r="S131" s="11"/>
      <c r="T131" s="11"/>
      <c r="U131" s="11"/>
      <c r="V131" s="11"/>
      <c r="W131" s="11"/>
      <c r="X131" s="11"/>
      <c r="Y131" s="11"/>
      <c r="Z131" s="11"/>
      <c r="AA131" s="11"/>
      <c r="AB131" s="11"/>
      <c r="AC131" s="11"/>
      <c r="AD131" s="11"/>
      <c r="AE131" s="11">
        <v>50.01166667</v>
      </c>
      <c r="AF131" s="11">
        <v>-120.8911667</v>
      </c>
      <c r="AG131" s="11">
        <v>718.0</v>
      </c>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row>
    <row r="132" ht="14.25" customHeight="1">
      <c r="A132" s="6" t="s">
        <v>517</v>
      </c>
      <c r="B132" s="5">
        <v>10.0</v>
      </c>
      <c r="C132" s="12" t="s">
        <v>139</v>
      </c>
      <c r="D132" s="12" t="s">
        <v>518</v>
      </c>
      <c r="E132" s="10"/>
      <c r="F132" s="12" t="s">
        <v>519</v>
      </c>
      <c r="G132" s="10" t="str">
        <f>CONCATENATE("-&gt; ",-1*AF132," W, ",AE132," N, Elev. ",AG132," m")</f>
        <v>-&gt; 120.8911111 W, 50.01166667 N, Elev. 718 m</v>
      </c>
      <c r="I132" s="11"/>
      <c r="J132" s="11"/>
      <c r="K132" s="19"/>
      <c r="L132" s="19"/>
      <c r="M132" s="13">
        <v>50.01166667</v>
      </c>
      <c r="N132" s="13">
        <v>-120.8911111</v>
      </c>
      <c r="O132" s="13" t="s">
        <v>142</v>
      </c>
      <c r="P132" s="13" t="s">
        <v>520</v>
      </c>
      <c r="Q132" s="14">
        <v>2.0</v>
      </c>
      <c r="R132" s="13" t="s">
        <v>516</v>
      </c>
      <c r="S132" s="13" t="s">
        <v>145</v>
      </c>
      <c r="T132" s="13">
        <v>718.0</v>
      </c>
      <c r="U132" s="19"/>
      <c r="V132" s="19"/>
      <c r="W132" s="19"/>
      <c r="X132" s="19"/>
      <c r="Y132" s="19"/>
      <c r="Z132" s="19"/>
      <c r="AA132" s="19"/>
      <c r="AB132" s="19"/>
      <c r="AC132" s="19"/>
      <c r="AD132" s="19"/>
      <c r="AE132" s="10">
        <v>50.01166667</v>
      </c>
      <c r="AF132" s="10">
        <v>-120.8911111</v>
      </c>
      <c r="AG132" s="10">
        <v>718.0</v>
      </c>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row>
    <row r="133" ht="14.25" customHeight="1">
      <c r="A133" s="6" t="s">
        <v>521</v>
      </c>
      <c r="B133" s="5">
        <v>10.0</v>
      </c>
      <c r="C133" s="5" t="s">
        <v>450</v>
      </c>
      <c r="D133" s="11" t="s">
        <v>522</v>
      </c>
      <c r="E133" s="11">
        <v>1513.0</v>
      </c>
      <c r="F133" s="11" t="s">
        <v>523</v>
      </c>
      <c r="G133" s="11" t="str">
        <f>CONCATENATE(-1*AF133," W, ",AE133," N, Elev. ",AG133," m")</f>
        <v>119.1942667 W, 50.6276 N, Elev. 517 m</v>
      </c>
      <c r="H133" s="5" t="s">
        <v>426</v>
      </c>
      <c r="I133" s="11" t="s">
        <v>427</v>
      </c>
      <c r="J133" s="11">
        <v>38975.0</v>
      </c>
      <c r="K133" s="11"/>
      <c r="L133" s="11"/>
      <c r="M133" s="11"/>
      <c r="N133" s="11"/>
      <c r="O133" s="11"/>
      <c r="P133" s="11"/>
      <c r="Q133" s="11"/>
      <c r="R133" s="11"/>
      <c r="S133" s="11"/>
      <c r="T133" s="11"/>
      <c r="U133" s="11"/>
      <c r="V133" s="11"/>
      <c r="W133" s="11"/>
      <c r="X133" s="11"/>
      <c r="Y133" s="11"/>
      <c r="Z133" s="11"/>
      <c r="AA133" s="11"/>
      <c r="AB133" s="11"/>
      <c r="AC133" s="11"/>
      <c r="AD133" s="11"/>
      <c r="AE133" s="11">
        <v>50.6276</v>
      </c>
      <c r="AF133" s="11">
        <v>-119.1942667</v>
      </c>
      <c r="AG133" s="11">
        <v>517.0</v>
      </c>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row>
    <row r="134" ht="14.25" customHeight="1">
      <c r="A134" s="6" t="s">
        <v>524</v>
      </c>
      <c r="B134" s="5">
        <v>10.0</v>
      </c>
      <c r="C134" s="12" t="s">
        <v>139</v>
      </c>
      <c r="D134" s="12" t="s">
        <v>525</v>
      </c>
      <c r="E134" s="10"/>
      <c r="F134" s="12" t="s">
        <v>526</v>
      </c>
      <c r="G134" s="10" t="str">
        <f>CONCATENATE("-&gt; ",-1*AF134," W, ",AE134," N, Elev. ",AG134," m")</f>
        <v>-&gt; 119.1941667 W, 50.6275 N, Elev. 517 m</v>
      </c>
      <c r="I134" s="11"/>
      <c r="J134" s="11"/>
      <c r="K134" s="11"/>
      <c r="L134" s="11"/>
      <c r="M134" s="13">
        <v>50.6275</v>
      </c>
      <c r="N134" s="13">
        <v>-119.1941667</v>
      </c>
      <c r="O134" s="13" t="s">
        <v>142</v>
      </c>
      <c r="P134" s="13" t="s">
        <v>527</v>
      </c>
      <c r="Q134" s="14">
        <v>1.0</v>
      </c>
      <c r="R134" s="13" t="s">
        <v>523</v>
      </c>
      <c r="S134" s="13" t="s">
        <v>145</v>
      </c>
      <c r="T134" s="13">
        <v>517.0</v>
      </c>
      <c r="U134" s="11"/>
      <c r="V134" s="11"/>
      <c r="W134" s="11"/>
      <c r="X134" s="11"/>
      <c r="Y134" s="11"/>
      <c r="Z134" s="11"/>
      <c r="AA134" s="11"/>
      <c r="AB134" s="11"/>
      <c r="AC134" s="11"/>
      <c r="AD134" s="11"/>
      <c r="AE134" s="10">
        <v>50.6275</v>
      </c>
      <c r="AF134" s="10">
        <v>-119.1941667</v>
      </c>
      <c r="AG134" s="10">
        <v>517.0</v>
      </c>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row>
    <row r="135" ht="14.25" customHeight="1">
      <c r="A135" s="6" t="s">
        <v>528</v>
      </c>
      <c r="B135" s="5">
        <v>10.0</v>
      </c>
      <c r="C135" s="5" t="s">
        <v>450</v>
      </c>
      <c r="D135" s="11" t="s">
        <v>529</v>
      </c>
      <c r="E135" s="11">
        <v>1514.0</v>
      </c>
      <c r="F135" s="11" t="s">
        <v>530</v>
      </c>
      <c r="G135" s="11" t="str">
        <f>CONCATENATE(-1*AF135," W, ",AE135," N, Elev. ",AG135," m")</f>
        <v>121.86749 W, 50.85193 N, Elev. 450 m</v>
      </c>
      <c r="H135" s="5" t="s">
        <v>426</v>
      </c>
      <c r="I135" s="11" t="s">
        <v>427</v>
      </c>
      <c r="J135" s="11">
        <v>39339.0</v>
      </c>
      <c r="K135" s="11"/>
      <c r="L135" s="11"/>
      <c r="M135" s="11"/>
      <c r="N135" s="11"/>
      <c r="O135" s="11"/>
      <c r="P135" s="11"/>
      <c r="Q135" s="11"/>
      <c r="R135" s="11"/>
      <c r="S135" s="11"/>
      <c r="T135" s="11"/>
      <c r="U135" s="11"/>
      <c r="V135" s="11"/>
      <c r="W135" s="11"/>
      <c r="X135" s="11"/>
      <c r="Y135" s="11"/>
      <c r="Z135" s="11"/>
      <c r="AA135" s="11"/>
      <c r="AB135" s="11"/>
      <c r="AC135" s="11"/>
      <c r="AD135" s="11"/>
      <c r="AE135" s="11">
        <v>50.85193</v>
      </c>
      <c r="AF135" s="11">
        <v>-121.86749</v>
      </c>
      <c r="AG135" s="11">
        <v>450.0</v>
      </c>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row>
    <row r="136" ht="14.25" customHeight="1">
      <c r="A136" s="6" t="s">
        <v>531</v>
      </c>
      <c r="B136" s="5">
        <v>10.0</v>
      </c>
      <c r="C136" s="12" t="s">
        <v>139</v>
      </c>
      <c r="D136" s="12" t="s">
        <v>532</v>
      </c>
      <c r="E136" s="10"/>
      <c r="F136" s="12" t="s">
        <v>533</v>
      </c>
      <c r="G136" s="10" t="str">
        <f>CONCATENATE("-&gt; ",-1*AF136," W, ",AE136," N, Elev. ",AG136," m")</f>
        <v>-&gt; 121.8672222 W, 50.85166667 N, Elev. 450 m</v>
      </c>
      <c r="I136" s="11"/>
      <c r="J136" s="11"/>
      <c r="K136" s="11"/>
      <c r="L136" s="11"/>
      <c r="M136" s="13">
        <v>50.85166667</v>
      </c>
      <c r="N136" s="13">
        <v>-121.8672222</v>
      </c>
      <c r="O136" s="13" t="s">
        <v>142</v>
      </c>
      <c r="P136" s="13" t="s">
        <v>534</v>
      </c>
      <c r="Q136" s="14">
        <v>1.0</v>
      </c>
      <c r="R136" s="13" t="s">
        <v>535</v>
      </c>
      <c r="S136" s="13" t="s">
        <v>145</v>
      </c>
      <c r="T136" s="13">
        <v>450.0</v>
      </c>
      <c r="U136" s="11"/>
      <c r="V136" s="11"/>
      <c r="W136" s="11"/>
      <c r="X136" s="11"/>
      <c r="Y136" s="11"/>
      <c r="Z136" s="11"/>
      <c r="AA136" s="11"/>
      <c r="AB136" s="11"/>
      <c r="AC136" s="11"/>
      <c r="AD136" s="11"/>
      <c r="AE136" s="10">
        <v>50.85166667</v>
      </c>
      <c r="AF136" s="10">
        <v>-121.8672222</v>
      </c>
      <c r="AG136" s="10">
        <v>450.0</v>
      </c>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row>
    <row r="137" ht="14.25" customHeight="1">
      <c r="A137" s="6" t="s">
        <v>536</v>
      </c>
      <c r="B137" s="5">
        <v>10.0</v>
      </c>
      <c r="C137" s="5" t="s">
        <v>450</v>
      </c>
      <c r="D137" s="11" t="s">
        <v>537</v>
      </c>
      <c r="E137" s="11">
        <v>1515.0</v>
      </c>
      <c r="F137" s="11" t="s">
        <v>538</v>
      </c>
      <c r="G137" s="11" t="str">
        <f>CONCATENATE(-1*AF137," W, ",AE137," N, Elev. ",AG137," m")</f>
        <v>120.0247222 W, 50.20472222 N, Elev. 951.8904 m</v>
      </c>
      <c r="H137" s="5" t="s">
        <v>426</v>
      </c>
      <c r="I137" s="11" t="s">
        <v>427</v>
      </c>
      <c r="J137" s="11">
        <v>38557.0</v>
      </c>
      <c r="K137" s="11"/>
      <c r="L137" s="11"/>
      <c r="M137" s="11"/>
      <c r="N137" s="11"/>
      <c r="O137" s="11"/>
      <c r="P137" s="11"/>
      <c r="Q137" s="11"/>
      <c r="R137" s="11"/>
      <c r="S137" s="11"/>
      <c r="T137" s="11"/>
      <c r="U137" s="11"/>
      <c r="V137" s="11"/>
      <c r="W137" s="11"/>
      <c r="X137" s="11"/>
      <c r="Y137" s="11"/>
      <c r="Z137" s="11"/>
      <c r="AA137" s="11"/>
      <c r="AB137" s="11"/>
      <c r="AC137" s="11"/>
      <c r="AD137" s="11"/>
      <c r="AE137" s="11">
        <v>50.20472222</v>
      </c>
      <c r="AF137" s="11">
        <v>-120.0247222</v>
      </c>
      <c r="AG137" s="11">
        <v>951.8904</v>
      </c>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row>
    <row r="138" ht="14.25" customHeight="1">
      <c r="A138" s="6" t="s">
        <v>539</v>
      </c>
      <c r="B138" s="5">
        <v>10.0</v>
      </c>
      <c r="C138" s="12" t="s">
        <v>139</v>
      </c>
      <c r="D138" s="12" t="s">
        <v>540</v>
      </c>
      <c r="E138" s="10"/>
      <c r="F138" s="12" t="s">
        <v>541</v>
      </c>
      <c r="G138" s="10" t="str">
        <f>CONCATENATE("-&gt; ",-1*AF138," W, ",AE138," N, Elev. ",AG138," m")</f>
        <v>-&gt; 120.0247222 W, 50.20472222 N, Elev. 952 m</v>
      </c>
      <c r="I138" s="11"/>
      <c r="J138" s="11"/>
      <c r="K138" s="11"/>
      <c r="L138" s="11"/>
      <c r="M138" s="13">
        <v>50.20472222</v>
      </c>
      <c r="N138" s="13">
        <v>-120.0247222</v>
      </c>
      <c r="O138" s="13" t="s">
        <v>142</v>
      </c>
      <c r="P138" s="13" t="s">
        <v>542</v>
      </c>
      <c r="Q138" s="14">
        <v>2.0</v>
      </c>
      <c r="R138" s="13" t="s">
        <v>538</v>
      </c>
      <c r="S138" s="13" t="s">
        <v>145</v>
      </c>
      <c r="T138" s="13">
        <v>952.0</v>
      </c>
      <c r="U138" s="11"/>
      <c r="V138" s="11"/>
      <c r="W138" s="11"/>
      <c r="X138" s="11"/>
      <c r="Y138" s="11"/>
      <c r="Z138" s="11"/>
      <c r="AA138" s="11"/>
      <c r="AB138" s="11"/>
      <c r="AC138" s="11"/>
      <c r="AD138" s="11"/>
      <c r="AE138" s="10">
        <v>50.20472222</v>
      </c>
      <c r="AF138" s="10">
        <v>-120.0247222</v>
      </c>
      <c r="AG138" s="10">
        <v>952.0</v>
      </c>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row>
    <row r="139" ht="14.25" customHeight="1">
      <c r="A139" s="6" t="s">
        <v>543</v>
      </c>
      <c r="B139" s="5">
        <v>10.0</v>
      </c>
      <c r="C139" s="5" t="s">
        <v>450</v>
      </c>
      <c r="D139" s="11" t="s">
        <v>544</v>
      </c>
      <c r="E139" s="11">
        <v>1517.0</v>
      </c>
      <c r="F139" s="11" t="s">
        <v>545</v>
      </c>
      <c r="G139" s="11" t="str">
        <f>CONCATENATE(-1*AF139," W, ",AE139," N, Elev. ",AG139," m")</f>
        <v>121.71737 W, 50.48667 N, Elev. 300 m</v>
      </c>
      <c r="H139" s="5" t="s">
        <v>426</v>
      </c>
      <c r="I139" s="11" t="s">
        <v>427</v>
      </c>
      <c r="J139" s="11">
        <v>39339.0</v>
      </c>
      <c r="K139" s="11"/>
      <c r="L139" s="11"/>
      <c r="M139" s="11"/>
      <c r="N139" s="11"/>
      <c r="O139" s="11"/>
      <c r="P139" s="11"/>
      <c r="Q139" s="11"/>
      <c r="R139" s="11"/>
      <c r="S139" s="11"/>
      <c r="T139" s="11"/>
      <c r="U139" s="11"/>
      <c r="V139" s="11"/>
      <c r="W139" s="11"/>
      <c r="X139" s="11"/>
      <c r="Y139" s="11"/>
      <c r="Z139" s="11"/>
      <c r="AA139" s="11"/>
      <c r="AB139" s="11"/>
      <c r="AC139" s="11"/>
      <c r="AD139" s="11"/>
      <c r="AE139" s="11">
        <v>50.48667</v>
      </c>
      <c r="AF139" s="11">
        <v>-121.71737</v>
      </c>
      <c r="AG139" s="11">
        <v>300.0</v>
      </c>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row>
    <row r="140" ht="14.25" customHeight="1">
      <c r="A140" s="6" t="s">
        <v>546</v>
      </c>
      <c r="B140" s="5">
        <v>10.0</v>
      </c>
      <c r="C140" s="12" t="s">
        <v>139</v>
      </c>
      <c r="D140" s="12" t="s">
        <v>547</v>
      </c>
      <c r="E140" s="10"/>
      <c r="F140" s="12" t="s">
        <v>548</v>
      </c>
      <c r="G140" s="10" t="str">
        <f>CONCATENATE("-&gt; ",-1*AF140," W, ",AE140," N, Elev. ",AG140," m")</f>
        <v>-&gt; 121.7172222 W, 50.48666667 N, Elev. 300 m</v>
      </c>
      <c r="I140" s="11"/>
      <c r="J140" s="11"/>
      <c r="K140" s="11"/>
      <c r="L140" s="11"/>
      <c r="M140" s="13">
        <v>50.48666667</v>
      </c>
      <c r="N140" s="13">
        <v>-121.7172222</v>
      </c>
      <c r="O140" s="13" t="s">
        <v>142</v>
      </c>
      <c r="P140" s="13" t="s">
        <v>549</v>
      </c>
      <c r="Q140" s="14">
        <v>1.0</v>
      </c>
      <c r="R140" s="13" t="s">
        <v>550</v>
      </c>
      <c r="S140" s="13" t="s">
        <v>145</v>
      </c>
      <c r="T140" s="13">
        <v>300.0</v>
      </c>
      <c r="U140" s="11"/>
      <c r="V140" s="11"/>
      <c r="W140" s="11"/>
      <c r="X140" s="11"/>
      <c r="Y140" s="11"/>
      <c r="Z140" s="11"/>
      <c r="AA140" s="11"/>
      <c r="AB140" s="11"/>
      <c r="AC140" s="11"/>
      <c r="AD140" s="11"/>
      <c r="AE140" s="10">
        <v>50.48666667</v>
      </c>
      <c r="AF140" s="10">
        <v>-121.7172222</v>
      </c>
      <c r="AG140" s="10">
        <v>300.0</v>
      </c>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row>
    <row r="141" ht="14.25" customHeight="1">
      <c r="A141" s="6" t="s">
        <v>551</v>
      </c>
      <c r="B141" s="5">
        <v>10.0</v>
      </c>
      <c r="C141" s="5" t="s">
        <v>450</v>
      </c>
      <c r="D141" s="11" t="s">
        <v>552</v>
      </c>
      <c r="E141" s="11">
        <v>1518.0</v>
      </c>
      <c r="F141" s="11" t="s">
        <v>553</v>
      </c>
      <c r="G141" s="11" t="str">
        <f>CONCATENATE(-1*AF141," W, ",AE141," N, Elev. ",AG141," m")</f>
        <v>120.8913889 W, 50.89444444 N, Elev. 728 m</v>
      </c>
      <c r="H141" s="5" t="s">
        <v>426</v>
      </c>
      <c r="I141" s="11" t="s">
        <v>427</v>
      </c>
      <c r="J141" s="11">
        <v>39924.0</v>
      </c>
      <c r="K141" s="11"/>
      <c r="L141" s="11"/>
      <c r="M141" s="11"/>
      <c r="N141" s="11"/>
      <c r="O141" s="11"/>
      <c r="P141" s="11"/>
      <c r="Q141" s="11"/>
      <c r="R141" s="11"/>
      <c r="S141" s="11"/>
      <c r="T141" s="11"/>
      <c r="U141" s="11"/>
      <c r="V141" s="11"/>
      <c r="W141" s="11"/>
      <c r="X141" s="11"/>
      <c r="Y141" s="11"/>
      <c r="Z141" s="11"/>
      <c r="AA141" s="11"/>
      <c r="AB141" s="11"/>
      <c r="AC141" s="11"/>
      <c r="AD141" s="11"/>
      <c r="AE141" s="11">
        <v>50.89444444</v>
      </c>
      <c r="AF141" s="11">
        <v>-120.8913889</v>
      </c>
      <c r="AG141" s="11">
        <v>728.0</v>
      </c>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row>
    <row r="142" ht="14.25" customHeight="1">
      <c r="A142" s="6" t="s">
        <v>554</v>
      </c>
      <c r="B142" s="5">
        <v>10.0</v>
      </c>
      <c r="C142" s="12" t="s">
        <v>139</v>
      </c>
      <c r="D142" s="12" t="s">
        <v>555</v>
      </c>
      <c r="E142" s="10"/>
      <c r="F142" s="12" t="s">
        <v>556</v>
      </c>
      <c r="G142" s="10" t="str">
        <f>CONCATENATE("-&gt; ",-1*AF142," W, ",AE142," N, Elev. ",AG142," m")</f>
        <v>-&gt; 120.8913889 W, 50.89444444 N, Elev. 728 m</v>
      </c>
      <c r="I142" s="11"/>
      <c r="J142" s="11"/>
      <c r="K142" s="11"/>
      <c r="L142" s="11"/>
      <c r="M142" s="13">
        <v>50.89444444</v>
      </c>
      <c r="N142" s="13">
        <v>-120.8913889</v>
      </c>
      <c r="O142" s="13" t="s">
        <v>142</v>
      </c>
      <c r="P142" s="13" t="s">
        <v>557</v>
      </c>
      <c r="Q142" s="14">
        <v>2.0</v>
      </c>
      <c r="R142" s="13" t="s">
        <v>558</v>
      </c>
      <c r="S142" s="13" t="s">
        <v>145</v>
      </c>
      <c r="T142" s="13">
        <v>728.0</v>
      </c>
      <c r="U142" s="11"/>
      <c r="V142" s="11"/>
      <c r="W142" s="11"/>
      <c r="X142" s="11"/>
      <c r="Y142" s="11"/>
      <c r="Z142" s="11"/>
      <c r="AA142" s="11"/>
      <c r="AB142" s="11"/>
      <c r="AC142" s="11"/>
      <c r="AD142" s="11"/>
      <c r="AE142" s="10">
        <v>50.89444444</v>
      </c>
      <c r="AF142" s="10">
        <v>-120.8913889</v>
      </c>
      <c r="AG142" s="10">
        <v>728.0</v>
      </c>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row>
    <row r="143" ht="14.25" customHeight="1">
      <c r="A143" s="6" t="s">
        <v>559</v>
      </c>
      <c r="B143" s="5">
        <v>10.0</v>
      </c>
      <c r="C143" s="5" t="s">
        <v>450</v>
      </c>
      <c r="D143" s="11" t="s">
        <v>560</v>
      </c>
      <c r="E143" s="11">
        <v>1519.0</v>
      </c>
      <c r="F143" s="11" t="s">
        <v>561</v>
      </c>
      <c r="G143" s="11" t="str">
        <f>CONCATENATE(-1*AF143," W, ",AE143," N, Elev. ",AG143," m")</f>
        <v>120.505 W, 50.17972222 N, Elev. 316.0776 m</v>
      </c>
      <c r="H143" s="5" t="s">
        <v>426</v>
      </c>
      <c r="I143" s="11" t="s">
        <v>427</v>
      </c>
      <c r="J143" s="11">
        <v>38557.0</v>
      </c>
      <c r="K143" s="11"/>
      <c r="L143" s="11"/>
      <c r="M143" s="11"/>
      <c r="N143" s="11"/>
      <c r="O143" s="11"/>
      <c r="P143" s="11"/>
      <c r="Q143" s="11"/>
      <c r="R143" s="11"/>
      <c r="S143" s="11"/>
      <c r="T143" s="11"/>
      <c r="U143" s="11"/>
      <c r="V143" s="11"/>
      <c r="W143" s="11"/>
      <c r="X143" s="11"/>
      <c r="Y143" s="11"/>
      <c r="Z143" s="11"/>
      <c r="AA143" s="11"/>
      <c r="AB143" s="11"/>
      <c r="AC143" s="11"/>
      <c r="AD143" s="11"/>
      <c r="AE143" s="11">
        <v>50.17972222</v>
      </c>
      <c r="AF143" s="11">
        <v>-120.505</v>
      </c>
      <c r="AG143" s="11">
        <v>316.0776</v>
      </c>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row>
    <row r="144" ht="14.25" customHeight="1">
      <c r="A144" s="6" t="s">
        <v>562</v>
      </c>
      <c r="B144" s="5">
        <v>10.0</v>
      </c>
      <c r="C144" s="12" t="s">
        <v>139</v>
      </c>
      <c r="D144" s="12" t="s">
        <v>563</v>
      </c>
      <c r="E144" s="10"/>
      <c r="F144" s="12" t="s">
        <v>564</v>
      </c>
      <c r="G144" s="10" t="str">
        <f>CONCATENATE("-&gt; ",-1*AF144," W, ",AE144," N, Elev. ",AG144," m")</f>
        <v>-&gt; 120.496103 W, 50.168431 N, Elev. 316 m</v>
      </c>
      <c r="I144" s="11"/>
      <c r="J144" s="11"/>
      <c r="K144" s="11"/>
      <c r="L144" s="11"/>
      <c r="M144" s="13">
        <v>50.168431</v>
      </c>
      <c r="N144" s="13">
        <v>-120.496103</v>
      </c>
      <c r="O144" s="13" t="s">
        <v>142</v>
      </c>
      <c r="P144" s="13" t="s">
        <v>565</v>
      </c>
      <c r="Q144" s="14">
        <v>1.0</v>
      </c>
      <c r="R144" s="13" t="s">
        <v>561</v>
      </c>
      <c r="S144" s="13" t="s">
        <v>145</v>
      </c>
      <c r="T144" s="13">
        <v>316.0</v>
      </c>
      <c r="U144" s="11"/>
      <c r="V144" s="11"/>
      <c r="W144" s="11"/>
      <c r="X144" s="11"/>
      <c r="Y144" s="11"/>
      <c r="Z144" s="11"/>
      <c r="AA144" s="11"/>
      <c r="AB144" s="11"/>
      <c r="AC144" s="11"/>
      <c r="AD144" s="11"/>
      <c r="AE144" s="10">
        <v>50.168431</v>
      </c>
      <c r="AF144" s="10">
        <v>-120.496103</v>
      </c>
      <c r="AG144" s="10">
        <v>316.0</v>
      </c>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row>
    <row r="145" ht="14.25" customHeight="1">
      <c r="A145" s="6" t="s">
        <v>566</v>
      </c>
      <c r="B145" s="5">
        <v>10.0</v>
      </c>
      <c r="C145" s="5" t="s">
        <v>450</v>
      </c>
      <c r="D145" s="11" t="s">
        <v>567</v>
      </c>
      <c r="E145" s="11">
        <v>1520.0</v>
      </c>
      <c r="F145" s="11" t="s">
        <v>568</v>
      </c>
      <c r="G145" s="11" t="str">
        <f>CONCATENATE(-1*AF145," W, ",AE145," N, Elev. ",AG145," m")</f>
        <v>119.7745333 W, 50.7382 N, Elev. 413 m</v>
      </c>
      <c r="H145" s="5" t="s">
        <v>426</v>
      </c>
      <c r="I145" s="11" t="s">
        <v>427</v>
      </c>
      <c r="J145" s="11">
        <v>38960.0</v>
      </c>
      <c r="K145" s="11"/>
      <c r="L145" s="11"/>
      <c r="M145" s="11"/>
      <c r="N145" s="11"/>
      <c r="O145" s="11"/>
      <c r="P145" s="11"/>
      <c r="Q145" s="11"/>
      <c r="R145" s="11"/>
      <c r="S145" s="11"/>
      <c r="T145" s="11"/>
      <c r="U145" s="11"/>
      <c r="V145" s="11"/>
      <c r="W145" s="11"/>
      <c r="X145" s="11"/>
      <c r="Y145" s="11"/>
      <c r="Z145" s="11"/>
      <c r="AA145" s="11"/>
      <c r="AB145" s="11"/>
      <c r="AC145" s="11"/>
      <c r="AD145" s="11"/>
      <c r="AE145" s="11">
        <v>50.7382</v>
      </c>
      <c r="AF145" s="11">
        <v>-119.7745333</v>
      </c>
      <c r="AG145" s="11">
        <v>413.0</v>
      </c>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row>
    <row r="146" ht="14.25" customHeight="1">
      <c r="A146" s="6" t="s">
        <v>569</v>
      </c>
      <c r="B146" s="5">
        <v>10.0</v>
      </c>
      <c r="C146" s="12" t="s">
        <v>139</v>
      </c>
      <c r="D146" s="12" t="s">
        <v>570</v>
      </c>
      <c r="E146" s="10"/>
      <c r="F146" s="12" t="s">
        <v>571</v>
      </c>
      <c r="G146" s="10" t="str">
        <f>CONCATENATE("-&gt; ",-1*AF146," W, ",AE146," N, Elev. ",AG146," m")</f>
        <v>-&gt; 119.7744444 W, 50.73805556 N, Elev. 413 m</v>
      </c>
      <c r="I146" s="11"/>
      <c r="J146" s="11"/>
      <c r="K146" s="11"/>
      <c r="L146" s="11"/>
      <c r="M146" s="13">
        <v>50.73805556</v>
      </c>
      <c r="N146" s="13">
        <v>-119.7744444</v>
      </c>
      <c r="O146" s="13" t="s">
        <v>142</v>
      </c>
      <c r="P146" s="13" t="s">
        <v>572</v>
      </c>
      <c r="Q146" s="14">
        <v>1.0</v>
      </c>
      <c r="R146" s="13" t="s">
        <v>568</v>
      </c>
      <c r="S146" s="13" t="s">
        <v>145</v>
      </c>
      <c r="T146" s="13">
        <v>413.0</v>
      </c>
      <c r="U146" s="11"/>
      <c r="V146" s="11"/>
      <c r="W146" s="11"/>
      <c r="X146" s="11"/>
      <c r="Y146" s="11"/>
      <c r="Z146" s="11"/>
      <c r="AA146" s="11"/>
      <c r="AB146" s="11"/>
      <c r="AC146" s="11"/>
      <c r="AD146" s="11"/>
      <c r="AE146" s="10">
        <v>50.73805556</v>
      </c>
      <c r="AF146" s="10">
        <v>-119.7744444</v>
      </c>
      <c r="AG146" s="10">
        <v>413.0</v>
      </c>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row>
    <row r="147" ht="14.25" customHeight="1">
      <c r="A147" s="6" t="s">
        <v>573</v>
      </c>
      <c r="B147" s="5">
        <v>10.0</v>
      </c>
      <c r="C147" s="5" t="s">
        <v>450</v>
      </c>
      <c r="D147" s="19" t="s">
        <v>574</v>
      </c>
      <c r="E147" s="19">
        <v>1522.0</v>
      </c>
      <c r="F147" s="19" t="s">
        <v>575</v>
      </c>
      <c r="G147" s="11" t="str">
        <f>CONCATENATE(-1*AF147," W, ",AE147," N, Elev. ",AG147," m")</f>
        <v>120.9333333 W, 50.14583333 N, Elev. 560.832 m</v>
      </c>
      <c r="H147" s="5" t="s">
        <v>426</v>
      </c>
      <c r="I147" s="19" t="s">
        <v>427</v>
      </c>
      <c r="J147" s="19">
        <v>38569.0</v>
      </c>
      <c r="K147" s="11"/>
      <c r="L147" s="11"/>
      <c r="M147" s="11"/>
      <c r="N147" s="11"/>
      <c r="O147" s="11"/>
      <c r="P147" s="11"/>
      <c r="Q147" s="11"/>
      <c r="R147" s="11"/>
      <c r="S147" s="11"/>
      <c r="T147" s="11"/>
      <c r="U147" s="11"/>
      <c r="V147" s="11"/>
      <c r="W147" s="11"/>
      <c r="X147" s="11"/>
      <c r="Y147" s="11"/>
      <c r="Z147" s="11"/>
      <c r="AA147" s="11"/>
      <c r="AB147" s="11"/>
      <c r="AC147" s="11"/>
      <c r="AD147" s="11"/>
      <c r="AE147" s="19">
        <v>50.14583333</v>
      </c>
      <c r="AF147" s="19">
        <v>-120.9333333</v>
      </c>
      <c r="AG147" s="19">
        <v>560.832</v>
      </c>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row>
    <row r="148" ht="14.25" customHeight="1">
      <c r="A148" s="20" t="s">
        <v>576</v>
      </c>
      <c r="B148" s="5">
        <v>10.0</v>
      </c>
      <c r="C148" s="12" t="s">
        <v>139</v>
      </c>
      <c r="D148" s="12" t="s">
        <v>577</v>
      </c>
      <c r="E148" s="10"/>
      <c r="F148" s="12" t="s">
        <v>578</v>
      </c>
      <c r="G148" s="10" t="str">
        <f>CONCATENATE("-&gt; ",-1*AF148," W, ",AE148," N, Elev. ",AG148," m")</f>
        <v>-&gt; 120.9333333 W, 50.14583333 N, Elev. 561 m</v>
      </c>
      <c r="I148" s="19"/>
      <c r="J148" s="19"/>
      <c r="K148" s="11"/>
      <c r="L148" s="11"/>
      <c r="M148" s="13">
        <v>50.14583333</v>
      </c>
      <c r="N148" s="13">
        <v>-120.9333333</v>
      </c>
      <c r="O148" s="13" t="s">
        <v>142</v>
      </c>
      <c r="P148" s="13" t="s">
        <v>579</v>
      </c>
      <c r="Q148" s="14">
        <v>1.0</v>
      </c>
      <c r="R148" s="13" t="s">
        <v>575</v>
      </c>
      <c r="S148" s="13" t="s">
        <v>145</v>
      </c>
      <c r="T148" s="13">
        <v>561.0</v>
      </c>
      <c r="U148" s="11"/>
      <c r="V148" s="11"/>
      <c r="W148" s="11"/>
      <c r="X148" s="11"/>
      <c r="Y148" s="11"/>
      <c r="Z148" s="11"/>
      <c r="AA148" s="11"/>
      <c r="AB148" s="11"/>
      <c r="AC148" s="11"/>
      <c r="AD148" s="11"/>
      <c r="AE148" s="10">
        <v>50.14583333</v>
      </c>
      <c r="AF148" s="10">
        <v>-120.9333333</v>
      </c>
      <c r="AG148" s="10">
        <v>561.0</v>
      </c>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row>
    <row r="149" ht="14.25" customHeight="1">
      <c r="A149" s="6" t="s">
        <v>580</v>
      </c>
      <c r="B149" s="5">
        <v>10.0</v>
      </c>
      <c r="C149" s="5" t="s">
        <v>450</v>
      </c>
      <c r="D149" s="11">
        <v>24547.0</v>
      </c>
      <c r="E149" s="11">
        <v>1523.0</v>
      </c>
      <c r="F149" s="11" t="s">
        <v>581</v>
      </c>
      <c r="G149" s="11" t="str">
        <f>CONCATENATE(-1*AF149," W, ",AE149," N, Elev. ",AG149," m")</f>
        <v>119.5874 W, 49.1574 N, Elev. 342.5 m</v>
      </c>
      <c r="H149" s="5" t="s">
        <v>426</v>
      </c>
      <c r="I149" s="11" t="s">
        <v>427</v>
      </c>
      <c r="J149" s="11">
        <v>38699.0</v>
      </c>
      <c r="K149" s="11"/>
      <c r="L149" s="11"/>
      <c r="M149" s="11"/>
      <c r="N149" s="11"/>
      <c r="O149" s="11"/>
      <c r="P149" s="11"/>
      <c r="Q149" s="11"/>
      <c r="R149" s="11"/>
      <c r="S149" s="11"/>
      <c r="T149" s="11"/>
      <c r="U149" s="11"/>
      <c r="V149" s="11"/>
      <c r="W149" s="11"/>
      <c r="X149" s="11"/>
      <c r="Y149" s="11"/>
      <c r="Z149" s="11"/>
      <c r="AA149" s="11"/>
      <c r="AB149" s="11"/>
      <c r="AC149" s="11"/>
      <c r="AD149" s="11"/>
      <c r="AE149" s="11">
        <v>49.1574</v>
      </c>
      <c r="AF149" s="11">
        <v>-119.5874</v>
      </c>
      <c r="AG149" s="11">
        <v>342.5</v>
      </c>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row>
    <row r="150" ht="14.25" customHeight="1">
      <c r="A150" s="6" t="s">
        <v>582</v>
      </c>
      <c r="B150" s="5">
        <v>10.0</v>
      </c>
      <c r="C150" s="12" t="s">
        <v>139</v>
      </c>
      <c r="D150" s="12" t="s">
        <v>583</v>
      </c>
      <c r="E150" s="10"/>
      <c r="F150" s="12" t="s">
        <v>584</v>
      </c>
      <c r="G150" s="10" t="str">
        <f>CONCATENATE("-&gt; ",-1*AF150," W, ",AE150," N, Elev. ",AG150," m")</f>
        <v>-&gt; 119.5619 W, 49.1764 N, Elev. 328 m</v>
      </c>
      <c r="I150" s="11"/>
      <c r="J150" s="11"/>
      <c r="K150" s="11"/>
      <c r="L150" s="11"/>
      <c r="M150" s="13">
        <v>49.1764</v>
      </c>
      <c r="N150" s="13">
        <v>-119.5619</v>
      </c>
      <c r="O150" s="13" t="s">
        <v>142</v>
      </c>
      <c r="P150" s="13" t="s">
        <v>585</v>
      </c>
      <c r="Q150" s="14">
        <v>1.0</v>
      </c>
      <c r="R150" s="13" t="s">
        <v>586</v>
      </c>
      <c r="S150" s="13" t="s">
        <v>145</v>
      </c>
      <c r="T150" s="13">
        <v>328.0</v>
      </c>
      <c r="U150" s="11"/>
      <c r="V150" s="11"/>
      <c r="W150" s="11"/>
      <c r="X150" s="11"/>
      <c r="Y150" s="11"/>
      <c r="Z150" s="11"/>
      <c r="AA150" s="11"/>
      <c r="AB150" s="11"/>
      <c r="AC150" s="11"/>
      <c r="AD150" s="11"/>
      <c r="AE150" s="10">
        <v>49.1764</v>
      </c>
      <c r="AF150" s="10">
        <v>-119.5619</v>
      </c>
      <c r="AG150" s="10">
        <v>328.0</v>
      </c>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row>
    <row r="151" ht="14.25" customHeight="1">
      <c r="A151" s="6" t="s">
        <v>587</v>
      </c>
      <c r="B151" s="5">
        <v>10.0</v>
      </c>
      <c r="C151" s="5" t="s">
        <v>450</v>
      </c>
      <c r="D151" s="11">
        <v>25672.0</v>
      </c>
      <c r="E151" s="11">
        <v>1526.0</v>
      </c>
      <c r="F151" s="11" t="s">
        <v>588</v>
      </c>
      <c r="G151" s="11" t="str">
        <f>CONCATENATE(-1*AF151," W, ",AE151," N, Elev. ",AG151," m")</f>
        <v>119.5766 W, 49.1228 N, Elev. 292 m</v>
      </c>
      <c r="H151" s="5" t="s">
        <v>426</v>
      </c>
      <c r="I151" s="11" t="s">
        <v>427</v>
      </c>
      <c r="J151" s="11">
        <v>38557.0</v>
      </c>
      <c r="K151" s="11"/>
      <c r="L151" s="11"/>
      <c r="M151" s="11"/>
      <c r="N151" s="11"/>
      <c r="O151" s="11"/>
      <c r="P151" s="11"/>
      <c r="Q151" s="11"/>
      <c r="R151" s="11"/>
      <c r="S151" s="11"/>
      <c r="T151" s="11"/>
      <c r="U151" s="11"/>
      <c r="V151" s="11"/>
      <c r="W151" s="11"/>
      <c r="X151" s="11"/>
      <c r="Y151" s="11"/>
      <c r="Z151" s="11"/>
      <c r="AA151" s="11"/>
      <c r="AB151" s="11"/>
      <c r="AC151" s="11"/>
      <c r="AD151" s="11"/>
      <c r="AE151" s="11">
        <v>49.1228</v>
      </c>
      <c r="AF151" s="11">
        <v>-119.5766</v>
      </c>
      <c r="AG151" s="11">
        <v>292.0</v>
      </c>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row>
    <row r="152" ht="14.25" customHeight="1">
      <c r="A152" s="6" t="s">
        <v>589</v>
      </c>
      <c r="B152" s="5">
        <v>10.0</v>
      </c>
      <c r="C152" s="12" t="s">
        <v>139</v>
      </c>
      <c r="D152" s="12" t="s">
        <v>590</v>
      </c>
      <c r="E152" s="10"/>
      <c r="F152" s="12" t="s">
        <v>591</v>
      </c>
      <c r="G152" s="10" t="str">
        <f>CONCATENATE("-&gt; ",-1*AF152," W, ",AE152," N, Elev. ",AG152," m")</f>
        <v>-&gt; 119.5715 W, 49.1086 N, Elev. 289 m</v>
      </c>
      <c r="I152" s="11"/>
      <c r="J152" s="11"/>
      <c r="K152" s="11"/>
      <c r="L152" s="11"/>
      <c r="M152" s="13">
        <v>49.1086</v>
      </c>
      <c r="N152" s="13">
        <v>-119.5715</v>
      </c>
      <c r="O152" s="13" t="s">
        <v>142</v>
      </c>
      <c r="P152" s="13" t="s">
        <v>592</v>
      </c>
      <c r="Q152" s="14">
        <v>1.0</v>
      </c>
      <c r="R152" s="13" t="s">
        <v>588</v>
      </c>
      <c r="S152" s="13" t="s">
        <v>145</v>
      </c>
      <c r="T152" s="13">
        <v>289.0</v>
      </c>
      <c r="U152" s="11"/>
      <c r="V152" s="11"/>
      <c r="W152" s="11"/>
      <c r="X152" s="11"/>
      <c r="Y152" s="11"/>
      <c r="Z152" s="11"/>
      <c r="AA152" s="11"/>
      <c r="AB152" s="11"/>
      <c r="AC152" s="11"/>
      <c r="AD152" s="11"/>
      <c r="AE152" s="10">
        <v>49.1086</v>
      </c>
      <c r="AF152" s="10">
        <v>-119.5715</v>
      </c>
      <c r="AG152" s="10">
        <v>289.0</v>
      </c>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row>
    <row r="153" ht="14.25" customHeight="1">
      <c r="A153" s="6" t="s">
        <v>593</v>
      </c>
      <c r="B153" s="5">
        <v>10.0</v>
      </c>
      <c r="C153" s="5" t="s">
        <v>450</v>
      </c>
      <c r="D153" s="11" t="s">
        <v>594</v>
      </c>
      <c r="E153" s="11">
        <v>1538.0</v>
      </c>
      <c r="F153" s="11" t="s">
        <v>595</v>
      </c>
      <c r="G153" s="11" t="str">
        <f>CONCATENATE(-1*AF153," W, ",AE153," N, Elev. ",AG153," m")</f>
        <v>122.145833 W, 49.0725 N, Elev. 100 m</v>
      </c>
      <c r="H153" s="5" t="s">
        <v>426</v>
      </c>
      <c r="I153" s="11" t="s">
        <v>427</v>
      </c>
      <c r="J153" s="11">
        <v>37366.0</v>
      </c>
      <c r="K153" s="11"/>
      <c r="L153" s="11"/>
      <c r="M153" s="11"/>
      <c r="N153" s="11"/>
      <c r="O153" s="11"/>
      <c r="P153" s="11"/>
      <c r="Q153" s="11"/>
      <c r="R153" s="11"/>
      <c r="S153" s="11"/>
      <c r="T153" s="11"/>
      <c r="U153" s="11"/>
      <c r="V153" s="11"/>
      <c r="W153" s="11"/>
      <c r="X153" s="11"/>
      <c r="Y153" s="11"/>
      <c r="Z153" s="11"/>
      <c r="AA153" s="11"/>
      <c r="AB153" s="11"/>
      <c r="AC153" s="11"/>
      <c r="AD153" s="11"/>
      <c r="AE153" s="11">
        <v>49.0725</v>
      </c>
      <c r="AF153" s="11">
        <v>-122.145833</v>
      </c>
      <c r="AG153" s="11">
        <v>100.0</v>
      </c>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row>
    <row r="154" ht="14.25" customHeight="1">
      <c r="A154" s="6" t="s">
        <v>596</v>
      </c>
      <c r="B154" s="5">
        <v>10.0</v>
      </c>
      <c r="C154" s="12" t="s">
        <v>139</v>
      </c>
      <c r="D154" s="12" t="s">
        <v>597</v>
      </c>
      <c r="E154" s="10"/>
      <c r="F154" s="12" t="s">
        <v>598</v>
      </c>
      <c r="G154" s="10" t="str">
        <f>CONCATENATE("-&gt; ",-1*AF154," W, ",AE154," N, Elev. ",AG154," m")</f>
        <v>-&gt; 122.1406 W, 49.0518 N, Elev. 9 m</v>
      </c>
      <c r="I154" s="11"/>
      <c r="J154" s="11"/>
      <c r="K154" s="11"/>
      <c r="L154" s="11"/>
      <c r="M154" s="13">
        <v>49.0518</v>
      </c>
      <c r="N154" s="13">
        <v>-122.1406</v>
      </c>
      <c r="O154" s="13" t="s">
        <v>183</v>
      </c>
      <c r="P154" s="13" t="s">
        <v>599</v>
      </c>
      <c r="Q154" s="14">
        <v>1.0</v>
      </c>
      <c r="R154" s="13" t="s">
        <v>595</v>
      </c>
      <c r="S154" s="13" t="s">
        <v>145</v>
      </c>
      <c r="T154" s="13">
        <v>9.0</v>
      </c>
      <c r="U154" s="11"/>
      <c r="V154" s="11"/>
      <c r="W154" s="11"/>
      <c r="X154" s="11"/>
      <c r="Y154" s="11"/>
      <c r="Z154" s="11"/>
      <c r="AA154" s="11"/>
      <c r="AB154" s="11"/>
      <c r="AC154" s="11"/>
      <c r="AD154" s="11"/>
      <c r="AE154" s="10">
        <v>49.0518</v>
      </c>
      <c r="AF154" s="10">
        <v>-122.1406</v>
      </c>
      <c r="AG154" s="10">
        <v>9.0</v>
      </c>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row>
    <row r="155" ht="14.25" customHeight="1">
      <c r="A155" s="6" t="s">
        <v>600</v>
      </c>
      <c r="B155" s="5">
        <v>10.0</v>
      </c>
      <c r="C155" s="5" t="s">
        <v>450</v>
      </c>
      <c r="D155" s="11" t="s">
        <v>601</v>
      </c>
      <c r="E155" s="11">
        <v>3101.0</v>
      </c>
      <c r="F155" s="11" t="s">
        <v>602</v>
      </c>
      <c r="G155" s="11" t="str">
        <f>CONCATENATE(-1*AF155," W, ",AE155," N, Elev. ",AG155," m")</f>
        <v>119.367128 W, 50.090526 N, Elev. 491 m</v>
      </c>
      <c r="H155" s="5" t="s">
        <v>426</v>
      </c>
      <c r="I155" s="11" t="s">
        <v>427</v>
      </c>
      <c r="J155" s="11">
        <v>37988.0</v>
      </c>
      <c r="K155" s="11"/>
      <c r="L155" s="11"/>
      <c r="M155" s="11"/>
      <c r="N155" s="11"/>
      <c r="O155" s="11"/>
      <c r="P155" s="11"/>
      <c r="Q155" s="11"/>
      <c r="R155" s="11"/>
      <c r="S155" s="11"/>
      <c r="T155" s="11"/>
      <c r="U155" s="11"/>
      <c r="V155" s="11"/>
      <c r="W155" s="11"/>
      <c r="X155" s="11"/>
      <c r="Y155" s="11"/>
      <c r="Z155" s="11"/>
      <c r="AA155" s="11"/>
      <c r="AB155" s="11"/>
      <c r="AC155" s="11"/>
      <c r="AD155" s="11"/>
      <c r="AE155" s="11">
        <v>50.090526</v>
      </c>
      <c r="AF155" s="11">
        <v>-119.367128</v>
      </c>
      <c r="AG155" s="11">
        <v>491.0</v>
      </c>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row>
    <row r="156" ht="14.25" customHeight="1">
      <c r="A156" s="6" t="s">
        <v>603</v>
      </c>
      <c r="B156" s="5">
        <v>10.0</v>
      </c>
      <c r="C156" s="12" t="s">
        <v>139</v>
      </c>
      <c r="D156" s="12" t="s">
        <v>604</v>
      </c>
      <c r="E156" s="10"/>
      <c r="F156" s="12" t="s">
        <v>605</v>
      </c>
      <c r="G156" s="10" t="str">
        <f>CONCATENATE("-&gt; ",-1*AF156," W, ",AE156," N, Elev. ",AG156," m")</f>
        <v>-&gt; 119.3585 W, 50.093 N, Elev. 538 m</v>
      </c>
      <c r="I156" s="11"/>
      <c r="J156" s="11"/>
      <c r="K156" s="11"/>
      <c r="L156" s="11"/>
      <c r="M156" s="13">
        <v>50.093</v>
      </c>
      <c r="N156" s="13">
        <v>-119.3585</v>
      </c>
      <c r="O156" s="13" t="s">
        <v>142</v>
      </c>
      <c r="P156" s="13" t="s">
        <v>606</v>
      </c>
      <c r="Q156" s="14">
        <v>1.0</v>
      </c>
      <c r="R156" s="13" t="s">
        <v>602</v>
      </c>
      <c r="S156" s="13" t="s">
        <v>145</v>
      </c>
      <c r="T156" s="13">
        <v>538.0</v>
      </c>
      <c r="U156" s="11"/>
      <c r="V156" s="11"/>
      <c r="W156" s="11"/>
      <c r="X156" s="11"/>
      <c r="Y156" s="11"/>
      <c r="Z156" s="11"/>
      <c r="AA156" s="11"/>
      <c r="AB156" s="11"/>
      <c r="AC156" s="11"/>
      <c r="AD156" s="11"/>
      <c r="AE156" s="10">
        <v>50.093</v>
      </c>
      <c r="AF156" s="10">
        <v>-119.3585</v>
      </c>
      <c r="AG156" s="10">
        <v>538.0</v>
      </c>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row>
    <row r="157" ht="14.25" customHeight="1">
      <c r="A157" s="6" t="s">
        <v>607</v>
      </c>
      <c r="B157" s="5">
        <v>10.0</v>
      </c>
      <c r="C157" s="5" t="s">
        <v>450</v>
      </c>
      <c r="D157" s="11" t="s">
        <v>608</v>
      </c>
      <c r="E157" s="11">
        <v>3102.0</v>
      </c>
      <c r="F157" s="11" t="s">
        <v>609</v>
      </c>
      <c r="G157" s="11" t="str">
        <f>CONCATENATE(-1*AF157," W, ",AE157," N, Elev. ",AG157," m")</f>
        <v>119.233686 W, 50.294251 N, Elev. 509 m</v>
      </c>
      <c r="H157" s="5" t="s">
        <v>426</v>
      </c>
      <c r="I157" s="11" t="s">
        <v>427</v>
      </c>
      <c r="J157" s="11">
        <v>38225.0</v>
      </c>
      <c r="K157" s="11"/>
      <c r="L157" s="11"/>
      <c r="M157" s="11"/>
      <c r="N157" s="11"/>
      <c r="O157" s="11"/>
      <c r="P157" s="11"/>
      <c r="Q157" s="11"/>
      <c r="R157" s="11"/>
      <c r="S157" s="11"/>
      <c r="T157" s="11"/>
      <c r="U157" s="11"/>
      <c r="V157" s="11"/>
      <c r="W157" s="11"/>
      <c r="X157" s="11"/>
      <c r="Y157" s="11"/>
      <c r="Z157" s="11"/>
      <c r="AA157" s="11"/>
      <c r="AB157" s="11"/>
      <c r="AC157" s="11"/>
      <c r="AD157" s="11"/>
      <c r="AE157" s="11">
        <v>50.294251</v>
      </c>
      <c r="AF157" s="11">
        <v>-119.233686</v>
      </c>
      <c r="AG157" s="11">
        <v>509.0</v>
      </c>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row>
    <row r="158" ht="14.25" customHeight="1">
      <c r="A158" s="6" t="s">
        <v>610</v>
      </c>
      <c r="B158" s="5">
        <v>10.0</v>
      </c>
      <c r="C158" s="12" t="s">
        <v>139</v>
      </c>
      <c r="D158" s="12" t="s">
        <v>611</v>
      </c>
      <c r="E158" s="10"/>
      <c r="F158" s="12" t="s">
        <v>612</v>
      </c>
      <c r="G158" s="10" t="str">
        <f>CONCATENATE("-&gt; ",-1*AF158," W, ",AE158," N, Elev. ",AG158," m")</f>
        <v>-&gt; 119.231 W, 50.2901 N, Elev. 515 m</v>
      </c>
      <c r="I158" s="11"/>
      <c r="J158" s="11"/>
      <c r="K158" s="11"/>
      <c r="L158" s="11"/>
      <c r="M158" s="13">
        <v>50.2901</v>
      </c>
      <c r="N158" s="13">
        <v>-119.231</v>
      </c>
      <c r="O158" s="13" t="s">
        <v>183</v>
      </c>
      <c r="P158" s="13" t="s">
        <v>613</v>
      </c>
      <c r="Q158" s="14">
        <v>6.0</v>
      </c>
      <c r="R158" s="13" t="s">
        <v>614</v>
      </c>
      <c r="S158" s="13" t="s">
        <v>145</v>
      </c>
      <c r="T158" s="13">
        <v>515.0</v>
      </c>
      <c r="U158" s="11"/>
      <c r="V158" s="11"/>
      <c r="W158" s="11"/>
      <c r="X158" s="11"/>
      <c r="Y158" s="11"/>
      <c r="Z158" s="11"/>
      <c r="AA158" s="11"/>
      <c r="AB158" s="11"/>
      <c r="AC158" s="11"/>
      <c r="AD158" s="11"/>
      <c r="AE158" s="10">
        <v>50.2901</v>
      </c>
      <c r="AF158" s="10">
        <v>-119.231</v>
      </c>
      <c r="AG158" s="10">
        <v>515.0</v>
      </c>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row>
    <row r="159" ht="14.25" customHeight="1">
      <c r="A159" s="6" t="s">
        <v>615</v>
      </c>
      <c r="B159" s="5">
        <v>10.0</v>
      </c>
      <c r="C159" s="5" t="s">
        <v>450</v>
      </c>
      <c r="D159" s="11" t="s">
        <v>616</v>
      </c>
      <c r="E159" s="11">
        <v>3107.0</v>
      </c>
      <c r="F159" s="11" t="s">
        <v>617</v>
      </c>
      <c r="G159" s="11" t="str">
        <f>CONCATENATE(-1*AF159," W, ",AE159," N, Elev. ",AG159," m")</f>
        <v>119.847531 W, 49.202333 N, Elev. 414 m</v>
      </c>
      <c r="H159" s="5" t="s">
        <v>426</v>
      </c>
      <c r="I159" s="11" t="s">
        <v>427</v>
      </c>
      <c r="J159" s="11">
        <v>38200.0</v>
      </c>
      <c r="K159" s="11"/>
      <c r="L159" s="11"/>
      <c r="M159" s="11"/>
      <c r="N159" s="11"/>
      <c r="O159" s="11"/>
      <c r="P159" s="11"/>
      <c r="Q159" s="11"/>
      <c r="R159" s="11"/>
      <c r="S159" s="11"/>
      <c r="T159" s="11"/>
      <c r="U159" s="11"/>
      <c r="V159" s="11"/>
      <c r="W159" s="11"/>
      <c r="X159" s="11"/>
      <c r="Y159" s="11"/>
      <c r="Z159" s="11"/>
      <c r="AA159" s="11"/>
      <c r="AB159" s="11"/>
      <c r="AC159" s="11"/>
      <c r="AD159" s="11"/>
      <c r="AE159" s="11">
        <v>49.202333</v>
      </c>
      <c r="AF159" s="11">
        <v>-119.847531</v>
      </c>
      <c r="AG159" s="11">
        <v>414.0</v>
      </c>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row>
    <row r="160" ht="14.25" customHeight="1">
      <c r="A160" s="6" t="s">
        <v>618</v>
      </c>
      <c r="B160" s="5">
        <v>10.0</v>
      </c>
      <c r="C160" s="12" t="s">
        <v>139</v>
      </c>
      <c r="D160" s="12" t="s">
        <v>619</v>
      </c>
      <c r="E160" s="10"/>
      <c r="F160" s="12" t="s">
        <v>620</v>
      </c>
      <c r="G160" s="10" t="str">
        <f>CONCATENATE("-&gt; ",-1*AF160," W, ",AE160," N, Elev. ",AG160," m")</f>
        <v>-&gt; 119.8523 W, 49.2029 N, Elev. 418 m</v>
      </c>
      <c r="I160" s="11"/>
      <c r="J160" s="11"/>
      <c r="K160" s="11"/>
      <c r="L160" s="11"/>
      <c r="M160" s="13">
        <v>49.2029</v>
      </c>
      <c r="N160" s="13">
        <v>-119.8523</v>
      </c>
      <c r="O160" s="13" t="s">
        <v>221</v>
      </c>
      <c r="P160" s="13" t="s">
        <v>621</v>
      </c>
      <c r="Q160" s="14">
        <v>1.0</v>
      </c>
      <c r="R160" s="13" t="s">
        <v>617</v>
      </c>
      <c r="S160" s="13" t="s">
        <v>145</v>
      </c>
      <c r="T160" s="13">
        <v>418.0</v>
      </c>
      <c r="U160" s="11"/>
      <c r="V160" s="11"/>
      <c r="W160" s="11"/>
      <c r="X160" s="11"/>
      <c r="Y160" s="11"/>
      <c r="Z160" s="11"/>
      <c r="AA160" s="11"/>
      <c r="AB160" s="11"/>
      <c r="AC160" s="11"/>
      <c r="AD160" s="11"/>
      <c r="AE160" s="10">
        <v>49.2029</v>
      </c>
      <c r="AF160" s="10">
        <v>-119.8523</v>
      </c>
      <c r="AG160" s="10">
        <v>418.0</v>
      </c>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row>
    <row r="161" ht="14.25" customHeight="1">
      <c r="A161" s="6" t="s">
        <v>622</v>
      </c>
      <c r="B161" s="5">
        <v>10.0</v>
      </c>
      <c r="C161" s="5" t="s">
        <v>450</v>
      </c>
      <c r="D161" s="11" t="s">
        <v>623</v>
      </c>
      <c r="E161" s="11">
        <v>1516.0</v>
      </c>
      <c r="F161" s="11" t="s">
        <v>624</v>
      </c>
      <c r="G161" s="11" t="str">
        <f>CONCATENATE(-1*AF161," W, ",AE161," N, Elev. ",AG161," m")</f>
        <v>119.1392 W, 50.6051 N, Elev. 355 m</v>
      </c>
      <c r="H161" s="5" t="s">
        <v>426</v>
      </c>
      <c r="I161" s="11" t="s">
        <v>427</v>
      </c>
      <c r="J161" s="11">
        <v>38975.0</v>
      </c>
      <c r="K161" s="11"/>
      <c r="L161" s="11"/>
      <c r="M161" s="11"/>
      <c r="N161" s="11"/>
      <c r="O161" s="11"/>
      <c r="P161" s="11"/>
      <c r="Q161" s="11"/>
      <c r="R161" s="11"/>
      <c r="S161" s="11"/>
      <c r="T161" s="11"/>
      <c r="U161" s="11"/>
      <c r="V161" s="11"/>
      <c r="W161" s="11"/>
      <c r="X161" s="11"/>
      <c r="Y161" s="11"/>
      <c r="Z161" s="11"/>
      <c r="AA161" s="11"/>
      <c r="AB161" s="11"/>
      <c r="AC161" s="11"/>
      <c r="AD161" s="11"/>
      <c r="AE161" s="11">
        <v>50.6051</v>
      </c>
      <c r="AF161" s="11">
        <v>-119.1392</v>
      </c>
      <c r="AG161" s="11">
        <v>355.0</v>
      </c>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row>
    <row r="162" ht="14.25" customHeight="1">
      <c r="A162" s="6" t="s">
        <v>625</v>
      </c>
      <c r="B162" s="5">
        <v>10.0</v>
      </c>
      <c r="C162" s="12" t="s">
        <v>139</v>
      </c>
      <c r="D162" s="12" t="s">
        <v>626</v>
      </c>
      <c r="E162" s="10"/>
      <c r="F162" s="12" t="s">
        <v>627</v>
      </c>
      <c r="G162" s="10" t="str">
        <f>CONCATENATE("-&gt; ",-1*AF162," W, ",AE162," N, Elev. ",AG162," m")</f>
        <v>-&gt; 119.137926 W, 50.600903 N, Elev. 385 m</v>
      </c>
      <c r="I162" s="11"/>
      <c r="J162" s="11"/>
      <c r="K162" s="19"/>
      <c r="L162" s="19"/>
      <c r="M162" s="13">
        <v>50.600903</v>
      </c>
      <c r="N162" s="13">
        <v>-119.137926</v>
      </c>
      <c r="O162" s="13" t="s">
        <v>142</v>
      </c>
      <c r="P162" s="13" t="s">
        <v>628</v>
      </c>
      <c r="Q162" s="14">
        <v>1.0</v>
      </c>
      <c r="R162" s="13" t="s">
        <v>624</v>
      </c>
      <c r="S162" s="13" t="s">
        <v>145</v>
      </c>
      <c r="T162" s="13">
        <v>385.0</v>
      </c>
      <c r="U162" s="19"/>
      <c r="V162" s="19"/>
      <c r="W162" s="19"/>
      <c r="X162" s="19"/>
      <c r="Y162" s="19"/>
      <c r="Z162" s="19"/>
      <c r="AA162" s="19"/>
      <c r="AB162" s="19"/>
      <c r="AC162" s="19"/>
      <c r="AD162" s="19"/>
      <c r="AE162" s="10">
        <v>50.600903</v>
      </c>
      <c r="AF162" s="10">
        <v>-119.137926</v>
      </c>
      <c r="AG162" s="10">
        <v>385.0</v>
      </c>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row>
    <row r="163" ht="14.25" customHeight="1">
      <c r="A163" s="6" t="s">
        <v>629</v>
      </c>
      <c r="B163" s="5">
        <v>10.0</v>
      </c>
      <c r="C163" s="5" t="s">
        <v>450</v>
      </c>
      <c r="D163" s="11" t="s">
        <v>630</v>
      </c>
      <c r="E163" s="11">
        <v>3110.0</v>
      </c>
      <c r="F163" s="11" t="s">
        <v>631</v>
      </c>
      <c r="G163" s="11" t="str">
        <f>CONCATENATE(-1*AF163," W, ",AE163," N, Elev. ",AG163," m")</f>
        <v>119.65425 W, 49.585028 N, Elev. 459 m</v>
      </c>
      <c r="H163" s="5" t="s">
        <v>426</v>
      </c>
      <c r="I163" s="11" t="s">
        <v>427</v>
      </c>
      <c r="J163" s="11">
        <v>38200.0</v>
      </c>
      <c r="K163" s="11"/>
      <c r="L163" s="11"/>
      <c r="M163" s="11"/>
      <c r="N163" s="11"/>
      <c r="O163" s="11"/>
      <c r="P163" s="11"/>
      <c r="Q163" s="11"/>
      <c r="R163" s="11"/>
      <c r="S163" s="11"/>
      <c r="T163" s="11"/>
      <c r="U163" s="11"/>
      <c r="V163" s="11"/>
      <c r="W163" s="11"/>
      <c r="X163" s="11"/>
      <c r="Y163" s="11"/>
      <c r="Z163" s="11"/>
      <c r="AA163" s="11"/>
      <c r="AB163" s="11"/>
      <c r="AC163" s="11"/>
      <c r="AD163" s="11"/>
      <c r="AE163" s="11">
        <v>49.585028</v>
      </c>
      <c r="AF163" s="11">
        <v>-119.65425</v>
      </c>
      <c r="AG163" s="11">
        <v>459.0</v>
      </c>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ht="14.25" customHeight="1">
      <c r="A164" s="6" t="s">
        <v>632</v>
      </c>
      <c r="B164" s="5">
        <v>10.0</v>
      </c>
      <c r="C164" s="12" t="s">
        <v>139</v>
      </c>
      <c r="D164" s="12" t="s">
        <v>633</v>
      </c>
      <c r="E164" s="10"/>
      <c r="F164" s="12" t="s">
        <v>634</v>
      </c>
      <c r="G164" s="10" t="str">
        <f>CONCATENATE("-&gt; ",-1*AF164," W, ",AE164," N, Elev. ",AG164," m")</f>
        <v>-&gt; 119.6796 W, 49.5675 N, Elev. 566 m</v>
      </c>
      <c r="I164" s="11"/>
      <c r="J164" s="11"/>
      <c r="K164" s="11"/>
      <c r="L164" s="11"/>
      <c r="M164" s="13">
        <v>49.5675</v>
      </c>
      <c r="N164" s="13">
        <v>-119.6796</v>
      </c>
      <c r="O164" s="13" t="s">
        <v>142</v>
      </c>
      <c r="P164" s="13" t="s">
        <v>635</v>
      </c>
      <c r="Q164" s="14">
        <v>1.0</v>
      </c>
      <c r="R164" s="13" t="s">
        <v>636</v>
      </c>
      <c r="S164" s="13" t="s">
        <v>145</v>
      </c>
      <c r="T164" s="13">
        <v>566.0</v>
      </c>
      <c r="U164" s="11"/>
      <c r="V164" s="11"/>
      <c r="W164" s="11"/>
      <c r="X164" s="11"/>
      <c r="Y164" s="11"/>
      <c r="Z164" s="11"/>
      <c r="AA164" s="11"/>
      <c r="AB164" s="11"/>
      <c r="AC164" s="11"/>
      <c r="AD164" s="11"/>
      <c r="AE164" s="10">
        <v>49.5675</v>
      </c>
      <c r="AF164" s="10">
        <v>-119.6796</v>
      </c>
      <c r="AG164" s="10">
        <v>566.0</v>
      </c>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row>
    <row r="165" ht="14.25" customHeight="1">
      <c r="A165" s="6"/>
      <c r="B165" s="5">
        <v>2.0</v>
      </c>
      <c r="C165" s="5" t="s">
        <v>637</v>
      </c>
      <c r="D165" s="5">
        <v>11091.0</v>
      </c>
      <c r="E165" s="5">
        <v>2654.0</v>
      </c>
      <c r="F165" s="5" t="s">
        <v>638</v>
      </c>
      <c r="G165" s="21" t="s">
        <v>639</v>
      </c>
      <c r="H165" s="5" t="s">
        <v>640</v>
      </c>
      <c r="I165" s="5" t="s">
        <v>641</v>
      </c>
      <c r="J165" s="5" t="s">
        <v>642</v>
      </c>
      <c r="K165" s="5">
        <v>1.0</v>
      </c>
      <c r="L165" s="5">
        <v>3397.0</v>
      </c>
      <c r="M165" s="11">
        <v>50.05417</v>
      </c>
      <c r="N165" s="11">
        <v>-123.11806</v>
      </c>
      <c r="O165" s="11" t="s">
        <v>51</v>
      </c>
      <c r="P165" s="11">
        <v>11091.0</v>
      </c>
      <c r="Q165" s="22">
        <v>3.0</v>
      </c>
      <c r="R165" s="11" t="s">
        <v>638</v>
      </c>
      <c r="S165" s="13" t="s">
        <v>643</v>
      </c>
      <c r="T165" s="11" t="s">
        <v>644</v>
      </c>
      <c r="U165" s="11">
        <v>496.0</v>
      </c>
      <c r="Z165" s="11" t="s">
        <v>645</v>
      </c>
      <c r="AA165" s="11" t="s">
        <v>646</v>
      </c>
      <c r="AB165" s="11"/>
      <c r="AC165" s="23"/>
      <c r="AD165" s="11"/>
      <c r="AH165" s="11"/>
      <c r="AI165" s="11"/>
    </row>
    <row r="166" ht="14.25" customHeight="1">
      <c r="A166" s="6"/>
      <c r="B166" s="5">
        <v>2.0</v>
      </c>
      <c r="C166" s="5" t="s">
        <v>637</v>
      </c>
      <c r="D166" s="5">
        <v>11092.0</v>
      </c>
      <c r="E166" s="5">
        <v>2655.0</v>
      </c>
      <c r="F166" s="5" t="s">
        <v>647</v>
      </c>
      <c r="G166" s="21" t="s">
        <v>648</v>
      </c>
      <c r="H166" s="5" t="s">
        <v>649</v>
      </c>
      <c r="I166" s="5" t="s">
        <v>641</v>
      </c>
      <c r="J166" s="5" t="s">
        <v>642</v>
      </c>
      <c r="K166" s="5">
        <v>1.0</v>
      </c>
      <c r="L166" s="5">
        <v>3398.0</v>
      </c>
      <c r="M166" s="11">
        <v>49.84347</v>
      </c>
      <c r="N166" s="11">
        <v>-123.14339</v>
      </c>
      <c r="O166" s="11" t="s">
        <v>51</v>
      </c>
      <c r="P166" s="11">
        <v>11092.0</v>
      </c>
      <c r="Q166" s="22">
        <v>3.0</v>
      </c>
      <c r="R166" s="11" t="s">
        <v>647</v>
      </c>
      <c r="S166" s="13" t="s">
        <v>650</v>
      </c>
      <c r="T166" s="11" t="s">
        <v>644</v>
      </c>
      <c r="U166" s="11">
        <v>320.0</v>
      </c>
      <c r="Z166" s="11" t="s">
        <v>645</v>
      </c>
      <c r="AA166" s="11" t="s">
        <v>651</v>
      </c>
      <c r="AB166" s="11"/>
      <c r="AC166" s="23"/>
      <c r="AD166" s="11"/>
      <c r="AH166" s="11"/>
      <c r="AI166" s="11"/>
    </row>
    <row r="167" ht="14.25" customHeight="1">
      <c r="A167" s="6"/>
      <c r="B167" s="5">
        <v>2.0</v>
      </c>
      <c r="C167" s="5" t="s">
        <v>637</v>
      </c>
      <c r="D167" s="5">
        <v>11121.0</v>
      </c>
      <c r="E167" s="5">
        <v>2657.0</v>
      </c>
      <c r="F167" s="5" t="s">
        <v>652</v>
      </c>
      <c r="G167" s="21" t="s">
        <v>653</v>
      </c>
      <c r="H167" s="5" t="s">
        <v>654</v>
      </c>
      <c r="I167" s="5" t="s">
        <v>641</v>
      </c>
      <c r="J167" s="5" t="s">
        <v>655</v>
      </c>
      <c r="K167" s="5">
        <v>1.0</v>
      </c>
      <c r="L167" s="5">
        <v>3400.0</v>
      </c>
      <c r="M167" s="11">
        <v>49.40444</v>
      </c>
      <c r="N167" s="11">
        <v>-123.19111</v>
      </c>
      <c r="O167" s="11" t="s">
        <v>51</v>
      </c>
      <c r="P167" s="11">
        <v>11121.0</v>
      </c>
      <c r="Q167" s="22">
        <v>6.0</v>
      </c>
      <c r="R167" s="11" t="s">
        <v>656</v>
      </c>
      <c r="S167" s="13" t="s">
        <v>657</v>
      </c>
      <c r="T167" s="11" t="s">
        <v>644</v>
      </c>
      <c r="U167" s="11">
        <v>1220.0</v>
      </c>
      <c r="Z167" s="11" t="s">
        <v>645</v>
      </c>
      <c r="AA167" s="11" t="s">
        <v>658</v>
      </c>
      <c r="AB167" s="11"/>
      <c r="AC167" s="11"/>
      <c r="AD167" s="11"/>
      <c r="AE167" s="11"/>
      <c r="AF167" s="11"/>
      <c r="AG167" s="11"/>
      <c r="AH167" s="11"/>
      <c r="AI167" s="11"/>
    </row>
    <row r="168" ht="14.25" customHeight="1">
      <c r="A168" s="6"/>
      <c r="B168" s="5">
        <v>2.0</v>
      </c>
      <c r="C168" s="5" t="s">
        <v>637</v>
      </c>
      <c r="D168" s="5">
        <v>11122.0</v>
      </c>
      <c r="E168" s="5">
        <v>2658.0</v>
      </c>
      <c r="F168" s="5" t="s">
        <v>659</v>
      </c>
      <c r="G168" s="24" t="s">
        <v>660</v>
      </c>
      <c r="H168" s="5" t="s">
        <v>661</v>
      </c>
      <c r="I168" s="5" t="s">
        <v>641</v>
      </c>
      <c r="J168" s="5" t="s">
        <v>662</v>
      </c>
      <c r="K168" s="5">
        <v>1.0</v>
      </c>
      <c r="L168" s="5">
        <v>3401.0</v>
      </c>
    </row>
    <row r="169" ht="14.25" customHeight="1">
      <c r="A169" s="6"/>
      <c r="B169" s="5">
        <v>2.0</v>
      </c>
      <c r="C169" s="5" t="s">
        <v>637</v>
      </c>
      <c r="D169" s="5">
        <v>11123.0</v>
      </c>
      <c r="E169" s="5">
        <v>2659.0</v>
      </c>
      <c r="F169" s="5" t="s">
        <v>663</v>
      </c>
      <c r="G169" s="24" t="s">
        <v>664</v>
      </c>
      <c r="H169" s="5" t="s">
        <v>665</v>
      </c>
      <c r="I169" s="5" t="s">
        <v>641</v>
      </c>
      <c r="J169" s="5" t="s">
        <v>666</v>
      </c>
      <c r="K169" s="5">
        <v>1.0</v>
      </c>
      <c r="L169" s="5">
        <v>3402.0</v>
      </c>
    </row>
    <row r="170" ht="14.25" customHeight="1">
      <c r="A170" s="6"/>
      <c r="B170" s="5">
        <v>2.0</v>
      </c>
      <c r="C170" s="5" t="s">
        <v>637</v>
      </c>
      <c r="D170" s="5">
        <v>11124.0</v>
      </c>
      <c r="E170" s="5">
        <v>2660.0</v>
      </c>
      <c r="F170" s="5" t="s">
        <v>667</v>
      </c>
      <c r="G170" s="24" t="s">
        <v>668</v>
      </c>
      <c r="H170" s="5" t="s">
        <v>669</v>
      </c>
      <c r="I170" s="5" t="s">
        <v>641</v>
      </c>
      <c r="J170" s="5" t="s">
        <v>670</v>
      </c>
      <c r="K170" s="5">
        <v>1.0</v>
      </c>
      <c r="L170" s="5">
        <v>3403.0</v>
      </c>
    </row>
    <row r="171" ht="14.25" customHeight="1">
      <c r="A171" s="6"/>
      <c r="B171" s="5">
        <v>2.0</v>
      </c>
      <c r="C171" s="5" t="s">
        <v>637</v>
      </c>
      <c r="D171" s="5">
        <v>11125.0</v>
      </c>
      <c r="E171" s="5">
        <v>2661.0</v>
      </c>
      <c r="F171" s="5" t="s">
        <v>671</v>
      </c>
      <c r="G171" s="24" t="s">
        <v>672</v>
      </c>
      <c r="H171" s="5" t="s">
        <v>673</v>
      </c>
      <c r="I171" s="5" t="s">
        <v>641</v>
      </c>
      <c r="J171" s="5" t="s">
        <v>674</v>
      </c>
      <c r="K171" s="5">
        <v>1.0</v>
      </c>
      <c r="L171" s="5">
        <v>3404.0</v>
      </c>
      <c r="M171" s="11">
        <v>49.53417</v>
      </c>
      <c r="N171" s="11">
        <v>-123.21833</v>
      </c>
      <c r="O171" s="11" t="s">
        <v>51</v>
      </c>
      <c r="P171" s="11">
        <v>11125.0</v>
      </c>
      <c r="Q171" s="22">
        <v>6.0</v>
      </c>
      <c r="R171" s="11" t="s">
        <v>671</v>
      </c>
      <c r="S171" s="13" t="s">
        <v>675</v>
      </c>
      <c r="T171" s="11" t="s">
        <v>644</v>
      </c>
      <c r="U171" s="11">
        <v>1280.0</v>
      </c>
      <c r="Z171" s="11"/>
      <c r="AA171" s="11" t="s">
        <v>676</v>
      </c>
      <c r="AB171" s="11"/>
      <c r="AC171" s="11"/>
      <c r="AD171" s="11"/>
      <c r="AE171" s="11"/>
      <c r="AF171" s="11"/>
      <c r="AG171" s="11"/>
      <c r="AH171" s="11"/>
      <c r="AI171" s="11"/>
    </row>
    <row r="172" ht="14.25" customHeight="1">
      <c r="A172" s="6"/>
      <c r="B172" s="5">
        <v>2.0</v>
      </c>
      <c r="C172" s="5" t="s">
        <v>637</v>
      </c>
      <c r="D172" s="5">
        <v>11128.0</v>
      </c>
      <c r="E172" s="5">
        <v>12502.0</v>
      </c>
      <c r="F172" s="5" t="s">
        <v>677</v>
      </c>
      <c r="G172" s="21" t="s">
        <v>678</v>
      </c>
      <c r="H172" s="5" t="s">
        <v>679</v>
      </c>
      <c r="I172" s="5" t="s">
        <v>49</v>
      </c>
      <c r="J172" s="5" t="s">
        <v>680</v>
      </c>
      <c r="K172" s="5">
        <v>1.0</v>
      </c>
      <c r="L172" s="5">
        <v>14524.0</v>
      </c>
      <c r="M172" s="11">
        <v>49.54671</v>
      </c>
      <c r="N172" s="11">
        <v>-123.23985</v>
      </c>
      <c r="O172" s="11" t="s">
        <v>51</v>
      </c>
      <c r="P172" s="11">
        <v>11128.0</v>
      </c>
      <c r="Q172" s="22">
        <v>1.0</v>
      </c>
      <c r="R172" s="11" t="s">
        <v>677</v>
      </c>
      <c r="S172" s="13" t="s">
        <v>681</v>
      </c>
      <c r="T172" s="11" t="s">
        <v>644</v>
      </c>
      <c r="U172" s="11">
        <v>65.0</v>
      </c>
      <c r="Z172" s="11"/>
      <c r="AA172" s="11" t="s">
        <v>682</v>
      </c>
      <c r="AB172" s="11"/>
      <c r="AC172" s="11"/>
      <c r="AD172" s="11"/>
      <c r="AE172" s="11"/>
      <c r="AF172" s="11"/>
      <c r="AG172" s="11"/>
      <c r="AH172" s="11"/>
      <c r="AI172" s="11"/>
    </row>
    <row r="173" ht="14.25" customHeight="1">
      <c r="A173" s="6"/>
      <c r="B173" s="5">
        <v>2.0</v>
      </c>
      <c r="C173" s="5" t="s">
        <v>637</v>
      </c>
      <c r="D173" s="5">
        <v>11191.0</v>
      </c>
      <c r="E173" s="5">
        <v>2662.0</v>
      </c>
      <c r="F173" s="5" t="s">
        <v>683</v>
      </c>
      <c r="G173" s="21" t="s">
        <v>684</v>
      </c>
      <c r="H173" s="5" t="s">
        <v>685</v>
      </c>
      <c r="I173" s="5" t="s">
        <v>641</v>
      </c>
      <c r="J173" s="5" t="s">
        <v>642</v>
      </c>
      <c r="K173" s="5">
        <v>1.0</v>
      </c>
      <c r="L173" s="5">
        <v>3405.0</v>
      </c>
      <c r="M173" s="10">
        <v>49.37186</v>
      </c>
      <c r="N173" s="10">
        <v>-123.26969</v>
      </c>
      <c r="O173" s="11" t="s">
        <v>183</v>
      </c>
      <c r="P173" s="5">
        <v>11191.0</v>
      </c>
      <c r="Q173" s="22">
        <v>3.0</v>
      </c>
      <c r="R173" s="11" t="s">
        <v>683</v>
      </c>
      <c r="S173" s="13" t="s">
        <v>686</v>
      </c>
      <c r="T173" s="11" t="s">
        <v>644</v>
      </c>
      <c r="U173" s="11">
        <v>140.0</v>
      </c>
      <c r="Z173" s="11" t="s">
        <v>645</v>
      </c>
      <c r="AA173" s="11" t="s">
        <v>687</v>
      </c>
      <c r="AB173" s="11"/>
      <c r="AC173" s="23"/>
      <c r="AD173" s="11"/>
      <c r="AE173" s="11"/>
      <c r="AF173" s="11"/>
      <c r="AG173" s="11"/>
      <c r="AH173" s="11"/>
      <c r="AI173" s="11"/>
    </row>
    <row r="174" ht="14.25" customHeight="1">
      <c r="A174" s="6" t="s">
        <v>328</v>
      </c>
      <c r="B174" s="5">
        <v>2.0</v>
      </c>
      <c r="C174" s="12" t="s">
        <v>688</v>
      </c>
      <c r="D174" s="12" t="s">
        <v>689</v>
      </c>
      <c r="F174" s="12" t="s">
        <v>690</v>
      </c>
      <c r="G174" s="12" t="s">
        <v>691</v>
      </c>
      <c r="I174" s="10" t="s">
        <v>641</v>
      </c>
      <c r="M174" s="11">
        <v>49.50725</v>
      </c>
      <c r="N174" s="11">
        <v>-123.87978</v>
      </c>
      <c r="O174" s="11" t="s">
        <v>183</v>
      </c>
      <c r="P174" s="11">
        <v>12092.0</v>
      </c>
      <c r="Q174" s="22">
        <v>3.0</v>
      </c>
      <c r="R174" s="11" t="s">
        <v>692</v>
      </c>
      <c r="S174" s="13" t="s">
        <v>693</v>
      </c>
      <c r="T174" s="11" t="s">
        <v>644</v>
      </c>
      <c r="U174" s="11">
        <v>164.0</v>
      </c>
      <c r="Z174" s="11"/>
      <c r="AA174" s="11" t="s">
        <v>694</v>
      </c>
      <c r="AB174" s="11"/>
      <c r="AC174" s="11"/>
      <c r="AD174" s="11"/>
      <c r="AE174" s="11"/>
      <c r="AF174" s="11"/>
      <c r="AG174" s="11"/>
      <c r="AH174" s="11"/>
      <c r="AI174" s="11"/>
    </row>
    <row r="175" ht="14.25" customHeight="1">
      <c r="A175" s="6" t="s">
        <v>328</v>
      </c>
      <c r="B175" s="5">
        <v>2.0</v>
      </c>
      <c r="C175" s="12" t="s">
        <v>688</v>
      </c>
      <c r="D175" s="12" t="s">
        <v>695</v>
      </c>
      <c r="F175" s="12" t="s">
        <v>696</v>
      </c>
      <c r="G175" s="12" t="s">
        <v>697</v>
      </c>
      <c r="I175" s="10" t="s">
        <v>641</v>
      </c>
      <c r="M175" s="11">
        <v>49.21778</v>
      </c>
      <c r="N175" s="11">
        <v>-122.81194</v>
      </c>
      <c r="O175" s="11" t="s">
        <v>183</v>
      </c>
      <c r="P175" s="11">
        <v>14092.0</v>
      </c>
      <c r="Q175" s="22">
        <v>2.0</v>
      </c>
      <c r="R175" s="11" t="s">
        <v>698</v>
      </c>
      <c r="S175" s="13" t="s">
        <v>699</v>
      </c>
      <c r="T175" s="11" t="s">
        <v>644</v>
      </c>
      <c r="U175" s="11">
        <v>40.0</v>
      </c>
      <c r="Z175" s="11"/>
      <c r="AA175" s="11" t="s">
        <v>700</v>
      </c>
      <c r="AB175" s="11"/>
      <c r="AC175" s="11"/>
      <c r="AD175" s="11"/>
      <c r="AE175" s="11"/>
      <c r="AF175" s="11"/>
      <c r="AG175" s="11"/>
      <c r="AH175" s="11"/>
      <c r="AI175" s="11"/>
    </row>
    <row r="176" ht="14.25" customHeight="1">
      <c r="A176" s="6" t="s">
        <v>138</v>
      </c>
      <c r="B176" s="5">
        <v>2.0</v>
      </c>
      <c r="C176" s="12" t="s">
        <v>688</v>
      </c>
      <c r="D176" s="12" t="s">
        <v>701</v>
      </c>
      <c r="F176" s="12" t="s">
        <v>702</v>
      </c>
      <c r="G176" s="12" t="s">
        <v>703</v>
      </c>
      <c r="I176" s="10" t="s">
        <v>641</v>
      </c>
      <c r="M176" s="11">
        <v>49.20528</v>
      </c>
      <c r="N176" s="11">
        <v>-122.80202</v>
      </c>
      <c r="O176" s="11" t="s">
        <v>183</v>
      </c>
      <c r="P176" s="11">
        <v>14093.0</v>
      </c>
      <c r="Q176" s="22">
        <v>3.0</v>
      </c>
      <c r="R176" s="10" t="s">
        <v>704</v>
      </c>
      <c r="S176" s="13" t="s">
        <v>705</v>
      </c>
      <c r="T176" s="11" t="s">
        <v>644</v>
      </c>
      <c r="U176" s="11">
        <v>93.0</v>
      </c>
      <c r="Z176" s="11"/>
      <c r="AA176" s="11" t="s">
        <v>706</v>
      </c>
      <c r="AB176" s="11"/>
      <c r="AC176" s="11"/>
      <c r="AD176" s="11"/>
      <c r="AE176" s="11"/>
      <c r="AF176" s="11"/>
      <c r="AG176" s="11"/>
      <c r="AH176" s="11"/>
      <c r="AI176" s="11"/>
    </row>
    <row r="177" ht="14.25" customHeight="1">
      <c r="A177" s="6"/>
      <c r="B177" s="5">
        <v>2.0</v>
      </c>
      <c r="C177" s="5" t="s">
        <v>637</v>
      </c>
      <c r="D177" s="5">
        <v>14094.0</v>
      </c>
      <c r="E177" s="5">
        <v>12496.0</v>
      </c>
      <c r="F177" s="5" t="s">
        <v>707</v>
      </c>
      <c r="G177" s="21" t="s">
        <v>708</v>
      </c>
      <c r="H177" s="5" t="s">
        <v>709</v>
      </c>
      <c r="I177" s="5" t="s">
        <v>49</v>
      </c>
      <c r="J177" s="5" t="s">
        <v>710</v>
      </c>
      <c r="K177" s="5">
        <v>1.0</v>
      </c>
      <c r="L177" s="5">
        <v>14518.0</v>
      </c>
      <c r="M177" s="11">
        <v>49.12671</v>
      </c>
      <c r="N177" s="11">
        <v>-123.07947</v>
      </c>
      <c r="O177" s="11" t="s">
        <v>183</v>
      </c>
      <c r="P177" s="11">
        <v>14094.0</v>
      </c>
      <c r="Q177" s="22">
        <v>1.0</v>
      </c>
      <c r="R177" s="11" t="s">
        <v>707</v>
      </c>
      <c r="S177" s="13" t="s">
        <v>711</v>
      </c>
      <c r="T177" s="11" t="s">
        <v>644</v>
      </c>
      <c r="U177" s="11">
        <v>5.0</v>
      </c>
      <c r="Z177" s="11"/>
      <c r="AA177" s="11" t="s">
        <v>712</v>
      </c>
      <c r="AB177" s="11"/>
      <c r="AC177" s="11"/>
      <c r="AD177" s="11"/>
      <c r="AE177" s="11"/>
      <c r="AF177" s="11"/>
      <c r="AG177" s="11"/>
      <c r="AH177" s="11"/>
      <c r="AI177" s="11"/>
    </row>
    <row r="178" ht="14.25" customHeight="1">
      <c r="A178" s="6"/>
      <c r="B178" s="5">
        <v>2.0</v>
      </c>
      <c r="C178" s="5" t="s">
        <v>637</v>
      </c>
      <c r="D178" s="5">
        <v>14095.0</v>
      </c>
      <c r="E178" s="5">
        <v>12503.0</v>
      </c>
      <c r="F178" s="5" t="s">
        <v>713</v>
      </c>
      <c r="G178" s="21" t="s">
        <v>714</v>
      </c>
      <c r="H178" s="5" t="s">
        <v>679</v>
      </c>
      <c r="I178" s="5" t="s">
        <v>49</v>
      </c>
      <c r="J178" s="5" t="s">
        <v>715</v>
      </c>
      <c r="K178" s="5">
        <v>1.0</v>
      </c>
      <c r="L178" s="5">
        <v>14525.0</v>
      </c>
      <c r="M178" s="11">
        <v>49.16003</v>
      </c>
      <c r="N178" s="11">
        <v>-122.94308</v>
      </c>
      <c r="O178" s="11" t="s">
        <v>183</v>
      </c>
      <c r="P178" s="11">
        <v>14095.0</v>
      </c>
      <c r="Q178" s="22">
        <v>2.0</v>
      </c>
      <c r="R178" s="11" t="s">
        <v>713</v>
      </c>
      <c r="S178" s="13" t="s">
        <v>716</v>
      </c>
      <c r="T178" s="11" t="s">
        <v>644</v>
      </c>
      <c r="U178" s="11">
        <v>60.0</v>
      </c>
      <c r="Z178" s="11"/>
      <c r="AA178" s="11" t="s">
        <v>717</v>
      </c>
      <c r="AB178" s="11"/>
      <c r="AC178" s="11"/>
      <c r="AD178" s="11"/>
      <c r="AE178" s="11"/>
      <c r="AF178" s="11"/>
      <c r="AG178" s="11"/>
      <c r="AH178" s="11"/>
      <c r="AI178" s="11"/>
    </row>
    <row r="179" ht="14.25" customHeight="1">
      <c r="A179" s="6" t="s">
        <v>88</v>
      </c>
      <c r="B179" s="5">
        <v>2.0</v>
      </c>
      <c r="C179" s="5" t="s">
        <v>637</v>
      </c>
      <c r="D179" s="5">
        <v>14096.0</v>
      </c>
      <c r="E179" s="5">
        <v>12998.0</v>
      </c>
      <c r="F179" s="5" t="s">
        <v>718</v>
      </c>
      <c r="G179" s="10" t="s">
        <v>719</v>
      </c>
      <c r="H179" s="5" t="s">
        <v>720</v>
      </c>
      <c r="I179" s="5" t="s">
        <v>49</v>
      </c>
      <c r="J179" s="5" t="s">
        <v>721</v>
      </c>
      <c r="K179" s="5">
        <v>1.0</v>
      </c>
      <c r="L179" s="5">
        <v>14930.0</v>
      </c>
      <c r="M179" s="10">
        <v>49.16187</v>
      </c>
      <c r="N179" s="10">
        <v>-122.94392</v>
      </c>
      <c r="O179" s="10" t="s">
        <v>183</v>
      </c>
      <c r="P179" s="10">
        <v>14094.0</v>
      </c>
      <c r="Q179" s="10"/>
      <c r="R179" s="10" t="s">
        <v>722</v>
      </c>
      <c r="S179" s="10"/>
      <c r="T179" s="10"/>
      <c r="U179" s="10">
        <v>130.0</v>
      </c>
      <c r="Z179" s="10"/>
      <c r="AA179" s="10" t="s">
        <v>723</v>
      </c>
    </row>
    <row r="180" ht="14.25" customHeight="1">
      <c r="A180" s="6" t="s">
        <v>88</v>
      </c>
      <c r="B180" s="5">
        <v>2.0</v>
      </c>
      <c r="C180" s="5" t="s">
        <v>637</v>
      </c>
      <c r="D180" s="5">
        <v>14097.0</v>
      </c>
      <c r="E180" s="5">
        <v>12999.0</v>
      </c>
      <c r="F180" s="5" t="s">
        <v>724</v>
      </c>
      <c r="G180" s="10" t="s">
        <v>725</v>
      </c>
      <c r="H180" s="5" t="s">
        <v>720</v>
      </c>
      <c r="I180" s="5" t="s">
        <v>49</v>
      </c>
      <c r="J180" s="5" t="s">
        <v>726</v>
      </c>
      <c r="K180" s="5">
        <v>1.0</v>
      </c>
      <c r="L180" s="5">
        <v>14931.0</v>
      </c>
      <c r="M180" s="10">
        <v>49.1618</v>
      </c>
      <c r="N180" s="10">
        <v>-122.94391</v>
      </c>
      <c r="O180" s="10" t="s">
        <v>183</v>
      </c>
      <c r="P180" s="10">
        <v>14095.0</v>
      </c>
      <c r="Q180" s="10"/>
      <c r="R180" s="10" t="s">
        <v>727</v>
      </c>
      <c r="S180" s="10"/>
      <c r="T180" s="10"/>
      <c r="U180" s="10">
        <v>80.0</v>
      </c>
      <c r="Z180" s="10"/>
      <c r="AA180" s="10" t="s">
        <v>728</v>
      </c>
    </row>
    <row r="181" ht="14.25" customHeight="1">
      <c r="A181" s="6"/>
      <c r="B181" s="5">
        <v>2.0</v>
      </c>
      <c r="C181" s="5" t="s">
        <v>637</v>
      </c>
      <c r="D181" s="5">
        <v>14098.0</v>
      </c>
      <c r="E181" s="5">
        <v>12504.0</v>
      </c>
      <c r="F181" s="5" t="s">
        <v>729</v>
      </c>
      <c r="G181" s="21" t="s">
        <v>730</v>
      </c>
      <c r="H181" s="5" t="s">
        <v>679</v>
      </c>
      <c r="I181" s="5" t="s">
        <v>49</v>
      </c>
      <c r="J181" s="5" t="s">
        <v>731</v>
      </c>
      <c r="K181" s="5">
        <v>1.0</v>
      </c>
      <c r="L181" s="5">
        <v>14526.0</v>
      </c>
      <c r="M181" s="10">
        <v>49.17153</v>
      </c>
      <c r="N181" s="10">
        <v>-122.9516</v>
      </c>
      <c r="O181" s="10" t="s">
        <v>183</v>
      </c>
      <c r="P181" s="10">
        <v>14098.0</v>
      </c>
      <c r="Q181" s="10"/>
      <c r="R181" s="10" t="s">
        <v>732</v>
      </c>
      <c r="S181" s="10"/>
      <c r="T181" s="10"/>
      <c r="U181" s="10">
        <v>4.0</v>
      </c>
      <c r="Z181" s="10"/>
      <c r="AA181" s="10"/>
      <c r="AB181" s="10"/>
      <c r="AC181" s="10"/>
      <c r="AD181" s="10"/>
    </row>
    <row r="182" ht="14.25" customHeight="1">
      <c r="A182" s="6"/>
      <c r="B182" s="5">
        <v>2.0</v>
      </c>
      <c r="C182" s="5" t="s">
        <v>637</v>
      </c>
      <c r="D182" s="5">
        <v>15092.0</v>
      </c>
      <c r="E182" s="5">
        <v>2667.0</v>
      </c>
      <c r="F182" s="5" t="s">
        <v>733</v>
      </c>
      <c r="G182" s="21" t="s">
        <v>734</v>
      </c>
      <c r="H182" s="5" t="s">
        <v>735</v>
      </c>
      <c r="I182" s="5" t="s">
        <v>641</v>
      </c>
      <c r="J182" s="5" t="s">
        <v>642</v>
      </c>
      <c r="K182" s="5">
        <v>1.0</v>
      </c>
      <c r="L182" s="5">
        <v>3410.0</v>
      </c>
      <c r="M182" s="11">
        <v>49.07556</v>
      </c>
      <c r="N182" s="11">
        <v>-122.42528</v>
      </c>
      <c r="O182" s="11" t="s">
        <v>183</v>
      </c>
      <c r="P182" s="11">
        <v>15092.0</v>
      </c>
      <c r="Q182" s="22">
        <v>3.0</v>
      </c>
      <c r="R182" s="11" t="s">
        <v>733</v>
      </c>
      <c r="S182" s="13" t="s">
        <v>736</v>
      </c>
      <c r="T182" s="11" t="s">
        <v>644</v>
      </c>
      <c r="U182" s="11">
        <v>110.0</v>
      </c>
      <c r="Z182" s="11" t="s">
        <v>645</v>
      </c>
      <c r="AA182" s="11" t="s">
        <v>737</v>
      </c>
      <c r="AB182" s="11"/>
      <c r="AC182" s="23"/>
      <c r="AD182" s="11"/>
      <c r="AE182" s="11"/>
      <c r="AF182" s="11"/>
      <c r="AG182" s="11"/>
      <c r="AH182" s="11"/>
      <c r="AI182" s="11"/>
    </row>
    <row r="183" ht="14.25" customHeight="1">
      <c r="A183" s="6"/>
      <c r="B183" s="5">
        <v>2.0</v>
      </c>
      <c r="C183" s="5" t="s">
        <v>637</v>
      </c>
      <c r="D183" s="5">
        <v>15093.0</v>
      </c>
      <c r="E183" s="5">
        <v>2668.0</v>
      </c>
      <c r="F183" s="5" t="s">
        <v>738</v>
      </c>
      <c r="G183" s="21" t="s">
        <v>739</v>
      </c>
      <c r="H183" s="5" t="s">
        <v>740</v>
      </c>
      <c r="I183" s="5" t="s">
        <v>641</v>
      </c>
      <c r="J183" s="5" t="s">
        <v>642</v>
      </c>
      <c r="K183" s="5">
        <v>1.0</v>
      </c>
      <c r="L183" s="5">
        <v>3411.0</v>
      </c>
      <c r="M183" s="11">
        <v>49.36306</v>
      </c>
      <c r="N183" s="11">
        <v>-121.35611</v>
      </c>
      <c r="O183" s="11" t="s">
        <v>51</v>
      </c>
      <c r="P183" s="11">
        <v>15093.0</v>
      </c>
      <c r="Q183" s="22">
        <v>2.0</v>
      </c>
      <c r="R183" s="11" t="s">
        <v>738</v>
      </c>
      <c r="S183" s="13" t="s">
        <v>741</v>
      </c>
      <c r="T183" s="11" t="s">
        <v>644</v>
      </c>
      <c r="U183" s="11">
        <v>244.0</v>
      </c>
      <c r="Z183" s="11"/>
      <c r="AA183" s="11" t="s">
        <v>742</v>
      </c>
      <c r="AB183" s="11"/>
      <c r="AC183" s="23"/>
      <c r="AD183" s="11"/>
      <c r="AE183" s="11"/>
      <c r="AF183" s="11"/>
      <c r="AG183" s="11"/>
      <c r="AH183" s="11"/>
      <c r="AI183" s="11"/>
    </row>
    <row r="184" ht="14.25" customHeight="1">
      <c r="A184" s="6"/>
      <c r="B184" s="5">
        <v>2.0</v>
      </c>
      <c r="C184" s="5" t="s">
        <v>637</v>
      </c>
      <c r="D184" s="5">
        <v>15122.0</v>
      </c>
      <c r="E184" s="5">
        <v>2671.0</v>
      </c>
      <c r="F184" s="5" t="s">
        <v>743</v>
      </c>
      <c r="G184" s="21" t="s">
        <v>744</v>
      </c>
      <c r="H184" s="5" t="s">
        <v>745</v>
      </c>
      <c r="I184" s="5" t="s">
        <v>641</v>
      </c>
      <c r="J184" s="5" t="s">
        <v>642</v>
      </c>
      <c r="K184" s="5">
        <v>1.0</v>
      </c>
      <c r="L184" s="5">
        <v>3414.0</v>
      </c>
      <c r="M184" s="11">
        <v>49.75703</v>
      </c>
      <c r="N184" s="11">
        <v>-121.41803</v>
      </c>
      <c r="O184" s="11" t="s">
        <v>142</v>
      </c>
      <c r="P184" s="11">
        <v>15122.0</v>
      </c>
      <c r="Q184" s="22">
        <v>1.0</v>
      </c>
      <c r="R184" s="11" t="s">
        <v>743</v>
      </c>
      <c r="S184" s="13" t="s">
        <v>746</v>
      </c>
      <c r="T184" s="11" t="s">
        <v>644</v>
      </c>
      <c r="U184" s="11">
        <v>280.0</v>
      </c>
      <c r="Z184" s="11" t="s">
        <v>645</v>
      </c>
      <c r="AA184" s="11" t="s">
        <v>747</v>
      </c>
      <c r="AB184" s="11"/>
      <c r="AC184" s="23"/>
      <c r="AD184" s="11"/>
      <c r="AE184" s="11"/>
      <c r="AF184" s="11"/>
      <c r="AG184" s="11"/>
      <c r="AH184" s="11"/>
      <c r="AI184" s="11"/>
    </row>
    <row r="185" ht="14.25" customHeight="1">
      <c r="A185" s="6"/>
      <c r="B185" s="5">
        <v>2.0</v>
      </c>
      <c r="C185" s="5" t="s">
        <v>637</v>
      </c>
      <c r="D185" s="5">
        <v>15123.0</v>
      </c>
      <c r="E185" s="5">
        <v>2672.0</v>
      </c>
      <c r="F185" s="5" t="s">
        <v>748</v>
      </c>
      <c r="G185" s="21" t="s">
        <v>749</v>
      </c>
      <c r="H185" s="5" t="s">
        <v>750</v>
      </c>
      <c r="I185" s="5" t="s">
        <v>641</v>
      </c>
      <c r="J185" s="5" t="s">
        <v>751</v>
      </c>
      <c r="K185" s="5">
        <v>1.0</v>
      </c>
      <c r="L185" s="5">
        <v>3415.0</v>
      </c>
    </row>
    <row r="186" ht="14.25" customHeight="1">
      <c r="A186" s="6"/>
      <c r="B186" s="5">
        <v>2.0</v>
      </c>
      <c r="C186" s="5" t="s">
        <v>637</v>
      </c>
      <c r="D186" s="5">
        <v>15124.0</v>
      </c>
      <c r="E186" s="5">
        <v>2673.0</v>
      </c>
      <c r="F186" s="5" t="s">
        <v>752</v>
      </c>
      <c r="G186" s="21" t="s">
        <v>753</v>
      </c>
      <c r="H186" s="5" t="s">
        <v>754</v>
      </c>
      <c r="I186" s="5" t="s">
        <v>641</v>
      </c>
      <c r="J186" s="5" t="s">
        <v>755</v>
      </c>
      <c r="K186" s="5">
        <v>1.0</v>
      </c>
      <c r="L186" s="5">
        <v>3416.0</v>
      </c>
      <c r="M186" s="11">
        <v>50.07611</v>
      </c>
      <c r="N186" s="11">
        <v>-121.5475</v>
      </c>
      <c r="O186" s="11" t="s">
        <v>142</v>
      </c>
      <c r="P186" s="11">
        <v>15124.0</v>
      </c>
      <c r="Q186" s="22">
        <v>1.0</v>
      </c>
      <c r="R186" s="11" t="s">
        <v>752</v>
      </c>
      <c r="S186" s="13" t="s">
        <v>756</v>
      </c>
      <c r="T186" s="11" t="s">
        <v>644</v>
      </c>
      <c r="U186" s="11">
        <v>350.0</v>
      </c>
      <c r="Z186" s="11" t="s">
        <v>645</v>
      </c>
      <c r="AA186" s="11" t="s">
        <v>757</v>
      </c>
      <c r="AB186" s="11"/>
      <c r="AC186" s="23"/>
      <c r="AD186" s="11"/>
      <c r="AE186" s="11"/>
      <c r="AF186" s="11"/>
      <c r="AG186" s="11"/>
      <c r="AH186" s="11"/>
      <c r="AI186" s="11"/>
    </row>
    <row r="187" ht="14.25" customHeight="1">
      <c r="A187" s="6"/>
      <c r="B187" s="5">
        <v>2.0</v>
      </c>
      <c r="C187" s="5" t="s">
        <v>637</v>
      </c>
      <c r="D187" s="5">
        <v>15321.0</v>
      </c>
      <c r="E187" s="5">
        <v>2676.0</v>
      </c>
      <c r="F187" s="5" t="s">
        <v>758</v>
      </c>
      <c r="G187" s="21" t="s">
        <v>759</v>
      </c>
      <c r="H187" s="5" t="s">
        <v>760</v>
      </c>
      <c r="I187" s="5" t="s">
        <v>641</v>
      </c>
      <c r="J187" s="5" t="s">
        <v>761</v>
      </c>
      <c r="K187" s="5">
        <v>1.0</v>
      </c>
      <c r="L187" s="5">
        <v>3419.0</v>
      </c>
      <c r="M187" s="11">
        <v>49.23</v>
      </c>
      <c r="N187" s="10">
        <v>-121.08417</v>
      </c>
      <c r="O187" s="11" t="s">
        <v>51</v>
      </c>
      <c r="P187" s="11">
        <v>15321.0</v>
      </c>
      <c r="Q187" s="22">
        <v>8.0</v>
      </c>
      <c r="R187" s="11" t="s">
        <v>758</v>
      </c>
      <c r="S187" s="13" t="s">
        <v>762</v>
      </c>
      <c r="T187" s="11" t="s">
        <v>644</v>
      </c>
      <c r="U187" s="11">
        <v>1650.0</v>
      </c>
      <c r="Z187" s="11" t="s">
        <v>645</v>
      </c>
      <c r="AA187" s="11" t="s">
        <v>763</v>
      </c>
      <c r="AB187" s="11"/>
      <c r="AC187" s="11"/>
      <c r="AD187" s="11"/>
      <c r="AE187" s="11"/>
      <c r="AF187" s="11"/>
      <c r="AG187" s="11"/>
      <c r="AH187" s="11"/>
      <c r="AI187" s="11"/>
    </row>
    <row r="188" ht="14.25" customHeight="1">
      <c r="A188" s="6"/>
      <c r="B188" s="5">
        <v>2.0</v>
      </c>
      <c r="C188" s="5" t="s">
        <v>637</v>
      </c>
      <c r="D188" s="5">
        <v>15322.0</v>
      </c>
      <c r="E188" s="5">
        <v>2677.0</v>
      </c>
      <c r="F188" s="5" t="s">
        <v>764</v>
      </c>
      <c r="G188" s="24" t="s">
        <v>765</v>
      </c>
      <c r="H188" s="5" t="s">
        <v>766</v>
      </c>
      <c r="I188" s="5" t="s">
        <v>641</v>
      </c>
      <c r="J188" s="5" t="s">
        <v>666</v>
      </c>
      <c r="K188" s="5">
        <v>1.0</v>
      </c>
      <c r="L188" s="5">
        <v>3420.0</v>
      </c>
    </row>
    <row r="189" ht="14.25" customHeight="1">
      <c r="A189" s="6"/>
      <c r="B189" s="5">
        <v>2.0</v>
      </c>
      <c r="C189" s="5" t="s">
        <v>637</v>
      </c>
      <c r="D189" s="5">
        <v>15392.0</v>
      </c>
      <c r="E189" s="5">
        <v>2678.0</v>
      </c>
      <c r="F189" s="5" t="s">
        <v>767</v>
      </c>
      <c r="G189" s="21" t="s">
        <v>768</v>
      </c>
      <c r="H189" s="5" t="s">
        <v>769</v>
      </c>
      <c r="I189" s="5" t="s">
        <v>641</v>
      </c>
      <c r="J189" s="5" t="s">
        <v>642</v>
      </c>
      <c r="K189" s="5">
        <v>1.0</v>
      </c>
      <c r="L189" s="5">
        <v>3421.0</v>
      </c>
      <c r="M189" s="11">
        <v>49.11564</v>
      </c>
      <c r="N189" s="11">
        <v>-120.86744</v>
      </c>
      <c r="O189" s="11" t="s">
        <v>142</v>
      </c>
      <c r="P189" s="11">
        <v>15392.0</v>
      </c>
      <c r="Q189" s="22">
        <v>5.0</v>
      </c>
      <c r="R189" s="11" t="s">
        <v>767</v>
      </c>
      <c r="S189" s="13" t="s">
        <v>770</v>
      </c>
      <c r="T189" s="11" t="s">
        <v>644</v>
      </c>
      <c r="U189" s="11">
        <v>1340.0</v>
      </c>
      <c r="Z189" s="11" t="s">
        <v>645</v>
      </c>
      <c r="AA189" s="11" t="s">
        <v>771</v>
      </c>
      <c r="AB189" s="11"/>
      <c r="AC189" s="23"/>
      <c r="AD189" s="11"/>
      <c r="AE189" s="11"/>
      <c r="AF189" s="11"/>
      <c r="AG189" s="11"/>
      <c r="AH189" s="11"/>
      <c r="AI189" s="11"/>
    </row>
    <row r="190" ht="14.25" customHeight="1">
      <c r="A190" s="6" t="s">
        <v>772</v>
      </c>
      <c r="B190" s="5">
        <v>2.0</v>
      </c>
      <c r="C190" s="5" t="s">
        <v>637</v>
      </c>
      <c r="D190" s="5">
        <v>15394.0</v>
      </c>
      <c r="E190" s="5">
        <v>13026.0</v>
      </c>
      <c r="F190" s="12" t="s">
        <v>773</v>
      </c>
      <c r="G190" s="10" t="s">
        <v>774</v>
      </c>
      <c r="H190" s="5" t="s">
        <v>775</v>
      </c>
      <c r="I190" s="5" t="s">
        <v>49</v>
      </c>
      <c r="J190" s="5" t="s">
        <v>776</v>
      </c>
      <c r="K190" s="5">
        <v>1.0</v>
      </c>
      <c r="L190" s="5">
        <v>14958.0</v>
      </c>
      <c r="M190" s="11">
        <v>49.16609</v>
      </c>
      <c r="N190" s="11">
        <v>-120.56784</v>
      </c>
      <c r="O190" s="11" t="s">
        <v>142</v>
      </c>
      <c r="P190" s="11">
        <v>15394.0</v>
      </c>
      <c r="Q190" s="22">
        <v>3.0</v>
      </c>
      <c r="R190" s="11" t="s">
        <v>777</v>
      </c>
      <c r="S190" s="13" t="s">
        <v>778</v>
      </c>
      <c r="T190" s="11" t="s">
        <v>644</v>
      </c>
      <c r="U190" s="11">
        <v>988.0</v>
      </c>
      <c r="Z190" s="11"/>
      <c r="AA190" s="11" t="s">
        <v>779</v>
      </c>
      <c r="AB190" s="11"/>
      <c r="AC190" s="11"/>
      <c r="AD190" s="11"/>
      <c r="AE190" s="11"/>
      <c r="AF190" s="11"/>
      <c r="AG190" s="11"/>
      <c r="AH190" s="11"/>
      <c r="AI190" s="11"/>
    </row>
    <row r="191" ht="14.25" customHeight="1">
      <c r="A191" s="6"/>
      <c r="B191" s="5">
        <v>2.0</v>
      </c>
      <c r="C191" s="5" t="s">
        <v>637</v>
      </c>
      <c r="D191" s="5">
        <v>21091.0</v>
      </c>
      <c r="E191" s="5">
        <v>2680.0</v>
      </c>
      <c r="F191" s="5" t="s">
        <v>780</v>
      </c>
      <c r="G191" s="21" t="s">
        <v>781</v>
      </c>
      <c r="H191" s="5" t="s">
        <v>782</v>
      </c>
      <c r="I191" s="5" t="s">
        <v>641</v>
      </c>
      <c r="J191" s="5" t="s">
        <v>642</v>
      </c>
      <c r="K191" s="5">
        <v>1.0</v>
      </c>
      <c r="L191" s="5">
        <v>3423.0</v>
      </c>
      <c r="M191" s="5">
        <v>50.52861</v>
      </c>
      <c r="N191" s="5">
        <v>-120.47833</v>
      </c>
      <c r="O191" s="5" t="s">
        <v>142</v>
      </c>
      <c r="P191" s="11">
        <v>21091.0</v>
      </c>
      <c r="Q191" s="22">
        <v>5.0</v>
      </c>
      <c r="R191" s="11" t="s">
        <v>780</v>
      </c>
      <c r="S191" s="13" t="s">
        <v>783</v>
      </c>
      <c r="T191" s="11" t="s">
        <v>644</v>
      </c>
      <c r="U191" s="11">
        <v>1300.0</v>
      </c>
      <c r="Z191" s="11" t="s">
        <v>645</v>
      </c>
      <c r="AA191" s="11" t="s">
        <v>784</v>
      </c>
      <c r="AB191" s="11"/>
      <c r="AC191" s="23"/>
      <c r="AD191" s="11"/>
      <c r="AE191" s="11"/>
      <c r="AF191" s="11"/>
      <c r="AG191" s="11"/>
      <c r="AH191" s="11"/>
      <c r="AI191" s="11"/>
    </row>
    <row r="192" ht="14.25" customHeight="1">
      <c r="A192" s="6"/>
      <c r="B192" s="5">
        <v>2.0</v>
      </c>
      <c r="C192" s="5" t="s">
        <v>637</v>
      </c>
      <c r="D192" s="5">
        <v>21123.0</v>
      </c>
      <c r="E192" s="5">
        <v>2682.0</v>
      </c>
      <c r="F192" s="5" t="s">
        <v>785</v>
      </c>
      <c r="G192" s="24" t="s">
        <v>786</v>
      </c>
      <c r="H192" s="5" t="s">
        <v>787</v>
      </c>
      <c r="I192" s="5" t="s">
        <v>641</v>
      </c>
      <c r="J192" s="5" t="s">
        <v>755</v>
      </c>
      <c r="K192" s="5">
        <v>1.0</v>
      </c>
      <c r="L192" s="5">
        <v>3425.0</v>
      </c>
      <c r="M192" s="11">
        <v>51.11333</v>
      </c>
      <c r="N192" s="11">
        <v>-120.13556</v>
      </c>
      <c r="O192" s="11" t="s">
        <v>142</v>
      </c>
      <c r="P192" s="11">
        <v>21123.0</v>
      </c>
      <c r="Q192" s="22">
        <v>1.0</v>
      </c>
      <c r="R192" s="11" t="s">
        <v>785</v>
      </c>
      <c r="S192" s="13" t="s">
        <v>788</v>
      </c>
      <c r="T192" s="11" t="s">
        <v>644</v>
      </c>
      <c r="U192" s="11">
        <v>390.0</v>
      </c>
      <c r="Z192" s="11" t="s">
        <v>645</v>
      </c>
      <c r="AA192" s="11" t="s">
        <v>789</v>
      </c>
      <c r="AB192" s="11"/>
      <c r="AC192" s="23"/>
      <c r="AD192" s="11"/>
      <c r="AE192" s="11"/>
      <c r="AF192" s="11"/>
      <c r="AG192" s="11"/>
      <c r="AH192" s="11"/>
      <c r="AI192" s="11"/>
    </row>
    <row r="193" ht="14.25" customHeight="1">
      <c r="A193" s="6" t="s">
        <v>772</v>
      </c>
      <c r="B193" s="5">
        <v>2.0</v>
      </c>
      <c r="C193" s="5" t="s">
        <v>637</v>
      </c>
      <c r="D193" s="5">
        <v>21192.0</v>
      </c>
      <c r="E193" s="5">
        <v>13016.0</v>
      </c>
      <c r="F193" s="12" t="s">
        <v>790</v>
      </c>
      <c r="G193" s="10" t="s">
        <v>791</v>
      </c>
      <c r="H193" s="5" t="s">
        <v>792</v>
      </c>
      <c r="I193" s="5" t="s">
        <v>49</v>
      </c>
      <c r="J193" s="5" t="s">
        <v>793</v>
      </c>
      <c r="K193" s="5">
        <v>1.0</v>
      </c>
      <c r="L193" s="5">
        <v>14948.0</v>
      </c>
      <c r="M193" s="11">
        <v>51.66977</v>
      </c>
      <c r="N193" s="11">
        <v>-119.56575</v>
      </c>
      <c r="O193" s="11" t="s">
        <v>170</v>
      </c>
      <c r="P193" s="11">
        <v>21192.0</v>
      </c>
      <c r="Q193" s="22">
        <v>1.0</v>
      </c>
      <c r="R193" s="11" t="s">
        <v>794</v>
      </c>
      <c r="S193" s="13" t="s">
        <v>795</v>
      </c>
      <c r="T193" s="11" t="s">
        <v>644</v>
      </c>
      <c r="U193" s="11">
        <v>545.0</v>
      </c>
      <c r="Z193" s="11"/>
      <c r="AA193" s="11" t="s">
        <v>796</v>
      </c>
      <c r="AB193" s="11"/>
      <c r="AC193" s="11"/>
      <c r="AD193" s="11"/>
      <c r="AE193" s="11"/>
      <c r="AF193" s="11"/>
      <c r="AG193" s="11"/>
      <c r="AH193" s="11"/>
      <c r="AI193" s="11"/>
    </row>
    <row r="194" ht="14.25" customHeight="1">
      <c r="A194" s="6"/>
      <c r="B194" s="5">
        <v>2.0</v>
      </c>
      <c r="C194" s="5" t="s">
        <v>637</v>
      </c>
      <c r="D194" s="5">
        <v>22095.0</v>
      </c>
      <c r="E194" s="5">
        <v>12465.0</v>
      </c>
      <c r="F194" s="5" t="s">
        <v>797</v>
      </c>
      <c r="G194" s="21" t="s">
        <v>798</v>
      </c>
      <c r="H194" s="5" t="s">
        <v>709</v>
      </c>
      <c r="I194" s="5" t="s">
        <v>49</v>
      </c>
      <c r="J194" s="5" t="s">
        <v>799</v>
      </c>
      <c r="K194" s="5">
        <v>1.0</v>
      </c>
      <c r="L194" s="5">
        <v>14487.0</v>
      </c>
      <c r="M194" s="11">
        <v>50.78958</v>
      </c>
      <c r="N194" s="11">
        <v>-119.07934</v>
      </c>
      <c r="O194" s="11" t="s">
        <v>170</v>
      </c>
      <c r="P194" s="16">
        <v>22095.0</v>
      </c>
      <c r="Q194" s="22">
        <v>1.0</v>
      </c>
      <c r="R194" s="11" t="s">
        <v>797</v>
      </c>
      <c r="S194" s="13" t="s">
        <v>800</v>
      </c>
      <c r="T194" s="11" t="s">
        <v>644</v>
      </c>
      <c r="U194" s="11">
        <v>420.0</v>
      </c>
      <c r="Z194" s="11"/>
      <c r="AA194" s="11" t="s">
        <v>801</v>
      </c>
      <c r="AB194" s="11"/>
      <c r="AC194" s="11"/>
      <c r="AD194" s="11"/>
      <c r="AE194" s="11"/>
      <c r="AF194" s="11"/>
      <c r="AG194" s="11"/>
      <c r="AH194" s="11"/>
      <c r="AI194" s="11"/>
    </row>
    <row r="195" ht="14.25" customHeight="1">
      <c r="A195" s="6"/>
      <c r="B195" s="5">
        <v>2.0</v>
      </c>
      <c r="C195" s="5" t="s">
        <v>637</v>
      </c>
      <c r="D195" s="5">
        <v>22096.0</v>
      </c>
      <c r="E195" s="5">
        <v>2687.0</v>
      </c>
      <c r="F195" s="5" t="s">
        <v>802</v>
      </c>
      <c r="G195" s="21" t="s">
        <v>803</v>
      </c>
      <c r="H195" s="5" t="s">
        <v>804</v>
      </c>
      <c r="I195" s="5" t="s">
        <v>641</v>
      </c>
      <c r="J195" s="5" t="s">
        <v>755</v>
      </c>
      <c r="K195" s="5">
        <v>1.0</v>
      </c>
      <c r="L195" s="5">
        <v>3430.0</v>
      </c>
      <c r="M195" s="11">
        <v>50.93417</v>
      </c>
      <c r="N195" s="11">
        <v>-118.78861</v>
      </c>
      <c r="O195" s="11" t="s">
        <v>170</v>
      </c>
      <c r="P195" s="11">
        <v>22096.0</v>
      </c>
      <c r="Q195" s="22">
        <v>1.0</v>
      </c>
      <c r="R195" s="11" t="s">
        <v>802</v>
      </c>
      <c r="S195" s="13" t="s">
        <v>805</v>
      </c>
      <c r="T195" s="11" t="s">
        <v>644</v>
      </c>
      <c r="U195" s="11">
        <v>335.0</v>
      </c>
      <c r="Z195" s="11" t="s">
        <v>645</v>
      </c>
      <c r="AA195" s="11" t="s">
        <v>806</v>
      </c>
      <c r="AB195" s="11"/>
      <c r="AC195" s="23"/>
      <c r="AD195" s="11"/>
      <c r="AE195" s="11"/>
      <c r="AF195" s="11"/>
      <c r="AG195" s="11"/>
      <c r="AH195" s="11"/>
      <c r="AI195" s="11"/>
    </row>
    <row r="196" ht="14.25" customHeight="1">
      <c r="A196" s="6"/>
      <c r="B196" s="5">
        <v>2.0</v>
      </c>
      <c r="C196" s="5" t="s">
        <v>637</v>
      </c>
      <c r="D196" s="5">
        <v>22123.0</v>
      </c>
      <c r="E196" s="5">
        <v>2689.0</v>
      </c>
      <c r="F196" s="5" t="s">
        <v>807</v>
      </c>
      <c r="G196" s="21" t="s">
        <v>808</v>
      </c>
      <c r="H196" s="5" t="s">
        <v>809</v>
      </c>
      <c r="I196" s="5" t="s">
        <v>641</v>
      </c>
      <c r="J196" s="5" t="s">
        <v>755</v>
      </c>
      <c r="K196" s="5">
        <v>1.0</v>
      </c>
      <c r="L196" s="5">
        <v>3432.0</v>
      </c>
      <c r="M196" s="11">
        <v>50.87278</v>
      </c>
      <c r="N196" s="11">
        <v>-119.57111</v>
      </c>
      <c r="O196" s="11" t="s">
        <v>142</v>
      </c>
      <c r="P196" s="11">
        <v>22123.0</v>
      </c>
      <c r="Q196" s="22">
        <v>1.0</v>
      </c>
      <c r="R196" s="11" t="s">
        <v>807</v>
      </c>
      <c r="S196" s="13" t="s">
        <v>810</v>
      </c>
      <c r="T196" s="11" t="s">
        <v>644</v>
      </c>
      <c r="U196" s="11">
        <v>366.0</v>
      </c>
      <c r="Z196" s="11"/>
      <c r="AA196" s="11" t="s">
        <v>811</v>
      </c>
      <c r="AB196" s="11"/>
      <c r="AC196" s="23"/>
      <c r="AD196" s="11"/>
      <c r="AE196" s="11"/>
      <c r="AF196" s="11"/>
      <c r="AG196" s="11"/>
      <c r="AH196" s="11"/>
      <c r="AI196" s="11"/>
    </row>
    <row r="197" ht="14.25" customHeight="1">
      <c r="A197" s="6"/>
      <c r="B197" s="5">
        <v>2.0</v>
      </c>
      <c r="C197" s="5" t="s">
        <v>637</v>
      </c>
      <c r="D197" s="5">
        <v>23097.0</v>
      </c>
      <c r="E197" s="5">
        <v>2690.0</v>
      </c>
      <c r="F197" s="5" t="s">
        <v>812</v>
      </c>
      <c r="G197" s="21" t="s">
        <v>813</v>
      </c>
      <c r="H197" s="5" t="s">
        <v>814</v>
      </c>
      <c r="I197" s="5" t="s">
        <v>641</v>
      </c>
      <c r="J197" s="5" t="s">
        <v>755</v>
      </c>
      <c r="K197" s="5">
        <v>1.0</v>
      </c>
      <c r="L197" s="5">
        <v>3433.0</v>
      </c>
      <c r="M197" s="10">
        <v>50.2112</v>
      </c>
      <c r="N197" s="10">
        <v>-119.30607</v>
      </c>
      <c r="O197" s="11" t="s">
        <v>142</v>
      </c>
      <c r="P197" s="11">
        <v>23097.0</v>
      </c>
      <c r="Q197" s="22">
        <v>1.0</v>
      </c>
      <c r="R197" s="11" t="s">
        <v>812</v>
      </c>
      <c r="S197" s="13" t="s">
        <v>815</v>
      </c>
      <c r="T197" s="11" t="s">
        <v>644</v>
      </c>
      <c r="U197" s="11">
        <v>570.0</v>
      </c>
      <c r="Z197" s="11" t="s">
        <v>645</v>
      </c>
      <c r="AA197" s="11" t="s">
        <v>816</v>
      </c>
      <c r="AB197" s="11"/>
      <c r="AC197" s="23"/>
      <c r="AD197" s="11"/>
      <c r="AE197" s="11"/>
      <c r="AF197" s="11"/>
      <c r="AG197" s="11"/>
      <c r="AH197" s="11"/>
      <c r="AI197" s="11"/>
    </row>
    <row r="198" ht="14.25" customHeight="1">
      <c r="A198" s="6"/>
      <c r="B198" s="5">
        <v>2.0</v>
      </c>
      <c r="C198" s="5" t="s">
        <v>637</v>
      </c>
      <c r="D198" s="5">
        <v>24093.0</v>
      </c>
      <c r="E198" s="5">
        <v>12466.0</v>
      </c>
      <c r="F198" s="5" t="s">
        <v>817</v>
      </c>
      <c r="G198" s="21" t="s">
        <v>818</v>
      </c>
      <c r="H198" s="5" t="s">
        <v>709</v>
      </c>
      <c r="I198" s="5" t="s">
        <v>49</v>
      </c>
      <c r="J198" s="5" t="s">
        <v>819</v>
      </c>
      <c r="K198" s="5">
        <v>1.0</v>
      </c>
      <c r="L198" s="5">
        <v>14488.0</v>
      </c>
      <c r="M198" s="11">
        <v>49.40616</v>
      </c>
      <c r="N198" s="11">
        <v>-120.26299</v>
      </c>
      <c r="O198" s="11" t="s">
        <v>142</v>
      </c>
      <c r="P198" s="11">
        <v>24093.0</v>
      </c>
      <c r="Q198" s="22">
        <v>1.0</v>
      </c>
      <c r="R198" s="11" t="s">
        <v>817</v>
      </c>
      <c r="S198" s="13" t="s">
        <v>820</v>
      </c>
      <c r="T198" s="11" t="s">
        <v>644</v>
      </c>
      <c r="U198" s="11">
        <v>566.0</v>
      </c>
      <c r="Z198" s="11"/>
      <c r="AA198" s="11" t="s">
        <v>821</v>
      </c>
      <c r="AB198" s="11"/>
      <c r="AC198" s="11"/>
      <c r="AD198" s="11"/>
      <c r="AE198" s="11"/>
      <c r="AF198" s="11"/>
      <c r="AG198" s="11"/>
      <c r="AH198" s="11"/>
      <c r="AI198" s="11"/>
    </row>
    <row r="199" ht="14.25" customHeight="1">
      <c r="A199" s="6"/>
      <c r="B199" s="5">
        <v>2.0</v>
      </c>
      <c r="C199" s="5" t="s">
        <v>637</v>
      </c>
      <c r="D199" s="5">
        <v>24126.0</v>
      </c>
      <c r="E199" s="5">
        <v>2696.0</v>
      </c>
      <c r="F199" s="5" t="s">
        <v>822</v>
      </c>
      <c r="G199" s="21" t="s">
        <v>823</v>
      </c>
      <c r="H199" s="5" t="s">
        <v>824</v>
      </c>
      <c r="I199" s="5" t="s">
        <v>641</v>
      </c>
      <c r="J199" s="5" t="s">
        <v>825</v>
      </c>
      <c r="K199" s="5">
        <v>1.0</v>
      </c>
      <c r="L199" s="5">
        <v>3439.0</v>
      </c>
      <c r="M199" s="5">
        <v>49.39639</v>
      </c>
      <c r="N199" s="10">
        <v>-119.9008</v>
      </c>
      <c r="O199" s="5" t="s">
        <v>142</v>
      </c>
      <c r="P199" s="5">
        <v>24126.0</v>
      </c>
      <c r="Q199" s="5">
        <v>8.0</v>
      </c>
      <c r="R199" s="5" t="s">
        <v>822</v>
      </c>
      <c r="S199" s="5" t="s">
        <v>826</v>
      </c>
      <c r="T199" s="5" t="s">
        <v>644</v>
      </c>
      <c r="U199" s="10">
        <v>1700.0</v>
      </c>
      <c r="Z199" s="5" t="s">
        <v>645</v>
      </c>
      <c r="AA199" s="5" t="s">
        <v>827</v>
      </c>
    </row>
    <row r="200" ht="14.25" customHeight="1">
      <c r="A200" s="6"/>
      <c r="B200" s="5">
        <v>2.0</v>
      </c>
      <c r="C200" s="5" t="s">
        <v>637</v>
      </c>
      <c r="D200" s="5">
        <v>24191.0</v>
      </c>
      <c r="E200" s="5">
        <v>12467.0</v>
      </c>
      <c r="F200" s="5" t="s">
        <v>828</v>
      </c>
      <c r="G200" s="21" t="s">
        <v>829</v>
      </c>
      <c r="H200" s="5" t="s">
        <v>709</v>
      </c>
      <c r="I200" s="5" t="s">
        <v>49</v>
      </c>
      <c r="J200" s="5" t="s">
        <v>830</v>
      </c>
      <c r="K200" s="5">
        <v>1.0</v>
      </c>
      <c r="L200" s="5">
        <v>14489.0</v>
      </c>
      <c r="M200" s="10">
        <v>49.39693</v>
      </c>
      <c r="N200" s="10">
        <v>-119.9008</v>
      </c>
      <c r="P200" s="10">
        <v>24191.0</v>
      </c>
      <c r="R200" s="10" t="s">
        <v>828</v>
      </c>
      <c r="U200" s="10">
        <v>780.0</v>
      </c>
      <c r="AA200" s="10" t="s">
        <v>831</v>
      </c>
    </row>
    <row r="201" ht="14.25" customHeight="1">
      <c r="A201" s="6"/>
      <c r="B201" s="5">
        <v>2.0</v>
      </c>
      <c r="C201" s="5" t="s">
        <v>637</v>
      </c>
      <c r="D201" s="5">
        <v>24225.0</v>
      </c>
      <c r="E201" s="5">
        <v>2698.0</v>
      </c>
      <c r="F201" s="5" t="s">
        <v>832</v>
      </c>
      <c r="G201" s="21" t="s">
        <v>833</v>
      </c>
      <c r="H201" s="5" t="s">
        <v>834</v>
      </c>
      <c r="I201" s="5" t="s">
        <v>641</v>
      </c>
      <c r="J201" s="5" t="s">
        <v>755</v>
      </c>
      <c r="K201" s="5">
        <v>1.0</v>
      </c>
      <c r="L201" s="5">
        <v>3441.0</v>
      </c>
      <c r="M201" s="10">
        <v>49.47619</v>
      </c>
      <c r="N201" s="10">
        <v>-120.62431</v>
      </c>
      <c r="O201" s="11" t="s">
        <v>142</v>
      </c>
      <c r="P201" s="11">
        <v>24225.0</v>
      </c>
      <c r="Q201" s="22">
        <v>2.0</v>
      </c>
      <c r="R201" s="11" t="s">
        <v>832</v>
      </c>
      <c r="S201" s="13" t="s">
        <v>835</v>
      </c>
      <c r="T201" s="11" t="s">
        <v>644</v>
      </c>
      <c r="U201" s="11">
        <v>830.0</v>
      </c>
      <c r="Z201" s="11"/>
      <c r="AA201" s="11" t="s">
        <v>836</v>
      </c>
      <c r="AB201" s="11"/>
      <c r="AC201" s="11"/>
      <c r="AD201" s="11"/>
      <c r="AE201" s="11"/>
      <c r="AF201" s="11"/>
      <c r="AG201" s="11"/>
      <c r="AH201" s="11"/>
      <c r="AI201" s="11"/>
    </row>
    <row r="202" ht="14.25" customHeight="1">
      <c r="A202" s="6"/>
      <c r="B202" s="5">
        <v>2.0</v>
      </c>
      <c r="C202" s="5" t="s">
        <v>637</v>
      </c>
      <c r="D202" s="5">
        <v>25092.0</v>
      </c>
      <c r="E202" s="5">
        <v>2702.0</v>
      </c>
      <c r="F202" s="5" t="s">
        <v>837</v>
      </c>
      <c r="G202" s="21" t="s">
        <v>838</v>
      </c>
      <c r="H202" s="5" t="s">
        <v>839</v>
      </c>
      <c r="I202" s="5" t="s">
        <v>641</v>
      </c>
      <c r="J202" s="5" t="s">
        <v>755</v>
      </c>
      <c r="K202" s="5">
        <v>1.0</v>
      </c>
      <c r="L202" s="5">
        <v>3445.0</v>
      </c>
      <c r="M202" s="10">
        <v>50.32083</v>
      </c>
      <c r="N202" s="10">
        <v>-120.63661</v>
      </c>
      <c r="O202" s="11" t="s">
        <v>142</v>
      </c>
      <c r="P202" s="11">
        <v>25092.0</v>
      </c>
      <c r="Q202" s="22">
        <v>5.0</v>
      </c>
      <c r="R202" s="11" t="s">
        <v>840</v>
      </c>
      <c r="S202" s="13" t="s">
        <v>841</v>
      </c>
      <c r="T202" s="11" t="s">
        <v>644</v>
      </c>
      <c r="U202" s="11">
        <v>1385.0</v>
      </c>
      <c r="Z202" s="11" t="s">
        <v>645</v>
      </c>
      <c r="AA202" s="11" t="s">
        <v>842</v>
      </c>
      <c r="AB202" s="11"/>
      <c r="AC202" s="23"/>
      <c r="AD202" s="11"/>
      <c r="AE202" s="11"/>
      <c r="AF202" s="11"/>
      <c r="AG202" s="11"/>
      <c r="AH202" s="11"/>
      <c r="AI202" s="11"/>
    </row>
    <row r="203" ht="14.25" customHeight="1">
      <c r="A203" s="6"/>
      <c r="B203" s="5">
        <v>2.0</v>
      </c>
      <c r="C203" s="5" t="s">
        <v>637</v>
      </c>
      <c r="D203" s="5">
        <v>25093.0</v>
      </c>
      <c r="E203" s="5">
        <v>2703.0</v>
      </c>
      <c r="F203" s="5" t="s">
        <v>843</v>
      </c>
      <c r="G203" s="21" t="s">
        <v>844</v>
      </c>
      <c r="H203" s="5" t="s">
        <v>845</v>
      </c>
      <c r="I203" s="5" t="s">
        <v>641</v>
      </c>
      <c r="J203" s="5" t="s">
        <v>755</v>
      </c>
      <c r="K203" s="5">
        <v>1.0</v>
      </c>
      <c r="L203" s="5">
        <v>3446.0</v>
      </c>
      <c r="M203" s="11">
        <v>49.83111</v>
      </c>
      <c r="N203" s="11">
        <v>-120.935</v>
      </c>
      <c r="O203" s="11" t="s">
        <v>142</v>
      </c>
      <c r="P203" s="11">
        <v>25093.0</v>
      </c>
      <c r="Q203" s="22">
        <v>3.0</v>
      </c>
      <c r="R203" s="11" t="s">
        <v>843</v>
      </c>
      <c r="S203" s="13" t="s">
        <v>846</v>
      </c>
      <c r="T203" s="11" t="s">
        <v>644</v>
      </c>
      <c r="U203" s="11">
        <v>1060.0</v>
      </c>
      <c r="Z203" s="11" t="s">
        <v>645</v>
      </c>
      <c r="AA203" s="11" t="s">
        <v>847</v>
      </c>
      <c r="AB203" s="11"/>
      <c r="AC203" s="23"/>
      <c r="AD203" s="11"/>
      <c r="AE203" s="11"/>
      <c r="AF203" s="11"/>
      <c r="AG203" s="11"/>
      <c r="AH203" s="11"/>
      <c r="AI203" s="11"/>
    </row>
    <row r="204" ht="14.25" customHeight="1">
      <c r="A204" s="6"/>
      <c r="B204" s="5">
        <v>2.0</v>
      </c>
      <c r="C204" s="5" t="s">
        <v>637</v>
      </c>
      <c r="D204" s="5">
        <v>25094.0</v>
      </c>
      <c r="E204" s="5">
        <v>12505.0</v>
      </c>
      <c r="F204" s="5" t="s">
        <v>848</v>
      </c>
      <c r="G204" s="21" t="s">
        <v>849</v>
      </c>
      <c r="H204" s="5" t="s">
        <v>679</v>
      </c>
      <c r="I204" s="5" t="s">
        <v>49</v>
      </c>
      <c r="J204" s="5" t="s">
        <v>850</v>
      </c>
      <c r="K204" s="5">
        <v>1.0</v>
      </c>
      <c r="L204" s="5">
        <v>14527.0</v>
      </c>
      <c r="M204" s="11">
        <v>50.43999</v>
      </c>
      <c r="N204" s="11">
        <v>-120.5987</v>
      </c>
      <c r="O204" s="11" t="s">
        <v>142</v>
      </c>
      <c r="P204" s="11">
        <v>25094.0</v>
      </c>
      <c r="Q204" s="22">
        <v>5.0</v>
      </c>
      <c r="R204" s="11" t="s">
        <v>848</v>
      </c>
      <c r="S204" s="13" t="s">
        <v>851</v>
      </c>
      <c r="T204" s="11" t="s">
        <v>644</v>
      </c>
      <c r="U204" s="11">
        <v>1300.0</v>
      </c>
      <c r="Z204" s="11"/>
      <c r="AA204" s="11" t="s">
        <v>852</v>
      </c>
      <c r="AB204" s="11"/>
      <c r="AC204" s="11"/>
      <c r="AD204" s="11"/>
      <c r="AE204" s="11"/>
      <c r="AF204" s="11"/>
      <c r="AG204" s="11"/>
      <c r="AH204" s="11"/>
      <c r="AI204" s="11"/>
    </row>
    <row r="205" ht="14.25" customHeight="1">
      <c r="A205" s="6"/>
      <c r="B205" s="5">
        <v>2.0</v>
      </c>
      <c r="C205" s="5" t="s">
        <v>637</v>
      </c>
      <c r="D205" s="5">
        <v>25095.0</v>
      </c>
      <c r="E205" s="5">
        <v>12506.0</v>
      </c>
      <c r="F205" s="5" t="s">
        <v>853</v>
      </c>
      <c r="G205" s="21" t="s">
        <v>854</v>
      </c>
      <c r="H205" s="5" t="s">
        <v>679</v>
      </c>
      <c r="I205" s="5" t="s">
        <v>49</v>
      </c>
      <c r="J205" s="5" t="s">
        <v>855</v>
      </c>
      <c r="K205" s="5">
        <v>1.0</v>
      </c>
      <c r="L205" s="5">
        <v>14528.0</v>
      </c>
      <c r="M205" s="11">
        <v>50.01749</v>
      </c>
      <c r="N205" s="11">
        <v>-120.83608</v>
      </c>
      <c r="O205" s="11" t="s">
        <v>142</v>
      </c>
      <c r="P205" s="11">
        <v>25095.0</v>
      </c>
      <c r="Q205" s="22">
        <v>2.0</v>
      </c>
      <c r="R205" s="11" t="s">
        <v>853</v>
      </c>
      <c r="S205" s="13" t="s">
        <v>856</v>
      </c>
      <c r="T205" s="11" t="s">
        <v>644</v>
      </c>
      <c r="U205" s="11">
        <v>945.0</v>
      </c>
      <c r="Z205" s="11"/>
      <c r="AA205" s="11" t="s">
        <v>857</v>
      </c>
      <c r="AB205" s="11"/>
      <c r="AC205" s="11"/>
      <c r="AD205" s="11"/>
      <c r="AE205" s="11"/>
      <c r="AF205" s="11"/>
      <c r="AG205" s="11"/>
      <c r="AH205" s="11"/>
      <c r="AI205" s="11"/>
    </row>
    <row r="206" ht="14.25" customHeight="1">
      <c r="A206" s="6"/>
      <c r="B206" s="5">
        <v>2.0</v>
      </c>
      <c r="C206" s="5" t="s">
        <v>637</v>
      </c>
      <c r="D206" s="5">
        <v>25221.0</v>
      </c>
      <c r="E206" s="5">
        <v>2710.0</v>
      </c>
      <c r="F206" s="5" t="s">
        <v>858</v>
      </c>
      <c r="G206" s="24" t="s">
        <v>859</v>
      </c>
      <c r="H206" s="5" t="s">
        <v>860</v>
      </c>
      <c r="I206" s="5" t="s">
        <v>641</v>
      </c>
      <c r="J206" s="5" t="s">
        <v>861</v>
      </c>
      <c r="K206" s="5">
        <v>1.0</v>
      </c>
      <c r="L206" s="5">
        <v>3453.0</v>
      </c>
      <c r="M206" s="11">
        <v>49.59406</v>
      </c>
      <c r="N206" s="10">
        <v>-121.09948</v>
      </c>
      <c r="O206" s="11" t="s">
        <v>51</v>
      </c>
      <c r="P206" s="11">
        <v>25221.0</v>
      </c>
      <c r="Q206" s="22">
        <v>6.0</v>
      </c>
      <c r="R206" s="11" t="s">
        <v>858</v>
      </c>
      <c r="S206" s="13" t="s">
        <v>862</v>
      </c>
      <c r="T206" s="11" t="s">
        <v>644</v>
      </c>
      <c r="U206" s="11">
        <v>1230.0</v>
      </c>
      <c r="Z206" s="11" t="s">
        <v>645</v>
      </c>
      <c r="AA206" s="11" t="s">
        <v>863</v>
      </c>
      <c r="AB206" s="11"/>
      <c r="AC206" s="23"/>
      <c r="AD206" s="11"/>
      <c r="AE206" s="11"/>
      <c r="AF206" s="11"/>
      <c r="AG206" s="11"/>
      <c r="AH206" s="11"/>
      <c r="AI206" s="11"/>
    </row>
    <row r="207" ht="14.25" customHeight="1">
      <c r="A207" s="6"/>
      <c r="B207" s="5">
        <v>2.0</v>
      </c>
      <c r="C207" s="5" t="s">
        <v>637</v>
      </c>
      <c r="D207" s="5">
        <v>25223.0</v>
      </c>
      <c r="E207" s="5">
        <v>2711.0</v>
      </c>
      <c r="F207" s="5" t="s">
        <v>864</v>
      </c>
      <c r="G207" s="24" t="s">
        <v>865</v>
      </c>
      <c r="H207" s="5" t="s">
        <v>866</v>
      </c>
      <c r="I207" s="5" t="s">
        <v>641</v>
      </c>
      <c r="J207" s="5" t="s">
        <v>867</v>
      </c>
      <c r="K207" s="5">
        <v>1.0</v>
      </c>
      <c r="L207" s="5">
        <v>3454.0</v>
      </c>
    </row>
    <row r="208" ht="14.25" customHeight="1">
      <c r="A208" s="6"/>
      <c r="B208" s="5">
        <v>2.0</v>
      </c>
      <c r="C208" s="5" t="s">
        <v>637</v>
      </c>
      <c r="D208" s="5">
        <v>25225.0</v>
      </c>
      <c r="E208" s="5">
        <v>2712.0</v>
      </c>
      <c r="F208" s="5" t="s">
        <v>868</v>
      </c>
      <c r="G208" s="21" t="s">
        <v>869</v>
      </c>
      <c r="H208" s="5" t="s">
        <v>870</v>
      </c>
      <c r="I208" s="5" t="s">
        <v>641</v>
      </c>
      <c r="J208" s="5" t="s">
        <v>871</v>
      </c>
      <c r="K208" s="5">
        <v>1.0</v>
      </c>
      <c r="L208" s="5">
        <v>3455.0</v>
      </c>
      <c r="M208" s="10">
        <v>49.59582</v>
      </c>
      <c r="N208" s="10">
        <v>-121.17805</v>
      </c>
      <c r="O208" s="11" t="s">
        <v>51</v>
      </c>
      <c r="P208" s="11">
        <v>25225.0</v>
      </c>
      <c r="Q208" s="22">
        <v>8.0</v>
      </c>
      <c r="R208" s="11" t="s">
        <v>868</v>
      </c>
      <c r="S208" s="13" t="s">
        <v>872</v>
      </c>
      <c r="T208" s="11" t="s">
        <v>644</v>
      </c>
      <c r="U208" s="11">
        <v>1710.0</v>
      </c>
      <c r="Z208" s="11"/>
      <c r="AA208" s="11" t="s">
        <v>873</v>
      </c>
      <c r="AB208" s="11"/>
      <c r="AC208" s="11"/>
      <c r="AD208" s="11"/>
      <c r="AE208" s="11"/>
      <c r="AF208" s="11"/>
      <c r="AG208" s="11"/>
      <c r="AH208" s="11"/>
      <c r="AI208" s="11"/>
    </row>
    <row r="209" ht="14.25" customHeight="1">
      <c r="A209" s="6"/>
      <c r="B209" s="5">
        <v>2.0</v>
      </c>
      <c r="C209" s="5" t="s">
        <v>637</v>
      </c>
      <c r="D209" s="5">
        <v>25226.0</v>
      </c>
      <c r="E209" s="5">
        <v>2713.0</v>
      </c>
      <c r="F209" s="5" t="s">
        <v>874</v>
      </c>
      <c r="G209" s="24" t="s">
        <v>875</v>
      </c>
      <c r="H209" s="5" t="s">
        <v>876</v>
      </c>
      <c r="I209" s="5" t="s">
        <v>641</v>
      </c>
      <c r="J209" s="5" t="s">
        <v>867</v>
      </c>
      <c r="K209" s="5">
        <v>1.0</v>
      </c>
      <c r="L209" s="5">
        <v>3456.0</v>
      </c>
    </row>
    <row r="210" ht="14.25" customHeight="1">
      <c r="A210" s="6"/>
      <c r="B210" s="5">
        <v>2.0</v>
      </c>
      <c r="C210" s="5" t="s">
        <v>637</v>
      </c>
      <c r="D210" s="5">
        <v>25227.0</v>
      </c>
      <c r="E210" s="5">
        <v>2714.0</v>
      </c>
      <c r="F210" s="5" t="s">
        <v>877</v>
      </c>
      <c r="G210" s="24" t="s">
        <v>878</v>
      </c>
      <c r="H210" s="5" t="s">
        <v>866</v>
      </c>
      <c r="I210" s="5" t="s">
        <v>641</v>
      </c>
      <c r="J210" s="5" t="s">
        <v>879</v>
      </c>
      <c r="K210" s="5">
        <v>1.0</v>
      </c>
      <c r="L210" s="5">
        <v>3457.0</v>
      </c>
    </row>
    <row r="211" ht="14.25" customHeight="1">
      <c r="A211" s="6"/>
      <c r="B211" s="5">
        <v>2.0</v>
      </c>
      <c r="C211" s="5" t="s">
        <v>637</v>
      </c>
      <c r="D211" s="5">
        <v>25229.0</v>
      </c>
      <c r="E211" s="5">
        <v>2715.0</v>
      </c>
      <c r="F211" s="5" t="s">
        <v>880</v>
      </c>
      <c r="G211" s="25" t="s">
        <v>881</v>
      </c>
      <c r="H211" s="5" t="s">
        <v>882</v>
      </c>
      <c r="I211" s="5" t="s">
        <v>641</v>
      </c>
      <c r="J211" s="5" t="s">
        <v>883</v>
      </c>
      <c r="K211" s="5">
        <v>1.0</v>
      </c>
      <c r="L211" s="5">
        <v>3458.0</v>
      </c>
      <c r="M211" s="10">
        <v>49.59924</v>
      </c>
      <c r="N211" s="10">
        <v>-121.17801</v>
      </c>
      <c r="O211" s="11" t="s">
        <v>51</v>
      </c>
      <c r="P211" s="11">
        <v>25229.0</v>
      </c>
      <c r="Q211" s="22">
        <v>8.0</v>
      </c>
      <c r="R211" s="11" t="s">
        <v>880</v>
      </c>
      <c r="S211" s="13" t="s">
        <v>884</v>
      </c>
      <c r="T211" s="11" t="s">
        <v>644</v>
      </c>
      <c r="U211" s="11">
        <v>1660.0</v>
      </c>
      <c r="Z211" s="11"/>
      <c r="AA211" s="11" t="s">
        <v>885</v>
      </c>
      <c r="AB211" s="11"/>
      <c r="AC211" s="11"/>
      <c r="AD211" s="11"/>
      <c r="AE211" s="11"/>
      <c r="AF211" s="11"/>
      <c r="AG211" s="11"/>
      <c r="AH211" s="11"/>
      <c r="AI211" s="11"/>
    </row>
    <row r="212" ht="14.25" customHeight="1">
      <c r="A212" s="6"/>
      <c r="B212" s="5">
        <v>2.0</v>
      </c>
      <c r="C212" s="5" t="s">
        <v>637</v>
      </c>
      <c r="D212" s="5">
        <v>26123.0</v>
      </c>
      <c r="E212" s="5">
        <v>2722.0</v>
      </c>
      <c r="F212" s="5" t="s">
        <v>886</v>
      </c>
      <c r="G212" s="24" t="s">
        <v>887</v>
      </c>
      <c r="H212" s="5" t="s">
        <v>888</v>
      </c>
      <c r="I212" s="5" t="s">
        <v>641</v>
      </c>
      <c r="J212" s="5" t="s">
        <v>674</v>
      </c>
      <c r="K212" s="5">
        <v>1.0</v>
      </c>
      <c r="L212" s="5">
        <v>3465.0</v>
      </c>
    </row>
    <row r="213" ht="14.25" customHeight="1">
      <c r="A213" s="6"/>
      <c r="B213" s="5">
        <v>2.0</v>
      </c>
      <c r="C213" s="5" t="s">
        <v>637</v>
      </c>
      <c r="D213" s="5">
        <v>26124.0</v>
      </c>
      <c r="E213" s="5">
        <v>11022.0</v>
      </c>
      <c r="F213" s="5" t="s">
        <v>889</v>
      </c>
      <c r="G213" s="21" t="s">
        <v>890</v>
      </c>
      <c r="H213" s="5" t="s">
        <v>891</v>
      </c>
      <c r="I213" s="5" t="s">
        <v>49</v>
      </c>
      <c r="J213" s="5" t="s">
        <v>710</v>
      </c>
      <c r="K213" s="5">
        <v>1.0</v>
      </c>
      <c r="L213" s="5">
        <v>13190.0</v>
      </c>
      <c r="M213" s="11">
        <v>50.81386</v>
      </c>
      <c r="N213" s="11">
        <v>-122.18831</v>
      </c>
      <c r="O213" s="11" t="s">
        <v>142</v>
      </c>
      <c r="P213" s="11">
        <v>26124.0</v>
      </c>
      <c r="Q213" s="22">
        <v>3.0</v>
      </c>
      <c r="R213" s="11" t="s">
        <v>889</v>
      </c>
      <c r="S213" s="13" t="s">
        <v>892</v>
      </c>
      <c r="T213" s="11" t="s">
        <v>644</v>
      </c>
      <c r="U213" s="11">
        <v>1070.0</v>
      </c>
      <c r="Z213" s="11"/>
      <c r="AA213" s="11" t="s">
        <v>893</v>
      </c>
      <c r="AB213" s="11"/>
      <c r="AC213" s="11"/>
      <c r="AD213" s="11"/>
      <c r="AE213" s="11"/>
      <c r="AF213" s="11"/>
      <c r="AG213" s="11"/>
      <c r="AH213" s="11"/>
      <c r="AI213" s="11"/>
    </row>
    <row r="214" ht="14.25" customHeight="1">
      <c r="A214" s="6"/>
      <c r="B214" s="5">
        <v>2.0</v>
      </c>
      <c r="C214" s="5" t="s">
        <v>637</v>
      </c>
      <c r="D214" s="5">
        <v>26125.0</v>
      </c>
      <c r="E214" s="5">
        <v>12468.0</v>
      </c>
      <c r="F214" s="5" t="s">
        <v>894</v>
      </c>
      <c r="G214" s="21" t="s">
        <v>895</v>
      </c>
      <c r="H214" s="5" t="s">
        <v>709</v>
      </c>
      <c r="I214" s="5" t="s">
        <v>49</v>
      </c>
      <c r="J214" s="5" t="s">
        <v>896</v>
      </c>
      <c r="K214" s="5">
        <v>1.0</v>
      </c>
      <c r="L214" s="5">
        <v>14490.0</v>
      </c>
      <c r="M214" s="11">
        <v>50.85442</v>
      </c>
      <c r="N214" s="11">
        <v>-122.83625</v>
      </c>
      <c r="O214" s="11" t="s">
        <v>142</v>
      </c>
      <c r="P214" s="11">
        <v>26125.0</v>
      </c>
      <c r="Q214" s="22">
        <v>1.0</v>
      </c>
      <c r="R214" s="11" t="s">
        <v>897</v>
      </c>
      <c r="S214" s="13" t="s">
        <v>898</v>
      </c>
      <c r="T214" s="11" t="s">
        <v>644</v>
      </c>
      <c r="U214" s="11">
        <v>685.0</v>
      </c>
      <c r="Z214" s="11"/>
      <c r="AA214" s="11" t="s">
        <v>899</v>
      </c>
      <c r="AB214" s="11"/>
      <c r="AC214" s="11"/>
      <c r="AD214" s="11"/>
      <c r="AE214" s="11"/>
      <c r="AF214" s="11"/>
      <c r="AG214" s="11"/>
      <c r="AH214" s="11"/>
      <c r="AI214" s="11"/>
    </row>
    <row r="215" ht="14.25" customHeight="1">
      <c r="A215" s="6"/>
      <c r="B215" s="5">
        <v>2.0</v>
      </c>
      <c r="C215" s="5" t="s">
        <v>637</v>
      </c>
      <c r="D215" s="5">
        <v>26221.0</v>
      </c>
      <c r="E215" s="5">
        <v>2731.0</v>
      </c>
      <c r="F215" s="5" t="s">
        <v>900</v>
      </c>
      <c r="G215" s="21" t="s">
        <v>901</v>
      </c>
      <c r="H215" s="5" t="s">
        <v>902</v>
      </c>
      <c r="I215" s="5" t="s">
        <v>641</v>
      </c>
      <c r="J215" s="5" t="s">
        <v>903</v>
      </c>
      <c r="K215" s="5">
        <v>1.0</v>
      </c>
      <c r="L215" s="5">
        <v>3474.0</v>
      </c>
      <c r="M215" s="11">
        <v>50.40694</v>
      </c>
      <c r="N215" s="11">
        <v>-122.25556</v>
      </c>
      <c r="O215" s="11" t="s">
        <v>142</v>
      </c>
      <c r="P215" s="11">
        <v>26221.0</v>
      </c>
      <c r="Q215" s="22">
        <v>8.0</v>
      </c>
      <c r="R215" s="11" t="s">
        <v>900</v>
      </c>
      <c r="S215" s="13" t="s">
        <v>904</v>
      </c>
      <c r="T215" s="11" t="s">
        <v>644</v>
      </c>
      <c r="U215" s="11">
        <v>2320.0</v>
      </c>
      <c r="Z215" s="11"/>
      <c r="AA215" s="11" t="s">
        <v>905</v>
      </c>
      <c r="AB215" s="11"/>
      <c r="AC215" s="11"/>
      <c r="AD215" s="11"/>
      <c r="AE215" s="11"/>
      <c r="AF215" s="11"/>
      <c r="AG215" s="11"/>
      <c r="AH215" s="11"/>
      <c r="AI215" s="11"/>
    </row>
    <row r="216" ht="14.25" customHeight="1">
      <c r="A216" s="6"/>
      <c r="B216" s="5">
        <v>2.0</v>
      </c>
      <c r="C216" s="5" t="s">
        <v>637</v>
      </c>
      <c r="D216" s="5">
        <v>26222.0</v>
      </c>
      <c r="E216" s="5">
        <v>2732.0</v>
      </c>
      <c r="F216" s="5" t="s">
        <v>906</v>
      </c>
      <c r="G216" s="21" t="s">
        <v>907</v>
      </c>
      <c r="H216" s="5" t="s">
        <v>908</v>
      </c>
      <c r="I216" s="5" t="s">
        <v>641</v>
      </c>
      <c r="J216" s="5" t="s">
        <v>909</v>
      </c>
      <c r="K216" s="5">
        <v>1.0</v>
      </c>
      <c r="L216" s="5">
        <v>3475.0</v>
      </c>
      <c r="M216" s="11">
        <v>50.40222</v>
      </c>
      <c r="N216" s="11">
        <v>-122.26472</v>
      </c>
      <c r="O216" s="11" t="s">
        <v>142</v>
      </c>
      <c r="P216" s="11">
        <v>26222.0</v>
      </c>
      <c r="Q216" s="22">
        <v>8.0</v>
      </c>
      <c r="R216" s="11" t="s">
        <v>906</v>
      </c>
      <c r="S216" s="13" t="s">
        <v>910</v>
      </c>
      <c r="T216" s="11" t="s">
        <v>644</v>
      </c>
      <c r="U216" s="11">
        <v>1890.0</v>
      </c>
      <c r="Z216" s="11"/>
      <c r="AA216" s="11" t="s">
        <v>911</v>
      </c>
      <c r="AB216" s="11"/>
      <c r="AC216" s="11"/>
      <c r="AD216" s="11"/>
      <c r="AE216" s="11"/>
      <c r="AF216" s="11"/>
      <c r="AG216" s="11"/>
      <c r="AH216" s="11"/>
      <c r="AI216" s="11"/>
    </row>
    <row r="217" ht="14.25" customHeight="1">
      <c r="A217" s="6" t="s">
        <v>912</v>
      </c>
      <c r="B217" s="5">
        <v>2.0</v>
      </c>
      <c r="C217" s="5" t="s">
        <v>637</v>
      </c>
      <c r="D217" s="5">
        <v>26224.0</v>
      </c>
      <c r="E217" s="5">
        <v>2733.0</v>
      </c>
      <c r="F217" s="5" t="s">
        <v>913</v>
      </c>
      <c r="G217" s="10" t="s">
        <v>914</v>
      </c>
      <c r="H217" s="5" t="s">
        <v>915</v>
      </c>
      <c r="I217" s="5" t="s">
        <v>641</v>
      </c>
      <c r="J217" s="5" t="s">
        <v>755</v>
      </c>
      <c r="K217" s="5">
        <v>1.0</v>
      </c>
      <c r="L217" s="5">
        <v>3476.0</v>
      </c>
      <c r="M217" s="26">
        <v>50.37978</v>
      </c>
      <c r="N217" s="10">
        <v>-122.47403</v>
      </c>
      <c r="O217" s="11" t="s">
        <v>142</v>
      </c>
      <c r="P217" s="11">
        <v>26224.0</v>
      </c>
      <c r="Q217" s="22">
        <v>5.0</v>
      </c>
      <c r="R217" s="11" t="s">
        <v>913</v>
      </c>
      <c r="S217" s="13" t="s">
        <v>916</v>
      </c>
      <c r="T217" s="11" t="s">
        <v>644</v>
      </c>
      <c r="U217" s="10">
        <v>1250.0</v>
      </c>
      <c r="Z217" s="11"/>
      <c r="AA217" s="11" t="s">
        <v>917</v>
      </c>
      <c r="AB217" s="11"/>
      <c r="AC217" s="11"/>
      <c r="AD217" s="11"/>
      <c r="AE217" s="11"/>
      <c r="AF217" s="11"/>
      <c r="AG217" s="11"/>
      <c r="AH217" s="11"/>
      <c r="AI217" s="11"/>
    </row>
    <row r="218" ht="14.25" customHeight="1">
      <c r="A218" s="6"/>
      <c r="B218" s="5">
        <v>2.0</v>
      </c>
      <c r="C218" s="5" t="s">
        <v>637</v>
      </c>
      <c r="D218" s="5">
        <v>26501.0</v>
      </c>
      <c r="E218" s="5">
        <v>2734.0</v>
      </c>
      <c r="F218" s="5" t="s">
        <v>918</v>
      </c>
      <c r="G218" s="21" t="s">
        <v>919</v>
      </c>
      <c r="H218" s="5" t="s">
        <v>920</v>
      </c>
      <c r="I218" s="5" t="s">
        <v>641</v>
      </c>
      <c r="J218" s="5" t="s">
        <v>921</v>
      </c>
      <c r="K218" s="5">
        <v>1.0</v>
      </c>
      <c r="L218" s="5">
        <v>3477.0</v>
      </c>
      <c r="M218" s="27">
        <v>50.74</v>
      </c>
      <c r="N218" s="11">
        <v>-121.86167</v>
      </c>
      <c r="O218" s="11" t="s">
        <v>142</v>
      </c>
      <c r="P218" s="11">
        <v>26501.0</v>
      </c>
      <c r="Q218" s="22">
        <v>1.0</v>
      </c>
      <c r="R218" s="11" t="s">
        <v>918</v>
      </c>
      <c r="S218" s="13" t="s">
        <v>922</v>
      </c>
      <c r="T218" s="11" t="s">
        <v>644</v>
      </c>
      <c r="U218" s="11">
        <v>378.0</v>
      </c>
      <c r="Z218" s="11" t="s">
        <v>645</v>
      </c>
      <c r="AA218" s="11" t="s">
        <v>923</v>
      </c>
      <c r="AB218" s="11"/>
      <c r="AC218" s="23"/>
      <c r="AD218" s="11"/>
      <c r="AE218" s="11"/>
      <c r="AF218" s="11"/>
      <c r="AG218" s="11"/>
      <c r="AH218" s="11"/>
      <c r="AI218" s="11"/>
    </row>
    <row r="219" ht="14.25" customHeight="1">
      <c r="A219" s="6" t="s">
        <v>328</v>
      </c>
      <c r="B219" s="5">
        <v>2.0</v>
      </c>
      <c r="C219" s="12" t="s">
        <v>688</v>
      </c>
      <c r="D219" s="12" t="s">
        <v>924</v>
      </c>
      <c r="F219" s="12" t="s">
        <v>925</v>
      </c>
      <c r="G219" s="12" t="s">
        <v>926</v>
      </c>
      <c r="I219" s="10" t="s">
        <v>927</v>
      </c>
      <c r="M219" s="10">
        <v>50.62331</v>
      </c>
      <c r="N219" s="11">
        <v>-122.4432</v>
      </c>
      <c r="O219" s="11" t="s">
        <v>142</v>
      </c>
      <c r="P219" s="11">
        <v>26521.0</v>
      </c>
      <c r="Q219" s="22">
        <v>2.0</v>
      </c>
      <c r="R219" s="11" t="s">
        <v>928</v>
      </c>
      <c r="S219" s="13" t="s">
        <v>929</v>
      </c>
      <c r="T219" s="11" t="s">
        <v>644</v>
      </c>
      <c r="U219" s="28">
        <v>742.0</v>
      </c>
      <c r="Z219" s="11"/>
      <c r="AA219" s="11" t="s">
        <v>930</v>
      </c>
      <c r="AB219" s="11"/>
      <c r="AC219" s="11"/>
      <c r="AD219" s="11"/>
      <c r="AE219" s="11"/>
      <c r="AF219" s="11"/>
      <c r="AG219" s="11"/>
      <c r="AH219" s="11"/>
      <c r="AI219" s="11"/>
    </row>
    <row r="220" ht="14.25" customHeight="1">
      <c r="A220" s="6" t="s">
        <v>88</v>
      </c>
      <c r="B220" s="5">
        <v>2.0</v>
      </c>
      <c r="C220" s="5" t="s">
        <v>637</v>
      </c>
      <c r="D220" s="5">
        <v>28071.0</v>
      </c>
      <c r="E220" s="5">
        <v>12469.0</v>
      </c>
      <c r="F220" s="5" t="s">
        <v>931</v>
      </c>
      <c r="G220" s="10" t="s">
        <v>932</v>
      </c>
      <c r="H220" s="5" t="s">
        <v>709</v>
      </c>
      <c r="I220" s="5" t="s">
        <v>49</v>
      </c>
      <c r="J220" s="5" t="s">
        <v>933</v>
      </c>
      <c r="K220" s="5">
        <v>1.0</v>
      </c>
      <c r="L220" s="5">
        <v>14491.0</v>
      </c>
      <c r="M220" s="11">
        <v>51.14693</v>
      </c>
      <c r="N220" s="11">
        <v>-121.50162</v>
      </c>
      <c r="O220" s="11" t="s">
        <v>148</v>
      </c>
      <c r="P220" s="11">
        <v>28071.0</v>
      </c>
      <c r="Q220" s="22">
        <v>4.0</v>
      </c>
      <c r="R220" s="11" t="s">
        <v>931</v>
      </c>
      <c r="S220" s="13" t="s">
        <v>934</v>
      </c>
      <c r="T220" s="11" t="s">
        <v>644</v>
      </c>
      <c r="U220" s="11">
        <v>1049.0</v>
      </c>
      <c r="Z220" s="11"/>
      <c r="AA220" s="11" t="s">
        <v>935</v>
      </c>
      <c r="AB220" s="11"/>
      <c r="AC220" s="11"/>
      <c r="AD220" s="11"/>
      <c r="AE220" s="11"/>
      <c r="AF220" s="11"/>
      <c r="AG220" s="11"/>
      <c r="AH220" s="11"/>
      <c r="AI220" s="11"/>
    </row>
    <row r="221" ht="14.25" customHeight="1">
      <c r="A221" s="6" t="s">
        <v>88</v>
      </c>
      <c r="B221" s="5">
        <v>2.0</v>
      </c>
      <c r="C221" s="5" t="s">
        <v>637</v>
      </c>
      <c r="D221" s="5">
        <v>28072.0</v>
      </c>
      <c r="E221" s="5">
        <v>12510.0</v>
      </c>
      <c r="F221" s="5" t="s">
        <v>936</v>
      </c>
      <c r="G221" s="10" t="s">
        <v>937</v>
      </c>
      <c r="H221" s="5" t="s">
        <v>938</v>
      </c>
      <c r="I221" s="5" t="s">
        <v>49</v>
      </c>
      <c r="J221" s="5" t="s">
        <v>939</v>
      </c>
      <c r="K221" s="5">
        <v>1.0</v>
      </c>
      <c r="L221" s="5">
        <v>14532.0</v>
      </c>
      <c r="M221" s="10">
        <v>51.19287</v>
      </c>
      <c r="N221" s="10">
        <v>-121.5295</v>
      </c>
      <c r="O221" s="10"/>
      <c r="P221" s="10">
        <v>28072.0</v>
      </c>
      <c r="Q221" s="10"/>
      <c r="R221" s="10" t="s">
        <v>936</v>
      </c>
      <c r="S221" s="10"/>
      <c r="T221" s="10"/>
      <c r="U221" s="10">
        <v>1093.0</v>
      </c>
      <c r="Z221" s="10"/>
      <c r="AA221" s="10" t="s">
        <v>940</v>
      </c>
    </row>
    <row r="222" ht="14.25" customHeight="1">
      <c r="A222" s="6"/>
      <c r="B222" s="5">
        <v>2.0</v>
      </c>
      <c r="C222" s="5" t="s">
        <v>637</v>
      </c>
      <c r="D222" s="5">
        <v>28093.0</v>
      </c>
      <c r="E222" s="5">
        <v>2737.0</v>
      </c>
      <c r="F222" s="5" t="s">
        <v>941</v>
      </c>
      <c r="G222" s="21" t="s">
        <v>942</v>
      </c>
      <c r="H222" s="5" t="s">
        <v>943</v>
      </c>
      <c r="I222" s="5" t="s">
        <v>641</v>
      </c>
      <c r="J222" s="5" t="s">
        <v>642</v>
      </c>
      <c r="K222" s="5">
        <v>1.0</v>
      </c>
      <c r="L222" s="5">
        <v>3480.0</v>
      </c>
      <c r="M222" s="10">
        <v>51.47611</v>
      </c>
      <c r="N222" s="10">
        <v>-121.37083</v>
      </c>
      <c r="O222" s="11" t="s">
        <v>148</v>
      </c>
      <c r="P222" s="11">
        <v>28093.0</v>
      </c>
      <c r="Q222" s="22">
        <v>5.0</v>
      </c>
      <c r="R222" s="11" t="s">
        <v>941</v>
      </c>
      <c r="S222" s="13" t="s">
        <v>944</v>
      </c>
      <c r="T222" s="11" t="s">
        <v>644</v>
      </c>
      <c r="U222" s="11">
        <v>1127.0</v>
      </c>
      <c r="Z222" s="11" t="s">
        <v>645</v>
      </c>
      <c r="AA222" s="11" t="s">
        <v>945</v>
      </c>
      <c r="AB222" s="11"/>
      <c r="AC222" s="23"/>
      <c r="AD222" s="11"/>
      <c r="AE222" s="11"/>
      <c r="AF222" s="11"/>
      <c r="AG222" s="11"/>
      <c r="AH222" s="11"/>
      <c r="AI222" s="11"/>
    </row>
    <row r="223" ht="14.25" customHeight="1">
      <c r="A223" s="6"/>
      <c r="B223" s="5">
        <v>2.0</v>
      </c>
      <c r="C223" s="5" t="s">
        <v>637</v>
      </c>
      <c r="D223" s="5">
        <v>29092.0</v>
      </c>
      <c r="E223" s="5">
        <v>2739.0</v>
      </c>
      <c r="F223" s="29" t="s">
        <v>946</v>
      </c>
      <c r="G223" s="30" t="s">
        <v>947</v>
      </c>
      <c r="H223" s="5" t="s">
        <v>948</v>
      </c>
      <c r="I223" s="5" t="s">
        <v>641</v>
      </c>
      <c r="J223" s="5" t="s">
        <v>755</v>
      </c>
      <c r="K223" s="5">
        <v>1.0</v>
      </c>
      <c r="L223" s="5">
        <v>3482.0</v>
      </c>
      <c r="M223" s="29">
        <v>49.90672</v>
      </c>
      <c r="N223" s="29">
        <v>-120.01336</v>
      </c>
      <c r="O223" s="29" t="s">
        <v>142</v>
      </c>
      <c r="P223" s="29">
        <v>29092.0</v>
      </c>
      <c r="Q223" s="31">
        <v>7.0</v>
      </c>
      <c r="R223" s="29" t="s">
        <v>946</v>
      </c>
      <c r="S223" s="32" t="s">
        <v>949</v>
      </c>
      <c r="T223" s="29" t="s">
        <v>644</v>
      </c>
      <c r="U223" s="29">
        <v>1700.0</v>
      </c>
      <c r="V223" s="29"/>
      <c r="W223" s="29"/>
      <c r="X223" s="29"/>
      <c r="Y223" s="29"/>
      <c r="Z223" s="29" t="s">
        <v>645</v>
      </c>
      <c r="AA223" s="29" t="s">
        <v>950</v>
      </c>
      <c r="AB223" s="29"/>
      <c r="AC223" s="33"/>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row>
    <row r="224" ht="14.25" customHeight="1">
      <c r="A224" s="6"/>
      <c r="B224" s="5">
        <v>2.0</v>
      </c>
      <c r="C224" s="5" t="s">
        <v>637</v>
      </c>
      <c r="D224" s="5">
        <v>29093.0</v>
      </c>
      <c r="E224" s="5">
        <v>12470.0</v>
      </c>
      <c r="F224" s="29" t="s">
        <v>951</v>
      </c>
      <c r="G224" s="30" t="s">
        <v>952</v>
      </c>
      <c r="H224" s="5" t="s">
        <v>709</v>
      </c>
      <c r="I224" s="5" t="s">
        <v>49</v>
      </c>
      <c r="J224" s="5" t="s">
        <v>953</v>
      </c>
      <c r="K224" s="5">
        <v>1.0</v>
      </c>
      <c r="L224" s="5">
        <v>14492.0</v>
      </c>
      <c r="M224" s="29">
        <v>49.93951</v>
      </c>
      <c r="N224" s="29">
        <v>-120.54637</v>
      </c>
      <c r="O224" s="29" t="s">
        <v>142</v>
      </c>
      <c r="P224" s="29">
        <v>29093.0</v>
      </c>
      <c r="Q224" s="31">
        <v>3.0</v>
      </c>
      <c r="R224" s="29" t="s">
        <v>951</v>
      </c>
      <c r="S224" s="32" t="s">
        <v>954</v>
      </c>
      <c r="T224" s="29" t="s">
        <v>644</v>
      </c>
      <c r="U224" s="29">
        <v>1045.0</v>
      </c>
      <c r="V224" s="29"/>
      <c r="W224" s="29"/>
      <c r="X224" s="29"/>
      <c r="Y224" s="29"/>
      <c r="Z224" s="29"/>
      <c r="AA224" s="29" t="s">
        <v>955</v>
      </c>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row>
    <row r="225" ht="14.25" customHeight="1">
      <c r="A225" s="6"/>
      <c r="B225" s="5">
        <v>2.0</v>
      </c>
      <c r="C225" s="5" t="s">
        <v>637</v>
      </c>
      <c r="D225" s="5">
        <v>29094.0</v>
      </c>
      <c r="E225" s="5">
        <v>12471.0</v>
      </c>
      <c r="F225" s="29" t="s">
        <v>956</v>
      </c>
      <c r="G225" s="30" t="s">
        <v>957</v>
      </c>
      <c r="H225" s="5" t="s">
        <v>958</v>
      </c>
      <c r="I225" s="5" t="s">
        <v>49</v>
      </c>
      <c r="J225" s="5" t="s">
        <v>959</v>
      </c>
      <c r="K225" s="5">
        <v>1.0</v>
      </c>
      <c r="L225" s="5">
        <v>14493.0</v>
      </c>
      <c r="M225" s="11">
        <v>49.86973</v>
      </c>
      <c r="N225" s="11">
        <v>-119.93686</v>
      </c>
      <c r="O225" s="11" t="s">
        <v>142</v>
      </c>
      <c r="P225" s="11">
        <v>29094.0</v>
      </c>
      <c r="Q225" s="22">
        <v>4.0</v>
      </c>
      <c r="R225" s="11" t="s">
        <v>956</v>
      </c>
      <c r="S225" s="13" t="s">
        <v>960</v>
      </c>
      <c r="T225" s="11" t="s">
        <v>644</v>
      </c>
      <c r="U225" s="29">
        <v>1270.0</v>
      </c>
      <c r="V225" s="29"/>
      <c r="W225" s="29"/>
      <c r="X225" s="29"/>
      <c r="Y225" s="29"/>
      <c r="Z225" s="29"/>
      <c r="AA225" s="29" t="s">
        <v>961</v>
      </c>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row>
    <row r="226" ht="14.25" customHeight="1">
      <c r="A226" s="6"/>
      <c r="B226" s="5">
        <v>2.0</v>
      </c>
      <c r="C226" s="5" t="s">
        <v>637</v>
      </c>
      <c r="D226" s="5">
        <v>31091.0</v>
      </c>
      <c r="E226" s="5">
        <v>2742.0</v>
      </c>
      <c r="F226" s="5" t="s">
        <v>962</v>
      </c>
      <c r="G226" s="21" t="s">
        <v>963</v>
      </c>
      <c r="H226" s="5" t="s">
        <v>964</v>
      </c>
      <c r="I226" s="5" t="s">
        <v>641</v>
      </c>
      <c r="J226" s="5" t="s">
        <v>642</v>
      </c>
      <c r="K226" s="5">
        <v>1.0</v>
      </c>
      <c r="L226" s="5">
        <v>3485.0</v>
      </c>
      <c r="M226" s="11">
        <v>49.37333</v>
      </c>
      <c r="N226" s="11">
        <v>-117.2425</v>
      </c>
      <c r="O226" s="11" t="s">
        <v>170</v>
      </c>
      <c r="P226" s="11">
        <v>31091.0</v>
      </c>
      <c r="Q226" s="22">
        <v>1.0</v>
      </c>
      <c r="R226" s="11" t="s">
        <v>962</v>
      </c>
      <c r="S226" s="13" t="s">
        <v>965</v>
      </c>
      <c r="T226" s="11" t="s">
        <v>644</v>
      </c>
      <c r="U226" s="11">
        <v>860.0</v>
      </c>
      <c r="Z226" s="11" t="s">
        <v>645</v>
      </c>
      <c r="AA226" s="11" t="s">
        <v>966</v>
      </c>
      <c r="AB226" s="11"/>
      <c r="AC226" s="23"/>
      <c r="AD226" s="11"/>
      <c r="AE226" s="11"/>
      <c r="AF226" s="11"/>
      <c r="AG226" s="11"/>
      <c r="AH226" s="11"/>
      <c r="AI226" s="11"/>
    </row>
    <row r="227" ht="14.25" customHeight="1">
      <c r="A227" s="6"/>
      <c r="B227" s="5">
        <v>2.0</v>
      </c>
      <c r="C227" s="5" t="s">
        <v>637</v>
      </c>
      <c r="D227" s="5">
        <v>31092.0</v>
      </c>
      <c r="E227" s="5">
        <v>11023.0</v>
      </c>
      <c r="F227" s="5" t="s">
        <v>967</v>
      </c>
      <c r="G227" s="21" t="s">
        <v>968</v>
      </c>
      <c r="H227" s="5" t="s">
        <v>969</v>
      </c>
      <c r="I227" s="5" t="s">
        <v>49</v>
      </c>
      <c r="J227" s="5" t="s">
        <v>710</v>
      </c>
      <c r="K227" s="5">
        <v>1.0</v>
      </c>
      <c r="L227" s="5">
        <v>13191.0</v>
      </c>
      <c r="M227" s="11">
        <v>49.48772</v>
      </c>
      <c r="N227" s="11">
        <v>-117.41986</v>
      </c>
      <c r="O227" s="11" t="s">
        <v>170</v>
      </c>
      <c r="P227" s="11">
        <v>31092.0</v>
      </c>
      <c r="Q227" s="22">
        <v>1.0</v>
      </c>
      <c r="R227" s="11" t="s">
        <v>967</v>
      </c>
      <c r="S227" s="13" t="s">
        <v>970</v>
      </c>
      <c r="T227" s="11" t="s">
        <v>644</v>
      </c>
      <c r="U227" s="11">
        <v>580.0</v>
      </c>
      <c r="Z227" s="11"/>
      <c r="AA227" s="11" t="s">
        <v>971</v>
      </c>
      <c r="AB227" s="11"/>
      <c r="AC227" s="11"/>
      <c r="AD227" s="11"/>
      <c r="AE227" s="11"/>
      <c r="AF227" s="11"/>
      <c r="AG227" s="11"/>
      <c r="AH227" s="11"/>
      <c r="AI227" s="11"/>
    </row>
    <row r="228" ht="14.25" customHeight="1">
      <c r="A228" s="6"/>
      <c r="B228" s="5">
        <v>2.0</v>
      </c>
      <c r="C228" s="5" t="s">
        <v>637</v>
      </c>
      <c r="D228" s="5">
        <v>31321.0</v>
      </c>
      <c r="E228" s="5">
        <v>2746.0</v>
      </c>
      <c r="F228" s="5" t="s">
        <v>972</v>
      </c>
      <c r="G228" s="21" t="s">
        <v>973</v>
      </c>
      <c r="H228" s="5" t="s">
        <v>974</v>
      </c>
      <c r="I228" s="5" t="s">
        <v>641</v>
      </c>
      <c r="J228" s="5" t="s">
        <v>975</v>
      </c>
      <c r="K228" s="5">
        <v>1.0</v>
      </c>
      <c r="L228" s="5">
        <v>3489.0</v>
      </c>
      <c r="M228" s="11">
        <v>49.41778</v>
      </c>
      <c r="N228" s="11">
        <v>-117.16111</v>
      </c>
      <c r="O228" s="11" t="s">
        <v>170</v>
      </c>
      <c r="P228" s="11">
        <v>31321.0</v>
      </c>
      <c r="Q228" s="22">
        <v>7.0</v>
      </c>
      <c r="R228" s="11" t="s">
        <v>972</v>
      </c>
      <c r="S228" s="13" t="s">
        <v>976</v>
      </c>
      <c r="T228" s="11" t="s">
        <v>644</v>
      </c>
      <c r="U228" s="11">
        <v>1990.0</v>
      </c>
      <c r="Z228" s="11"/>
      <c r="AA228" s="11" t="s">
        <v>977</v>
      </c>
      <c r="AB228" s="11"/>
      <c r="AC228" s="11"/>
      <c r="AD228" s="11"/>
      <c r="AE228" s="11"/>
      <c r="AF228" s="11"/>
      <c r="AG228" s="11"/>
      <c r="AH228" s="11"/>
      <c r="AI228" s="11"/>
    </row>
    <row r="229" ht="14.25" customHeight="1">
      <c r="A229" s="6"/>
      <c r="B229" s="5">
        <v>2.0</v>
      </c>
      <c r="C229" s="5" t="s">
        <v>637</v>
      </c>
      <c r="D229" s="5">
        <v>32091.0</v>
      </c>
      <c r="E229" s="5">
        <v>12472.0</v>
      </c>
      <c r="F229" s="5" t="s">
        <v>978</v>
      </c>
      <c r="G229" s="21" t="s">
        <v>979</v>
      </c>
      <c r="H229" s="5" t="s">
        <v>709</v>
      </c>
      <c r="I229" s="5" t="s">
        <v>49</v>
      </c>
      <c r="J229" s="5" t="s">
        <v>710</v>
      </c>
      <c r="K229" s="5">
        <v>1.0</v>
      </c>
      <c r="L229" s="5">
        <v>14494.0</v>
      </c>
      <c r="M229" s="11">
        <v>49.18708</v>
      </c>
      <c r="N229" s="11">
        <v>-117.44001</v>
      </c>
      <c r="O229" s="11" t="s">
        <v>170</v>
      </c>
      <c r="P229" s="11">
        <v>32091.0</v>
      </c>
      <c r="Q229" s="22">
        <v>1.0</v>
      </c>
      <c r="R229" s="11" t="s">
        <v>978</v>
      </c>
      <c r="S229" s="13" t="s">
        <v>980</v>
      </c>
      <c r="T229" s="11" t="s">
        <v>644</v>
      </c>
      <c r="U229" s="11">
        <v>700.0</v>
      </c>
      <c r="Z229" s="11"/>
      <c r="AA229" s="11" t="s">
        <v>981</v>
      </c>
      <c r="AB229" s="11"/>
      <c r="AC229" s="11"/>
      <c r="AD229" s="11"/>
      <c r="AE229" s="11"/>
      <c r="AF229" s="11"/>
      <c r="AG229" s="11"/>
      <c r="AH229" s="11"/>
      <c r="AI229" s="11"/>
    </row>
    <row r="230" ht="14.25" customHeight="1">
      <c r="A230" s="6"/>
      <c r="B230" s="5">
        <v>2.0</v>
      </c>
      <c r="C230" s="5" t="s">
        <v>637</v>
      </c>
      <c r="D230" s="5">
        <v>32221.0</v>
      </c>
      <c r="E230" s="5">
        <v>2751.0</v>
      </c>
      <c r="F230" s="29" t="s">
        <v>982</v>
      </c>
      <c r="G230" s="21" t="s">
        <v>983</v>
      </c>
      <c r="H230" s="5" t="s">
        <v>984</v>
      </c>
      <c r="I230" s="5" t="s">
        <v>641</v>
      </c>
      <c r="J230" s="5" t="s">
        <v>755</v>
      </c>
      <c r="K230" s="5">
        <v>1.0</v>
      </c>
      <c r="L230" s="5">
        <v>3494.0</v>
      </c>
      <c r="M230" s="29">
        <v>49.20417</v>
      </c>
      <c r="N230" s="29">
        <v>-117.88889</v>
      </c>
      <c r="O230" s="29" t="s">
        <v>170</v>
      </c>
      <c r="P230" s="29">
        <v>32221.0</v>
      </c>
      <c r="Q230" s="31">
        <v>5.0</v>
      </c>
      <c r="R230" s="29" t="s">
        <v>982</v>
      </c>
      <c r="S230" s="32" t="s">
        <v>985</v>
      </c>
      <c r="T230" s="29" t="s">
        <v>644</v>
      </c>
      <c r="U230" s="29">
        <v>1600.0</v>
      </c>
      <c r="V230" s="29"/>
      <c r="W230" s="29"/>
      <c r="X230" s="29"/>
      <c r="Y230" s="29"/>
      <c r="Z230" s="29" t="s">
        <v>645</v>
      </c>
      <c r="AA230" s="29" t="s">
        <v>986</v>
      </c>
      <c r="AB230" s="29"/>
      <c r="AC230" s="33"/>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row>
    <row r="231" ht="14.25" customHeight="1">
      <c r="A231" s="6"/>
      <c r="B231" s="5">
        <v>2.0</v>
      </c>
      <c r="C231" s="5" t="s">
        <v>637</v>
      </c>
      <c r="D231" s="5">
        <v>33093.0</v>
      </c>
      <c r="E231" s="5">
        <v>2760.0</v>
      </c>
      <c r="F231" s="29" t="s">
        <v>987</v>
      </c>
      <c r="G231" s="21" t="s">
        <v>988</v>
      </c>
      <c r="H231" s="5" t="s">
        <v>989</v>
      </c>
      <c r="I231" s="5" t="s">
        <v>641</v>
      </c>
      <c r="J231" s="5" t="s">
        <v>755</v>
      </c>
      <c r="K231" s="5">
        <v>1.0</v>
      </c>
      <c r="L231" s="5">
        <v>3503.0</v>
      </c>
      <c r="M231" s="29">
        <v>49.00556</v>
      </c>
      <c r="N231" s="29">
        <v>-119.31361</v>
      </c>
      <c r="O231" s="29" t="s">
        <v>142</v>
      </c>
      <c r="P231" s="34">
        <v>33093.0</v>
      </c>
      <c r="Q231" s="31">
        <v>3.0</v>
      </c>
      <c r="R231" s="29" t="s">
        <v>987</v>
      </c>
      <c r="S231" s="32" t="s">
        <v>990</v>
      </c>
      <c r="T231" s="29" t="s">
        <v>644</v>
      </c>
      <c r="U231" s="29">
        <v>1097.0</v>
      </c>
      <c r="V231" s="29"/>
      <c r="W231" s="29"/>
      <c r="X231" s="29"/>
      <c r="Y231" s="29"/>
      <c r="Z231" s="29" t="s">
        <v>645</v>
      </c>
      <c r="AA231" s="29" t="s">
        <v>991</v>
      </c>
      <c r="AB231" s="29"/>
      <c r="AC231" s="33"/>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row>
    <row r="232" ht="14.25" customHeight="1">
      <c r="A232" s="6" t="s">
        <v>772</v>
      </c>
      <c r="B232" s="5">
        <v>2.0</v>
      </c>
      <c r="C232" s="5" t="s">
        <v>637</v>
      </c>
      <c r="D232" s="5">
        <v>33095.0</v>
      </c>
      <c r="E232" s="5">
        <v>13017.0</v>
      </c>
      <c r="F232" s="35" t="s">
        <v>992</v>
      </c>
      <c r="G232" s="10" t="s">
        <v>993</v>
      </c>
      <c r="H232" s="5" t="s">
        <v>792</v>
      </c>
      <c r="I232" s="5" t="s">
        <v>49</v>
      </c>
      <c r="J232" s="5" t="s">
        <v>793</v>
      </c>
      <c r="K232" s="5">
        <v>1.0</v>
      </c>
      <c r="L232" s="5">
        <v>14949.0</v>
      </c>
      <c r="M232" s="29">
        <v>49.14818</v>
      </c>
      <c r="N232" s="29">
        <v>-118.53021</v>
      </c>
      <c r="O232" s="29" t="s">
        <v>170</v>
      </c>
      <c r="P232" s="34">
        <v>33095.0</v>
      </c>
      <c r="Q232" s="31">
        <v>2.0</v>
      </c>
      <c r="R232" s="29" t="s">
        <v>994</v>
      </c>
      <c r="S232" s="32" t="s">
        <v>995</v>
      </c>
      <c r="T232" s="29" t="s">
        <v>644</v>
      </c>
      <c r="U232" s="29">
        <v>998.0</v>
      </c>
      <c r="V232" s="29"/>
      <c r="W232" s="29"/>
      <c r="X232" s="29"/>
      <c r="Y232" s="29"/>
      <c r="Z232" s="29"/>
      <c r="AA232" s="29" t="s">
        <v>996</v>
      </c>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row>
    <row r="233" ht="14.25" customHeight="1">
      <c r="A233" s="6" t="s">
        <v>88</v>
      </c>
      <c r="B233" s="5">
        <v>2.0</v>
      </c>
      <c r="C233" s="5" t="s">
        <v>637</v>
      </c>
      <c r="D233" s="5">
        <v>33099.0</v>
      </c>
      <c r="E233" s="5">
        <v>2761.0</v>
      </c>
      <c r="F233" s="5" t="s">
        <v>997</v>
      </c>
      <c r="G233" s="10" t="s">
        <v>998</v>
      </c>
      <c r="H233" s="5" t="s">
        <v>999</v>
      </c>
      <c r="I233" s="5" t="s">
        <v>641</v>
      </c>
      <c r="J233" s="5" t="s">
        <v>642</v>
      </c>
      <c r="K233" s="5">
        <v>1.0</v>
      </c>
      <c r="L233" s="5">
        <v>3504.0</v>
      </c>
      <c r="M233" s="11">
        <v>49.75778</v>
      </c>
      <c r="N233" s="11">
        <v>-119.12639</v>
      </c>
      <c r="O233" s="11" t="s">
        <v>142</v>
      </c>
      <c r="P233" s="11">
        <v>33099.0</v>
      </c>
      <c r="Q233" s="22">
        <v>4.0</v>
      </c>
      <c r="R233" s="11" t="s">
        <v>997</v>
      </c>
      <c r="S233" s="13" t="s">
        <v>1000</v>
      </c>
      <c r="T233" s="11" t="s">
        <v>644</v>
      </c>
      <c r="U233" s="11">
        <v>1200.0</v>
      </c>
      <c r="Z233" s="11"/>
      <c r="AA233" s="11" t="s">
        <v>1001</v>
      </c>
      <c r="AB233" s="11"/>
      <c r="AC233" s="11"/>
      <c r="AD233" s="11"/>
      <c r="AE233" s="11"/>
      <c r="AF233" s="11"/>
      <c r="AG233" s="11"/>
      <c r="AH233" s="11"/>
      <c r="AI233" s="11"/>
    </row>
    <row r="234" ht="14.25" customHeight="1">
      <c r="A234" s="6"/>
      <c r="B234" s="5">
        <v>2.0</v>
      </c>
      <c r="C234" s="5" t="s">
        <v>637</v>
      </c>
      <c r="D234" s="5">
        <v>33121.0</v>
      </c>
      <c r="E234" s="5">
        <v>2763.0</v>
      </c>
      <c r="F234" s="5" t="s">
        <v>1002</v>
      </c>
      <c r="G234" s="21" t="s">
        <v>1003</v>
      </c>
      <c r="H234" s="5" t="s">
        <v>1004</v>
      </c>
      <c r="I234" s="5" t="s">
        <v>641</v>
      </c>
      <c r="J234" s="5" t="s">
        <v>825</v>
      </c>
      <c r="K234" s="5">
        <v>1.0</v>
      </c>
      <c r="L234" s="5">
        <v>3506.0</v>
      </c>
      <c r="M234" s="36">
        <v>49.15997</v>
      </c>
      <c r="N234" s="36">
        <v>-118.10936</v>
      </c>
      <c r="O234" s="37" t="s">
        <v>170</v>
      </c>
      <c r="P234" s="11">
        <v>33121.0</v>
      </c>
      <c r="Q234" s="22">
        <v>5.0</v>
      </c>
      <c r="R234" s="36" t="s">
        <v>1002</v>
      </c>
      <c r="S234" s="13" t="s">
        <v>1005</v>
      </c>
      <c r="T234" s="11" t="s">
        <v>644</v>
      </c>
      <c r="U234" s="11">
        <v>1570.0</v>
      </c>
      <c r="Z234" s="11"/>
      <c r="AA234" s="11" t="s">
        <v>1006</v>
      </c>
      <c r="AB234" s="11"/>
      <c r="AC234" s="11"/>
      <c r="AD234" s="11"/>
      <c r="AE234" s="11"/>
      <c r="AF234" s="11"/>
      <c r="AG234" s="11"/>
      <c r="AH234" s="11"/>
      <c r="AI234" s="11"/>
    </row>
    <row r="235" ht="14.25" customHeight="1">
      <c r="A235" s="6"/>
      <c r="B235" s="5">
        <v>2.0</v>
      </c>
      <c r="C235" s="5" t="s">
        <v>637</v>
      </c>
      <c r="D235" s="5">
        <v>33122.0</v>
      </c>
      <c r="E235" s="5">
        <v>2764.0</v>
      </c>
      <c r="F235" s="29" t="s">
        <v>1007</v>
      </c>
      <c r="G235" s="21" t="s">
        <v>1008</v>
      </c>
      <c r="H235" s="5" t="s">
        <v>1009</v>
      </c>
      <c r="I235" s="5" t="s">
        <v>641</v>
      </c>
      <c r="J235" s="5" t="s">
        <v>755</v>
      </c>
      <c r="K235" s="5">
        <v>1.0</v>
      </c>
      <c r="L235" s="5">
        <v>3507.0</v>
      </c>
      <c r="M235" s="29">
        <v>49.24368</v>
      </c>
      <c r="N235" s="29">
        <v>-118.05205</v>
      </c>
      <c r="O235" s="29" t="s">
        <v>170</v>
      </c>
      <c r="P235" s="29">
        <v>33122.0</v>
      </c>
      <c r="Q235" s="31">
        <v>4.0</v>
      </c>
      <c r="R235" s="29" t="s">
        <v>1007</v>
      </c>
      <c r="S235" s="32" t="s">
        <v>1010</v>
      </c>
      <c r="T235" s="29" t="s">
        <v>644</v>
      </c>
      <c r="U235" s="29">
        <v>1535.0</v>
      </c>
      <c r="V235" s="29"/>
      <c r="W235" s="29"/>
      <c r="X235" s="29"/>
      <c r="Y235" s="29"/>
      <c r="Z235" s="29"/>
      <c r="AA235" s="29" t="s">
        <v>1011</v>
      </c>
      <c r="AB235" s="29"/>
      <c r="AC235" s="33"/>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row>
    <row r="236" ht="14.25" customHeight="1">
      <c r="A236" s="6"/>
      <c r="B236" s="5">
        <v>2.0</v>
      </c>
      <c r="C236" s="5" t="s">
        <v>637</v>
      </c>
      <c r="D236" s="5">
        <v>34091.0</v>
      </c>
      <c r="E236" s="5">
        <v>12473.0</v>
      </c>
      <c r="F236" s="29" t="s">
        <v>1012</v>
      </c>
      <c r="G236" s="21" t="s">
        <v>1013</v>
      </c>
      <c r="H236" s="5" t="s">
        <v>709</v>
      </c>
      <c r="I236" s="5" t="s">
        <v>49</v>
      </c>
      <c r="J236" s="5" t="s">
        <v>710</v>
      </c>
      <c r="K236" s="5">
        <v>1.0</v>
      </c>
      <c r="L236" s="5">
        <v>14495.0</v>
      </c>
      <c r="M236" s="11">
        <v>50.05055</v>
      </c>
      <c r="N236" s="11">
        <v>-118.39633</v>
      </c>
      <c r="O236" s="11" t="s">
        <v>170</v>
      </c>
      <c r="P236" s="11">
        <v>34091.0</v>
      </c>
      <c r="Q236" s="22">
        <v>3.0</v>
      </c>
      <c r="R236" s="11" t="s">
        <v>1012</v>
      </c>
      <c r="S236" s="13" t="s">
        <v>1014</v>
      </c>
      <c r="T236" s="11" t="s">
        <v>644</v>
      </c>
      <c r="U236" s="29">
        <v>1223.0</v>
      </c>
      <c r="V236" s="29"/>
      <c r="W236" s="29"/>
      <c r="X236" s="29"/>
      <c r="Y236" s="29"/>
      <c r="Z236" s="29"/>
      <c r="AA236" s="29" t="s">
        <v>1015</v>
      </c>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row>
    <row r="237" ht="14.25" customHeight="1">
      <c r="A237" s="6" t="s">
        <v>88</v>
      </c>
      <c r="B237" s="5">
        <v>2.0</v>
      </c>
      <c r="C237" s="5" t="s">
        <v>637</v>
      </c>
      <c r="D237" s="5">
        <v>34126.0</v>
      </c>
      <c r="E237" s="5">
        <v>2771.0</v>
      </c>
      <c r="F237" s="5" t="s">
        <v>1016</v>
      </c>
      <c r="G237" s="10" t="s">
        <v>1017</v>
      </c>
      <c r="H237" s="5" t="s">
        <v>1018</v>
      </c>
      <c r="I237" s="5" t="s">
        <v>641</v>
      </c>
      <c r="J237" s="5" t="s">
        <v>755</v>
      </c>
      <c r="K237" s="5">
        <v>1.0</v>
      </c>
      <c r="L237" s="5">
        <v>3514.0</v>
      </c>
      <c r="M237" s="36">
        <v>50.04631</v>
      </c>
      <c r="N237" s="36">
        <v>-117.17914</v>
      </c>
      <c r="O237" s="37" t="s">
        <v>170</v>
      </c>
      <c r="P237" s="11">
        <v>34126.0</v>
      </c>
      <c r="Q237" s="22">
        <v>2.0</v>
      </c>
      <c r="R237" s="36" t="s">
        <v>1016</v>
      </c>
      <c r="S237" s="13" t="s">
        <v>1019</v>
      </c>
      <c r="T237" s="11" t="s">
        <v>644</v>
      </c>
      <c r="U237" s="10">
        <v>1080.0</v>
      </c>
      <c r="Z237" s="11" t="s">
        <v>645</v>
      </c>
      <c r="AA237" s="11" t="s">
        <v>1020</v>
      </c>
      <c r="AB237" s="11"/>
      <c r="AC237" s="23"/>
      <c r="AD237" s="11"/>
      <c r="AE237" s="11"/>
      <c r="AF237" s="11"/>
      <c r="AG237" s="11"/>
      <c r="AH237" s="11"/>
      <c r="AI237" s="11"/>
    </row>
    <row r="238" ht="14.25" customHeight="1">
      <c r="A238" s="6"/>
      <c r="B238" s="5">
        <v>2.0</v>
      </c>
      <c r="C238" s="5" t="s">
        <v>637</v>
      </c>
      <c r="D238" s="5">
        <v>34127.0</v>
      </c>
      <c r="E238" s="5">
        <v>12474.0</v>
      </c>
      <c r="F238" s="29" t="s">
        <v>1021</v>
      </c>
      <c r="G238" s="21" t="s">
        <v>1022</v>
      </c>
      <c r="H238" s="5" t="s">
        <v>709</v>
      </c>
      <c r="I238" s="5" t="s">
        <v>49</v>
      </c>
      <c r="J238" s="5" t="s">
        <v>1023</v>
      </c>
      <c r="K238" s="5">
        <v>1.0</v>
      </c>
      <c r="L238" s="5">
        <v>14496.0</v>
      </c>
      <c r="M238" s="29">
        <v>50.0223</v>
      </c>
      <c r="N238" s="29">
        <v>-117.18099</v>
      </c>
      <c r="O238" s="29" t="s">
        <v>170</v>
      </c>
      <c r="P238" s="29">
        <v>34127.0</v>
      </c>
      <c r="Q238" s="31">
        <v>8.0</v>
      </c>
      <c r="R238" s="29" t="s">
        <v>1024</v>
      </c>
      <c r="S238" s="32" t="s">
        <v>1025</v>
      </c>
      <c r="T238" s="29" t="s">
        <v>644</v>
      </c>
      <c r="U238" s="29">
        <v>2200.0</v>
      </c>
      <c r="V238" s="29"/>
      <c r="W238" s="29"/>
      <c r="X238" s="29"/>
      <c r="Y238" s="29"/>
      <c r="Z238" s="29"/>
      <c r="AA238" s="29" t="s">
        <v>1026</v>
      </c>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row>
    <row r="239" ht="14.25" customHeight="1">
      <c r="A239" s="6"/>
      <c r="B239" s="5">
        <v>2.0</v>
      </c>
      <c r="C239" s="5" t="s">
        <v>637</v>
      </c>
      <c r="D239" s="5">
        <v>34128.0</v>
      </c>
      <c r="E239" s="5">
        <v>2772.0</v>
      </c>
      <c r="F239" s="5" t="s">
        <v>1027</v>
      </c>
      <c r="G239" s="21" t="s">
        <v>1028</v>
      </c>
      <c r="H239" s="5" t="s">
        <v>1029</v>
      </c>
      <c r="I239" s="5" t="s">
        <v>641</v>
      </c>
      <c r="J239" s="5" t="s">
        <v>825</v>
      </c>
      <c r="K239" s="5">
        <v>1.0</v>
      </c>
      <c r="L239" s="5">
        <v>3515.0</v>
      </c>
      <c r="M239" s="29">
        <v>50.04589</v>
      </c>
      <c r="N239" s="29">
        <v>-117.23481</v>
      </c>
      <c r="O239" s="29" t="s">
        <v>170</v>
      </c>
      <c r="P239" s="29">
        <v>34128.0</v>
      </c>
      <c r="Q239" s="31">
        <v>7.0</v>
      </c>
      <c r="R239" s="29" t="s">
        <v>1027</v>
      </c>
      <c r="S239" s="32" t="s">
        <v>1030</v>
      </c>
      <c r="T239" s="29" t="s">
        <v>644</v>
      </c>
      <c r="U239" s="29">
        <v>2070.0</v>
      </c>
      <c r="V239" s="29"/>
      <c r="W239" s="29"/>
      <c r="X239" s="29"/>
      <c r="Y239" s="29"/>
      <c r="Z239" s="29"/>
      <c r="AA239" s="29" t="s">
        <v>1031</v>
      </c>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row>
    <row r="240" ht="14.25" customHeight="1">
      <c r="A240" s="6"/>
      <c r="B240" s="5">
        <v>2.0</v>
      </c>
      <c r="C240" s="5" t="s">
        <v>637</v>
      </c>
      <c r="D240" s="5">
        <v>34129.0</v>
      </c>
      <c r="E240" s="5">
        <v>2773.0</v>
      </c>
      <c r="F240" s="5" t="s">
        <v>1032</v>
      </c>
      <c r="G240" s="21" t="s">
        <v>1033</v>
      </c>
      <c r="H240" s="5" t="s">
        <v>1034</v>
      </c>
      <c r="I240" s="5" t="s">
        <v>641</v>
      </c>
      <c r="J240" s="5" t="s">
        <v>1035</v>
      </c>
      <c r="K240" s="5">
        <v>1.0</v>
      </c>
      <c r="L240" s="5">
        <v>3516.0</v>
      </c>
      <c r="Q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row>
    <row r="241" ht="14.25" customHeight="1">
      <c r="A241" s="6"/>
      <c r="B241" s="5">
        <v>2.0</v>
      </c>
      <c r="C241" s="5" t="s">
        <v>637</v>
      </c>
      <c r="D241" s="5">
        <v>34224.0</v>
      </c>
      <c r="E241" s="5">
        <v>2775.0</v>
      </c>
      <c r="F241" s="5" t="s">
        <v>1036</v>
      </c>
      <c r="G241" s="21" t="s">
        <v>1037</v>
      </c>
      <c r="H241" s="5" t="s">
        <v>1038</v>
      </c>
      <c r="I241" s="5" t="s">
        <v>641</v>
      </c>
      <c r="J241" s="5" t="s">
        <v>825</v>
      </c>
      <c r="K241" s="5">
        <v>1.0</v>
      </c>
      <c r="L241" s="5">
        <v>3518.0</v>
      </c>
      <c r="M241" s="36">
        <v>50.15417</v>
      </c>
      <c r="N241" s="36">
        <v>-116.9675</v>
      </c>
      <c r="O241" s="37" t="s">
        <v>170</v>
      </c>
      <c r="P241" s="11">
        <v>34224.0</v>
      </c>
      <c r="Q241" s="22">
        <v>2.0</v>
      </c>
      <c r="R241" s="36" t="s">
        <v>1036</v>
      </c>
      <c r="S241" s="13" t="s">
        <v>1039</v>
      </c>
      <c r="T241" s="11" t="s">
        <v>644</v>
      </c>
      <c r="U241" s="11">
        <v>1095.0</v>
      </c>
      <c r="Z241" s="11" t="s">
        <v>645</v>
      </c>
      <c r="AA241" s="11" t="s">
        <v>1040</v>
      </c>
      <c r="AB241" s="11"/>
      <c r="AC241" s="11"/>
      <c r="AD241" s="11"/>
      <c r="AE241" s="11"/>
      <c r="AF241" s="11"/>
      <c r="AG241" s="11"/>
      <c r="AH241" s="11"/>
      <c r="AI241" s="11"/>
    </row>
    <row r="242" ht="14.25" customHeight="1">
      <c r="A242" s="6"/>
      <c r="B242" s="5">
        <v>2.0</v>
      </c>
      <c r="C242" s="5" t="s">
        <v>637</v>
      </c>
      <c r="D242" s="5">
        <v>34225.0</v>
      </c>
      <c r="E242" s="5">
        <v>11024.0</v>
      </c>
      <c r="F242" s="29" t="s">
        <v>1041</v>
      </c>
      <c r="G242" s="21" t="s">
        <v>1042</v>
      </c>
      <c r="H242" s="5" t="s">
        <v>891</v>
      </c>
      <c r="I242" s="5" t="s">
        <v>49</v>
      </c>
      <c r="J242" s="5" t="s">
        <v>1023</v>
      </c>
      <c r="K242" s="5">
        <v>1.0</v>
      </c>
      <c r="L242" s="5">
        <v>13192.0</v>
      </c>
      <c r="M242" s="29">
        <v>50.24889</v>
      </c>
      <c r="N242" s="29">
        <v>-117.08028</v>
      </c>
      <c r="O242" s="29" t="s">
        <v>170</v>
      </c>
      <c r="P242" s="29">
        <v>34225.0</v>
      </c>
      <c r="Q242" s="31">
        <v>8.0</v>
      </c>
      <c r="R242" s="29" t="s">
        <v>1041</v>
      </c>
      <c r="S242" s="32" t="s">
        <v>1043</v>
      </c>
      <c r="T242" s="29" t="s">
        <v>644</v>
      </c>
      <c r="U242" s="29">
        <v>2518.0</v>
      </c>
      <c r="V242" s="29"/>
      <c r="W242" s="29"/>
      <c r="X242" s="29"/>
      <c r="Y242" s="29"/>
      <c r="Z242" s="29"/>
      <c r="AA242" s="29" t="s">
        <v>1044</v>
      </c>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row>
    <row r="243" ht="14.25" customHeight="1">
      <c r="A243" s="6"/>
      <c r="B243" s="5">
        <v>2.0</v>
      </c>
      <c r="C243" s="5" t="s">
        <v>637</v>
      </c>
      <c r="D243" s="5">
        <v>34621.0</v>
      </c>
      <c r="E243" s="5">
        <v>2778.0</v>
      </c>
      <c r="F243" s="29" t="s">
        <v>1045</v>
      </c>
      <c r="G243" s="21" t="s">
        <v>1046</v>
      </c>
      <c r="H243" s="5" t="s">
        <v>1047</v>
      </c>
      <c r="I243" s="5" t="s">
        <v>641</v>
      </c>
      <c r="J243" s="5" t="s">
        <v>755</v>
      </c>
      <c r="K243" s="5">
        <v>1.0</v>
      </c>
      <c r="L243" s="5">
        <v>3521.0</v>
      </c>
      <c r="M243" s="38">
        <v>49.71441</v>
      </c>
      <c r="N243" s="38">
        <v>-116.90724</v>
      </c>
      <c r="O243" s="29" t="s">
        <v>170</v>
      </c>
      <c r="P243" s="29">
        <v>34621.0</v>
      </c>
      <c r="Q243" s="31">
        <v>1.0</v>
      </c>
      <c r="R243" s="29" t="s">
        <v>1045</v>
      </c>
      <c r="S243" s="32" t="s">
        <v>1048</v>
      </c>
      <c r="T243" s="29" t="s">
        <v>644</v>
      </c>
      <c r="U243" s="38">
        <v>610.0</v>
      </c>
      <c r="V243" s="29"/>
      <c r="W243" s="29"/>
      <c r="X243" s="29"/>
      <c r="Y243" s="29"/>
      <c r="Z243" s="29" t="s">
        <v>645</v>
      </c>
      <c r="AA243" s="29" t="s">
        <v>1049</v>
      </c>
      <c r="AB243" s="29"/>
      <c r="AC243" s="33"/>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row>
    <row r="244" ht="14.25" customHeight="1">
      <c r="A244" s="6"/>
      <c r="B244" s="5">
        <v>2.0</v>
      </c>
      <c r="C244" s="5" t="s">
        <v>637</v>
      </c>
      <c r="D244" s="5">
        <v>34791.0</v>
      </c>
      <c r="E244" s="5">
        <v>2779.0</v>
      </c>
      <c r="F244" s="5" t="s">
        <v>1050</v>
      </c>
      <c r="G244" s="21" t="s">
        <v>1051</v>
      </c>
      <c r="H244" s="5" t="s">
        <v>1052</v>
      </c>
      <c r="I244" s="5" t="s">
        <v>641</v>
      </c>
      <c r="J244" s="5" t="s">
        <v>642</v>
      </c>
      <c r="K244" s="5">
        <v>1.0</v>
      </c>
      <c r="L244" s="5">
        <v>3522.0</v>
      </c>
      <c r="M244" s="36">
        <v>50.1475</v>
      </c>
      <c r="N244" s="36">
        <v>-117.5925</v>
      </c>
      <c r="O244" s="37" t="s">
        <v>170</v>
      </c>
      <c r="P244" s="11">
        <v>34791.0</v>
      </c>
      <c r="Q244" s="22">
        <v>1.0</v>
      </c>
      <c r="R244" s="36" t="s">
        <v>1050</v>
      </c>
      <c r="S244" s="13" t="s">
        <v>1053</v>
      </c>
      <c r="T244" s="11" t="s">
        <v>644</v>
      </c>
      <c r="U244" s="11">
        <v>780.0</v>
      </c>
      <c r="Z244" s="11"/>
      <c r="AA244" s="11" t="s">
        <v>1054</v>
      </c>
      <c r="AB244" s="11"/>
      <c r="AC244" s="23"/>
      <c r="AD244" s="11"/>
      <c r="AE244" s="11"/>
      <c r="AF244" s="11"/>
      <c r="AG244" s="11"/>
      <c r="AH244" s="11"/>
      <c r="AI244" s="11"/>
    </row>
    <row r="245" ht="14.25" customHeight="1">
      <c r="A245" s="6"/>
      <c r="B245" s="5">
        <v>2.0</v>
      </c>
      <c r="C245" s="5" t="s">
        <v>637</v>
      </c>
      <c r="D245" s="5">
        <v>35091.0</v>
      </c>
      <c r="E245" s="5">
        <v>2783.0</v>
      </c>
      <c r="F245" s="5" t="s">
        <v>1055</v>
      </c>
      <c r="G245" s="21" t="s">
        <v>1056</v>
      </c>
      <c r="H245" s="5" t="s">
        <v>1057</v>
      </c>
      <c r="I245" s="5" t="s">
        <v>641</v>
      </c>
      <c r="J245" s="5" t="s">
        <v>755</v>
      </c>
      <c r="K245" s="5">
        <v>1.0</v>
      </c>
      <c r="L245" s="5">
        <v>3526.0</v>
      </c>
      <c r="M245" s="39">
        <v>49.99444</v>
      </c>
      <c r="N245" s="39">
        <v>-115.76111</v>
      </c>
      <c r="O245" s="37" t="s">
        <v>170</v>
      </c>
      <c r="P245" s="36">
        <v>35091.0</v>
      </c>
      <c r="Q245" s="22">
        <v>1.0</v>
      </c>
      <c r="R245" s="36" t="s">
        <v>1055</v>
      </c>
      <c r="S245" s="13" t="s">
        <v>1058</v>
      </c>
      <c r="T245" s="11" t="s">
        <v>644</v>
      </c>
      <c r="U245" s="11">
        <v>870.0</v>
      </c>
      <c r="Z245" s="11"/>
      <c r="AA245" s="11" t="s">
        <v>1059</v>
      </c>
      <c r="AB245" s="11"/>
      <c r="AC245" s="23"/>
      <c r="AD245" s="11"/>
      <c r="AE245" s="11"/>
      <c r="AF245" s="11"/>
      <c r="AG245" s="11"/>
      <c r="AH245" s="11"/>
      <c r="AI245" s="11"/>
    </row>
    <row r="246" ht="14.25" customHeight="1">
      <c r="A246" s="6"/>
      <c r="B246" s="5">
        <v>2.0</v>
      </c>
      <c r="C246" s="5" t="s">
        <v>637</v>
      </c>
      <c r="D246" s="5">
        <v>35092.0</v>
      </c>
      <c r="E246" s="5">
        <v>2784.0</v>
      </c>
      <c r="F246" s="5" t="s">
        <v>1060</v>
      </c>
      <c r="G246" s="21" t="s">
        <v>1061</v>
      </c>
      <c r="H246" s="5" t="s">
        <v>1062</v>
      </c>
      <c r="I246" s="5" t="s">
        <v>641</v>
      </c>
      <c r="J246" s="5" t="s">
        <v>642</v>
      </c>
      <c r="K246" s="5">
        <v>1.0</v>
      </c>
      <c r="L246" s="5">
        <v>3527.0</v>
      </c>
      <c r="M246" s="36">
        <v>49.32611</v>
      </c>
      <c r="N246" s="36">
        <v>-115.82889</v>
      </c>
      <c r="O246" s="37" t="s">
        <v>170</v>
      </c>
      <c r="P246" s="36">
        <v>35092.0</v>
      </c>
      <c r="Q246" s="22">
        <v>2.0</v>
      </c>
      <c r="R246" s="36" t="s">
        <v>1060</v>
      </c>
      <c r="S246" s="13" t="s">
        <v>1063</v>
      </c>
      <c r="T246" s="11" t="s">
        <v>644</v>
      </c>
      <c r="U246" s="11">
        <v>975.0</v>
      </c>
      <c r="Z246" s="11"/>
      <c r="AA246" s="11" t="s">
        <v>1064</v>
      </c>
      <c r="AB246" s="11"/>
      <c r="AC246" s="23"/>
      <c r="AD246" s="11"/>
      <c r="AE246" s="11"/>
      <c r="AF246" s="11"/>
      <c r="AG246" s="11"/>
      <c r="AH246" s="11"/>
      <c r="AI246" s="11"/>
    </row>
    <row r="247" ht="14.25" customHeight="1">
      <c r="A247" s="6"/>
      <c r="B247" s="5">
        <v>2.0</v>
      </c>
      <c r="C247" s="5" t="s">
        <v>637</v>
      </c>
      <c r="D247" s="5">
        <v>35093.0</v>
      </c>
      <c r="E247" s="5">
        <v>12475.0</v>
      </c>
      <c r="F247" s="29" t="s">
        <v>1065</v>
      </c>
      <c r="G247" s="21" t="s">
        <v>1066</v>
      </c>
      <c r="H247" s="5" t="s">
        <v>709</v>
      </c>
      <c r="I247" s="5" t="s">
        <v>49</v>
      </c>
      <c r="J247" s="5" t="s">
        <v>830</v>
      </c>
      <c r="K247" s="5">
        <v>1.0</v>
      </c>
      <c r="L247" s="5">
        <v>14497.0</v>
      </c>
      <c r="M247" s="29">
        <v>49.66115</v>
      </c>
      <c r="N247" s="29">
        <v>-115.96779</v>
      </c>
      <c r="O247" s="29" t="s">
        <v>170</v>
      </c>
      <c r="P247" s="29">
        <v>35093.0</v>
      </c>
      <c r="Q247" s="31">
        <v>2.0</v>
      </c>
      <c r="R247" s="29" t="s">
        <v>1065</v>
      </c>
      <c r="S247" s="32" t="s">
        <v>1067</v>
      </c>
      <c r="T247" s="29" t="s">
        <v>644</v>
      </c>
      <c r="U247" s="29">
        <v>1035.0</v>
      </c>
      <c r="V247" s="29"/>
      <c r="W247" s="29"/>
      <c r="X247" s="29"/>
      <c r="Y247" s="29"/>
      <c r="Z247" s="29"/>
      <c r="AA247" s="29" t="s">
        <v>1068</v>
      </c>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29"/>
      <c r="BT247" s="29"/>
    </row>
    <row r="248" ht="14.25" customHeight="1">
      <c r="A248" s="6"/>
      <c r="B248" s="5">
        <v>2.0</v>
      </c>
      <c r="C248" s="5" t="s">
        <v>637</v>
      </c>
      <c r="D248" s="5">
        <v>35094.0</v>
      </c>
      <c r="E248" s="5">
        <v>12476.0</v>
      </c>
      <c r="F248" s="5" t="s">
        <v>1069</v>
      </c>
      <c r="G248" s="21" t="s">
        <v>1070</v>
      </c>
      <c r="H248" s="5" t="s">
        <v>709</v>
      </c>
      <c r="I248" s="5" t="s">
        <v>49</v>
      </c>
      <c r="J248" s="5" t="s">
        <v>799</v>
      </c>
      <c r="K248" s="5">
        <v>1.0</v>
      </c>
      <c r="L248" s="5">
        <v>14498.0</v>
      </c>
      <c r="M248" s="11">
        <v>49.17203</v>
      </c>
      <c r="N248" s="11">
        <v>-116.00877</v>
      </c>
      <c r="O248" s="11" t="s">
        <v>170</v>
      </c>
      <c r="P248" s="11">
        <v>35094.0</v>
      </c>
      <c r="Q248" s="22">
        <v>2.0</v>
      </c>
      <c r="R248" s="11" t="s">
        <v>1069</v>
      </c>
      <c r="S248" s="13" t="s">
        <v>1071</v>
      </c>
      <c r="T248" s="11" t="s">
        <v>644</v>
      </c>
      <c r="U248" s="11">
        <v>910.0</v>
      </c>
      <c r="Z248" s="11"/>
      <c r="AA248" s="11" t="s">
        <v>1072</v>
      </c>
      <c r="AB248" s="11"/>
      <c r="AC248" s="11"/>
      <c r="AD248" s="11"/>
      <c r="AE248" s="11"/>
      <c r="AF248" s="11"/>
      <c r="AG248" s="11"/>
      <c r="AH248" s="11"/>
      <c r="AI248" s="11"/>
    </row>
    <row r="249" ht="14.25" customHeight="1">
      <c r="A249" s="6"/>
      <c r="B249" s="5">
        <v>2.0</v>
      </c>
      <c r="C249" s="5" t="s">
        <v>637</v>
      </c>
      <c r="D249" s="5">
        <v>36124.0</v>
      </c>
      <c r="E249" s="5">
        <v>2789.0</v>
      </c>
      <c r="F249" s="5" t="s">
        <v>1073</v>
      </c>
      <c r="G249" s="21" t="s">
        <v>1074</v>
      </c>
      <c r="H249" s="5" t="s">
        <v>1075</v>
      </c>
      <c r="I249" s="5" t="s">
        <v>641</v>
      </c>
      <c r="J249" s="5" t="s">
        <v>755</v>
      </c>
      <c r="K249" s="5">
        <v>1.0</v>
      </c>
      <c r="L249" s="5">
        <v>3532.0</v>
      </c>
      <c r="M249" s="11">
        <v>49.39</v>
      </c>
      <c r="N249" s="11">
        <v>-115.02306</v>
      </c>
      <c r="O249" s="11" t="s">
        <v>170</v>
      </c>
      <c r="P249" s="11">
        <v>36124.0</v>
      </c>
      <c r="Q249" s="22">
        <v>2.0</v>
      </c>
      <c r="R249" s="11" t="s">
        <v>1073</v>
      </c>
      <c r="S249" s="13" t="s">
        <v>1076</v>
      </c>
      <c r="T249" s="11" t="s">
        <v>644</v>
      </c>
      <c r="U249" s="11">
        <v>960.0</v>
      </c>
      <c r="Z249" s="11" t="s">
        <v>645</v>
      </c>
      <c r="AA249" s="11" t="s">
        <v>1077</v>
      </c>
      <c r="AB249" s="11"/>
      <c r="AC249" s="23"/>
      <c r="AD249" s="11"/>
      <c r="AE249" s="11"/>
      <c r="AF249" s="11"/>
      <c r="AG249" s="11"/>
      <c r="AH249" s="11"/>
      <c r="AI249" s="11"/>
    </row>
    <row r="250" ht="14.25" customHeight="1">
      <c r="A250" s="6" t="s">
        <v>88</v>
      </c>
      <c r="B250" s="5">
        <v>2.0</v>
      </c>
      <c r="C250" s="5" t="s">
        <v>637</v>
      </c>
      <c r="D250" s="5">
        <v>36125.0</v>
      </c>
      <c r="E250" s="5">
        <v>13027.0</v>
      </c>
      <c r="F250" s="29" t="s">
        <v>1078</v>
      </c>
      <c r="G250" s="10" t="s">
        <v>1079</v>
      </c>
      <c r="H250" s="5" t="s">
        <v>775</v>
      </c>
      <c r="I250" s="5" t="s">
        <v>49</v>
      </c>
      <c r="J250" s="5" t="s">
        <v>1080</v>
      </c>
      <c r="K250" s="5">
        <v>1.0</v>
      </c>
      <c r="L250" s="5">
        <v>14959.0</v>
      </c>
      <c r="M250" s="29">
        <v>49.37254</v>
      </c>
      <c r="N250" s="29">
        <v>-115.04689</v>
      </c>
      <c r="O250" s="29" t="s">
        <v>170</v>
      </c>
      <c r="P250" s="29">
        <v>36125.0</v>
      </c>
      <c r="Q250" s="31">
        <v>7.0</v>
      </c>
      <c r="R250" s="29" t="s">
        <v>1078</v>
      </c>
      <c r="S250" s="32" t="s">
        <v>1081</v>
      </c>
      <c r="T250" s="29" t="s">
        <v>644</v>
      </c>
      <c r="U250" s="29">
        <v>1998.0</v>
      </c>
      <c r="V250" s="29"/>
      <c r="W250" s="29"/>
      <c r="X250" s="29"/>
      <c r="Y250" s="29"/>
      <c r="Z250" s="29"/>
      <c r="AA250" s="29" t="s">
        <v>1082</v>
      </c>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row>
    <row r="251" ht="14.25" customHeight="1">
      <c r="A251" s="6"/>
      <c r="B251" s="5">
        <v>2.0</v>
      </c>
      <c r="C251" s="5" t="s">
        <v>637</v>
      </c>
      <c r="D251" s="5">
        <v>36191.0</v>
      </c>
      <c r="E251" s="5">
        <v>12477.0</v>
      </c>
      <c r="F251" s="5" t="s">
        <v>1083</v>
      </c>
      <c r="G251" s="40" t="s">
        <v>1084</v>
      </c>
      <c r="H251" s="5" t="s">
        <v>709</v>
      </c>
      <c r="I251" s="5" t="s">
        <v>49</v>
      </c>
      <c r="J251" s="5" t="s">
        <v>830</v>
      </c>
      <c r="K251" s="5">
        <v>1.0</v>
      </c>
      <c r="L251" s="5">
        <v>14499.0</v>
      </c>
      <c r="M251" s="16" t="s">
        <v>1085</v>
      </c>
      <c r="N251" s="41" t="s">
        <v>1086</v>
      </c>
      <c r="O251" s="11" t="s">
        <v>170</v>
      </c>
      <c r="P251" s="11">
        <v>36191.0</v>
      </c>
      <c r="Q251" s="22">
        <v>3.0</v>
      </c>
      <c r="R251" s="11" t="s">
        <v>1083</v>
      </c>
      <c r="S251" s="13" t="s">
        <v>1087</v>
      </c>
      <c r="T251" s="11" t="s">
        <v>644</v>
      </c>
      <c r="U251" s="11">
        <v>1246.0</v>
      </c>
      <c r="Z251" s="11"/>
      <c r="AA251" s="11" t="s">
        <v>1088</v>
      </c>
      <c r="AB251" s="11"/>
      <c r="AC251" s="11"/>
      <c r="AD251" s="11"/>
      <c r="AE251" s="11"/>
      <c r="AF251" s="11"/>
      <c r="AG251" s="11"/>
      <c r="AH251" s="11"/>
      <c r="AI251" s="11"/>
    </row>
    <row r="252" ht="14.25" customHeight="1">
      <c r="A252" s="6"/>
      <c r="B252" s="5">
        <v>2.0</v>
      </c>
      <c r="C252" s="5" t="s">
        <v>637</v>
      </c>
      <c r="D252" s="5">
        <v>36192.0</v>
      </c>
      <c r="E252" s="5">
        <v>12478.0</v>
      </c>
      <c r="F252" s="29" t="s">
        <v>1089</v>
      </c>
      <c r="G252" s="21" t="s">
        <v>1090</v>
      </c>
      <c r="H252" s="5" t="s">
        <v>709</v>
      </c>
      <c r="I252" s="5" t="s">
        <v>49</v>
      </c>
      <c r="J252" s="5" t="s">
        <v>830</v>
      </c>
      <c r="K252" s="5">
        <v>1.0</v>
      </c>
      <c r="L252" s="5">
        <v>14500.0</v>
      </c>
      <c r="M252" s="29">
        <v>49.65019</v>
      </c>
      <c r="N252" s="29">
        <v>-114.71286</v>
      </c>
      <c r="O252" s="29" t="s">
        <v>170</v>
      </c>
      <c r="P252" s="29">
        <v>36192.0</v>
      </c>
      <c r="Q252" s="31">
        <v>4.0</v>
      </c>
      <c r="R252" s="29" t="s">
        <v>1089</v>
      </c>
      <c r="S252" s="32" t="s">
        <v>1091</v>
      </c>
      <c r="T252" s="29" t="s">
        <v>644</v>
      </c>
      <c r="U252" s="29">
        <v>1353.0</v>
      </c>
      <c r="V252" s="29"/>
      <c r="W252" s="29"/>
      <c r="X252" s="29"/>
      <c r="Y252" s="29"/>
      <c r="Z252" s="29"/>
      <c r="AA252" s="29" t="s">
        <v>1092</v>
      </c>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row>
    <row r="253" ht="14.25" customHeight="1">
      <c r="A253" s="6" t="s">
        <v>328</v>
      </c>
      <c r="B253" s="5">
        <v>2.0</v>
      </c>
      <c r="C253" s="12" t="s">
        <v>688</v>
      </c>
      <c r="D253" s="12" t="s">
        <v>1093</v>
      </c>
      <c r="E253" s="11"/>
      <c r="F253" s="12" t="s">
        <v>1094</v>
      </c>
      <c r="G253" s="12" t="s">
        <v>1095</v>
      </c>
      <c r="I253" s="10" t="s">
        <v>927</v>
      </c>
      <c r="M253" s="11">
        <v>49.4744</v>
      </c>
      <c r="N253" s="11">
        <v>-115.52456</v>
      </c>
      <c r="O253" s="11" t="s">
        <v>170</v>
      </c>
      <c r="P253" s="11">
        <v>36195.0</v>
      </c>
      <c r="Q253" s="22">
        <v>1.0</v>
      </c>
      <c r="R253" s="11" t="s">
        <v>1096</v>
      </c>
      <c r="S253" s="13" t="s">
        <v>1097</v>
      </c>
      <c r="T253" s="11" t="s">
        <v>644</v>
      </c>
      <c r="U253" s="11">
        <v>822.0</v>
      </c>
      <c r="Z253" s="11"/>
      <c r="AA253" s="11" t="s">
        <v>1098</v>
      </c>
      <c r="AB253" s="11"/>
      <c r="AC253" s="11"/>
      <c r="AD253" s="11"/>
      <c r="AE253" s="11"/>
      <c r="AF253" s="11"/>
      <c r="AG253" s="11"/>
      <c r="AH253" s="11"/>
      <c r="AI253" s="11"/>
    </row>
    <row r="254" ht="14.25" customHeight="1">
      <c r="A254" s="6"/>
      <c r="B254" s="5">
        <v>2.0</v>
      </c>
      <c r="C254" s="5" t="s">
        <v>637</v>
      </c>
      <c r="D254" s="5">
        <v>37091.0</v>
      </c>
      <c r="E254" s="5">
        <v>2793.0</v>
      </c>
      <c r="F254" s="5" t="s">
        <v>1099</v>
      </c>
      <c r="G254" s="21" t="s">
        <v>1100</v>
      </c>
      <c r="H254" s="5" t="s">
        <v>1062</v>
      </c>
      <c r="I254" s="5" t="s">
        <v>641</v>
      </c>
      <c r="J254" s="5" t="s">
        <v>642</v>
      </c>
      <c r="K254" s="5">
        <v>1.0</v>
      </c>
      <c r="L254" s="5">
        <v>3536.0</v>
      </c>
      <c r="M254" s="11">
        <v>50.73828</v>
      </c>
      <c r="N254" s="11">
        <v>-116.17647</v>
      </c>
      <c r="O254" s="11" t="s">
        <v>170</v>
      </c>
      <c r="P254" s="11">
        <v>37091.0</v>
      </c>
      <c r="Q254" s="22">
        <v>1.0</v>
      </c>
      <c r="R254" s="11" t="s">
        <v>1099</v>
      </c>
      <c r="S254" s="13" t="s">
        <v>1101</v>
      </c>
      <c r="T254" s="11" t="s">
        <v>644</v>
      </c>
      <c r="U254" s="11">
        <v>870.0</v>
      </c>
      <c r="Z254" s="11" t="s">
        <v>645</v>
      </c>
      <c r="AA254" s="11" t="s">
        <v>1102</v>
      </c>
      <c r="AB254" s="11"/>
      <c r="AC254" s="23"/>
      <c r="AD254" s="11"/>
      <c r="AE254" s="11"/>
      <c r="AF254" s="11"/>
      <c r="AG254" s="11"/>
      <c r="AH254" s="11"/>
      <c r="AI254" s="11"/>
    </row>
    <row r="255" ht="14.25" customHeight="1">
      <c r="A255" s="6"/>
      <c r="B255" s="5">
        <v>2.0</v>
      </c>
      <c r="C255" s="5" t="s">
        <v>637</v>
      </c>
      <c r="D255" s="5">
        <v>37092.0</v>
      </c>
      <c r="E255" s="5">
        <v>2794.0</v>
      </c>
      <c r="F255" s="29" t="s">
        <v>1103</v>
      </c>
      <c r="G255" s="21" t="s">
        <v>1104</v>
      </c>
      <c r="H255" s="5" t="s">
        <v>1105</v>
      </c>
      <c r="I255" s="5" t="s">
        <v>641</v>
      </c>
      <c r="J255" s="5" t="s">
        <v>642</v>
      </c>
      <c r="K255" s="5">
        <v>1.0</v>
      </c>
      <c r="L255" s="5">
        <v>3537.0</v>
      </c>
      <c r="M255" s="11">
        <v>51.507</v>
      </c>
      <c r="N255" s="11">
        <v>-117.42179</v>
      </c>
      <c r="O255" s="11" t="s">
        <v>170</v>
      </c>
      <c r="P255" s="11">
        <v>37092.0</v>
      </c>
      <c r="Q255" s="22">
        <v>2.0</v>
      </c>
      <c r="R255" s="11" t="s">
        <v>1103</v>
      </c>
      <c r="S255" s="13" t="s">
        <v>1106</v>
      </c>
      <c r="T255" s="11" t="s">
        <v>644</v>
      </c>
      <c r="U255" s="38">
        <v>1041.0</v>
      </c>
      <c r="V255" s="29"/>
      <c r="W255" s="29"/>
      <c r="X255" s="29"/>
      <c r="Y255" s="29"/>
      <c r="Z255" s="29" t="s">
        <v>645</v>
      </c>
      <c r="AA255" s="29" t="s">
        <v>1107</v>
      </c>
      <c r="AB255" s="29"/>
      <c r="AC255" s="33"/>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row>
    <row r="256" ht="14.25" customHeight="1">
      <c r="A256" s="6"/>
      <c r="B256" s="5">
        <v>2.0</v>
      </c>
      <c r="C256" s="5" t="s">
        <v>637</v>
      </c>
      <c r="D256" s="5">
        <v>37093.0</v>
      </c>
      <c r="E256" s="5">
        <v>11025.0</v>
      </c>
      <c r="F256" s="5" t="s">
        <v>1108</v>
      </c>
      <c r="G256" s="10" t="s">
        <v>1109</v>
      </c>
      <c r="H256" s="5" t="s">
        <v>891</v>
      </c>
      <c r="I256" s="5" t="s">
        <v>49</v>
      </c>
      <c r="J256" s="5" t="s">
        <v>1110</v>
      </c>
      <c r="K256" s="5">
        <v>1.0</v>
      </c>
      <c r="L256" s="5">
        <v>13193.0</v>
      </c>
      <c r="M256" s="16">
        <v>51.47995</v>
      </c>
      <c r="N256" s="16">
        <v>-117.35812</v>
      </c>
      <c r="O256" s="11" t="s">
        <v>170</v>
      </c>
      <c r="P256" s="11">
        <v>37093.0</v>
      </c>
      <c r="Q256" s="22">
        <v>2.0</v>
      </c>
      <c r="R256" s="11" t="s">
        <v>1108</v>
      </c>
      <c r="S256" s="13" t="s">
        <v>1111</v>
      </c>
      <c r="T256" s="11" t="s">
        <v>644</v>
      </c>
      <c r="U256" s="16">
        <v>1068.0</v>
      </c>
      <c r="Z256" s="11"/>
      <c r="AA256" s="16" t="s">
        <v>1112</v>
      </c>
      <c r="AB256" s="11"/>
      <c r="AC256" s="11"/>
      <c r="AD256" s="11"/>
      <c r="AE256" s="11"/>
      <c r="AF256" s="11"/>
      <c r="AG256" s="11"/>
      <c r="AH256" s="11"/>
      <c r="AI256" s="11"/>
    </row>
    <row r="257" ht="14.25" customHeight="1">
      <c r="A257" s="6"/>
      <c r="B257" s="5">
        <v>2.0</v>
      </c>
      <c r="C257" s="5" t="s">
        <v>637</v>
      </c>
      <c r="D257" s="5">
        <v>37121.0</v>
      </c>
      <c r="E257" s="5">
        <v>2797.0</v>
      </c>
      <c r="F257" s="5" t="s">
        <v>1113</v>
      </c>
      <c r="G257" s="21" t="s">
        <v>1114</v>
      </c>
      <c r="H257" s="5" t="s">
        <v>1115</v>
      </c>
      <c r="I257" s="5" t="s">
        <v>641</v>
      </c>
      <c r="J257" s="5" t="s">
        <v>1116</v>
      </c>
      <c r="K257" s="5">
        <v>1.0</v>
      </c>
      <c r="L257" s="5">
        <v>3540.0</v>
      </c>
      <c r="M257" s="11">
        <v>51.31514</v>
      </c>
      <c r="N257" s="11">
        <v>-116.87847</v>
      </c>
      <c r="O257" s="11" t="s">
        <v>170</v>
      </c>
      <c r="P257" s="11">
        <v>37121.0</v>
      </c>
      <c r="Q257" s="22">
        <v>6.0</v>
      </c>
      <c r="R257" s="11" t="s">
        <v>1113</v>
      </c>
      <c r="S257" s="13" t="s">
        <v>1117</v>
      </c>
      <c r="T257" s="11" t="s">
        <v>644</v>
      </c>
      <c r="U257" s="11">
        <v>1844.0</v>
      </c>
      <c r="Z257" s="11"/>
      <c r="AA257" s="11" t="s">
        <v>1118</v>
      </c>
      <c r="AB257" s="11"/>
      <c r="AC257" s="11"/>
      <c r="AD257" s="11"/>
      <c r="AE257" s="11"/>
      <c r="AF257" s="11"/>
      <c r="AG257" s="11"/>
      <c r="AH257" s="11"/>
      <c r="AI257" s="11"/>
    </row>
    <row r="258" ht="14.25" customHeight="1">
      <c r="A258" s="6"/>
      <c r="B258" s="5">
        <v>2.0</v>
      </c>
      <c r="C258" s="5" t="s">
        <v>637</v>
      </c>
      <c r="D258" s="5">
        <v>37122.0</v>
      </c>
      <c r="E258" s="5">
        <v>2798.0</v>
      </c>
      <c r="F258" s="29" t="s">
        <v>1119</v>
      </c>
      <c r="G258" s="21" t="s">
        <v>1120</v>
      </c>
      <c r="H258" s="5" t="s">
        <v>1121</v>
      </c>
      <c r="I258" s="5" t="s">
        <v>641</v>
      </c>
      <c r="J258" s="5" t="s">
        <v>1122</v>
      </c>
      <c r="K258" s="5">
        <v>1.0</v>
      </c>
      <c r="L258" s="5">
        <v>3541.0</v>
      </c>
      <c r="M258" s="29">
        <v>51.31056</v>
      </c>
      <c r="N258" s="29">
        <v>-116.88467</v>
      </c>
      <c r="O258" s="29" t="s">
        <v>170</v>
      </c>
      <c r="P258" s="29">
        <v>37122.0</v>
      </c>
      <c r="Q258" s="31">
        <v>4.0</v>
      </c>
      <c r="R258" s="29" t="s">
        <v>1119</v>
      </c>
      <c r="S258" s="32" t="s">
        <v>1123</v>
      </c>
      <c r="T258" s="29" t="s">
        <v>644</v>
      </c>
      <c r="U258" s="29">
        <v>1440.0</v>
      </c>
      <c r="V258" s="29"/>
      <c r="W258" s="29"/>
      <c r="X258" s="29"/>
      <c r="Y258" s="29"/>
      <c r="Z258" s="29"/>
      <c r="AA258" s="29" t="s">
        <v>1124</v>
      </c>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row>
    <row r="259" ht="14.25" customHeight="1">
      <c r="A259" s="6"/>
      <c r="B259" s="5">
        <v>2.0</v>
      </c>
      <c r="C259" s="5" t="s">
        <v>637</v>
      </c>
      <c r="D259" s="5">
        <v>37124.0</v>
      </c>
      <c r="E259" s="5">
        <v>12479.0</v>
      </c>
      <c r="F259" s="29" t="s">
        <v>1125</v>
      </c>
      <c r="G259" s="24" t="s">
        <v>1126</v>
      </c>
      <c r="H259" s="5" t="s">
        <v>1127</v>
      </c>
      <c r="I259" s="5" t="s">
        <v>49</v>
      </c>
      <c r="J259" s="5" t="s">
        <v>1128</v>
      </c>
      <c r="K259" s="5">
        <v>1.0</v>
      </c>
      <c r="L259" s="5">
        <v>14501.0</v>
      </c>
      <c r="M259" s="29"/>
      <c r="N259" s="29"/>
      <c r="O259" s="29"/>
      <c r="P259" s="29"/>
      <c r="Q259" s="31"/>
      <c r="R259" s="29"/>
      <c r="S259" s="32"/>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c r="BR259" s="29"/>
      <c r="BS259" s="29"/>
      <c r="BT259" s="29"/>
    </row>
    <row r="260" ht="14.25" customHeight="1">
      <c r="A260" s="6" t="s">
        <v>328</v>
      </c>
      <c r="B260" s="5">
        <v>2.0</v>
      </c>
      <c r="C260" s="12" t="s">
        <v>688</v>
      </c>
      <c r="D260" s="12" t="s">
        <v>1129</v>
      </c>
      <c r="F260" s="10" t="s">
        <v>1130</v>
      </c>
      <c r="G260" s="12" t="s">
        <v>1131</v>
      </c>
      <c r="I260" s="5" t="s">
        <v>641</v>
      </c>
      <c r="M260" s="11">
        <v>51.30397</v>
      </c>
      <c r="N260" s="11">
        <v>-116.89487</v>
      </c>
      <c r="O260" s="11" t="s">
        <v>170</v>
      </c>
      <c r="P260" s="11">
        <v>37127.0</v>
      </c>
      <c r="Q260" s="22">
        <v>2.0</v>
      </c>
      <c r="R260" s="11" t="s">
        <v>1130</v>
      </c>
      <c r="S260" s="13" t="s">
        <v>1132</v>
      </c>
      <c r="T260" s="11" t="s">
        <v>644</v>
      </c>
      <c r="U260" s="11">
        <v>1023.0</v>
      </c>
      <c r="Z260" s="11"/>
      <c r="AA260" s="11" t="s">
        <v>1133</v>
      </c>
      <c r="AB260" s="11"/>
      <c r="AC260" s="11"/>
      <c r="AD260" s="11"/>
      <c r="AE260" s="11"/>
      <c r="AF260" s="11"/>
      <c r="AG260" s="11"/>
      <c r="AH260" s="11"/>
      <c r="AI260" s="11"/>
    </row>
    <row r="261" ht="14.25" customHeight="1">
      <c r="A261" s="6"/>
      <c r="B261" s="5">
        <v>2.0</v>
      </c>
      <c r="C261" s="5" t="s">
        <v>637</v>
      </c>
      <c r="D261" s="5">
        <v>37125.0</v>
      </c>
      <c r="E261" s="5">
        <v>2799.0</v>
      </c>
      <c r="F261" s="29" t="s">
        <v>1134</v>
      </c>
      <c r="G261" s="21" t="s">
        <v>1135</v>
      </c>
      <c r="H261" s="5" t="s">
        <v>1136</v>
      </c>
      <c r="I261" s="5" t="s">
        <v>641</v>
      </c>
      <c r="J261" s="5" t="s">
        <v>1137</v>
      </c>
      <c r="K261" s="5">
        <v>1.0</v>
      </c>
      <c r="L261" s="5">
        <v>3542.0</v>
      </c>
      <c r="M261" s="11"/>
      <c r="N261" s="11"/>
      <c r="O261" s="11"/>
      <c r="P261" s="11"/>
      <c r="Q261" s="22"/>
      <c r="R261" s="11"/>
      <c r="S261" s="13"/>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row>
    <row r="262" ht="14.25" customHeight="1">
      <c r="A262" s="6" t="s">
        <v>912</v>
      </c>
      <c r="B262" s="5">
        <v>2.0</v>
      </c>
      <c r="C262" s="5" t="s">
        <v>637</v>
      </c>
      <c r="D262" s="5">
        <v>37126.0</v>
      </c>
      <c r="E262" s="5">
        <v>2800.0</v>
      </c>
      <c r="F262" s="29" t="s">
        <v>1138</v>
      </c>
      <c r="G262" s="10" t="s">
        <v>1139</v>
      </c>
      <c r="H262" s="5" t="s">
        <v>1140</v>
      </c>
      <c r="I262" s="5" t="s">
        <v>641</v>
      </c>
      <c r="J262" s="5" t="s">
        <v>642</v>
      </c>
      <c r="K262" s="5">
        <v>1.0</v>
      </c>
      <c r="L262" s="5">
        <v>3543.0</v>
      </c>
      <c r="M262" s="29">
        <v>51.27483</v>
      </c>
      <c r="N262" s="29">
        <v>-116.76653</v>
      </c>
      <c r="O262" s="29" t="s">
        <v>170</v>
      </c>
      <c r="P262" s="29">
        <v>37126.0</v>
      </c>
      <c r="Q262" s="31">
        <v>3.0</v>
      </c>
      <c r="R262" s="29" t="s">
        <v>1138</v>
      </c>
      <c r="S262" s="32" t="s">
        <v>1141</v>
      </c>
      <c r="T262" s="29" t="s">
        <v>644</v>
      </c>
      <c r="U262" s="29">
        <v>1140.0</v>
      </c>
      <c r="V262" s="29"/>
      <c r="W262" s="29"/>
      <c r="X262" s="29"/>
      <c r="Y262" s="29"/>
      <c r="Z262" s="29" t="s">
        <v>645</v>
      </c>
      <c r="AA262" s="29" t="s">
        <v>1142</v>
      </c>
      <c r="AB262" s="29"/>
      <c r="AC262" s="33"/>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row>
    <row r="263" ht="14.25" customHeight="1">
      <c r="A263" s="6"/>
      <c r="B263" s="5">
        <v>2.0</v>
      </c>
      <c r="C263" s="5" t="s">
        <v>637</v>
      </c>
      <c r="D263" s="5">
        <v>37191.0</v>
      </c>
      <c r="E263" s="5">
        <v>12480.0</v>
      </c>
      <c r="F263" s="5" t="s">
        <v>1143</v>
      </c>
      <c r="G263" s="21" t="s">
        <v>1144</v>
      </c>
      <c r="H263" s="5" t="s">
        <v>709</v>
      </c>
      <c r="I263" s="5" t="s">
        <v>49</v>
      </c>
      <c r="J263" s="5" t="s">
        <v>799</v>
      </c>
      <c r="K263" s="5">
        <v>1.0</v>
      </c>
      <c r="L263" s="5">
        <v>14502.0</v>
      </c>
      <c r="M263" s="11">
        <v>51.4296</v>
      </c>
      <c r="N263" s="11">
        <v>-117.06427</v>
      </c>
      <c r="O263" s="11" t="s">
        <v>170</v>
      </c>
      <c r="P263" s="11">
        <v>37191.0</v>
      </c>
      <c r="Q263" s="22">
        <v>1.0</v>
      </c>
      <c r="R263" s="11" t="s">
        <v>1143</v>
      </c>
      <c r="S263" s="13" t="s">
        <v>1145</v>
      </c>
      <c r="T263" s="11" t="s">
        <v>644</v>
      </c>
      <c r="U263" s="11">
        <v>798.0</v>
      </c>
      <c r="Z263" s="11"/>
      <c r="AA263" s="11" t="s">
        <v>1146</v>
      </c>
      <c r="AB263" s="11"/>
      <c r="AC263" s="11"/>
      <c r="AD263" s="11"/>
      <c r="AE263" s="11"/>
      <c r="AF263" s="11"/>
      <c r="AG263" s="11"/>
      <c r="AH263" s="11"/>
      <c r="AI263" s="11"/>
    </row>
    <row r="264" ht="14.25" customHeight="1">
      <c r="A264" s="6" t="s">
        <v>88</v>
      </c>
      <c r="B264" s="5">
        <v>2.0</v>
      </c>
      <c r="C264" s="5" t="s">
        <v>637</v>
      </c>
      <c r="D264" s="5">
        <v>37192.0</v>
      </c>
      <c r="E264" s="5">
        <v>12988.0</v>
      </c>
      <c r="F264" s="5" t="s">
        <v>1147</v>
      </c>
      <c r="G264" s="10" t="s">
        <v>1148</v>
      </c>
      <c r="H264" s="5" t="s">
        <v>1149</v>
      </c>
      <c r="I264" s="5" t="s">
        <v>49</v>
      </c>
      <c r="J264" s="5" t="s">
        <v>793</v>
      </c>
      <c r="K264" s="5">
        <v>1.0</v>
      </c>
      <c r="L264" s="5">
        <v>14920.0</v>
      </c>
      <c r="M264" s="11">
        <v>51.02732</v>
      </c>
      <c r="N264" s="11">
        <v>-116.53516</v>
      </c>
      <c r="O264" s="11" t="s">
        <v>170</v>
      </c>
      <c r="P264" s="11">
        <v>37192.0</v>
      </c>
      <c r="Q264" s="22">
        <v>1.0</v>
      </c>
      <c r="R264" s="11" t="s">
        <v>1150</v>
      </c>
      <c r="S264" s="13" t="s">
        <v>1147</v>
      </c>
      <c r="T264" s="11" t="s">
        <v>644</v>
      </c>
      <c r="U264" s="11">
        <v>797.0</v>
      </c>
      <c r="Z264" s="11"/>
      <c r="AA264" s="11" t="s">
        <v>1151</v>
      </c>
      <c r="AB264" s="11"/>
      <c r="AC264" s="11"/>
      <c r="AD264" s="11"/>
      <c r="AE264" s="11"/>
      <c r="AF264" s="11"/>
      <c r="AG264" s="11"/>
      <c r="AH264" s="11"/>
      <c r="AI264" s="11"/>
    </row>
    <row r="265" ht="14.25" customHeight="1">
      <c r="A265" s="6"/>
      <c r="B265" s="5">
        <v>2.0</v>
      </c>
      <c r="C265" s="5" t="s">
        <v>637</v>
      </c>
      <c r="D265" s="5">
        <v>37221.0</v>
      </c>
      <c r="E265" s="5">
        <v>2803.0</v>
      </c>
      <c r="F265" s="5" t="s">
        <v>1152</v>
      </c>
      <c r="G265" s="21" t="s">
        <v>1153</v>
      </c>
      <c r="H265" s="5" t="s">
        <v>1154</v>
      </c>
      <c r="I265" s="5" t="s">
        <v>641</v>
      </c>
      <c r="J265" s="5" t="s">
        <v>1155</v>
      </c>
      <c r="K265" s="5">
        <v>1.0</v>
      </c>
      <c r="L265" s="5">
        <v>3546.0</v>
      </c>
      <c r="M265" s="11">
        <v>50.45472</v>
      </c>
      <c r="N265" s="11">
        <v>-116.252</v>
      </c>
      <c r="O265" s="11" t="s">
        <v>170</v>
      </c>
      <c r="P265" s="11">
        <v>37221.0</v>
      </c>
      <c r="Q265" s="22">
        <v>2.0</v>
      </c>
      <c r="R265" s="11" t="s">
        <v>1152</v>
      </c>
      <c r="S265" s="13" t="s">
        <v>1156</v>
      </c>
      <c r="T265" s="11" t="s">
        <v>644</v>
      </c>
      <c r="U265" s="11">
        <v>1130.0</v>
      </c>
      <c r="Z265" s="11"/>
      <c r="AA265" s="11" t="s">
        <v>1157</v>
      </c>
      <c r="AB265" s="11"/>
      <c r="AC265" s="11"/>
      <c r="AD265" s="11"/>
      <c r="AE265" s="11"/>
      <c r="AF265" s="11"/>
      <c r="AG265" s="11"/>
      <c r="AH265" s="11"/>
      <c r="AI265" s="11"/>
    </row>
    <row r="266" ht="14.25" customHeight="1">
      <c r="A266" s="6"/>
      <c r="B266" s="5">
        <v>2.0</v>
      </c>
      <c r="C266" s="5" t="s">
        <v>637</v>
      </c>
      <c r="D266" s="5">
        <v>37222.0</v>
      </c>
      <c r="E266" s="5">
        <v>2804.0</v>
      </c>
      <c r="F266" s="29" t="s">
        <v>1158</v>
      </c>
      <c r="G266" s="21" t="s">
        <v>1159</v>
      </c>
      <c r="H266" s="5" t="s">
        <v>1160</v>
      </c>
      <c r="I266" s="5" t="s">
        <v>641</v>
      </c>
      <c r="J266" s="5" t="s">
        <v>1161</v>
      </c>
      <c r="K266" s="5">
        <v>1.0</v>
      </c>
      <c r="L266" s="5">
        <v>3547.0</v>
      </c>
      <c r="M266" s="11">
        <v>50.43361</v>
      </c>
      <c r="N266" s="11">
        <v>-116.32</v>
      </c>
      <c r="O266" s="11" t="s">
        <v>170</v>
      </c>
      <c r="P266" s="11">
        <v>37222.0</v>
      </c>
      <c r="Q266" s="22">
        <v>8.0</v>
      </c>
      <c r="R266" s="11" t="s">
        <v>1158</v>
      </c>
      <c r="S266" s="13" t="s">
        <v>1162</v>
      </c>
      <c r="T266" s="11" t="s">
        <v>644</v>
      </c>
      <c r="U266" s="29">
        <v>2380.0</v>
      </c>
      <c r="V266" s="29"/>
      <c r="W266" s="29"/>
      <c r="X266" s="29"/>
      <c r="Y266" s="29"/>
      <c r="Z266" s="29"/>
      <c r="AA266" s="29" t="s">
        <v>1163</v>
      </c>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row>
    <row r="267" ht="14.25" customHeight="1">
      <c r="A267" s="6" t="s">
        <v>88</v>
      </c>
      <c r="B267" s="5">
        <v>2.0</v>
      </c>
      <c r="C267" s="5" t="s">
        <v>637</v>
      </c>
      <c r="D267" s="5">
        <v>37223.0</v>
      </c>
      <c r="E267" s="5">
        <v>12997.0</v>
      </c>
      <c r="F267" s="5" t="s">
        <v>1164</v>
      </c>
      <c r="G267" s="10" t="s">
        <v>1165</v>
      </c>
      <c r="H267" s="5" t="s">
        <v>720</v>
      </c>
      <c r="I267" s="5" t="s">
        <v>49</v>
      </c>
      <c r="J267" s="5" t="s">
        <v>1080</v>
      </c>
      <c r="K267" s="5">
        <v>1.0</v>
      </c>
      <c r="L267" s="5">
        <v>14929.0</v>
      </c>
      <c r="M267" s="11">
        <v>50.43048</v>
      </c>
      <c r="N267" s="11">
        <v>-116.3196</v>
      </c>
      <c r="P267" s="11">
        <v>37223.0</v>
      </c>
      <c r="R267" s="11" t="s">
        <v>1166</v>
      </c>
      <c r="U267" s="11">
        <v>2250.0</v>
      </c>
      <c r="AA267" s="11" t="s">
        <v>1167</v>
      </c>
    </row>
    <row r="268" ht="14.25" customHeight="1">
      <c r="A268" s="6"/>
      <c r="B268" s="5">
        <v>2.0</v>
      </c>
      <c r="C268" s="5" t="s">
        <v>637</v>
      </c>
      <c r="D268" s="5">
        <v>37291.0</v>
      </c>
      <c r="E268" s="5">
        <v>12481.0</v>
      </c>
      <c r="F268" s="5" t="s">
        <v>1168</v>
      </c>
      <c r="G268" s="21" t="s">
        <v>1169</v>
      </c>
      <c r="H268" s="5" t="s">
        <v>709</v>
      </c>
      <c r="I268" s="5" t="s">
        <v>49</v>
      </c>
      <c r="J268" s="5" t="s">
        <v>1170</v>
      </c>
      <c r="K268" s="5">
        <v>1.0</v>
      </c>
      <c r="L268" s="5">
        <v>14503.0</v>
      </c>
      <c r="M268" s="11">
        <v>50.46343</v>
      </c>
      <c r="N268" s="11">
        <v>-116.23348</v>
      </c>
      <c r="O268" s="11" t="s">
        <v>170</v>
      </c>
      <c r="P268" s="11">
        <v>37291.0</v>
      </c>
      <c r="Q268" s="22">
        <v>3.0</v>
      </c>
      <c r="R268" s="11" t="s">
        <v>1168</v>
      </c>
      <c r="S268" s="13" t="s">
        <v>1171</v>
      </c>
      <c r="T268" s="11" t="s">
        <v>644</v>
      </c>
      <c r="U268" s="11">
        <v>1150.0</v>
      </c>
      <c r="Z268" s="11"/>
      <c r="AA268" s="11" t="s">
        <v>1172</v>
      </c>
      <c r="AB268" s="11"/>
      <c r="AC268" s="11"/>
      <c r="AD268" s="11"/>
      <c r="AE268" s="11"/>
      <c r="AF268" s="11"/>
    </row>
    <row r="269" ht="14.25" customHeight="1">
      <c r="A269" s="6"/>
      <c r="B269" s="5">
        <v>2.0</v>
      </c>
      <c r="C269" s="5" t="s">
        <v>637</v>
      </c>
      <c r="D269" s="5">
        <v>38021.0</v>
      </c>
      <c r="E269" s="5">
        <v>12482.0</v>
      </c>
      <c r="F269" s="5" t="s">
        <v>1173</v>
      </c>
      <c r="G269" s="21" t="s">
        <v>1174</v>
      </c>
      <c r="H269" s="5" t="s">
        <v>709</v>
      </c>
      <c r="I269" s="5" t="s">
        <v>49</v>
      </c>
      <c r="J269" s="5" t="s">
        <v>1175</v>
      </c>
      <c r="K269" s="5">
        <v>1.0</v>
      </c>
      <c r="L269" s="5">
        <v>14504.0</v>
      </c>
      <c r="M269" s="11">
        <v>51.00006</v>
      </c>
      <c r="N269" s="11">
        <v>-118.22872</v>
      </c>
      <c r="O269" s="11" t="s">
        <v>170</v>
      </c>
      <c r="P269" s="11">
        <v>38021.0</v>
      </c>
      <c r="Q269" s="22">
        <v>1.0</v>
      </c>
      <c r="R269" s="11" t="s">
        <v>1173</v>
      </c>
      <c r="S269" s="13" t="s">
        <v>1176</v>
      </c>
      <c r="T269" s="11" t="s">
        <v>644</v>
      </c>
      <c r="U269" s="11">
        <v>448.0</v>
      </c>
      <c r="Z269" s="11"/>
      <c r="AA269" s="11" t="s">
        <v>1177</v>
      </c>
      <c r="AB269" s="11"/>
      <c r="AC269" s="11"/>
      <c r="AD269" s="11"/>
      <c r="AE269" s="11"/>
      <c r="AF269" s="11"/>
      <c r="AG269" s="11"/>
    </row>
    <row r="270" ht="14.25" customHeight="1">
      <c r="A270" s="6"/>
      <c r="B270" s="5">
        <v>2.0</v>
      </c>
      <c r="C270" s="5" t="s">
        <v>637</v>
      </c>
      <c r="D270" s="5">
        <v>38121.0</v>
      </c>
      <c r="E270" s="5">
        <v>2807.0</v>
      </c>
      <c r="F270" s="5" t="s">
        <v>1178</v>
      </c>
      <c r="G270" s="21" t="s">
        <v>1179</v>
      </c>
      <c r="H270" s="5" t="s">
        <v>1180</v>
      </c>
      <c r="I270" s="5" t="s">
        <v>641</v>
      </c>
      <c r="J270" s="5" t="s">
        <v>1181</v>
      </c>
      <c r="K270" s="5">
        <v>1.0</v>
      </c>
      <c r="L270" s="5">
        <v>3550.0</v>
      </c>
      <c r="M270" s="11">
        <v>50.92666</v>
      </c>
      <c r="N270" s="11">
        <v>-118.44503</v>
      </c>
      <c r="O270" s="11" t="s">
        <v>170</v>
      </c>
      <c r="P270" s="11">
        <v>38121.0</v>
      </c>
      <c r="Q270" s="22">
        <v>3.0</v>
      </c>
      <c r="R270" s="11" t="s">
        <v>1178</v>
      </c>
      <c r="S270" s="13" t="s">
        <v>1182</v>
      </c>
      <c r="T270" s="11" t="s">
        <v>644</v>
      </c>
      <c r="U270" s="11">
        <v>1165.0</v>
      </c>
      <c r="Z270" s="11"/>
      <c r="AA270" s="11" t="s">
        <v>1183</v>
      </c>
      <c r="AB270" s="11"/>
      <c r="AC270" s="11"/>
      <c r="AD270" s="11"/>
      <c r="AE270" s="11"/>
      <c r="AF270" s="11"/>
      <c r="AG270" s="11"/>
      <c r="AH270" s="11"/>
      <c r="AI270" s="11"/>
    </row>
    <row r="271" ht="14.25" customHeight="1">
      <c r="A271" s="6"/>
      <c r="B271" s="5">
        <v>2.0</v>
      </c>
      <c r="C271" s="5" t="s">
        <v>637</v>
      </c>
      <c r="D271" s="5">
        <v>38124.0</v>
      </c>
      <c r="E271" s="5">
        <v>2808.0</v>
      </c>
      <c r="F271" s="5" t="s">
        <v>1184</v>
      </c>
      <c r="G271" s="21" t="s">
        <v>1185</v>
      </c>
      <c r="H271" s="5" t="s">
        <v>1186</v>
      </c>
      <c r="I271" s="5" t="s">
        <v>641</v>
      </c>
      <c r="J271" s="5" t="s">
        <v>755</v>
      </c>
      <c r="K271" s="5">
        <v>1.0</v>
      </c>
      <c r="L271" s="5">
        <v>3551.0</v>
      </c>
      <c r="M271" s="11">
        <v>50.96248</v>
      </c>
      <c r="N271" s="11">
        <v>-118.37777</v>
      </c>
      <c r="O271" s="11" t="s">
        <v>170</v>
      </c>
      <c r="P271" s="11">
        <v>38124.0</v>
      </c>
      <c r="Q271" s="22">
        <v>1.0</v>
      </c>
      <c r="R271" s="11" t="s">
        <v>1184</v>
      </c>
      <c r="S271" s="13" t="s">
        <v>1187</v>
      </c>
      <c r="T271" s="11" t="s">
        <v>644</v>
      </c>
      <c r="U271" s="11">
        <v>610.0</v>
      </c>
      <c r="Z271" s="11" t="s">
        <v>645</v>
      </c>
      <c r="AA271" s="11" t="s">
        <v>1188</v>
      </c>
      <c r="AB271" s="11"/>
      <c r="AC271" s="23"/>
      <c r="AD271" s="11"/>
      <c r="AE271" s="11"/>
      <c r="AF271" s="11"/>
      <c r="AG271" s="11"/>
      <c r="AH271" s="11"/>
      <c r="AI271" s="11"/>
    </row>
    <row r="272" ht="14.25" customHeight="1">
      <c r="A272" s="6"/>
      <c r="B272" s="5">
        <v>2.0</v>
      </c>
      <c r="C272" s="5" t="s">
        <v>637</v>
      </c>
      <c r="D272" s="5">
        <v>38222.0</v>
      </c>
      <c r="E272" s="5">
        <v>2810.0</v>
      </c>
      <c r="F272" s="5" t="s">
        <v>1189</v>
      </c>
      <c r="G272" s="21" t="s">
        <v>1190</v>
      </c>
      <c r="H272" s="5" t="s">
        <v>1180</v>
      </c>
      <c r="I272" s="5" t="s">
        <v>641</v>
      </c>
      <c r="J272" s="5" t="s">
        <v>909</v>
      </c>
      <c r="K272" s="5">
        <v>1.0</v>
      </c>
      <c r="L272" s="5">
        <v>3553.0</v>
      </c>
      <c r="M272" s="29">
        <v>51.19333</v>
      </c>
      <c r="N272" s="29">
        <v>-117.77111</v>
      </c>
      <c r="O272" s="29" t="s">
        <v>170</v>
      </c>
      <c r="P272" s="29">
        <v>38222.0</v>
      </c>
      <c r="Q272" s="31">
        <v>5.0</v>
      </c>
      <c r="R272" s="29" t="s">
        <v>1189</v>
      </c>
      <c r="S272" s="32" t="s">
        <v>1191</v>
      </c>
      <c r="T272" s="29" t="s">
        <v>644</v>
      </c>
      <c r="U272" s="29">
        <v>1615.0</v>
      </c>
      <c r="V272" s="29"/>
      <c r="W272" s="29"/>
      <c r="X272" s="29"/>
      <c r="Y272" s="29"/>
      <c r="Z272" s="29"/>
      <c r="AA272" s="29" t="s">
        <v>1192</v>
      </c>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row>
    <row r="273" ht="14.25" customHeight="1">
      <c r="A273" s="6"/>
      <c r="B273" s="5">
        <v>2.0</v>
      </c>
      <c r="C273" s="5" t="s">
        <v>637</v>
      </c>
      <c r="D273" s="5">
        <v>38226.0</v>
      </c>
      <c r="E273" s="5">
        <v>2811.0</v>
      </c>
      <c r="F273" s="5" t="s">
        <v>1193</v>
      </c>
      <c r="G273" s="21" t="s">
        <v>1194</v>
      </c>
      <c r="H273" s="5" t="s">
        <v>1195</v>
      </c>
      <c r="I273" s="5" t="s">
        <v>641</v>
      </c>
      <c r="J273" s="5" t="s">
        <v>1196</v>
      </c>
      <c r="K273" s="5">
        <v>1.0</v>
      </c>
      <c r="L273" s="5">
        <v>3554.0</v>
      </c>
      <c r="M273" s="11">
        <v>51.20083</v>
      </c>
      <c r="N273" s="11">
        <v>-117.77778</v>
      </c>
      <c r="O273" s="11" t="s">
        <v>170</v>
      </c>
      <c r="P273" s="11">
        <v>38226.0</v>
      </c>
      <c r="Q273" s="22">
        <v>7.0</v>
      </c>
      <c r="R273" s="11" t="s">
        <v>1193</v>
      </c>
      <c r="S273" s="13" t="s">
        <v>1197</v>
      </c>
      <c r="T273" s="11" t="s">
        <v>644</v>
      </c>
      <c r="U273" s="11">
        <v>2135.0</v>
      </c>
      <c r="Z273" s="11"/>
      <c r="AA273" s="11" t="s">
        <v>1198</v>
      </c>
      <c r="AB273" s="11"/>
      <c r="AC273" s="11"/>
      <c r="AD273" s="11"/>
      <c r="AE273" s="11"/>
      <c r="AF273" s="11"/>
      <c r="AG273" s="11"/>
      <c r="AH273" s="11"/>
      <c r="AI273" s="11"/>
    </row>
    <row r="274" ht="14.25" customHeight="1">
      <c r="A274" s="6" t="s">
        <v>88</v>
      </c>
      <c r="B274" s="5">
        <v>2.0</v>
      </c>
      <c r="C274" s="5" t="s">
        <v>637</v>
      </c>
      <c r="D274" s="5">
        <v>38227.0</v>
      </c>
      <c r="E274" s="5">
        <v>2812.0</v>
      </c>
      <c r="F274" s="29" t="s">
        <v>1199</v>
      </c>
      <c r="G274" s="10" t="s">
        <v>1200</v>
      </c>
      <c r="H274" s="5" t="s">
        <v>1201</v>
      </c>
      <c r="I274" s="5" t="s">
        <v>641</v>
      </c>
      <c r="J274" s="5" t="s">
        <v>755</v>
      </c>
      <c r="K274" s="5">
        <v>1.0</v>
      </c>
      <c r="L274" s="5">
        <v>3555.0</v>
      </c>
      <c r="M274" s="11">
        <v>51.18808</v>
      </c>
      <c r="N274" s="11">
        <v>-117.75616</v>
      </c>
      <c r="O274" s="11" t="s">
        <v>170</v>
      </c>
      <c r="P274" s="11">
        <v>38227.0</v>
      </c>
      <c r="Q274" s="22">
        <v>1.0</v>
      </c>
      <c r="R274" s="11" t="s">
        <v>1199</v>
      </c>
      <c r="S274" s="13" t="s">
        <v>1202</v>
      </c>
      <c r="T274" s="11" t="s">
        <v>644</v>
      </c>
      <c r="U274" s="29">
        <v>999.0</v>
      </c>
      <c r="V274" s="29"/>
      <c r="W274" s="29"/>
      <c r="X274" s="29"/>
      <c r="Y274" s="29"/>
      <c r="Z274" s="29"/>
      <c r="AA274" s="29" t="s">
        <v>1203</v>
      </c>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row>
    <row r="275" ht="14.25" customHeight="1">
      <c r="A275" s="6"/>
      <c r="B275" s="5">
        <v>2.0</v>
      </c>
      <c r="C275" s="5" t="s">
        <v>637</v>
      </c>
      <c r="D275" s="5">
        <v>38228.0</v>
      </c>
      <c r="E275" s="5">
        <v>2813.0</v>
      </c>
      <c r="F275" s="29" t="s">
        <v>1204</v>
      </c>
      <c r="G275" s="21" t="s">
        <v>1205</v>
      </c>
      <c r="H275" s="5" t="s">
        <v>1206</v>
      </c>
      <c r="I275" s="5" t="s">
        <v>641</v>
      </c>
      <c r="J275" s="5" t="s">
        <v>1207</v>
      </c>
      <c r="K275" s="5">
        <v>1.0</v>
      </c>
      <c r="L275" s="5">
        <v>3556.0</v>
      </c>
      <c r="M275" s="11">
        <v>51.18992</v>
      </c>
      <c r="N275" s="11">
        <v>-117.71083</v>
      </c>
      <c r="O275" s="11" t="s">
        <v>170</v>
      </c>
      <c r="P275" s="11">
        <v>38228.0</v>
      </c>
      <c r="Q275" s="22">
        <v>8.0</v>
      </c>
      <c r="R275" s="11" t="s">
        <v>1204</v>
      </c>
      <c r="S275" s="13" t="s">
        <v>1208</v>
      </c>
      <c r="T275" s="11" t="s">
        <v>644</v>
      </c>
      <c r="U275" s="29">
        <v>2260.0</v>
      </c>
      <c r="V275" s="29"/>
      <c r="W275" s="29"/>
      <c r="X275" s="29"/>
      <c r="Y275" s="29"/>
      <c r="Z275" s="29"/>
      <c r="AA275" s="29" t="s">
        <v>1209</v>
      </c>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row>
    <row r="276" ht="14.25" customHeight="1">
      <c r="A276" s="6"/>
      <c r="B276" s="5">
        <v>2.0</v>
      </c>
      <c r="C276" s="5" t="s">
        <v>637</v>
      </c>
      <c r="D276" s="5">
        <v>38323.0</v>
      </c>
      <c r="E276" s="5">
        <v>2816.0</v>
      </c>
      <c r="F276" s="5" t="s">
        <v>1210</v>
      </c>
      <c r="G276" s="21" t="s">
        <v>1211</v>
      </c>
      <c r="H276" s="5" t="s">
        <v>1212</v>
      </c>
      <c r="I276" s="5" t="s">
        <v>641</v>
      </c>
      <c r="J276" s="5" t="s">
        <v>1213</v>
      </c>
      <c r="K276" s="5">
        <v>1.0</v>
      </c>
      <c r="L276" s="5">
        <v>3559.0</v>
      </c>
      <c r="M276" s="11">
        <v>51.51833</v>
      </c>
      <c r="N276" s="11">
        <v>-118.46167</v>
      </c>
      <c r="O276" s="11" t="s">
        <v>170</v>
      </c>
      <c r="P276" s="11">
        <v>38323.0</v>
      </c>
      <c r="Q276" s="22">
        <v>6.0</v>
      </c>
      <c r="R276" s="11" t="s">
        <v>1210</v>
      </c>
      <c r="S276" s="13" t="s">
        <v>1214</v>
      </c>
      <c r="T276" s="11" t="s">
        <v>644</v>
      </c>
      <c r="U276" s="11">
        <v>1740.0</v>
      </c>
      <c r="Z276" s="11"/>
      <c r="AA276" s="11" t="s">
        <v>1215</v>
      </c>
      <c r="AB276" s="11"/>
      <c r="AC276" s="11"/>
      <c r="AD276" s="11"/>
      <c r="AE276" s="11"/>
      <c r="AF276" s="11"/>
      <c r="AG276" s="11"/>
      <c r="AH276" s="11"/>
      <c r="AI276" s="11"/>
    </row>
    <row r="277" ht="14.25" customHeight="1">
      <c r="A277" s="6"/>
      <c r="B277" s="5">
        <v>2.0</v>
      </c>
      <c r="C277" s="5" t="s">
        <v>637</v>
      </c>
      <c r="D277" s="5">
        <v>38324.0</v>
      </c>
      <c r="E277" s="5">
        <v>2817.0</v>
      </c>
      <c r="F277" s="5" t="s">
        <v>1216</v>
      </c>
      <c r="G277" s="21" t="s">
        <v>1217</v>
      </c>
      <c r="H277" s="5" t="s">
        <v>1218</v>
      </c>
      <c r="I277" s="5" t="s">
        <v>641</v>
      </c>
      <c r="J277" s="5" t="s">
        <v>642</v>
      </c>
      <c r="K277" s="5">
        <v>1.0</v>
      </c>
      <c r="L277" s="5">
        <v>3560.0</v>
      </c>
      <c r="M277" s="36">
        <v>51.59917</v>
      </c>
      <c r="N277" s="36">
        <v>-118.60111</v>
      </c>
      <c r="O277" s="37" t="s">
        <v>170</v>
      </c>
      <c r="P277" s="11">
        <v>38324.0</v>
      </c>
      <c r="Q277" s="22">
        <v>1.0</v>
      </c>
      <c r="R277" s="36" t="s">
        <v>1216</v>
      </c>
      <c r="S277" s="13" t="s">
        <v>1219</v>
      </c>
      <c r="T277" s="11" t="s">
        <v>644</v>
      </c>
      <c r="U277" s="11">
        <v>650.0</v>
      </c>
      <c r="Z277" s="11" t="s">
        <v>645</v>
      </c>
      <c r="AA277" s="11" t="s">
        <v>1220</v>
      </c>
      <c r="AB277" s="11"/>
      <c r="AC277" s="23"/>
      <c r="AD277" s="11"/>
      <c r="AE277" s="11"/>
      <c r="AF277" s="11"/>
      <c r="AG277" s="11"/>
      <c r="AH277" s="11"/>
      <c r="AI277" s="11"/>
    </row>
    <row r="278" ht="14.25" customHeight="1">
      <c r="A278" s="6"/>
      <c r="B278" s="5">
        <v>2.0</v>
      </c>
      <c r="C278" s="5" t="s">
        <v>637</v>
      </c>
      <c r="D278" s="5">
        <v>38325.0</v>
      </c>
      <c r="E278" s="5">
        <v>2818.0</v>
      </c>
      <c r="F278" s="29" t="s">
        <v>1221</v>
      </c>
      <c r="G278" s="21" t="s">
        <v>1222</v>
      </c>
      <c r="H278" s="5" t="s">
        <v>1223</v>
      </c>
      <c r="I278" s="5" t="s">
        <v>641</v>
      </c>
      <c r="J278" s="5" t="s">
        <v>1224</v>
      </c>
      <c r="K278" s="5">
        <v>1.0</v>
      </c>
      <c r="L278" s="5">
        <v>3561.0</v>
      </c>
      <c r="M278" s="29">
        <v>52.04028</v>
      </c>
      <c r="N278" s="29">
        <v>-118.57083</v>
      </c>
      <c r="O278" s="29" t="s">
        <v>170</v>
      </c>
      <c r="P278" s="29">
        <v>38325.0</v>
      </c>
      <c r="Q278" s="31">
        <v>2.0</v>
      </c>
      <c r="R278" s="29" t="s">
        <v>1221</v>
      </c>
      <c r="S278" s="32" t="s">
        <v>1225</v>
      </c>
      <c r="T278" s="29" t="s">
        <v>644</v>
      </c>
      <c r="U278" s="29">
        <v>1080.0</v>
      </c>
      <c r="V278" s="29"/>
      <c r="W278" s="29"/>
      <c r="X278" s="29"/>
      <c r="Y278" s="29"/>
      <c r="Z278" s="29"/>
      <c r="AA278" s="29" t="s">
        <v>1226</v>
      </c>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row>
    <row r="279" ht="14.25" customHeight="1">
      <c r="A279" s="6"/>
      <c r="B279" s="5">
        <v>2.0</v>
      </c>
      <c r="C279" s="5" t="s">
        <v>637</v>
      </c>
      <c r="D279" s="5">
        <v>38326.0</v>
      </c>
      <c r="E279" s="5">
        <v>2819.0</v>
      </c>
      <c r="F279" s="29" t="s">
        <v>1227</v>
      </c>
      <c r="G279" s="21" t="s">
        <v>1228</v>
      </c>
      <c r="H279" s="5" t="s">
        <v>1229</v>
      </c>
      <c r="I279" s="5" t="s">
        <v>641</v>
      </c>
      <c r="J279" s="5" t="s">
        <v>755</v>
      </c>
      <c r="K279" s="5">
        <v>1.0</v>
      </c>
      <c r="L279" s="5">
        <v>3562.0</v>
      </c>
      <c r="M279" s="11">
        <v>51.95778</v>
      </c>
      <c r="N279" s="11">
        <v>-118.56222</v>
      </c>
      <c r="O279" s="11" t="s">
        <v>170</v>
      </c>
      <c r="P279" s="11">
        <v>38326.0</v>
      </c>
      <c r="Q279" s="22">
        <v>1.0</v>
      </c>
      <c r="R279" s="11" t="s">
        <v>1227</v>
      </c>
      <c r="S279" s="13" t="s">
        <v>1230</v>
      </c>
      <c r="T279" s="11" t="s">
        <v>644</v>
      </c>
      <c r="U279" s="29">
        <v>565.0</v>
      </c>
      <c r="V279" s="29"/>
      <c r="W279" s="29"/>
      <c r="X279" s="29"/>
      <c r="Y279" s="29"/>
      <c r="Z279" s="29"/>
      <c r="AA279" s="29" t="s">
        <v>1231</v>
      </c>
      <c r="AB279" s="29"/>
      <c r="AC279" s="33"/>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row>
    <row r="280" ht="14.25" customHeight="1">
      <c r="A280" s="6"/>
      <c r="B280" s="5">
        <v>2.0</v>
      </c>
      <c r="C280" s="5" t="s">
        <v>637</v>
      </c>
      <c r="D280" s="5">
        <v>38327.0</v>
      </c>
      <c r="E280" s="5">
        <v>11026.0</v>
      </c>
      <c r="F280" s="5" t="s">
        <v>1232</v>
      </c>
      <c r="G280" s="21" t="s">
        <v>1233</v>
      </c>
      <c r="H280" s="5" t="s">
        <v>891</v>
      </c>
      <c r="I280" s="5" t="s">
        <v>49</v>
      </c>
      <c r="J280" s="5" t="s">
        <v>1234</v>
      </c>
      <c r="K280" s="5">
        <v>1.0</v>
      </c>
      <c r="L280" s="5">
        <v>13194.0</v>
      </c>
      <c r="M280" s="11">
        <v>52.05307</v>
      </c>
      <c r="N280" s="11">
        <v>-118.58543</v>
      </c>
      <c r="O280" s="11" t="s">
        <v>170</v>
      </c>
      <c r="P280" s="11">
        <v>38327.0</v>
      </c>
      <c r="Q280" s="22">
        <v>1.0</v>
      </c>
      <c r="R280" s="11" t="s">
        <v>1232</v>
      </c>
      <c r="S280" s="13" t="s">
        <v>1235</v>
      </c>
      <c r="T280" s="11" t="s">
        <v>644</v>
      </c>
      <c r="U280" s="11">
        <v>570.0</v>
      </c>
      <c r="Z280" s="11" t="s">
        <v>645</v>
      </c>
      <c r="AA280" s="11" t="s">
        <v>1236</v>
      </c>
      <c r="AB280" s="11"/>
      <c r="AC280" s="23"/>
      <c r="AD280" s="11"/>
      <c r="AE280" s="11"/>
      <c r="AF280" s="11"/>
      <c r="AG280" s="11"/>
      <c r="AH280" s="11"/>
      <c r="AI280" s="11"/>
    </row>
    <row r="281" ht="14.25" customHeight="1">
      <c r="A281" s="6"/>
      <c r="B281" s="5">
        <v>2.0</v>
      </c>
      <c r="C281" s="5" t="s">
        <v>637</v>
      </c>
      <c r="D281" s="5">
        <v>38424.0</v>
      </c>
      <c r="E281" s="5">
        <v>2821.0</v>
      </c>
      <c r="F281" s="5" t="s">
        <v>1237</v>
      </c>
      <c r="G281" s="21" t="s">
        <v>1238</v>
      </c>
      <c r="H281" s="5" t="s">
        <v>1239</v>
      </c>
      <c r="I281" s="5" t="s">
        <v>641</v>
      </c>
      <c r="J281" s="5" t="s">
        <v>1181</v>
      </c>
      <c r="K281" s="5">
        <v>1.0</v>
      </c>
      <c r="L281" s="5">
        <v>3564.0</v>
      </c>
      <c r="M281" s="11">
        <v>50.70806</v>
      </c>
      <c r="N281" s="11">
        <v>-117.755</v>
      </c>
      <c r="O281" s="11" t="s">
        <v>170</v>
      </c>
      <c r="P281" s="11">
        <v>38424.0</v>
      </c>
      <c r="Q281" s="22">
        <v>5.0</v>
      </c>
      <c r="R281" s="11" t="s">
        <v>1237</v>
      </c>
      <c r="S281" s="13" t="s">
        <v>1240</v>
      </c>
      <c r="T281" s="11" t="s">
        <v>644</v>
      </c>
      <c r="U281" s="11">
        <v>1570.0</v>
      </c>
      <c r="Z281" s="11"/>
      <c r="AA281" s="11" t="s">
        <v>1241</v>
      </c>
      <c r="AB281" s="11"/>
      <c r="AC281" s="11"/>
      <c r="AD281" s="11"/>
      <c r="AE281" s="11"/>
      <c r="AF281" s="11"/>
      <c r="AG281" s="11"/>
      <c r="AH281" s="11"/>
      <c r="AI281" s="11"/>
    </row>
    <row r="282" ht="14.25" customHeight="1">
      <c r="A282" s="6" t="s">
        <v>328</v>
      </c>
      <c r="B282" s="5">
        <v>2.0</v>
      </c>
      <c r="C282" s="12" t="s">
        <v>688</v>
      </c>
      <c r="D282" s="12" t="s">
        <v>1242</v>
      </c>
      <c r="F282" s="35" t="s">
        <v>1243</v>
      </c>
      <c r="G282" s="12" t="s">
        <v>1244</v>
      </c>
      <c r="M282" s="29">
        <v>49.6725</v>
      </c>
      <c r="N282" s="29">
        <v>-120.60468</v>
      </c>
      <c r="O282" s="29" t="s">
        <v>142</v>
      </c>
      <c r="P282" s="29">
        <v>24094.0</v>
      </c>
      <c r="Q282" s="31">
        <v>2.0</v>
      </c>
      <c r="R282" s="29" t="s">
        <v>1245</v>
      </c>
      <c r="S282" s="32" t="s">
        <v>1246</v>
      </c>
      <c r="T282" s="29" t="s">
        <v>644</v>
      </c>
      <c r="U282" s="29">
        <v>877.0</v>
      </c>
      <c r="V282" s="29"/>
      <c r="W282" s="29"/>
      <c r="X282" s="29"/>
      <c r="Y282" s="29"/>
      <c r="Z282" s="29"/>
      <c r="AA282" s="29" t="s">
        <v>1247</v>
      </c>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row>
    <row r="283" ht="14.25" customHeight="1">
      <c r="A283" s="6" t="s">
        <v>88</v>
      </c>
      <c r="B283" s="5">
        <v>2.0</v>
      </c>
      <c r="C283" s="5" t="s">
        <v>637</v>
      </c>
      <c r="D283" s="5">
        <v>38491.0</v>
      </c>
      <c r="E283" s="5">
        <v>12989.0</v>
      </c>
      <c r="F283" s="5" t="s">
        <v>1248</v>
      </c>
      <c r="G283" s="10" t="s">
        <v>1249</v>
      </c>
      <c r="H283" s="5" t="s">
        <v>1149</v>
      </c>
      <c r="I283" s="5" t="s">
        <v>49</v>
      </c>
      <c r="J283" s="5" t="s">
        <v>793</v>
      </c>
      <c r="K283" s="5">
        <v>1.0</v>
      </c>
      <c r="L283" s="5">
        <v>14921.0</v>
      </c>
      <c r="M283" s="5">
        <v>50.80856</v>
      </c>
      <c r="N283" s="5">
        <v>-118.06795</v>
      </c>
      <c r="O283" s="5" t="s">
        <v>170</v>
      </c>
      <c r="P283" s="5">
        <v>38491.0</v>
      </c>
      <c r="Q283" s="5">
        <v>1.0</v>
      </c>
      <c r="R283" s="5" t="s">
        <v>1250</v>
      </c>
      <c r="S283" s="5" t="s">
        <v>1248</v>
      </c>
      <c r="T283" s="5" t="s">
        <v>644</v>
      </c>
      <c r="U283" s="10">
        <v>700.0</v>
      </c>
      <c r="AA283" s="5" t="s">
        <v>1251</v>
      </c>
    </row>
    <row r="284" ht="14.25" customHeight="1">
      <c r="A284" s="6" t="s">
        <v>328</v>
      </c>
      <c r="B284" s="5">
        <v>2.0</v>
      </c>
      <c r="C284" s="12" t="s">
        <v>688</v>
      </c>
      <c r="D284" s="12" t="s">
        <v>1252</v>
      </c>
      <c r="F284" s="12" t="s">
        <v>1253</v>
      </c>
      <c r="G284" s="12" t="s">
        <v>1254</v>
      </c>
      <c r="M284" s="11">
        <v>50.70195</v>
      </c>
      <c r="N284" s="11">
        <v>-117.74273</v>
      </c>
      <c r="O284" s="11" t="s">
        <v>170</v>
      </c>
      <c r="P284" s="11">
        <v>38495.0</v>
      </c>
      <c r="Q284" s="22">
        <v>1.0</v>
      </c>
      <c r="R284" s="11" t="s">
        <v>1255</v>
      </c>
      <c r="S284" s="13" t="s">
        <v>1256</v>
      </c>
      <c r="T284" s="11" t="s">
        <v>644</v>
      </c>
      <c r="U284" s="11">
        <v>884.0</v>
      </c>
      <c r="Z284" s="11"/>
      <c r="AA284" s="11" t="s">
        <v>1257</v>
      </c>
      <c r="AB284" s="11"/>
      <c r="AC284" s="11"/>
      <c r="AD284" s="11"/>
      <c r="AE284" s="11"/>
      <c r="AF284" s="11"/>
      <c r="AG284" s="11"/>
      <c r="AH284" s="11"/>
      <c r="AI284" s="11"/>
    </row>
    <row r="285" ht="14.25" customHeight="1">
      <c r="A285" s="6"/>
      <c r="B285" s="5">
        <v>2.0</v>
      </c>
      <c r="C285" s="5" t="s">
        <v>637</v>
      </c>
      <c r="D285" s="5">
        <v>39121.0</v>
      </c>
      <c r="E285" s="5">
        <v>2825.0</v>
      </c>
      <c r="F285" s="5" t="s">
        <v>1258</v>
      </c>
      <c r="G285" s="21" t="s">
        <v>1259</v>
      </c>
      <c r="H285" s="5" t="s">
        <v>1260</v>
      </c>
      <c r="I285" s="5" t="s">
        <v>641</v>
      </c>
      <c r="J285" s="5" t="s">
        <v>1261</v>
      </c>
      <c r="K285" s="5">
        <v>1.0</v>
      </c>
      <c r="L285" s="5">
        <v>3568.0</v>
      </c>
      <c r="M285" s="11">
        <v>49.05806</v>
      </c>
      <c r="N285" s="11">
        <v>-117.04</v>
      </c>
      <c r="O285" s="11" t="s">
        <v>170</v>
      </c>
      <c r="P285" s="11">
        <v>39121.0</v>
      </c>
      <c r="Q285" s="22">
        <v>6.0</v>
      </c>
      <c r="R285" s="11" t="s">
        <v>1258</v>
      </c>
      <c r="S285" s="13" t="s">
        <v>1262</v>
      </c>
      <c r="T285" s="11" t="s">
        <v>644</v>
      </c>
      <c r="U285" s="11">
        <v>1780.0</v>
      </c>
      <c r="Z285" s="11" t="s">
        <v>645</v>
      </c>
      <c r="AA285" s="11" t="s">
        <v>1263</v>
      </c>
      <c r="AB285" s="11"/>
      <c r="AC285" s="23"/>
      <c r="AD285" s="11"/>
      <c r="AE285" s="11"/>
      <c r="AF285" s="11"/>
      <c r="AG285" s="11"/>
      <c r="AH285" s="11"/>
      <c r="AI285" s="11"/>
    </row>
    <row r="286" ht="14.25" customHeight="1">
      <c r="A286" s="6"/>
      <c r="B286" s="5">
        <v>2.0</v>
      </c>
      <c r="C286" s="5" t="s">
        <v>637</v>
      </c>
      <c r="D286" s="5">
        <v>39123.0</v>
      </c>
      <c r="E286" s="5">
        <v>2826.0</v>
      </c>
      <c r="F286" s="5" t="s">
        <v>1264</v>
      </c>
      <c r="G286" s="21" t="s">
        <v>1265</v>
      </c>
      <c r="H286" s="5" t="s">
        <v>1266</v>
      </c>
      <c r="I286" s="5" t="s">
        <v>641</v>
      </c>
      <c r="J286" s="5" t="s">
        <v>1267</v>
      </c>
      <c r="K286" s="5">
        <v>1.0</v>
      </c>
      <c r="L286" s="5">
        <v>3569.0</v>
      </c>
      <c r="M286" s="11">
        <v>49.07161</v>
      </c>
      <c r="N286" s="11">
        <v>-117.08389</v>
      </c>
      <c r="O286" s="11" t="s">
        <v>170</v>
      </c>
      <c r="P286" s="11">
        <v>39123.0</v>
      </c>
      <c r="Q286" s="22">
        <v>8.0</v>
      </c>
      <c r="R286" s="11" t="s">
        <v>1264</v>
      </c>
      <c r="S286" s="13" t="s">
        <v>1268</v>
      </c>
      <c r="T286" s="11" t="s">
        <v>644</v>
      </c>
      <c r="U286" s="11">
        <v>2140.0</v>
      </c>
      <c r="Z286" s="11"/>
      <c r="AA286" s="11" t="s">
        <v>1269</v>
      </c>
      <c r="AB286" s="11"/>
      <c r="AC286" s="11"/>
      <c r="AD286" s="11"/>
      <c r="AE286" s="11"/>
      <c r="AF286" s="11"/>
      <c r="AG286" s="11"/>
      <c r="AH286" s="11"/>
      <c r="AI286" s="11"/>
    </row>
    <row r="287" ht="14.25" customHeight="1">
      <c r="A287" s="6"/>
      <c r="B287" s="5">
        <v>2.0</v>
      </c>
      <c r="C287" s="5" t="s">
        <v>637</v>
      </c>
      <c r="D287" s="5">
        <v>39124.0</v>
      </c>
      <c r="E287" s="5">
        <v>12483.0</v>
      </c>
      <c r="F287" s="5" t="s">
        <v>1270</v>
      </c>
      <c r="G287" s="21" t="s">
        <v>1271</v>
      </c>
      <c r="H287" s="5" t="s">
        <v>709</v>
      </c>
      <c r="I287" s="5" t="s">
        <v>49</v>
      </c>
      <c r="J287" s="5" t="s">
        <v>1023</v>
      </c>
      <c r="K287" s="5">
        <v>1.0</v>
      </c>
      <c r="L287" s="5">
        <v>14505.0</v>
      </c>
      <c r="M287" s="11">
        <v>49.07644</v>
      </c>
      <c r="N287" s="11">
        <v>-117.00218</v>
      </c>
      <c r="O287" s="11" t="s">
        <v>170</v>
      </c>
      <c r="P287" s="11">
        <v>39124.0</v>
      </c>
      <c r="Q287" s="22">
        <v>7.0</v>
      </c>
      <c r="R287" s="11" t="s">
        <v>1270</v>
      </c>
      <c r="S287" s="13" t="s">
        <v>1272</v>
      </c>
      <c r="T287" s="11" t="s">
        <v>644</v>
      </c>
      <c r="U287" s="11">
        <v>2054.0</v>
      </c>
      <c r="Z287" s="11"/>
      <c r="AA287" s="11" t="s">
        <v>1273</v>
      </c>
      <c r="AB287" s="11"/>
      <c r="AC287" s="11"/>
      <c r="AD287" s="11"/>
      <c r="AE287" s="11"/>
      <c r="AF287" s="11"/>
      <c r="AG287" s="11"/>
      <c r="AH287" s="11"/>
      <c r="AI287" s="11"/>
    </row>
    <row r="288" ht="14.25" customHeight="1">
      <c r="A288" s="6"/>
      <c r="B288" s="5">
        <v>2.0</v>
      </c>
      <c r="C288" s="5" t="s">
        <v>637</v>
      </c>
      <c r="D288" s="5">
        <v>39129.0</v>
      </c>
      <c r="E288" s="5">
        <v>2827.0</v>
      </c>
      <c r="F288" s="5" t="s">
        <v>1274</v>
      </c>
      <c r="G288" s="24" t="s">
        <v>1275</v>
      </c>
      <c r="H288" s="5" t="s">
        <v>1276</v>
      </c>
      <c r="I288" s="5" t="s">
        <v>641</v>
      </c>
      <c r="J288" s="5" t="s">
        <v>1277</v>
      </c>
      <c r="K288" s="5">
        <v>1.0</v>
      </c>
      <c r="L288" s="5">
        <v>3570.0</v>
      </c>
      <c r="M288" s="11"/>
      <c r="N288" s="11"/>
      <c r="O288" s="11"/>
      <c r="P288" s="11"/>
      <c r="Q288" s="22"/>
      <c r="R288" s="11"/>
      <c r="S288" s="13"/>
      <c r="T288" s="11"/>
      <c r="U288" s="11"/>
      <c r="Z288" s="11"/>
      <c r="AA288" s="11"/>
      <c r="AB288" s="11"/>
      <c r="AC288" s="11"/>
      <c r="AD288" s="11"/>
      <c r="AE288" s="11"/>
      <c r="AF288" s="11"/>
      <c r="AG288" s="11"/>
      <c r="AH288" s="11"/>
      <c r="AI288" s="11"/>
    </row>
    <row r="289" ht="14.25" customHeight="1">
      <c r="A289" s="6" t="s">
        <v>88</v>
      </c>
      <c r="B289" s="5">
        <v>2.0</v>
      </c>
      <c r="C289" s="5" t="s">
        <v>637</v>
      </c>
      <c r="D289" s="5">
        <v>39291.0</v>
      </c>
      <c r="E289" s="5">
        <v>12990.0</v>
      </c>
      <c r="F289" s="5" t="s">
        <v>1278</v>
      </c>
      <c r="G289" s="10" t="s">
        <v>1279</v>
      </c>
      <c r="H289" s="5" t="s">
        <v>1149</v>
      </c>
      <c r="I289" s="5" t="s">
        <v>49</v>
      </c>
      <c r="J289" s="5" t="s">
        <v>793</v>
      </c>
      <c r="K289" s="5">
        <v>1.0</v>
      </c>
      <c r="L289" s="5">
        <v>14922.0</v>
      </c>
      <c r="M289" s="29">
        <v>49.10933</v>
      </c>
      <c r="N289" s="29">
        <v>-116.16947</v>
      </c>
      <c r="O289" s="29" t="s">
        <v>170</v>
      </c>
      <c r="P289" s="29">
        <v>39291.0</v>
      </c>
      <c r="Q289" s="31">
        <v>1.0</v>
      </c>
      <c r="R289" s="29" t="s">
        <v>1280</v>
      </c>
      <c r="S289" s="32" t="s">
        <v>1278</v>
      </c>
      <c r="T289" s="29" t="s">
        <v>644</v>
      </c>
      <c r="U289" s="29">
        <v>893.0</v>
      </c>
      <c r="V289" s="29"/>
      <c r="W289" s="29"/>
      <c r="X289" s="29"/>
      <c r="Y289" s="29"/>
      <c r="Z289" s="29"/>
      <c r="AA289" s="29" t="s">
        <v>1281</v>
      </c>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row>
    <row r="290" ht="14.25" customHeight="1">
      <c r="A290" s="6" t="s">
        <v>88</v>
      </c>
      <c r="B290" s="5">
        <v>2.0</v>
      </c>
      <c r="C290" s="5" t="s">
        <v>637</v>
      </c>
      <c r="D290" s="5">
        <v>41091.0</v>
      </c>
      <c r="E290" s="5">
        <v>2834.0</v>
      </c>
      <c r="F290" s="5" t="s">
        <v>1282</v>
      </c>
      <c r="G290" s="10" t="s">
        <v>1283</v>
      </c>
      <c r="H290" s="5" t="s">
        <v>1284</v>
      </c>
      <c r="I290" s="5" t="s">
        <v>641</v>
      </c>
      <c r="J290" s="5" t="s">
        <v>642</v>
      </c>
      <c r="K290" s="5">
        <v>1.0</v>
      </c>
      <c r="L290" s="5">
        <v>3577.0</v>
      </c>
      <c r="M290" s="10">
        <v>53.43988</v>
      </c>
      <c r="N290" s="10">
        <v>-120.50709</v>
      </c>
      <c r="O290" s="5" t="s">
        <v>170</v>
      </c>
      <c r="P290" s="5">
        <v>41091.0</v>
      </c>
      <c r="Q290" s="5">
        <v>1.0</v>
      </c>
      <c r="R290" s="5" t="s">
        <v>1282</v>
      </c>
      <c r="S290" s="5" t="s">
        <v>1285</v>
      </c>
      <c r="T290" s="5" t="s">
        <v>644</v>
      </c>
      <c r="U290" s="10">
        <v>895.0</v>
      </c>
      <c r="AA290" s="5" t="s">
        <v>1286</v>
      </c>
    </row>
    <row r="291" ht="14.25" customHeight="1">
      <c r="A291" s="6"/>
      <c r="B291" s="5">
        <v>2.0</v>
      </c>
      <c r="C291" s="5" t="s">
        <v>637</v>
      </c>
      <c r="D291" s="5">
        <v>41092.0</v>
      </c>
      <c r="E291" s="5">
        <v>2835.0</v>
      </c>
      <c r="F291" s="5" t="s">
        <v>1287</v>
      </c>
      <c r="G291" s="21" t="s">
        <v>1288</v>
      </c>
      <c r="H291" s="5" t="s">
        <v>1289</v>
      </c>
      <c r="I291" s="5" t="s">
        <v>641</v>
      </c>
      <c r="J291" s="5" t="s">
        <v>642</v>
      </c>
      <c r="K291" s="5">
        <v>1.0</v>
      </c>
      <c r="L291" s="5">
        <v>3578.0</v>
      </c>
      <c r="M291" s="29">
        <v>55.50111</v>
      </c>
      <c r="N291" s="29">
        <v>-122.65694</v>
      </c>
      <c r="O291" s="29" t="s">
        <v>1290</v>
      </c>
      <c r="P291" s="29">
        <v>41092.0</v>
      </c>
      <c r="Q291" s="31">
        <v>1.0</v>
      </c>
      <c r="R291" s="29" t="s">
        <v>1287</v>
      </c>
      <c r="S291" s="32" t="s">
        <v>1291</v>
      </c>
      <c r="T291" s="11" t="s">
        <v>644</v>
      </c>
      <c r="U291" s="29">
        <v>730.0</v>
      </c>
      <c r="V291" s="29"/>
      <c r="W291" s="29"/>
      <c r="X291" s="29"/>
      <c r="Y291" s="29"/>
      <c r="Z291" s="29" t="s">
        <v>645</v>
      </c>
      <c r="AA291" s="29" t="s">
        <v>1292</v>
      </c>
      <c r="AB291" s="29"/>
      <c r="AC291" s="33"/>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row>
    <row r="292" ht="14.25" customHeight="1">
      <c r="A292" s="6"/>
      <c r="B292" s="5">
        <v>2.0</v>
      </c>
      <c r="C292" s="5" t="s">
        <v>637</v>
      </c>
      <c r="D292" s="5">
        <v>41093.0</v>
      </c>
      <c r="E292" s="5">
        <v>2836.0</v>
      </c>
      <c r="F292" s="5" t="s">
        <v>1293</v>
      </c>
      <c r="G292" s="21" t="s">
        <v>1294</v>
      </c>
      <c r="H292" s="5" t="s">
        <v>1295</v>
      </c>
      <c r="I292" s="5" t="s">
        <v>641</v>
      </c>
      <c r="J292" s="5" t="s">
        <v>642</v>
      </c>
      <c r="K292" s="5">
        <v>1.0</v>
      </c>
      <c r="L292" s="5">
        <v>3579.0</v>
      </c>
      <c r="M292" s="11">
        <v>54.90389</v>
      </c>
      <c r="N292" s="11">
        <v>-122.9275</v>
      </c>
      <c r="O292" s="11" t="s">
        <v>1290</v>
      </c>
      <c r="P292" s="11">
        <v>41093.0</v>
      </c>
      <c r="Q292" s="22">
        <v>1.0</v>
      </c>
      <c r="R292" s="11" t="s">
        <v>1293</v>
      </c>
      <c r="S292" s="13" t="s">
        <v>1296</v>
      </c>
      <c r="T292" s="11" t="s">
        <v>644</v>
      </c>
      <c r="U292" s="11">
        <v>710.0</v>
      </c>
      <c r="Z292" s="11"/>
      <c r="AA292" s="11" t="s">
        <v>1297</v>
      </c>
      <c r="AB292" s="11"/>
      <c r="AC292" s="23"/>
      <c r="AD292" s="11"/>
      <c r="AE292" s="11"/>
      <c r="AF292" s="11"/>
      <c r="AG292" s="11"/>
      <c r="AH292" s="11"/>
      <c r="AI292" s="11"/>
    </row>
    <row r="293" ht="14.25" customHeight="1">
      <c r="A293" s="6"/>
      <c r="B293" s="5">
        <v>2.0</v>
      </c>
      <c r="C293" s="5" t="s">
        <v>637</v>
      </c>
      <c r="D293" s="5">
        <v>41094.0</v>
      </c>
      <c r="E293" s="5">
        <v>2837.0</v>
      </c>
      <c r="F293" s="29" t="s">
        <v>1298</v>
      </c>
      <c r="G293" s="21" t="s">
        <v>1299</v>
      </c>
      <c r="H293" s="5" t="s">
        <v>1300</v>
      </c>
      <c r="I293" s="5" t="s">
        <v>641</v>
      </c>
      <c r="J293" s="5" t="s">
        <v>642</v>
      </c>
      <c r="K293" s="5">
        <v>1.0</v>
      </c>
      <c r="L293" s="5">
        <v>3580.0</v>
      </c>
      <c r="M293" s="29">
        <v>53.83139</v>
      </c>
      <c r="N293" s="29">
        <v>-123.13222</v>
      </c>
      <c r="O293" s="29" t="s">
        <v>1290</v>
      </c>
      <c r="P293" s="29">
        <v>41094.0</v>
      </c>
      <c r="Q293" s="31">
        <v>1.0</v>
      </c>
      <c r="R293" s="29" t="s">
        <v>1301</v>
      </c>
      <c r="S293" s="32" t="s">
        <v>1302</v>
      </c>
      <c r="T293" s="29" t="s">
        <v>644</v>
      </c>
      <c r="U293" s="29">
        <v>715.0</v>
      </c>
      <c r="V293" s="29"/>
      <c r="W293" s="29"/>
      <c r="X293" s="29"/>
      <c r="Y293" s="29"/>
      <c r="Z293" s="29"/>
      <c r="AA293" s="29" t="s">
        <v>1303</v>
      </c>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row>
    <row r="294" ht="14.25" customHeight="1">
      <c r="A294" s="6"/>
      <c r="B294" s="5">
        <v>2.0</v>
      </c>
      <c r="C294" s="5" t="s">
        <v>637</v>
      </c>
      <c r="D294" s="5">
        <v>41095.0</v>
      </c>
      <c r="E294" s="5">
        <v>12484.0</v>
      </c>
      <c r="F294" s="5" t="s">
        <v>1304</v>
      </c>
      <c r="G294" s="21" t="s">
        <v>1305</v>
      </c>
      <c r="H294" s="5" t="s">
        <v>709</v>
      </c>
      <c r="I294" s="5" t="s">
        <v>49</v>
      </c>
      <c r="J294" s="5" t="s">
        <v>799</v>
      </c>
      <c r="K294" s="5">
        <v>1.0</v>
      </c>
      <c r="L294" s="5">
        <v>14506.0</v>
      </c>
      <c r="M294" s="10">
        <v>53.72531</v>
      </c>
      <c r="N294" s="10">
        <v>-121.13636</v>
      </c>
      <c r="P294" s="10">
        <v>41095.0</v>
      </c>
      <c r="R294" s="10" t="s">
        <v>1304</v>
      </c>
      <c r="U294" s="10">
        <v>726.0</v>
      </c>
      <c r="AA294" s="10" t="s">
        <v>1306</v>
      </c>
    </row>
    <row r="295" ht="14.25" customHeight="1">
      <c r="A295" s="6"/>
      <c r="B295" s="5">
        <v>2.0</v>
      </c>
      <c r="C295" s="5" t="s">
        <v>637</v>
      </c>
      <c r="D295" s="5">
        <v>42091.0</v>
      </c>
      <c r="E295" s="5">
        <v>2841.0</v>
      </c>
      <c r="F295" s="5" t="s">
        <v>1307</v>
      </c>
      <c r="G295" s="21" t="s">
        <v>1308</v>
      </c>
      <c r="H295" s="5" t="s">
        <v>1309</v>
      </c>
      <c r="I295" s="5" t="s">
        <v>641</v>
      </c>
      <c r="J295" s="5" t="s">
        <v>642</v>
      </c>
      <c r="K295" s="5">
        <v>1.0</v>
      </c>
      <c r="L295" s="5">
        <v>3584.0</v>
      </c>
      <c r="M295" s="11">
        <v>52.93078</v>
      </c>
      <c r="N295" s="11">
        <v>-122.43881</v>
      </c>
      <c r="O295" s="11" t="s">
        <v>148</v>
      </c>
      <c r="P295" s="11">
        <v>42091.0</v>
      </c>
      <c r="Q295" s="22">
        <v>1.0</v>
      </c>
      <c r="R295" s="11" t="s">
        <v>1307</v>
      </c>
      <c r="S295" s="13" t="s">
        <v>1310</v>
      </c>
      <c r="T295" s="11" t="s">
        <v>644</v>
      </c>
      <c r="U295" s="11">
        <v>659.0</v>
      </c>
      <c r="Z295" s="11"/>
      <c r="AA295" s="11" t="s">
        <v>1311</v>
      </c>
      <c r="AB295" s="11"/>
      <c r="AC295" s="23"/>
      <c r="AD295" s="11"/>
      <c r="AE295" s="11"/>
      <c r="AF295" s="11"/>
      <c r="AG295" s="11"/>
      <c r="AH295" s="11"/>
      <c r="AI295" s="11"/>
    </row>
    <row r="296" ht="14.25" customHeight="1">
      <c r="A296" s="6"/>
      <c r="B296" s="5">
        <v>2.0</v>
      </c>
      <c r="C296" s="5" t="s">
        <v>637</v>
      </c>
      <c r="D296" s="5">
        <v>42092.0</v>
      </c>
      <c r="E296" s="5">
        <v>11027.0</v>
      </c>
      <c r="F296" s="5" t="s">
        <v>1312</v>
      </c>
      <c r="G296" s="21" t="s">
        <v>1313</v>
      </c>
      <c r="H296" s="5" t="s">
        <v>969</v>
      </c>
      <c r="I296" s="5" t="s">
        <v>49</v>
      </c>
      <c r="J296" s="5" t="s">
        <v>710</v>
      </c>
      <c r="K296" s="5">
        <v>1.0</v>
      </c>
      <c r="L296" s="5">
        <v>13195.0</v>
      </c>
      <c r="M296" s="11">
        <v>53.158</v>
      </c>
      <c r="N296" s="11">
        <v>-122.36442</v>
      </c>
      <c r="O296" s="11" t="s">
        <v>148</v>
      </c>
      <c r="P296" s="11">
        <v>42092.0</v>
      </c>
      <c r="Q296" s="22">
        <v>2.0</v>
      </c>
      <c r="R296" s="11" t="s">
        <v>1312</v>
      </c>
      <c r="S296" s="13" t="s">
        <v>1314</v>
      </c>
      <c r="T296" s="11" t="s">
        <v>644</v>
      </c>
      <c r="U296" s="11">
        <v>855.0</v>
      </c>
      <c r="Z296" s="11"/>
      <c r="AA296" s="11" t="s">
        <v>1315</v>
      </c>
      <c r="AB296" s="11"/>
      <c r="AC296" s="23"/>
      <c r="AD296" s="11"/>
      <c r="AE296" s="11"/>
      <c r="AF296" s="11"/>
      <c r="AG296" s="11"/>
      <c r="AH296" s="11"/>
      <c r="AI296" s="11"/>
    </row>
    <row r="297" ht="14.25" customHeight="1">
      <c r="A297" s="6"/>
      <c r="B297" s="5">
        <v>2.0</v>
      </c>
      <c r="C297" s="5" t="s">
        <v>637</v>
      </c>
      <c r="D297" s="5">
        <v>42121.0</v>
      </c>
      <c r="E297" s="5">
        <v>2843.0</v>
      </c>
      <c r="F297" s="5" t="s">
        <v>1316</v>
      </c>
      <c r="G297" s="21" t="s">
        <v>1317</v>
      </c>
      <c r="H297" s="5" t="s">
        <v>1318</v>
      </c>
      <c r="I297" s="5" t="s">
        <v>641</v>
      </c>
      <c r="J297" s="5" t="s">
        <v>1319</v>
      </c>
      <c r="K297" s="5">
        <v>1.0</v>
      </c>
      <c r="L297" s="5">
        <v>3586.0</v>
      </c>
      <c r="M297" s="11">
        <v>53.15667</v>
      </c>
      <c r="N297" s="11">
        <v>-121.47889</v>
      </c>
      <c r="O297" s="11" t="s">
        <v>170</v>
      </c>
      <c r="P297" s="11">
        <v>42121.0</v>
      </c>
      <c r="Q297" s="22">
        <v>5.0</v>
      </c>
      <c r="R297" s="11" t="s">
        <v>1316</v>
      </c>
      <c r="S297" s="13" t="s">
        <v>1320</v>
      </c>
      <c r="T297" s="11" t="s">
        <v>644</v>
      </c>
      <c r="U297" s="11">
        <v>1675.0</v>
      </c>
      <c r="Z297" s="11"/>
      <c r="AA297" s="11" t="s">
        <v>1321</v>
      </c>
      <c r="AB297" s="11"/>
      <c r="AC297" s="11"/>
      <c r="AD297" s="11"/>
      <c r="AE297" s="11"/>
      <c r="AF297" s="11"/>
      <c r="AG297" s="11"/>
      <c r="AH297" s="11"/>
      <c r="AI297" s="11"/>
    </row>
    <row r="298" ht="14.25" customHeight="1">
      <c r="A298" s="6" t="s">
        <v>912</v>
      </c>
      <c r="B298" s="5">
        <v>2.0</v>
      </c>
      <c r="C298" s="5" t="s">
        <v>637</v>
      </c>
      <c r="D298" s="5">
        <v>42122.0</v>
      </c>
      <c r="E298" s="5">
        <v>12485.0</v>
      </c>
      <c r="F298" s="29" t="s">
        <v>1322</v>
      </c>
      <c r="G298" s="10" t="s">
        <v>1323</v>
      </c>
      <c r="H298" s="5" t="s">
        <v>709</v>
      </c>
      <c r="I298" s="5" t="s">
        <v>49</v>
      </c>
      <c r="J298" s="5" t="s">
        <v>896</v>
      </c>
      <c r="K298" s="5">
        <v>1.0</v>
      </c>
      <c r="L298" s="5">
        <v>14507.0</v>
      </c>
      <c r="M298" s="29">
        <v>53.15434</v>
      </c>
      <c r="N298" s="29">
        <v>-121.50459</v>
      </c>
      <c r="O298" s="29" t="s">
        <v>170</v>
      </c>
      <c r="P298" s="29">
        <v>42122.0</v>
      </c>
      <c r="Q298" s="31">
        <v>3.0</v>
      </c>
      <c r="R298" s="29" t="s">
        <v>1322</v>
      </c>
      <c r="S298" s="32" t="s">
        <v>1324</v>
      </c>
      <c r="T298" s="29" t="s">
        <v>644</v>
      </c>
      <c r="U298" s="29">
        <v>1199.0</v>
      </c>
      <c r="V298" s="29"/>
      <c r="W298" s="29"/>
      <c r="X298" s="29"/>
      <c r="Y298" s="29"/>
      <c r="Z298" s="29"/>
      <c r="AA298" s="29" t="s">
        <v>1325</v>
      </c>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c r="BR298" s="29"/>
      <c r="BS298" s="29"/>
      <c r="BT298" s="29"/>
    </row>
    <row r="299" ht="14.25" customHeight="1">
      <c r="A299" s="6"/>
      <c r="B299" s="5">
        <v>2.0</v>
      </c>
      <c r="C299" s="5" t="s">
        <v>637</v>
      </c>
      <c r="D299" s="5">
        <v>43091.0</v>
      </c>
      <c r="E299" s="5">
        <v>2846.0</v>
      </c>
      <c r="F299" s="5" t="s">
        <v>1326</v>
      </c>
      <c r="G299" s="21" t="s">
        <v>1327</v>
      </c>
      <c r="H299" s="5" t="s">
        <v>1328</v>
      </c>
      <c r="I299" s="5" t="s">
        <v>641</v>
      </c>
      <c r="J299" s="5" t="s">
        <v>642</v>
      </c>
      <c r="K299" s="5">
        <v>1.0</v>
      </c>
      <c r="L299" s="5">
        <v>3589.0</v>
      </c>
      <c r="M299" s="11">
        <v>55.7815</v>
      </c>
      <c r="N299" s="11">
        <v>-120.76256</v>
      </c>
      <c r="O299" s="11" t="s">
        <v>153</v>
      </c>
      <c r="P299" s="11">
        <v>43091.0</v>
      </c>
      <c r="Q299" s="22">
        <v>4.0</v>
      </c>
      <c r="R299" s="11" t="s">
        <v>1326</v>
      </c>
      <c r="S299" s="13" t="s">
        <v>1329</v>
      </c>
      <c r="T299" s="11" t="s">
        <v>644</v>
      </c>
      <c r="U299" s="11">
        <v>760.0</v>
      </c>
      <c r="Z299" s="11" t="s">
        <v>645</v>
      </c>
      <c r="AA299" s="11" t="s">
        <v>1330</v>
      </c>
      <c r="AB299" s="11"/>
      <c r="AC299" s="23"/>
      <c r="AD299" s="11"/>
      <c r="AE299" s="11"/>
      <c r="AF299" s="11"/>
      <c r="AG299" s="11"/>
      <c r="AH299" s="11"/>
      <c r="AI299" s="11"/>
    </row>
    <row r="300" ht="14.25" customHeight="1">
      <c r="A300" s="6" t="s">
        <v>88</v>
      </c>
      <c r="B300" s="5">
        <v>2.0</v>
      </c>
      <c r="C300" s="5" t="s">
        <v>637</v>
      </c>
      <c r="D300" s="5">
        <v>43092.0</v>
      </c>
      <c r="E300" s="5">
        <v>12486.0</v>
      </c>
      <c r="F300" s="29" t="s">
        <v>1331</v>
      </c>
      <c r="G300" s="10" t="s">
        <v>1332</v>
      </c>
      <c r="H300" s="5" t="s">
        <v>709</v>
      </c>
      <c r="I300" s="5" t="s">
        <v>49</v>
      </c>
      <c r="J300" s="5" t="s">
        <v>799</v>
      </c>
      <c r="K300" s="5">
        <v>1.0</v>
      </c>
      <c r="L300" s="5">
        <v>14508.0</v>
      </c>
      <c r="M300" s="38">
        <v>55.4858</v>
      </c>
      <c r="N300" s="38">
        <v>-120.03095</v>
      </c>
      <c r="O300" s="29"/>
      <c r="P300" s="38">
        <v>43092.0</v>
      </c>
      <c r="Q300" s="29"/>
      <c r="R300" s="38" t="s">
        <v>1331</v>
      </c>
      <c r="S300" s="29"/>
      <c r="T300" s="29"/>
      <c r="U300" s="38">
        <v>755.0</v>
      </c>
      <c r="V300" s="29"/>
      <c r="W300" s="29"/>
      <c r="X300" s="29"/>
      <c r="Y300" s="29"/>
      <c r="Z300" s="29"/>
      <c r="AA300" s="38" t="s">
        <v>1333</v>
      </c>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row>
    <row r="301" ht="14.25" customHeight="1">
      <c r="A301" s="6"/>
      <c r="B301" s="5">
        <v>2.0</v>
      </c>
      <c r="C301" s="5" t="s">
        <v>637</v>
      </c>
      <c r="D301" s="5">
        <v>43126.0</v>
      </c>
      <c r="E301" s="5">
        <v>2848.0</v>
      </c>
      <c r="F301" s="5" t="s">
        <v>1334</v>
      </c>
      <c r="G301" s="24" t="s">
        <v>1335</v>
      </c>
      <c r="H301" s="5" t="s">
        <v>1336</v>
      </c>
      <c r="I301" s="5" t="s">
        <v>641</v>
      </c>
      <c r="J301" s="5" t="s">
        <v>1337</v>
      </c>
      <c r="K301" s="5">
        <v>1.0</v>
      </c>
      <c r="L301" s="5">
        <v>3591.0</v>
      </c>
    </row>
    <row r="302" ht="14.25" customHeight="1">
      <c r="A302" s="6"/>
      <c r="B302" s="5">
        <v>2.0</v>
      </c>
      <c r="C302" s="5" t="s">
        <v>637</v>
      </c>
      <c r="D302" s="5">
        <v>43127.0</v>
      </c>
      <c r="E302" s="5">
        <v>2849.0</v>
      </c>
      <c r="F302" s="29" t="s">
        <v>1338</v>
      </c>
      <c r="G302" s="24" t="s">
        <v>1339</v>
      </c>
      <c r="H302" s="5" t="s">
        <v>1340</v>
      </c>
      <c r="I302" s="5" t="s">
        <v>641</v>
      </c>
      <c r="J302" s="5" t="s">
        <v>1341</v>
      </c>
      <c r="K302" s="5">
        <v>1.0</v>
      </c>
      <c r="L302" s="5">
        <v>3592.0</v>
      </c>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c r="BR302" s="29"/>
      <c r="BS302" s="29"/>
      <c r="BT302" s="29"/>
    </row>
    <row r="303" ht="14.25" customHeight="1">
      <c r="A303" s="6" t="s">
        <v>88</v>
      </c>
      <c r="B303" s="5">
        <v>2.0</v>
      </c>
      <c r="C303" s="5" t="s">
        <v>637</v>
      </c>
      <c r="D303" s="5">
        <v>44091.0</v>
      </c>
      <c r="E303" s="5">
        <v>2854.0</v>
      </c>
      <c r="F303" s="5" t="s">
        <v>1342</v>
      </c>
      <c r="G303" s="10" t="s">
        <v>1343</v>
      </c>
      <c r="H303" s="5" t="s">
        <v>1344</v>
      </c>
      <c r="I303" s="5" t="s">
        <v>641</v>
      </c>
      <c r="J303" s="5" t="s">
        <v>642</v>
      </c>
      <c r="K303" s="5">
        <v>1.0</v>
      </c>
      <c r="L303" s="5">
        <v>3597.0</v>
      </c>
      <c r="M303" s="11">
        <v>56.54111</v>
      </c>
      <c r="N303" s="11">
        <v>-121.25264</v>
      </c>
      <c r="O303" s="11" t="s">
        <v>153</v>
      </c>
      <c r="P303" s="11">
        <v>44091.0</v>
      </c>
      <c r="Q303" s="22">
        <v>6.0</v>
      </c>
      <c r="R303" s="11" t="s">
        <v>1342</v>
      </c>
      <c r="S303" s="13" t="s">
        <v>1345</v>
      </c>
      <c r="T303" s="11" t="s">
        <v>644</v>
      </c>
      <c r="U303" s="11">
        <v>850.0</v>
      </c>
      <c r="Z303" s="11" t="s">
        <v>645</v>
      </c>
      <c r="AA303" s="11" t="s">
        <v>1346</v>
      </c>
      <c r="AB303" s="11"/>
      <c r="AC303" s="23"/>
      <c r="AD303" s="11"/>
      <c r="AE303" s="11"/>
      <c r="AF303" s="11"/>
      <c r="AG303" s="11"/>
      <c r="AH303" s="11"/>
      <c r="AI303" s="11"/>
    </row>
    <row r="304" ht="14.25" customHeight="1">
      <c r="A304" s="42"/>
      <c r="B304" s="29">
        <v>2.0</v>
      </c>
      <c r="C304" s="29" t="s">
        <v>637</v>
      </c>
      <c r="D304" s="29">
        <v>44092.0</v>
      </c>
      <c r="E304" s="29">
        <v>12487.0</v>
      </c>
      <c r="F304" s="29" t="s">
        <v>1347</v>
      </c>
      <c r="G304" s="30" t="s">
        <v>1348</v>
      </c>
      <c r="H304" s="5" t="s">
        <v>709</v>
      </c>
      <c r="I304" s="5" t="s">
        <v>49</v>
      </c>
      <c r="J304" s="5" t="s">
        <v>799</v>
      </c>
      <c r="K304" s="5">
        <v>1.0</v>
      </c>
      <c r="L304" s="5">
        <v>14509.0</v>
      </c>
      <c r="M304" s="38">
        <v>50.07938</v>
      </c>
      <c r="N304" s="38">
        <v>-120.64055</v>
      </c>
      <c r="O304" s="29"/>
      <c r="P304" s="38">
        <v>44092.0</v>
      </c>
      <c r="Q304" s="29"/>
      <c r="R304" s="38" t="s">
        <v>1347</v>
      </c>
      <c r="S304" s="29"/>
      <c r="T304" s="29"/>
      <c r="U304" s="38">
        <v>750.0</v>
      </c>
      <c r="V304" s="29"/>
      <c r="W304" s="29"/>
      <c r="X304" s="29"/>
      <c r="Y304" s="29"/>
      <c r="Z304" s="29"/>
      <c r="AA304" s="38" t="s">
        <v>1349</v>
      </c>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row>
    <row r="305" ht="14.25" customHeight="1">
      <c r="A305" s="42"/>
      <c r="B305" s="29">
        <v>2.0</v>
      </c>
      <c r="C305" s="29" t="s">
        <v>637</v>
      </c>
      <c r="D305" s="29">
        <v>44093.0</v>
      </c>
      <c r="E305" s="29">
        <v>12488.0</v>
      </c>
      <c r="F305" s="29" t="s">
        <v>1350</v>
      </c>
      <c r="G305" s="30" t="s">
        <v>1351</v>
      </c>
      <c r="H305" s="5" t="s">
        <v>709</v>
      </c>
      <c r="I305" s="5" t="s">
        <v>49</v>
      </c>
      <c r="J305" s="5" t="s">
        <v>799</v>
      </c>
      <c r="K305" s="5">
        <v>1.0</v>
      </c>
      <c r="L305" s="5">
        <v>14510.0</v>
      </c>
      <c r="M305" s="38">
        <v>56.04469</v>
      </c>
      <c r="N305" s="38">
        <v>-121.88913</v>
      </c>
      <c r="O305" s="29"/>
      <c r="P305" s="38">
        <v>44093.0</v>
      </c>
      <c r="Q305" s="29"/>
      <c r="R305" s="38" t="s">
        <v>1350</v>
      </c>
      <c r="S305" s="29"/>
      <c r="T305" s="29"/>
      <c r="U305" s="38">
        <v>527.0</v>
      </c>
      <c r="V305" s="29"/>
      <c r="W305" s="29"/>
      <c r="X305" s="29"/>
      <c r="Y305" s="29"/>
      <c r="Z305" s="29"/>
      <c r="AA305" s="38" t="s">
        <v>1352</v>
      </c>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row>
    <row r="306" ht="14.25" customHeight="1">
      <c r="A306" s="6"/>
      <c r="B306" s="5">
        <v>2.0</v>
      </c>
      <c r="C306" s="5" t="s">
        <v>637</v>
      </c>
      <c r="D306" s="5">
        <v>45091.0</v>
      </c>
      <c r="E306" s="5">
        <v>12495.0</v>
      </c>
      <c r="F306" s="5" t="s">
        <v>1353</v>
      </c>
      <c r="G306" s="21" t="s">
        <v>1354</v>
      </c>
      <c r="H306" s="5" t="s">
        <v>709</v>
      </c>
      <c r="I306" s="5" t="s">
        <v>49</v>
      </c>
      <c r="J306" s="5" t="s">
        <v>799</v>
      </c>
      <c r="K306" s="5">
        <v>1.0</v>
      </c>
      <c r="L306" s="5">
        <v>14517.0</v>
      </c>
      <c r="M306" s="11">
        <v>54.05579</v>
      </c>
      <c r="N306" s="11">
        <v>-124.4777</v>
      </c>
      <c r="O306" s="11" t="s">
        <v>148</v>
      </c>
      <c r="P306" s="11">
        <v>45091.0</v>
      </c>
      <c r="Q306" s="22">
        <v>1.0</v>
      </c>
      <c r="R306" s="11" t="s">
        <v>1353</v>
      </c>
      <c r="S306" s="13" t="s">
        <v>1355</v>
      </c>
      <c r="T306" s="11" t="s">
        <v>644</v>
      </c>
      <c r="U306" s="11">
        <v>800.0</v>
      </c>
      <c r="Z306" s="11"/>
      <c r="AA306" s="11" t="s">
        <v>1356</v>
      </c>
      <c r="AB306" s="11"/>
      <c r="AC306" s="11"/>
      <c r="AD306" s="11"/>
      <c r="AE306" s="11"/>
      <c r="AF306" s="11"/>
      <c r="AG306" s="11"/>
      <c r="AH306" s="11"/>
      <c r="AI306" s="11"/>
    </row>
    <row r="307" ht="14.25" customHeight="1">
      <c r="A307" s="6"/>
      <c r="B307" s="5">
        <v>2.0</v>
      </c>
      <c r="C307" s="5" t="s">
        <v>637</v>
      </c>
      <c r="D307" s="5">
        <v>45092.0</v>
      </c>
      <c r="E307" s="5">
        <v>12489.0</v>
      </c>
      <c r="F307" s="5" t="s">
        <v>1357</v>
      </c>
      <c r="G307" s="21" t="s">
        <v>1358</v>
      </c>
      <c r="H307" s="5" t="s">
        <v>709</v>
      </c>
      <c r="I307" s="5" t="s">
        <v>49</v>
      </c>
      <c r="J307" s="5" t="s">
        <v>799</v>
      </c>
      <c r="K307" s="5">
        <v>1.0</v>
      </c>
      <c r="L307" s="5">
        <v>14511.0</v>
      </c>
      <c r="M307" s="10">
        <v>54.3456</v>
      </c>
      <c r="N307" s="10">
        <v>124.27644</v>
      </c>
      <c r="P307" s="10">
        <v>45092.0</v>
      </c>
      <c r="Q307" s="10"/>
      <c r="R307" s="10" t="s">
        <v>1357</v>
      </c>
      <c r="U307" s="10">
        <v>727.0</v>
      </c>
      <c r="AA307" s="10" t="s">
        <v>1359</v>
      </c>
    </row>
    <row r="308" ht="14.25" customHeight="1">
      <c r="A308" s="6"/>
      <c r="B308" s="5">
        <v>2.0</v>
      </c>
      <c r="C308" s="5" t="s">
        <v>637</v>
      </c>
      <c r="D308" s="5">
        <v>46094.0</v>
      </c>
      <c r="E308" s="5">
        <v>2860.0</v>
      </c>
      <c r="F308" s="5" t="s">
        <v>1360</v>
      </c>
      <c r="G308" s="21" t="s">
        <v>1361</v>
      </c>
      <c r="H308" s="5" t="s">
        <v>1362</v>
      </c>
      <c r="I308" s="5" t="s">
        <v>641</v>
      </c>
      <c r="J308" s="5" t="s">
        <v>755</v>
      </c>
      <c r="K308" s="5">
        <v>1.0</v>
      </c>
      <c r="L308" s="5">
        <v>3603.0</v>
      </c>
      <c r="M308" s="11">
        <v>52.38556</v>
      </c>
      <c r="N308" s="11">
        <v>-119.18008</v>
      </c>
      <c r="O308" s="11" t="s">
        <v>170</v>
      </c>
      <c r="P308" s="11">
        <v>46094.0</v>
      </c>
      <c r="Q308" s="22">
        <v>1.0</v>
      </c>
      <c r="R308" s="11" t="s">
        <v>1360</v>
      </c>
      <c r="S308" s="13" t="s">
        <v>1363</v>
      </c>
      <c r="T308" s="11" t="s">
        <v>644</v>
      </c>
      <c r="U308" s="11">
        <v>786.0</v>
      </c>
      <c r="Z308" s="11"/>
      <c r="AA308" s="11" t="s">
        <v>1364</v>
      </c>
      <c r="AB308" s="11"/>
      <c r="AC308" s="23"/>
      <c r="AD308" s="11"/>
      <c r="AE308" s="11"/>
      <c r="AF308" s="11"/>
      <c r="AG308" s="11"/>
      <c r="AH308" s="11"/>
      <c r="AI308" s="11"/>
    </row>
    <row r="309" ht="14.25" customHeight="1">
      <c r="A309" s="6"/>
      <c r="B309" s="5">
        <v>2.0</v>
      </c>
      <c r="C309" s="5" t="s">
        <v>637</v>
      </c>
      <c r="D309" s="5">
        <v>46125.0</v>
      </c>
      <c r="E309" s="5">
        <v>2862.0</v>
      </c>
      <c r="F309" s="5" t="s">
        <v>1365</v>
      </c>
      <c r="G309" s="24" t="s">
        <v>1366</v>
      </c>
      <c r="H309" s="5" t="s">
        <v>1367</v>
      </c>
      <c r="I309" s="5" t="s">
        <v>641</v>
      </c>
      <c r="J309" s="5" t="s">
        <v>867</v>
      </c>
      <c r="K309" s="5">
        <v>1.0</v>
      </c>
      <c r="L309" s="5">
        <v>3605.0</v>
      </c>
    </row>
    <row r="310" ht="14.25" customHeight="1">
      <c r="A310" s="6"/>
      <c r="B310" s="5">
        <v>2.0</v>
      </c>
      <c r="C310" s="5" t="s">
        <v>637</v>
      </c>
      <c r="D310" s="5">
        <v>46126.0</v>
      </c>
      <c r="E310" s="5">
        <v>2863.0</v>
      </c>
      <c r="F310" s="29" t="s">
        <v>1368</v>
      </c>
      <c r="G310" s="24" t="s">
        <v>1369</v>
      </c>
      <c r="H310" s="5" t="s">
        <v>1370</v>
      </c>
      <c r="I310" s="5" t="s">
        <v>641</v>
      </c>
      <c r="J310" s="5" t="s">
        <v>1371</v>
      </c>
      <c r="K310" s="5">
        <v>1.0</v>
      </c>
      <c r="L310" s="5">
        <v>3606.0</v>
      </c>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row>
    <row r="311" ht="14.25" customHeight="1">
      <c r="A311" s="6"/>
      <c r="B311" s="5">
        <v>2.0</v>
      </c>
      <c r="C311" s="5" t="s">
        <v>637</v>
      </c>
      <c r="D311" s="5">
        <v>46127.0</v>
      </c>
      <c r="E311" s="5">
        <v>2864.0</v>
      </c>
      <c r="F311" s="29" t="s">
        <v>1372</v>
      </c>
      <c r="G311" s="21" t="s">
        <v>1373</v>
      </c>
      <c r="H311" s="5" t="s">
        <v>1374</v>
      </c>
      <c r="I311" s="5" t="s">
        <v>641</v>
      </c>
      <c r="J311" s="5" t="s">
        <v>755</v>
      </c>
      <c r="K311" s="5">
        <v>1.0</v>
      </c>
      <c r="L311" s="5">
        <v>3607.0</v>
      </c>
      <c r="M311" s="29">
        <v>53.03303</v>
      </c>
      <c r="N311" s="29">
        <v>-119.2003</v>
      </c>
      <c r="O311" s="29" t="s">
        <v>170</v>
      </c>
      <c r="P311" s="29">
        <v>46127.0</v>
      </c>
      <c r="Q311" s="31">
        <v>2.0</v>
      </c>
      <c r="R311" s="29" t="s">
        <v>1372</v>
      </c>
      <c r="S311" s="32" t="s">
        <v>1375</v>
      </c>
      <c r="T311" s="29" t="s">
        <v>644</v>
      </c>
      <c r="U311" s="29">
        <v>944.0</v>
      </c>
      <c r="V311" s="29"/>
      <c r="W311" s="29"/>
      <c r="X311" s="29"/>
      <c r="Y311" s="29"/>
      <c r="Z311" s="29"/>
      <c r="AA311" s="29" t="s">
        <v>1376</v>
      </c>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row>
    <row r="312" ht="14.25" customHeight="1">
      <c r="A312" s="6"/>
      <c r="B312" s="5">
        <v>2.0</v>
      </c>
      <c r="C312" s="5" t="s">
        <v>637</v>
      </c>
      <c r="D312" s="5">
        <v>46191.0</v>
      </c>
      <c r="E312" s="5">
        <v>12490.0</v>
      </c>
      <c r="F312" s="5" t="s">
        <v>1377</v>
      </c>
      <c r="G312" s="21" t="s">
        <v>1378</v>
      </c>
      <c r="H312" s="5" t="s">
        <v>1379</v>
      </c>
      <c r="I312" s="5" t="s">
        <v>49</v>
      </c>
      <c r="J312" s="5" t="s">
        <v>1380</v>
      </c>
      <c r="K312" s="5">
        <v>1.0</v>
      </c>
      <c r="L312" s="5">
        <v>14512.0</v>
      </c>
      <c r="M312" s="11">
        <v>52.88428</v>
      </c>
      <c r="N312" s="11">
        <v>-118.46087</v>
      </c>
      <c r="O312" s="11" t="s">
        <v>170</v>
      </c>
      <c r="P312" s="11">
        <v>46191.0</v>
      </c>
      <c r="Q312" s="22">
        <v>3.0</v>
      </c>
      <c r="R312" s="11" t="s">
        <v>1377</v>
      </c>
      <c r="S312" s="13" t="s">
        <v>1381</v>
      </c>
      <c r="T312" s="11" t="s">
        <v>644</v>
      </c>
      <c r="U312" s="11">
        <v>1145.0</v>
      </c>
      <c r="Z312" s="11"/>
      <c r="AA312" s="11" t="s">
        <v>1382</v>
      </c>
      <c r="AB312" s="11"/>
      <c r="AC312" s="11"/>
      <c r="AD312" s="11"/>
      <c r="AE312" s="11"/>
      <c r="AF312" s="11"/>
      <c r="AG312" s="11"/>
      <c r="AH312" s="11"/>
      <c r="AI312" s="11"/>
    </row>
    <row r="313" ht="14.25" customHeight="1">
      <c r="A313" s="6"/>
      <c r="B313" s="5">
        <v>2.0</v>
      </c>
      <c r="C313" s="5" t="s">
        <v>637</v>
      </c>
      <c r="D313" s="5">
        <v>47091.0</v>
      </c>
      <c r="E313" s="5">
        <v>2869.0</v>
      </c>
      <c r="F313" s="29" t="s">
        <v>1383</v>
      </c>
      <c r="G313" s="21" t="s">
        <v>1384</v>
      </c>
      <c r="H313" s="5" t="s">
        <v>1385</v>
      </c>
      <c r="I313" s="5" t="s">
        <v>641</v>
      </c>
      <c r="J313" s="5" t="s">
        <v>755</v>
      </c>
      <c r="K313" s="5">
        <v>1.0</v>
      </c>
      <c r="L313" s="5">
        <v>3612.0</v>
      </c>
      <c r="M313" s="29">
        <v>51.93747</v>
      </c>
      <c r="N313" s="29">
        <v>-122.98586</v>
      </c>
      <c r="O313" s="29" t="s">
        <v>148</v>
      </c>
      <c r="P313" s="29">
        <v>47091.0</v>
      </c>
      <c r="Q313" s="31">
        <v>4.0</v>
      </c>
      <c r="R313" s="29" t="s">
        <v>1383</v>
      </c>
      <c r="S313" s="32" t="s">
        <v>1386</v>
      </c>
      <c r="T313" s="29" t="s">
        <v>644</v>
      </c>
      <c r="U313" s="29">
        <v>1090.0</v>
      </c>
      <c r="V313" s="29"/>
      <c r="W313" s="29"/>
      <c r="X313" s="29"/>
      <c r="Y313" s="29"/>
      <c r="Z313" s="29" t="s">
        <v>645</v>
      </c>
      <c r="AA313" s="29" t="s">
        <v>1387</v>
      </c>
      <c r="AB313" s="29"/>
      <c r="AC313" s="33"/>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row>
    <row r="314" ht="14.25" customHeight="1">
      <c r="A314" s="6" t="s">
        <v>88</v>
      </c>
      <c r="B314" s="5">
        <v>2.0</v>
      </c>
      <c r="C314" s="5" t="s">
        <v>637</v>
      </c>
      <c r="D314" s="5">
        <v>47092.0</v>
      </c>
      <c r="E314" s="5">
        <v>2870.0</v>
      </c>
      <c r="F314" s="5" t="s">
        <v>1388</v>
      </c>
      <c r="G314" s="10" t="s">
        <v>1389</v>
      </c>
      <c r="H314" s="5" t="s">
        <v>1390</v>
      </c>
      <c r="I314" s="5" t="s">
        <v>641</v>
      </c>
      <c r="J314" s="5" t="s">
        <v>642</v>
      </c>
      <c r="K314" s="5">
        <v>1.0</v>
      </c>
      <c r="L314" s="5">
        <v>3613.0</v>
      </c>
      <c r="M314" s="11">
        <v>51.96181</v>
      </c>
      <c r="N314" s="11">
        <v>-121.79314</v>
      </c>
      <c r="O314" s="11" t="s">
        <v>148</v>
      </c>
      <c r="P314" s="11">
        <v>47092.0</v>
      </c>
      <c r="Q314" s="22">
        <v>1.0</v>
      </c>
      <c r="R314" s="11" t="s">
        <v>1388</v>
      </c>
      <c r="S314" s="13" t="s">
        <v>1391</v>
      </c>
      <c r="T314" s="11" t="s">
        <v>644</v>
      </c>
      <c r="U314" s="11">
        <v>730.0</v>
      </c>
      <c r="Z314" s="11" t="s">
        <v>645</v>
      </c>
      <c r="AA314" s="11" t="s">
        <v>1392</v>
      </c>
      <c r="AB314" s="11"/>
      <c r="AC314" s="23"/>
      <c r="AD314" s="11"/>
      <c r="AE314" s="11"/>
      <c r="AF314" s="11"/>
      <c r="AG314" s="11"/>
      <c r="AH314" s="11"/>
      <c r="AI314" s="11"/>
    </row>
    <row r="315" ht="14.25" customHeight="1">
      <c r="A315" s="6" t="s">
        <v>772</v>
      </c>
      <c r="B315" s="5">
        <v>2.0</v>
      </c>
      <c r="C315" s="5" t="s">
        <v>637</v>
      </c>
      <c r="D315" s="5">
        <v>47094.0</v>
      </c>
      <c r="E315" s="5">
        <v>13018.0</v>
      </c>
      <c r="F315" s="12" t="s">
        <v>1393</v>
      </c>
      <c r="G315" s="10" t="s">
        <v>1394</v>
      </c>
      <c r="H315" s="5" t="s">
        <v>792</v>
      </c>
      <c r="I315" s="5" t="s">
        <v>49</v>
      </c>
      <c r="J315" s="5" t="s">
        <v>793</v>
      </c>
      <c r="K315" s="5">
        <v>1.0</v>
      </c>
      <c r="L315" s="5">
        <v>14950.0</v>
      </c>
      <c r="M315" s="11">
        <v>52.24473</v>
      </c>
      <c r="N315" s="11">
        <v>-122.11796</v>
      </c>
      <c r="O315" s="11" t="s">
        <v>148</v>
      </c>
      <c r="P315" s="11">
        <v>47094.0</v>
      </c>
      <c r="Q315" s="22">
        <v>1.0</v>
      </c>
      <c r="R315" s="11" t="s">
        <v>1395</v>
      </c>
      <c r="S315" s="13" t="s">
        <v>1396</v>
      </c>
      <c r="T315" s="11" t="s">
        <v>644</v>
      </c>
      <c r="U315" s="11">
        <v>799.0</v>
      </c>
      <c r="Z315" s="11"/>
      <c r="AA315" s="11" t="s">
        <v>1397</v>
      </c>
      <c r="AB315" s="11"/>
      <c r="AC315" s="11"/>
      <c r="AD315" s="11"/>
      <c r="AE315" s="11"/>
      <c r="AF315" s="11"/>
      <c r="AG315" s="11"/>
      <c r="AH315" s="11"/>
      <c r="AI315" s="11"/>
    </row>
    <row r="316" ht="14.25" customHeight="1">
      <c r="A316" s="6"/>
      <c r="B316" s="5">
        <v>2.0</v>
      </c>
      <c r="C316" s="5" t="s">
        <v>637</v>
      </c>
      <c r="D316" s="5">
        <v>47121.0</v>
      </c>
      <c r="E316" s="5">
        <v>2873.0</v>
      </c>
      <c r="F316" s="5" t="s">
        <v>1398</v>
      </c>
      <c r="G316" s="21" t="s">
        <v>1399</v>
      </c>
      <c r="H316" s="5" t="s">
        <v>1400</v>
      </c>
      <c r="I316" s="5" t="s">
        <v>49</v>
      </c>
      <c r="J316" s="5" t="s">
        <v>1401</v>
      </c>
      <c r="K316" s="5">
        <v>1.0</v>
      </c>
      <c r="L316" s="5">
        <v>3616.0</v>
      </c>
      <c r="M316" s="11">
        <v>52.35569</v>
      </c>
      <c r="N316" s="11">
        <v>-126.77178</v>
      </c>
      <c r="O316" s="11" t="s">
        <v>51</v>
      </c>
      <c r="P316" s="11">
        <v>47121.0</v>
      </c>
      <c r="Q316" s="22">
        <v>6.0</v>
      </c>
      <c r="R316" s="11" t="s">
        <v>1402</v>
      </c>
      <c r="S316" s="13" t="s">
        <v>1403</v>
      </c>
      <c r="T316" s="11" t="s">
        <v>644</v>
      </c>
      <c r="U316" s="11">
        <v>1160.0</v>
      </c>
      <c r="Z316" s="11"/>
      <c r="AA316" s="11" t="s">
        <v>1404</v>
      </c>
      <c r="AB316" s="11"/>
      <c r="AC316" s="11"/>
      <c r="AD316" s="11"/>
      <c r="AE316" s="11"/>
      <c r="AF316" s="11"/>
      <c r="AG316" s="11"/>
      <c r="AH316" s="11"/>
      <c r="AI316" s="11"/>
    </row>
    <row r="317" ht="14.25" customHeight="1">
      <c r="A317" s="6"/>
      <c r="B317" s="5">
        <v>2.0</v>
      </c>
      <c r="C317" s="5" t="s">
        <v>637</v>
      </c>
      <c r="D317" s="5">
        <v>47122.0</v>
      </c>
      <c r="E317" s="5">
        <v>2874.0</v>
      </c>
      <c r="F317" s="29" t="s">
        <v>1405</v>
      </c>
      <c r="G317" s="21" t="s">
        <v>1406</v>
      </c>
      <c r="H317" s="5" t="s">
        <v>1407</v>
      </c>
      <c r="I317" s="5" t="s">
        <v>641</v>
      </c>
      <c r="J317" s="5" t="s">
        <v>1408</v>
      </c>
      <c r="K317" s="5">
        <v>1.0</v>
      </c>
      <c r="L317" s="5">
        <v>3617.0</v>
      </c>
      <c r="M317" s="29">
        <v>52.4347</v>
      </c>
      <c r="N317" s="29">
        <v>-125.87449</v>
      </c>
      <c r="O317" s="29" t="s">
        <v>148</v>
      </c>
      <c r="P317" s="29">
        <v>47122.0</v>
      </c>
      <c r="Q317" s="31">
        <v>3.0</v>
      </c>
      <c r="R317" s="29" t="s">
        <v>1405</v>
      </c>
      <c r="S317" s="32" t="s">
        <v>1409</v>
      </c>
      <c r="T317" s="29" t="s">
        <v>644</v>
      </c>
      <c r="U317" s="29">
        <v>975.0</v>
      </c>
      <c r="V317" s="29"/>
      <c r="W317" s="29"/>
      <c r="X317" s="29"/>
      <c r="Y317" s="29"/>
      <c r="Z317" s="29" t="s">
        <v>645</v>
      </c>
      <c r="AA317" s="29" t="s">
        <v>1410</v>
      </c>
      <c r="AB317" s="29"/>
      <c r="AC317" s="33"/>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row>
    <row r="318" ht="14.25" customHeight="1">
      <c r="A318" s="6"/>
      <c r="B318" s="5">
        <v>2.0</v>
      </c>
      <c r="C318" s="5" t="s">
        <v>637</v>
      </c>
      <c r="D318" s="5">
        <v>47123.0</v>
      </c>
      <c r="E318" s="5">
        <v>11028.0</v>
      </c>
      <c r="F318" s="5" t="s">
        <v>1411</v>
      </c>
      <c r="G318" s="21" t="s">
        <v>1412</v>
      </c>
      <c r="H318" s="5" t="s">
        <v>891</v>
      </c>
      <c r="I318" s="5" t="s">
        <v>49</v>
      </c>
      <c r="J318" s="5" t="s">
        <v>1413</v>
      </c>
      <c r="K318" s="5">
        <v>1.0</v>
      </c>
      <c r="L318" s="5">
        <v>13196.0</v>
      </c>
      <c r="M318" s="11">
        <v>52.37055</v>
      </c>
      <c r="N318" s="11">
        <v>-126.75435</v>
      </c>
      <c r="O318" s="11" t="s">
        <v>51</v>
      </c>
      <c r="P318" s="11">
        <v>47123.0</v>
      </c>
      <c r="Q318" s="22">
        <v>1.0</v>
      </c>
      <c r="R318" s="11" t="s">
        <v>1411</v>
      </c>
      <c r="S318" s="13" t="s">
        <v>1414</v>
      </c>
      <c r="T318" s="11" t="s">
        <v>644</v>
      </c>
      <c r="U318" s="11">
        <v>20.0</v>
      </c>
      <c r="Z318" s="11"/>
      <c r="AA318" s="11" t="s">
        <v>1415</v>
      </c>
      <c r="AB318" s="11"/>
      <c r="AC318" s="23"/>
      <c r="AD318" s="11"/>
      <c r="AE318" s="11"/>
      <c r="AF318" s="11"/>
      <c r="AG318" s="11"/>
    </row>
    <row r="319" ht="14.25" customHeight="1">
      <c r="A319" s="6"/>
      <c r="B319" s="5">
        <v>2.0</v>
      </c>
      <c r="C319" s="5" t="s">
        <v>637</v>
      </c>
      <c r="D319" s="5">
        <v>51121.0</v>
      </c>
      <c r="E319" s="5">
        <v>2886.0</v>
      </c>
      <c r="F319" s="5" t="s">
        <v>1416</v>
      </c>
      <c r="G319" s="24" t="s">
        <v>1417</v>
      </c>
      <c r="H319" s="5" t="s">
        <v>1418</v>
      </c>
      <c r="I319" s="5" t="s">
        <v>641</v>
      </c>
      <c r="J319" s="5" t="s">
        <v>670</v>
      </c>
      <c r="K319" s="5">
        <v>1.0</v>
      </c>
      <c r="L319" s="5">
        <v>3629.0</v>
      </c>
    </row>
    <row r="320" ht="14.25" customHeight="1">
      <c r="A320" s="6"/>
      <c r="B320" s="5">
        <v>2.0</v>
      </c>
      <c r="C320" s="5" t="s">
        <v>637</v>
      </c>
      <c r="D320" s="5">
        <v>51122.0</v>
      </c>
      <c r="E320" s="5">
        <v>2887.0</v>
      </c>
      <c r="F320" s="5" t="s">
        <v>1419</v>
      </c>
      <c r="G320" s="24" t="s">
        <v>1420</v>
      </c>
      <c r="H320" s="5" t="s">
        <v>1421</v>
      </c>
      <c r="I320" s="5" t="s">
        <v>641</v>
      </c>
      <c r="J320" s="5" t="s">
        <v>1371</v>
      </c>
      <c r="K320" s="5">
        <v>1.0</v>
      </c>
      <c r="L320" s="5">
        <v>3630.0</v>
      </c>
    </row>
    <row r="321" ht="14.25" customHeight="1">
      <c r="A321" s="6"/>
      <c r="B321" s="5">
        <v>2.0</v>
      </c>
      <c r="C321" s="5" t="s">
        <v>637</v>
      </c>
      <c r="D321" s="5">
        <v>51123.0</v>
      </c>
      <c r="E321" s="5">
        <v>2888.0</v>
      </c>
      <c r="F321" s="5" t="s">
        <v>1422</v>
      </c>
      <c r="G321" s="24" t="s">
        <v>1423</v>
      </c>
      <c r="H321" s="5" t="s">
        <v>1424</v>
      </c>
      <c r="I321" s="5" t="s">
        <v>641</v>
      </c>
      <c r="J321" s="5" t="s">
        <v>674</v>
      </c>
      <c r="K321" s="5">
        <v>1.0</v>
      </c>
      <c r="L321" s="5">
        <v>3631.0</v>
      </c>
    </row>
    <row r="322" ht="14.25" customHeight="1">
      <c r="A322" s="6" t="s">
        <v>88</v>
      </c>
      <c r="B322" s="5">
        <v>2.0</v>
      </c>
      <c r="C322" s="5" t="s">
        <v>637</v>
      </c>
      <c r="D322" s="5">
        <v>51124.0</v>
      </c>
      <c r="E322" s="5">
        <v>2889.0</v>
      </c>
      <c r="F322" s="5" t="s">
        <v>1425</v>
      </c>
      <c r="G322" s="10" t="s">
        <v>1426</v>
      </c>
      <c r="H322" s="5" t="s">
        <v>1427</v>
      </c>
      <c r="I322" s="5" t="s">
        <v>641</v>
      </c>
      <c r="J322" s="5" t="s">
        <v>662</v>
      </c>
      <c r="K322" s="5">
        <v>1.0</v>
      </c>
      <c r="L322" s="5">
        <v>3632.0</v>
      </c>
      <c r="M322" s="11">
        <v>56.12</v>
      </c>
      <c r="N322" s="11">
        <v>-129.52642</v>
      </c>
      <c r="O322" s="11" t="s">
        <v>51</v>
      </c>
      <c r="P322" s="11">
        <v>51124.0</v>
      </c>
      <c r="Q322" s="22">
        <v>7.0</v>
      </c>
      <c r="R322" s="11" t="s">
        <v>1425</v>
      </c>
      <c r="S322" s="13" t="s">
        <v>1428</v>
      </c>
      <c r="T322" s="11" t="s">
        <v>644</v>
      </c>
      <c r="U322" s="11">
        <v>1490.0</v>
      </c>
      <c r="Z322" s="11"/>
      <c r="AA322" s="11" t="s">
        <v>1429</v>
      </c>
      <c r="AB322" s="11"/>
      <c r="AC322" s="11"/>
      <c r="AD322" s="11"/>
      <c r="AE322" s="11"/>
      <c r="AF322" s="11"/>
      <c r="AG322" s="11"/>
      <c r="AH322" s="11"/>
      <c r="AI322" s="11"/>
    </row>
    <row r="323" ht="14.25" customHeight="1">
      <c r="A323" s="6"/>
      <c r="B323" s="5">
        <v>2.0</v>
      </c>
      <c r="C323" s="5" t="s">
        <v>637</v>
      </c>
      <c r="D323" s="5">
        <v>51125.0</v>
      </c>
      <c r="E323" s="5">
        <v>2890.0</v>
      </c>
      <c r="F323" s="5" t="s">
        <v>1430</v>
      </c>
      <c r="G323" s="21" t="s">
        <v>1431</v>
      </c>
      <c r="H323" s="5" t="s">
        <v>1432</v>
      </c>
      <c r="I323" s="5" t="s">
        <v>641</v>
      </c>
      <c r="J323" s="5" t="s">
        <v>1224</v>
      </c>
      <c r="K323" s="5">
        <v>1.0</v>
      </c>
      <c r="L323" s="5">
        <v>3633.0</v>
      </c>
      <c r="M323" s="11">
        <v>56.09972</v>
      </c>
      <c r="N323" s="11">
        <v>-129.75167</v>
      </c>
      <c r="O323" s="11" t="s">
        <v>51</v>
      </c>
      <c r="P323" s="11">
        <v>51125.0</v>
      </c>
      <c r="Q323" s="22">
        <v>8.0</v>
      </c>
      <c r="R323" s="11" t="s">
        <v>1430</v>
      </c>
      <c r="S323" s="13" t="s">
        <v>1433</v>
      </c>
      <c r="T323" s="11" t="s">
        <v>644</v>
      </c>
      <c r="U323" s="11">
        <v>2000.0</v>
      </c>
      <c r="Z323" s="11"/>
      <c r="AA323" s="11" t="s">
        <v>1434</v>
      </c>
      <c r="AB323" s="11"/>
      <c r="AC323" s="11"/>
      <c r="AD323" s="11"/>
      <c r="AE323" s="11"/>
      <c r="AF323" s="11"/>
      <c r="AG323" s="11"/>
      <c r="AH323" s="11"/>
      <c r="AI323" s="11"/>
    </row>
    <row r="324" ht="14.25" customHeight="1">
      <c r="A324" s="6" t="s">
        <v>88</v>
      </c>
      <c r="B324" s="5">
        <v>2.0</v>
      </c>
      <c r="C324" s="5" t="s">
        <v>637</v>
      </c>
      <c r="D324" s="5">
        <v>51126.0</v>
      </c>
      <c r="E324" s="5">
        <v>2891.0</v>
      </c>
      <c r="F324" s="5" t="s">
        <v>1435</v>
      </c>
      <c r="G324" s="10" t="s">
        <v>1436</v>
      </c>
      <c r="H324" s="5" t="s">
        <v>1437</v>
      </c>
      <c r="I324" s="5" t="s">
        <v>641</v>
      </c>
      <c r="J324" s="5" t="s">
        <v>1438</v>
      </c>
      <c r="K324" s="5">
        <v>1.0</v>
      </c>
      <c r="L324" s="5">
        <v>3634.0</v>
      </c>
      <c r="M324" s="11">
        <v>56.09987</v>
      </c>
      <c r="N324" s="11">
        <v>-129.51218</v>
      </c>
      <c r="O324" s="11" t="s">
        <v>51</v>
      </c>
      <c r="P324" s="11">
        <v>51126.0</v>
      </c>
      <c r="Q324" s="22">
        <v>3.0</v>
      </c>
      <c r="R324" s="11" t="s">
        <v>1435</v>
      </c>
      <c r="S324" s="13" t="s">
        <v>1439</v>
      </c>
      <c r="T324" s="11" t="s">
        <v>644</v>
      </c>
      <c r="U324" s="11">
        <v>370.0</v>
      </c>
      <c r="Z324" s="11" t="s">
        <v>645</v>
      </c>
      <c r="AA324" s="11" t="s">
        <v>1440</v>
      </c>
      <c r="AB324" s="11"/>
      <c r="AC324" s="23"/>
      <c r="AD324" s="11"/>
      <c r="AE324" s="11"/>
      <c r="AF324" s="11"/>
      <c r="AG324" s="11"/>
      <c r="AH324" s="11"/>
      <c r="AI324" s="11"/>
    </row>
    <row r="325" ht="14.25" customHeight="1">
      <c r="A325" s="6"/>
      <c r="B325" s="5">
        <v>2.0</v>
      </c>
      <c r="C325" s="5" t="s">
        <v>637</v>
      </c>
      <c r="D325" s="5">
        <v>51127.0</v>
      </c>
      <c r="E325" s="5">
        <v>2892.0</v>
      </c>
      <c r="F325" s="5" t="s">
        <v>1441</v>
      </c>
      <c r="G325" s="21" t="s">
        <v>1442</v>
      </c>
      <c r="H325" s="5" t="s">
        <v>1195</v>
      </c>
      <c r="I325" s="5" t="s">
        <v>641</v>
      </c>
      <c r="J325" s="5" t="s">
        <v>1224</v>
      </c>
      <c r="K325" s="5">
        <v>1.0</v>
      </c>
      <c r="L325" s="5">
        <v>3635.0</v>
      </c>
      <c r="M325" s="11">
        <v>56.10631</v>
      </c>
      <c r="N325" s="11">
        <v>-129.65389</v>
      </c>
      <c r="O325" s="11" t="s">
        <v>51</v>
      </c>
      <c r="P325" s="11">
        <v>51127.0</v>
      </c>
      <c r="Q325" s="22">
        <v>4.0</v>
      </c>
      <c r="R325" s="11" t="s">
        <v>1441</v>
      </c>
      <c r="S325" s="13" t="s">
        <v>1443</v>
      </c>
      <c r="T325" s="11" t="s">
        <v>644</v>
      </c>
      <c r="U325" s="11">
        <v>540.0</v>
      </c>
      <c r="Z325" s="11"/>
      <c r="AA325" s="11" t="s">
        <v>1444</v>
      </c>
      <c r="AB325" s="11"/>
      <c r="AC325" s="11"/>
      <c r="AD325" s="11"/>
      <c r="AE325" s="11"/>
      <c r="AF325" s="11"/>
      <c r="AG325" s="11"/>
      <c r="AH325" s="11"/>
      <c r="AI325" s="11"/>
    </row>
    <row r="326" ht="14.25" customHeight="1">
      <c r="A326" s="6"/>
      <c r="B326" s="5">
        <v>2.0</v>
      </c>
      <c r="C326" s="5" t="s">
        <v>637</v>
      </c>
      <c r="D326" s="5">
        <v>51128.0</v>
      </c>
      <c r="E326" s="5">
        <v>2893.0</v>
      </c>
      <c r="F326" s="5" t="s">
        <v>1445</v>
      </c>
      <c r="G326" s="21" t="s">
        <v>1446</v>
      </c>
      <c r="H326" s="5" t="s">
        <v>1447</v>
      </c>
      <c r="I326" s="5" t="s">
        <v>641</v>
      </c>
      <c r="J326" s="5" t="s">
        <v>909</v>
      </c>
      <c r="K326" s="5">
        <v>1.0</v>
      </c>
      <c r="L326" s="5">
        <v>3636.0</v>
      </c>
      <c r="M326" s="11">
        <v>56.10347</v>
      </c>
      <c r="N326" s="11">
        <v>-129.63297</v>
      </c>
      <c r="O326" s="11" t="s">
        <v>51</v>
      </c>
      <c r="P326" s="11">
        <v>51128.0</v>
      </c>
      <c r="Q326" s="22">
        <v>3.0</v>
      </c>
      <c r="R326" s="11" t="s">
        <v>1445</v>
      </c>
      <c r="S326" s="13" t="s">
        <v>1448</v>
      </c>
      <c r="T326" s="11" t="s">
        <v>644</v>
      </c>
      <c r="U326" s="11">
        <v>440.0</v>
      </c>
      <c r="Z326" s="11"/>
      <c r="AA326" s="11" t="s">
        <v>1449</v>
      </c>
      <c r="AB326" s="11"/>
      <c r="AC326" s="23"/>
      <c r="AD326" s="11"/>
      <c r="AE326" s="11"/>
      <c r="AF326" s="11"/>
      <c r="AG326" s="11"/>
      <c r="AH326" s="11"/>
      <c r="AI326" s="11"/>
    </row>
    <row r="327" ht="14.25" customHeight="1">
      <c r="A327" s="6"/>
      <c r="B327" s="5">
        <v>2.0</v>
      </c>
      <c r="C327" s="5" t="s">
        <v>637</v>
      </c>
      <c r="D327" s="5">
        <v>51129.0</v>
      </c>
      <c r="E327" s="5">
        <v>2894.0</v>
      </c>
      <c r="F327" s="5" t="s">
        <v>1450</v>
      </c>
      <c r="G327" s="21" t="s">
        <v>1451</v>
      </c>
      <c r="H327" s="5" t="s">
        <v>1452</v>
      </c>
      <c r="I327" s="5" t="s">
        <v>641</v>
      </c>
      <c r="J327" s="5" t="s">
        <v>1453</v>
      </c>
      <c r="K327" s="5">
        <v>1.0</v>
      </c>
      <c r="L327" s="5">
        <v>3637.0</v>
      </c>
      <c r="M327" s="11">
        <v>55.94808</v>
      </c>
      <c r="N327" s="11">
        <v>-129.98264</v>
      </c>
      <c r="O327" s="11" t="s">
        <v>51</v>
      </c>
      <c r="P327" s="11">
        <v>51129.0</v>
      </c>
      <c r="Q327" s="22">
        <v>1.0</v>
      </c>
      <c r="R327" s="11" t="s">
        <v>1450</v>
      </c>
      <c r="S327" s="13" t="s">
        <v>1454</v>
      </c>
      <c r="T327" s="11" t="s">
        <v>644</v>
      </c>
      <c r="U327" s="11">
        <v>15.0</v>
      </c>
      <c r="Z327" s="11" t="s">
        <v>645</v>
      </c>
      <c r="AA327" s="11" t="s">
        <v>1455</v>
      </c>
      <c r="AB327" s="11"/>
      <c r="AC327" s="11"/>
      <c r="AD327" s="11"/>
      <c r="AE327" s="11"/>
      <c r="AF327" s="11"/>
      <c r="AG327" s="11"/>
      <c r="AH327" s="11"/>
      <c r="AI327" s="11"/>
    </row>
    <row r="328" ht="14.25" customHeight="1">
      <c r="A328" s="6"/>
      <c r="B328" s="5">
        <v>2.0</v>
      </c>
      <c r="C328" s="5" t="s">
        <v>637</v>
      </c>
      <c r="D328" s="5">
        <v>51130.0</v>
      </c>
      <c r="E328" s="5">
        <v>2895.0</v>
      </c>
      <c r="F328" s="5" t="s">
        <v>1456</v>
      </c>
      <c r="G328" s="24" t="s">
        <v>1457</v>
      </c>
      <c r="H328" s="5" t="s">
        <v>1458</v>
      </c>
      <c r="I328" s="5" t="s">
        <v>641</v>
      </c>
      <c r="J328" s="5" t="s">
        <v>1459</v>
      </c>
      <c r="K328" s="5">
        <v>1.0</v>
      </c>
      <c r="L328" s="5">
        <v>3638.0</v>
      </c>
    </row>
    <row r="329" ht="14.25" customHeight="1">
      <c r="A329" s="6"/>
      <c r="B329" s="5">
        <v>2.0</v>
      </c>
      <c r="C329" s="5" t="s">
        <v>637</v>
      </c>
      <c r="D329" s="5">
        <v>51137.0</v>
      </c>
      <c r="E329" s="5">
        <v>12507.0</v>
      </c>
      <c r="F329" s="29" t="s">
        <v>1460</v>
      </c>
      <c r="G329" s="21" t="s">
        <v>1461</v>
      </c>
      <c r="H329" s="5" t="s">
        <v>679</v>
      </c>
      <c r="I329" s="5" t="s">
        <v>49</v>
      </c>
      <c r="J329" s="5" t="s">
        <v>1462</v>
      </c>
      <c r="K329" s="5">
        <v>1.0</v>
      </c>
      <c r="L329" s="5">
        <v>14529.0</v>
      </c>
      <c r="M329" s="11">
        <v>56.11024</v>
      </c>
      <c r="N329" s="11">
        <v>-129.51527</v>
      </c>
      <c r="O329" s="11" t="s">
        <v>51</v>
      </c>
      <c r="P329" s="11">
        <v>51137.0</v>
      </c>
      <c r="Q329" s="22">
        <v>5.0</v>
      </c>
      <c r="R329" s="11" t="s">
        <v>1460</v>
      </c>
      <c r="S329" s="13" t="s">
        <v>1463</v>
      </c>
      <c r="T329" s="11" t="s">
        <v>644</v>
      </c>
      <c r="U329" s="11">
        <v>1028.0</v>
      </c>
      <c r="V329" s="29"/>
      <c r="W329" s="29"/>
      <c r="X329" s="29"/>
      <c r="Y329" s="29"/>
      <c r="Z329" s="29"/>
      <c r="AA329" s="29" t="s">
        <v>1464</v>
      </c>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c r="BR329" s="29"/>
      <c r="BS329" s="29"/>
      <c r="BT329" s="29"/>
    </row>
    <row r="330" ht="14.25" customHeight="1">
      <c r="A330" s="6"/>
      <c r="B330" s="5">
        <v>2.0</v>
      </c>
      <c r="C330" s="5" t="s">
        <v>637</v>
      </c>
      <c r="D330" s="5">
        <v>51191.0</v>
      </c>
      <c r="E330" s="5">
        <v>2896.0</v>
      </c>
      <c r="F330" s="5" t="s">
        <v>1465</v>
      </c>
      <c r="G330" s="21" t="s">
        <v>1466</v>
      </c>
      <c r="H330" s="5" t="s">
        <v>1467</v>
      </c>
      <c r="I330" s="5" t="s">
        <v>641</v>
      </c>
      <c r="J330" s="5" t="s">
        <v>642</v>
      </c>
      <c r="K330" s="5">
        <v>1.0</v>
      </c>
      <c r="L330" s="5">
        <v>3639.0</v>
      </c>
      <c r="M330" s="11">
        <v>55.63222</v>
      </c>
      <c r="N330" s="11">
        <v>-128.67278</v>
      </c>
      <c r="O330" s="11" t="s">
        <v>51</v>
      </c>
      <c r="P330" s="11">
        <v>51191.0</v>
      </c>
      <c r="Q330" s="22">
        <v>3.0</v>
      </c>
      <c r="R330" s="11" t="s">
        <v>1465</v>
      </c>
      <c r="S330" s="13" t="s">
        <v>1468</v>
      </c>
      <c r="T330" s="11" t="s">
        <v>644</v>
      </c>
      <c r="U330" s="11">
        <v>356.0</v>
      </c>
      <c r="Z330" s="11"/>
      <c r="AA330" s="11" t="s">
        <v>1469</v>
      </c>
      <c r="AB330" s="11"/>
      <c r="AC330" s="23"/>
      <c r="AD330" s="11"/>
      <c r="AE330" s="11"/>
      <c r="AF330" s="11"/>
      <c r="AG330" s="11"/>
      <c r="AH330" s="11"/>
      <c r="AI330" s="11"/>
    </row>
    <row r="331" ht="14.25" customHeight="1">
      <c r="A331" s="6" t="s">
        <v>772</v>
      </c>
      <c r="B331" s="5">
        <v>2.0</v>
      </c>
      <c r="C331" s="5" t="s">
        <v>637</v>
      </c>
      <c r="D331" s="5">
        <v>51193.0</v>
      </c>
      <c r="E331" s="5">
        <v>13019.0</v>
      </c>
      <c r="F331" s="35" t="s">
        <v>1470</v>
      </c>
      <c r="G331" s="10" t="s">
        <v>1471</v>
      </c>
      <c r="H331" s="5" t="s">
        <v>792</v>
      </c>
      <c r="I331" s="5" t="s">
        <v>49</v>
      </c>
      <c r="J331" s="5" t="s">
        <v>793</v>
      </c>
      <c r="K331" s="5">
        <v>1.0</v>
      </c>
      <c r="L331" s="5">
        <v>14951.0</v>
      </c>
      <c r="M331" s="5">
        <v>55.24679</v>
      </c>
      <c r="N331" s="5">
        <v>-128.05074</v>
      </c>
      <c r="O331" s="5" t="s">
        <v>51</v>
      </c>
      <c r="P331" s="5">
        <v>51193.0</v>
      </c>
      <c r="Q331" s="5">
        <v>3.0</v>
      </c>
      <c r="R331" s="5" t="s">
        <v>1472</v>
      </c>
      <c r="S331" s="5" t="s">
        <v>1473</v>
      </c>
      <c r="T331" s="5" t="s">
        <v>644</v>
      </c>
      <c r="U331" s="5">
        <v>320.0</v>
      </c>
      <c r="V331" s="29"/>
      <c r="W331" s="29"/>
      <c r="X331" s="29"/>
      <c r="Y331" s="29"/>
      <c r="Z331" s="29"/>
      <c r="AA331" s="29" t="s">
        <v>1474</v>
      </c>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c r="BR331" s="29"/>
      <c r="BS331" s="29"/>
      <c r="BT331" s="29"/>
    </row>
    <row r="332" ht="14.25" customHeight="1">
      <c r="A332" s="6"/>
      <c r="B332" s="5">
        <v>2.0</v>
      </c>
      <c r="C332" s="5" t="s">
        <v>637</v>
      </c>
      <c r="D332" s="5">
        <v>52091.0</v>
      </c>
      <c r="E332" s="5">
        <v>2900.0</v>
      </c>
      <c r="F332" s="5" t="s">
        <v>1475</v>
      </c>
      <c r="G332" s="21" t="s">
        <v>1476</v>
      </c>
      <c r="H332" s="5" t="s">
        <v>1477</v>
      </c>
      <c r="I332" s="5" t="s">
        <v>641</v>
      </c>
      <c r="J332" s="5" t="s">
        <v>755</v>
      </c>
      <c r="K332" s="5">
        <v>1.0</v>
      </c>
      <c r="L332" s="5">
        <v>3643.0</v>
      </c>
      <c r="M332" s="11">
        <v>54.74639</v>
      </c>
      <c r="N332" s="11">
        <v>-128.26111</v>
      </c>
      <c r="O332" s="11" t="s">
        <v>51</v>
      </c>
      <c r="P332" s="11">
        <v>52091.0</v>
      </c>
      <c r="Q332" s="22">
        <v>2.0</v>
      </c>
      <c r="R332" s="11" t="s">
        <v>1475</v>
      </c>
      <c r="S332" s="13" t="s">
        <v>1478</v>
      </c>
      <c r="T332" s="11" t="s">
        <v>644</v>
      </c>
      <c r="U332" s="11">
        <v>130.0</v>
      </c>
      <c r="Z332" s="11" t="s">
        <v>645</v>
      </c>
      <c r="AA332" s="11" t="s">
        <v>1479</v>
      </c>
      <c r="AB332" s="11"/>
      <c r="AC332" s="23"/>
      <c r="AD332" s="11"/>
      <c r="AE332" s="11"/>
      <c r="AF332" s="11"/>
      <c r="AG332" s="11"/>
      <c r="AH332" s="11"/>
      <c r="AI332" s="11"/>
    </row>
    <row r="333" ht="14.25" customHeight="1">
      <c r="A333" s="6"/>
      <c r="B333" s="5">
        <v>2.0</v>
      </c>
      <c r="C333" s="5" t="s">
        <v>637</v>
      </c>
      <c r="D333" s="5">
        <v>52092.0</v>
      </c>
      <c r="E333" s="5">
        <v>2901.0</v>
      </c>
      <c r="F333" s="5" t="s">
        <v>1480</v>
      </c>
      <c r="G333" s="21" t="s">
        <v>1481</v>
      </c>
      <c r="H333" s="5" t="s">
        <v>1482</v>
      </c>
      <c r="I333" s="5" t="s">
        <v>641</v>
      </c>
      <c r="J333" s="5" t="s">
        <v>755</v>
      </c>
      <c r="K333" s="5">
        <v>1.0</v>
      </c>
      <c r="L333" s="5">
        <v>3644.0</v>
      </c>
      <c r="M333" s="11">
        <v>54.93722</v>
      </c>
      <c r="N333" s="11">
        <v>-128.89361</v>
      </c>
      <c r="O333" s="11" t="s">
        <v>51</v>
      </c>
      <c r="P333" s="11">
        <v>52092.0</v>
      </c>
      <c r="Q333" s="22">
        <v>2.0</v>
      </c>
      <c r="R333" s="11" t="s">
        <v>1480</v>
      </c>
      <c r="S333" s="13" t="s">
        <v>1483</v>
      </c>
      <c r="T333" s="11" t="s">
        <v>644</v>
      </c>
      <c r="U333" s="11">
        <v>280.0</v>
      </c>
      <c r="Z333" s="11" t="s">
        <v>645</v>
      </c>
      <c r="AA333" s="11" t="s">
        <v>1484</v>
      </c>
      <c r="AB333" s="11"/>
      <c r="AC333" s="23"/>
      <c r="AD333" s="11"/>
      <c r="AE333" s="11"/>
      <c r="AF333" s="11"/>
      <c r="AG333" s="11"/>
      <c r="AH333" s="11"/>
      <c r="AI333" s="11"/>
    </row>
    <row r="334" ht="14.25" customHeight="1">
      <c r="A334" s="6"/>
      <c r="B334" s="5">
        <v>2.0</v>
      </c>
      <c r="C334" s="5" t="s">
        <v>637</v>
      </c>
      <c r="D334" s="5">
        <v>52093.0</v>
      </c>
      <c r="E334" s="5">
        <v>2902.0</v>
      </c>
      <c r="F334" s="5" t="s">
        <v>1485</v>
      </c>
      <c r="G334" s="21" t="s">
        <v>1486</v>
      </c>
      <c r="H334" s="5" t="s">
        <v>1487</v>
      </c>
      <c r="I334" s="5" t="s">
        <v>641</v>
      </c>
      <c r="J334" s="5" t="s">
        <v>755</v>
      </c>
      <c r="K334" s="5">
        <v>1.0</v>
      </c>
      <c r="L334" s="5">
        <v>3645.0</v>
      </c>
      <c r="M334" s="11">
        <v>54.30222</v>
      </c>
      <c r="N334" s="11">
        <v>-128.53778</v>
      </c>
      <c r="O334" s="11" t="s">
        <v>51</v>
      </c>
      <c r="P334" s="11">
        <v>52093.0</v>
      </c>
      <c r="Q334" s="22">
        <v>2.0</v>
      </c>
      <c r="R334" s="11" t="s">
        <v>1485</v>
      </c>
      <c r="S334" s="13" t="s">
        <v>1488</v>
      </c>
      <c r="T334" s="11" t="s">
        <v>644</v>
      </c>
      <c r="U334" s="11">
        <v>220.0</v>
      </c>
      <c r="Z334" s="11" t="s">
        <v>645</v>
      </c>
      <c r="AA334" s="11" t="s">
        <v>1489</v>
      </c>
      <c r="AB334" s="11"/>
      <c r="AC334" s="23"/>
      <c r="AD334" s="11"/>
      <c r="AE334" s="11"/>
      <c r="AF334" s="11"/>
      <c r="AG334" s="11"/>
      <c r="AH334" s="11"/>
      <c r="AI334" s="11"/>
    </row>
    <row r="335" ht="14.25" customHeight="1">
      <c r="A335" s="6"/>
      <c r="B335" s="5">
        <v>2.0</v>
      </c>
      <c r="C335" s="5" t="s">
        <v>637</v>
      </c>
      <c r="D335" s="5">
        <v>52322.0</v>
      </c>
      <c r="E335" s="5">
        <v>2904.0</v>
      </c>
      <c r="F335" s="5" t="s">
        <v>1490</v>
      </c>
      <c r="G335" s="21" t="s">
        <v>1491</v>
      </c>
      <c r="H335" s="5" t="s">
        <v>1492</v>
      </c>
      <c r="I335" s="5" t="s">
        <v>641</v>
      </c>
      <c r="J335" s="5" t="s">
        <v>662</v>
      </c>
      <c r="K335" s="5">
        <v>1.0</v>
      </c>
      <c r="L335" s="5">
        <v>3647.0</v>
      </c>
      <c r="M335" s="36">
        <v>54.30161</v>
      </c>
      <c r="N335" s="36">
        <v>-129.44333</v>
      </c>
      <c r="O335" s="37" t="s">
        <v>51</v>
      </c>
      <c r="P335" s="11">
        <v>52322.0</v>
      </c>
      <c r="Q335" s="22">
        <v>7.0</v>
      </c>
      <c r="R335" s="36" t="s">
        <v>1490</v>
      </c>
      <c r="S335" s="13" t="s">
        <v>1493</v>
      </c>
      <c r="T335" s="11" t="s">
        <v>644</v>
      </c>
      <c r="U335" s="11">
        <v>1435.0</v>
      </c>
      <c r="Z335" s="11"/>
      <c r="AA335" s="11" t="s">
        <v>1494</v>
      </c>
      <c r="AB335" s="11"/>
      <c r="AC335" s="11"/>
      <c r="AD335" s="11"/>
      <c r="AE335" s="11"/>
      <c r="AF335" s="11"/>
      <c r="AG335" s="11"/>
      <c r="AH335" s="11"/>
      <c r="AI335" s="11"/>
    </row>
    <row r="336" ht="14.25" customHeight="1">
      <c r="A336" s="6" t="s">
        <v>88</v>
      </c>
      <c r="B336" s="5">
        <v>2.0</v>
      </c>
      <c r="C336" s="5" t="s">
        <v>637</v>
      </c>
      <c r="D336" s="5">
        <v>52325.0</v>
      </c>
      <c r="E336" s="5">
        <v>2905.0</v>
      </c>
      <c r="F336" s="5" t="s">
        <v>1495</v>
      </c>
      <c r="G336" s="10" t="s">
        <v>1496</v>
      </c>
      <c r="H336" s="5" t="s">
        <v>1497</v>
      </c>
      <c r="I336" s="5" t="s">
        <v>641</v>
      </c>
      <c r="J336" s="5" t="s">
        <v>1224</v>
      </c>
      <c r="K336" s="5">
        <v>1.0</v>
      </c>
      <c r="L336" s="5">
        <v>3648.0</v>
      </c>
      <c r="M336" s="11">
        <v>54.30361</v>
      </c>
      <c r="N336" s="11">
        <v>-129.41833</v>
      </c>
      <c r="O336" s="11" t="s">
        <v>51</v>
      </c>
      <c r="P336" s="11">
        <v>52325.0</v>
      </c>
      <c r="Q336" s="22">
        <v>4.0</v>
      </c>
      <c r="R336" s="11" t="s">
        <v>1495</v>
      </c>
      <c r="S336" s="13" t="s">
        <v>1498</v>
      </c>
      <c r="T336" s="11" t="s">
        <v>644</v>
      </c>
      <c r="U336" s="11">
        <v>730.0</v>
      </c>
      <c r="Z336" s="11"/>
      <c r="AA336" s="11" t="s">
        <v>1499</v>
      </c>
      <c r="AB336" s="11"/>
      <c r="AC336" s="11"/>
      <c r="AD336" s="11"/>
      <c r="AE336" s="11"/>
      <c r="AF336" s="11"/>
      <c r="AG336" s="11"/>
      <c r="AH336" s="11"/>
      <c r="AI336" s="11"/>
    </row>
    <row r="337" ht="14.25" customHeight="1">
      <c r="A337" s="6" t="s">
        <v>88</v>
      </c>
      <c r="B337" s="5">
        <v>2.0</v>
      </c>
      <c r="C337" s="5" t="s">
        <v>637</v>
      </c>
      <c r="D337" s="5">
        <v>52326.0</v>
      </c>
      <c r="E337" s="5">
        <v>2906.0</v>
      </c>
      <c r="F337" s="5" t="s">
        <v>1500</v>
      </c>
      <c r="G337" s="10" t="s">
        <v>1501</v>
      </c>
      <c r="H337" s="5" t="s">
        <v>1502</v>
      </c>
      <c r="I337" s="5" t="s">
        <v>641</v>
      </c>
      <c r="J337" s="5" t="s">
        <v>755</v>
      </c>
      <c r="K337" s="5">
        <v>1.0</v>
      </c>
      <c r="L337" s="5">
        <v>3649.0</v>
      </c>
      <c r="M337" s="10">
        <v>54.31355</v>
      </c>
      <c r="N337" s="10">
        <v>-129.35075</v>
      </c>
      <c r="O337" s="5" t="s">
        <v>51</v>
      </c>
      <c r="P337" s="5">
        <v>52326.0</v>
      </c>
      <c r="Q337" s="5">
        <v>1.0</v>
      </c>
      <c r="R337" s="5" t="s">
        <v>1500</v>
      </c>
      <c r="S337" s="5" t="s">
        <v>1503</v>
      </c>
      <c r="T337" s="5" t="s">
        <v>644</v>
      </c>
      <c r="U337" s="5">
        <v>12.0</v>
      </c>
      <c r="Z337" s="5" t="s">
        <v>645</v>
      </c>
      <c r="AA337" s="5" t="s">
        <v>1504</v>
      </c>
    </row>
    <row r="338" ht="14.25" customHeight="1">
      <c r="A338" s="6" t="s">
        <v>88</v>
      </c>
      <c r="B338" s="5">
        <v>2.0</v>
      </c>
      <c r="C338" s="5" t="s">
        <v>637</v>
      </c>
      <c r="D338" s="5">
        <v>52327.0</v>
      </c>
      <c r="E338" s="5">
        <v>2907.0</v>
      </c>
      <c r="F338" s="5" t="s">
        <v>1505</v>
      </c>
      <c r="G338" s="10" t="s">
        <v>1506</v>
      </c>
      <c r="H338" s="5" t="s">
        <v>1507</v>
      </c>
      <c r="I338" s="5" t="s">
        <v>641</v>
      </c>
      <c r="J338" s="5" t="s">
        <v>1137</v>
      </c>
      <c r="K338" s="5">
        <v>1.0</v>
      </c>
      <c r="L338" s="5">
        <v>3650.0</v>
      </c>
      <c r="M338" s="11"/>
      <c r="N338" s="11"/>
      <c r="O338" s="11"/>
      <c r="P338" s="11"/>
      <c r="Q338" s="22"/>
      <c r="R338" s="11"/>
      <c r="S338" s="13"/>
      <c r="T338" s="11"/>
      <c r="U338" s="11"/>
      <c r="Z338" s="11"/>
      <c r="AA338" s="11"/>
      <c r="AB338" s="11"/>
      <c r="AC338" s="23"/>
      <c r="AD338" s="11"/>
      <c r="AE338" s="11"/>
      <c r="AF338" s="11"/>
      <c r="AG338" s="11"/>
      <c r="AH338" s="11"/>
      <c r="AI338" s="11"/>
    </row>
    <row r="339" ht="14.25" customHeight="1">
      <c r="A339" s="6"/>
      <c r="B339" s="5">
        <v>2.0</v>
      </c>
      <c r="C339" s="5" t="s">
        <v>637</v>
      </c>
      <c r="D339" s="5">
        <v>52391.0</v>
      </c>
      <c r="E339" s="5">
        <v>11029.0</v>
      </c>
      <c r="F339" s="5" t="s">
        <v>1508</v>
      </c>
      <c r="G339" s="21" t="s">
        <v>1509</v>
      </c>
      <c r="H339" s="5" t="s">
        <v>891</v>
      </c>
      <c r="I339" s="5" t="s">
        <v>49</v>
      </c>
      <c r="J339" s="5" t="s">
        <v>710</v>
      </c>
      <c r="K339" s="5">
        <v>1.0</v>
      </c>
      <c r="L339" s="5">
        <v>13197.0</v>
      </c>
      <c r="M339" s="11">
        <v>54.20842</v>
      </c>
      <c r="N339" s="11">
        <v>-129.98169</v>
      </c>
      <c r="O339" s="11" t="s">
        <v>51</v>
      </c>
      <c r="P339" s="11">
        <v>52391.0</v>
      </c>
      <c r="Q339" s="22">
        <v>1.0</v>
      </c>
      <c r="R339" s="11" t="s">
        <v>1508</v>
      </c>
      <c r="S339" s="13" t="s">
        <v>1510</v>
      </c>
      <c r="T339" s="11" t="s">
        <v>644</v>
      </c>
      <c r="U339" s="11">
        <v>12.0</v>
      </c>
      <c r="Z339" s="11"/>
      <c r="AA339" s="11" t="s">
        <v>1511</v>
      </c>
      <c r="AB339" s="11"/>
      <c r="AC339" s="23"/>
      <c r="AD339" s="11"/>
      <c r="AE339" s="11"/>
      <c r="AF339" s="11"/>
      <c r="AG339" s="11"/>
      <c r="AH339" s="11"/>
      <c r="AI339" s="11"/>
    </row>
    <row r="340" ht="14.25" customHeight="1">
      <c r="A340" s="6" t="s">
        <v>88</v>
      </c>
      <c r="B340" s="5">
        <v>2.0</v>
      </c>
      <c r="C340" s="5" t="s">
        <v>637</v>
      </c>
      <c r="D340" s="5">
        <v>52401.0</v>
      </c>
      <c r="E340" s="5">
        <v>2908.0</v>
      </c>
      <c r="F340" s="5" t="s">
        <v>1512</v>
      </c>
      <c r="G340" s="10" t="s">
        <v>1513</v>
      </c>
      <c r="H340" s="5" t="s">
        <v>1514</v>
      </c>
      <c r="I340" s="5" t="s">
        <v>641</v>
      </c>
      <c r="J340" s="5" t="s">
        <v>1515</v>
      </c>
      <c r="K340" s="5">
        <v>1.0</v>
      </c>
      <c r="L340" s="5">
        <v>3651.0</v>
      </c>
      <c r="M340" s="11">
        <v>54.48671</v>
      </c>
      <c r="N340" s="11">
        <v>-128.95367</v>
      </c>
      <c r="O340" s="11" t="s">
        <v>51</v>
      </c>
      <c r="P340" s="11">
        <v>52401.0</v>
      </c>
      <c r="Q340" s="22">
        <v>4.0</v>
      </c>
      <c r="R340" s="11" t="s">
        <v>1512</v>
      </c>
      <c r="S340" s="13" t="s">
        <v>1516</v>
      </c>
      <c r="T340" s="11" t="s">
        <v>644</v>
      </c>
      <c r="U340" s="11">
        <v>742.0</v>
      </c>
      <c r="Z340" s="11" t="s">
        <v>645</v>
      </c>
      <c r="AA340" s="11" t="s">
        <v>1517</v>
      </c>
      <c r="AB340" s="11"/>
      <c r="AC340" s="23"/>
      <c r="AD340" s="11"/>
      <c r="AE340" s="11"/>
      <c r="AF340" s="11"/>
      <c r="AG340" s="11"/>
      <c r="AH340" s="11"/>
      <c r="AI340" s="11"/>
    </row>
    <row r="341" ht="14.25" customHeight="1">
      <c r="A341" s="6"/>
      <c r="B341" s="5">
        <v>2.0</v>
      </c>
      <c r="C341" s="5" t="s">
        <v>637</v>
      </c>
      <c r="D341" s="5">
        <v>52521.0</v>
      </c>
      <c r="E341" s="5">
        <v>2910.0</v>
      </c>
      <c r="F341" s="5" t="s">
        <v>1518</v>
      </c>
      <c r="G341" s="21" t="s">
        <v>1519</v>
      </c>
      <c r="H341" s="5" t="s">
        <v>1520</v>
      </c>
      <c r="I341" s="5" t="s">
        <v>641</v>
      </c>
      <c r="J341" s="5" t="s">
        <v>1521</v>
      </c>
      <c r="K341" s="5">
        <v>1.0</v>
      </c>
      <c r="L341" s="5">
        <v>3653.0</v>
      </c>
      <c r="M341" s="11">
        <v>55.01033</v>
      </c>
      <c r="N341" s="11">
        <v>-129.77636</v>
      </c>
      <c r="O341" s="11" t="s">
        <v>51</v>
      </c>
      <c r="P341" s="11">
        <v>52521.0</v>
      </c>
      <c r="Q341" s="22">
        <v>5.0</v>
      </c>
      <c r="R341" s="11" t="s">
        <v>1518</v>
      </c>
      <c r="S341" s="13" t="s">
        <v>1522</v>
      </c>
      <c r="T341" s="11" t="s">
        <v>644</v>
      </c>
      <c r="U341" s="11">
        <v>860.0</v>
      </c>
      <c r="Z341" s="11"/>
      <c r="AA341" s="11" t="s">
        <v>1523</v>
      </c>
      <c r="AB341" s="11"/>
      <c r="AC341" s="11"/>
      <c r="AD341" s="11"/>
      <c r="AE341" s="11"/>
      <c r="AF341" s="11"/>
      <c r="AG341" s="11"/>
      <c r="AH341" s="11"/>
      <c r="AI341" s="11"/>
    </row>
    <row r="342" ht="14.25" customHeight="1">
      <c r="A342" s="6"/>
      <c r="B342" s="5">
        <v>2.0</v>
      </c>
      <c r="C342" s="5" t="s">
        <v>637</v>
      </c>
      <c r="D342" s="5">
        <v>52522.0</v>
      </c>
      <c r="E342" s="5">
        <v>2911.0</v>
      </c>
      <c r="F342" s="29" t="s">
        <v>1524</v>
      </c>
      <c r="G342" s="21" t="s">
        <v>1525</v>
      </c>
      <c r="H342" s="5" t="s">
        <v>1526</v>
      </c>
      <c r="I342" s="5" t="s">
        <v>641</v>
      </c>
      <c r="J342" s="5" t="s">
        <v>1527</v>
      </c>
      <c r="K342" s="5">
        <v>1.0</v>
      </c>
      <c r="L342" s="5">
        <v>3654.0</v>
      </c>
      <c r="M342" s="29">
        <v>55.00186</v>
      </c>
      <c r="N342" s="29">
        <v>-129.88126</v>
      </c>
      <c r="O342" s="29" t="s">
        <v>51</v>
      </c>
      <c r="P342" s="29">
        <v>52522.0</v>
      </c>
      <c r="Q342" s="31">
        <v>1.0</v>
      </c>
      <c r="R342" s="29" t="s">
        <v>1524</v>
      </c>
      <c r="S342" s="32" t="s">
        <v>1528</v>
      </c>
      <c r="T342" s="29" t="s">
        <v>644</v>
      </c>
      <c r="U342" s="29">
        <v>30.0</v>
      </c>
      <c r="V342" s="29"/>
      <c r="W342" s="29"/>
      <c r="X342" s="29"/>
      <c r="Y342" s="29"/>
      <c r="Z342" s="29" t="s">
        <v>645</v>
      </c>
      <c r="AA342" s="29" t="s">
        <v>1529</v>
      </c>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row>
    <row r="343" ht="14.25" customHeight="1">
      <c r="A343" s="6"/>
      <c r="B343" s="5">
        <v>2.0</v>
      </c>
      <c r="C343" s="5" t="s">
        <v>637</v>
      </c>
      <c r="D343" s="5">
        <v>52591.0</v>
      </c>
      <c r="E343" s="5">
        <v>12491.0</v>
      </c>
      <c r="F343" s="5" t="s">
        <v>1530</v>
      </c>
      <c r="G343" s="24" t="s">
        <v>1531</v>
      </c>
      <c r="H343" s="5" t="s">
        <v>709</v>
      </c>
      <c r="I343" s="5" t="s">
        <v>49</v>
      </c>
      <c r="J343" s="5" t="s">
        <v>710</v>
      </c>
      <c r="K343" s="5">
        <v>1.0</v>
      </c>
      <c r="L343" s="5">
        <v>14513.0</v>
      </c>
    </row>
    <row r="344" ht="14.25" customHeight="1">
      <c r="A344" s="6"/>
      <c r="B344" s="5">
        <v>2.0</v>
      </c>
      <c r="C344" s="5" t="s">
        <v>637</v>
      </c>
      <c r="D344" s="5">
        <v>53121.0</v>
      </c>
      <c r="E344" s="5">
        <v>2919.0</v>
      </c>
      <c r="F344" s="29" t="s">
        <v>1532</v>
      </c>
      <c r="G344" s="24" t="s">
        <v>1533</v>
      </c>
      <c r="H344" s="5" t="s">
        <v>1534</v>
      </c>
      <c r="I344" s="5" t="s">
        <v>641</v>
      </c>
      <c r="J344" s="5" t="s">
        <v>1035</v>
      </c>
      <c r="K344" s="5">
        <v>1.0</v>
      </c>
      <c r="L344" s="5">
        <v>3662.0</v>
      </c>
      <c r="M344" s="11">
        <v>55.01849</v>
      </c>
      <c r="N344" s="11">
        <v>-129.61817</v>
      </c>
      <c r="O344" s="11" t="s">
        <v>51</v>
      </c>
      <c r="P344" s="11">
        <v>52591.0</v>
      </c>
      <c r="Q344" s="22">
        <v>2.0</v>
      </c>
      <c r="R344" s="11" t="s">
        <v>1530</v>
      </c>
      <c r="S344" s="13" t="s">
        <v>1535</v>
      </c>
      <c r="T344" s="11" t="s">
        <v>644</v>
      </c>
      <c r="U344" s="11">
        <v>120.0</v>
      </c>
      <c r="X344" s="29"/>
      <c r="Y344" s="29"/>
      <c r="Z344" s="29"/>
      <c r="AA344" s="29" t="s">
        <v>1536</v>
      </c>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row>
    <row r="345" ht="14.25" customHeight="1">
      <c r="A345" s="6"/>
      <c r="B345" s="5">
        <v>2.0</v>
      </c>
      <c r="C345" s="5" t="s">
        <v>637</v>
      </c>
      <c r="D345" s="5">
        <v>53122.0</v>
      </c>
      <c r="E345" s="5">
        <v>2920.0</v>
      </c>
      <c r="F345" s="5" t="s">
        <v>1537</v>
      </c>
      <c r="G345" s="21" t="s">
        <v>1538</v>
      </c>
      <c r="H345" s="5" t="s">
        <v>1539</v>
      </c>
      <c r="I345" s="5" t="s">
        <v>641</v>
      </c>
      <c r="J345" s="5" t="s">
        <v>1224</v>
      </c>
      <c r="K345" s="5">
        <v>1.0</v>
      </c>
      <c r="L345" s="5">
        <v>3663.0</v>
      </c>
      <c r="M345" s="29">
        <v>56.77667</v>
      </c>
      <c r="N345" s="29">
        <v>-129.97253</v>
      </c>
      <c r="O345" s="29" t="s">
        <v>1290</v>
      </c>
      <c r="P345" s="29">
        <v>53122.0</v>
      </c>
      <c r="Q345" s="31">
        <v>4.0</v>
      </c>
      <c r="R345" s="29" t="s">
        <v>1537</v>
      </c>
      <c r="S345" s="32" t="s">
        <v>1540</v>
      </c>
      <c r="T345" s="29" t="s">
        <v>644</v>
      </c>
      <c r="U345" s="29">
        <v>1065.0</v>
      </c>
      <c r="V345" s="29"/>
      <c r="W345" s="29"/>
      <c r="X345" s="29"/>
      <c r="Y345" s="29"/>
      <c r="Z345" s="29"/>
      <c r="AA345" s="29" t="s">
        <v>1541</v>
      </c>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row>
    <row r="346" ht="14.25" customHeight="1">
      <c r="A346" s="6"/>
      <c r="B346" s="5">
        <v>2.0</v>
      </c>
      <c r="C346" s="5" t="s">
        <v>637</v>
      </c>
      <c r="D346" s="5">
        <v>53123.0</v>
      </c>
      <c r="E346" s="5">
        <v>2921.0</v>
      </c>
      <c r="F346" s="5" t="s">
        <v>1542</v>
      </c>
      <c r="G346" s="21" t="s">
        <v>1543</v>
      </c>
      <c r="H346" s="5" t="s">
        <v>1544</v>
      </c>
      <c r="I346" s="5" t="s">
        <v>641</v>
      </c>
      <c r="J346" s="5" t="s">
        <v>1224</v>
      </c>
      <c r="K346" s="5">
        <v>1.0</v>
      </c>
      <c r="L346" s="5">
        <v>3664.0</v>
      </c>
      <c r="M346" s="11">
        <v>56.94667</v>
      </c>
      <c r="N346" s="11">
        <v>-130.10694</v>
      </c>
      <c r="O346" s="11" t="s">
        <v>1290</v>
      </c>
      <c r="P346" s="29">
        <v>53123.0</v>
      </c>
      <c r="Q346" s="31">
        <v>5.0</v>
      </c>
      <c r="R346" s="29" t="s">
        <v>1542</v>
      </c>
      <c r="S346" s="32" t="s">
        <v>1545</v>
      </c>
      <c r="T346" s="29" t="s">
        <v>644</v>
      </c>
      <c r="U346" s="29">
        <v>1175.0</v>
      </c>
      <c r="V346" s="29"/>
      <c r="W346" s="29"/>
      <c r="X346" s="29"/>
      <c r="Y346" s="29"/>
      <c r="Z346" s="29"/>
      <c r="AA346" s="29" t="s">
        <v>1546</v>
      </c>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row>
    <row r="347" ht="14.25" customHeight="1">
      <c r="A347" s="6"/>
      <c r="B347" s="5">
        <v>2.0</v>
      </c>
      <c r="C347" s="5" t="s">
        <v>637</v>
      </c>
      <c r="D347" s="5">
        <v>53124.0</v>
      </c>
      <c r="E347" s="5">
        <v>2922.0</v>
      </c>
      <c r="F347" s="29" t="s">
        <v>1547</v>
      </c>
      <c r="G347" s="24" t="s">
        <v>1548</v>
      </c>
      <c r="H347" s="5" t="s">
        <v>1549</v>
      </c>
      <c r="I347" s="5" t="s">
        <v>641</v>
      </c>
      <c r="J347" s="5" t="s">
        <v>1550</v>
      </c>
      <c r="K347" s="5">
        <v>1.0</v>
      </c>
      <c r="L347" s="5">
        <v>3665.0</v>
      </c>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row>
    <row r="348" ht="14.25" customHeight="1">
      <c r="A348" s="6"/>
      <c r="B348" s="5">
        <v>2.0</v>
      </c>
      <c r="C348" s="5" t="s">
        <v>637</v>
      </c>
      <c r="D348" s="5">
        <v>53125.0</v>
      </c>
      <c r="E348" s="5">
        <v>2923.0</v>
      </c>
      <c r="F348" s="5" t="s">
        <v>1551</v>
      </c>
      <c r="G348" s="21" t="s">
        <v>1552</v>
      </c>
      <c r="H348" s="5" t="s">
        <v>1553</v>
      </c>
      <c r="I348" s="5" t="s">
        <v>641</v>
      </c>
      <c r="J348" s="5" t="s">
        <v>1554</v>
      </c>
      <c r="K348" s="5">
        <v>1.0</v>
      </c>
      <c r="L348" s="5">
        <v>3666.0</v>
      </c>
      <c r="M348" s="11">
        <v>56.75389</v>
      </c>
      <c r="N348" s="11">
        <v>-129.935</v>
      </c>
      <c r="O348" s="11" t="s">
        <v>1290</v>
      </c>
      <c r="P348" s="11">
        <v>53125.0</v>
      </c>
      <c r="Q348" s="22">
        <v>1.0</v>
      </c>
      <c r="R348" s="11" t="s">
        <v>1551</v>
      </c>
      <c r="S348" s="13" t="s">
        <v>1555</v>
      </c>
      <c r="T348" s="11" t="s">
        <v>644</v>
      </c>
      <c r="U348" s="11">
        <v>588.0</v>
      </c>
      <c r="Z348" s="11"/>
      <c r="AA348" s="11" t="s">
        <v>1556</v>
      </c>
      <c r="AB348" s="11"/>
      <c r="AC348" s="11"/>
      <c r="AD348" s="11"/>
      <c r="AE348" s="11"/>
      <c r="AF348" s="11"/>
      <c r="AG348" s="11"/>
      <c r="AH348" s="11"/>
      <c r="AI348" s="11"/>
    </row>
    <row r="349" ht="14.25" customHeight="1">
      <c r="A349" s="6"/>
      <c r="B349" s="5">
        <v>2.0</v>
      </c>
      <c r="C349" s="5" t="s">
        <v>637</v>
      </c>
      <c r="D349" s="5">
        <v>53126.0</v>
      </c>
      <c r="E349" s="5">
        <v>2924.0</v>
      </c>
      <c r="F349" s="5" t="s">
        <v>1557</v>
      </c>
      <c r="G349" s="21" t="s">
        <v>1558</v>
      </c>
      <c r="H349" s="5" t="s">
        <v>1553</v>
      </c>
      <c r="I349" s="5" t="s">
        <v>641</v>
      </c>
      <c r="J349" s="5" t="s">
        <v>1559</v>
      </c>
      <c r="K349" s="5">
        <v>1.0</v>
      </c>
      <c r="L349" s="5">
        <v>3667.0</v>
      </c>
      <c r="M349" s="11">
        <v>56.92867</v>
      </c>
      <c r="N349" s="11">
        <v>-130.0905</v>
      </c>
      <c r="O349" s="11" t="s">
        <v>1290</v>
      </c>
      <c r="P349" s="11">
        <v>53126.0</v>
      </c>
      <c r="Q349" s="22">
        <v>1.0</v>
      </c>
      <c r="R349" s="11" t="s">
        <v>1557</v>
      </c>
      <c r="S349" s="13" t="s">
        <v>1560</v>
      </c>
      <c r="T349" s="11" t="s">
        <v>644</v>
      </c>
      <c r="U349" s="11">
        <v>504.0</v>
      </c>
      <c r="Z349" s="11"/>
      <c r="AA349" s="11" t="s">
        <v>1561</v>
      </c>
      <c r="AB349" s="11"/>
      <c r="AC349" s="11"/>
      <c r="AD349" s="11"/>
      <c r="AE349" s="11"/>
      <c r="AF349" s="11"/>
      <c r="AG349" s="11"/>
      <c r="AH349" s="11"/>
      <c r="AI349" s="11"/>
    </row>
    <row r="350" ht="14.25" customHeight="1">
      <c r="A350" s="6"/>
      <c r="B350" s="5">
        <v>2.0</v>
      </c>
      <c r="C350" s="5" t="s">
        <v>637</v>
      </c>
      <c r="D350" s="5">
        <v>53127.0</v>
      </c>
      <c r="E350" s="5">
        <v>2925.0</v>
      </c>
      <c r="F350" s="5" t="s">
        <v>1562</v>
      </c>
      <c r="G350" s="21" t="s">
        <v>1563</v>
      </c>
      <c r="H350" s="5" t="s">
        <v>1564</v>
      </c>
      <c r="I350" s="5" t="s">
        <v>641</v>
      </c>
      <c r="J350" s="5" t="s">
        <v>1565</v>
      </c>
      <c r="K350" s="5">
        <v>1.0</v>
      </c>
      <c r="L350" s="5">
        <v>3668.0</v>
      </c>
      <c r="M350" s="11">
        <v>56.95083</v>
      </c>
      <c r="N350" s="11">
        <v>-130.095</v>
      </c>
      <c r="O350" s="11" t="s">
        <v>1290</v>
      </c>
      <c r="P350" s="11">
        <v>53127.0</v>
      </c>
      <c r="Q350" s="22">
        <v>7.0</v>
      </c>
      <c r="R350" s="11" t="s">
        <v>1562</v>
      </c>
      <c r="S350" s="13" t="s">
        <v>1566</v>
      </c>
      <c r="T350" s="11" t="s">
        <v>644</v>
      </c>
      <c r="U350" s="11">
        <v>1540.0</v>
      </c>
      <c r="V350" s="29"/>
      <c r="W350" s="29"/>
      <c r="X350" s="29"/>
      <c r="Y350" s="29"/>
      <c r="Z350" s="29"/>
      <c r="AA350" s="29" t="s">
        <v>1567</v>
      </c>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row>
    <row r="351" ht="14.25" customHeight="1">
      <c r="A351" s="6"/>
      <c r="B351" s="5">
        <v>2.0</v>
      </c>
      <c r="C351" s="5" t="s">
        <v>637</v>
      </c>
      <c r="D351" s="5">
        <v>53128.0</v>
      </c>
      <c r="E351" s="5">
        <v>2926.0</v>
      </c>
      <c r="F351" s="5" t="s">
        <v>1568</v>
      </c>
      <c r="G351" s="21" t="s">
        <v>1569</v>
      </c>
      <c r="H351" s="5" t="s">
        <v>1570</v>
      </c>
      <c r="I351" s="5" t="s">
        <v>641</v>
      </c>
      <c r="J351" s="5" t="s">
        <v>1565</v>
      </c>
      <c r="K351" s="5">
        <v>1.0</v>
      </c>
      <c r="L351" s="5">
        <v>3669.0</v>
      </c>
      <c r="M351" s="11">
        <v>56.79544</v>
      </c>
      <c r="N351" s="11">
        <v>-129.97519</v>
      </c>
      <c r="O351" s="11" t="s">
        <v>1290</v>
      </c>
      <c r="P351" s="11">
        <v>53128.0</v>
      </c>
      <c r="Q351" s="22">
        <v>7.0</v>
      </c>
      <c r="R351" s="11" t="s">
        <v>1568</v>
      </c>
      <c r="S351" s="13" t="s">
        <v>1571</v>
      </c>
      <c r="T351" s="11" t="s">
        <v>644</v>
      </c>
      <c r="U351" s="10">
        <v>1500.0</v>
      </c>
      <c r="Z351" s="11"/>
      <c r="AA351" s="11" t="s">
        <v>1572</v>
      </c>
      <c r="AB351" s="11"/>
      <c r="AC351" s="11"/>
      <c r="AD351" s="11"/>
      <c r="AE351" s="11"/>
      <c r="AF351" s="11"/>
      <c r="AG351" s="11"/>
      <c r="AH351" s="11"/>
      <c r="AI351" s="11"/>
    </row>
    <row r="352" ht="14.25" customHeight="1">
      <c r="A352" s="6" t="s">
        <v>88</v>
      </c>
      <c r="B352" s="5">
        <v>2.0</v>
      </c>
      <c r="C352" s="5" t="s">
        <v>637</v>
      </c>
      <c r="D352" s="5">
        <v>53129.0</v>
      </c>
      <c r="E352" s="5">
        <v>12492.0</v>
      </c>
      <c r="F352" s="29" t="s">
        <v>1573</v>
      </c>
      <c r="G352" s="10" t="s">
        <v>1574</v>
      </c>
      <c r="H352" s="5" t="s">
        <v>1575</v>
      </c>
      <c r="I352" s="5" t="s">
        <v>49</v>
      </c>
      <c r="J352" s="5" t="s">
        <v>1576</v>
      </c>
      <c r="K352" s="5">
        <v>1.0</v>
      </c>
      <c r="L352" s="5">
        <v>14514.0</v>
      </c>
      <c r="M352" s="11">
        <v>58.43425</v>
      </c>
      <c r="N352" s="11">
        <v>-129.98617</v>
      </c>
      <c r="O352" s="11" t="s">
        <v>1577</v>
      </c>
      <c r="P352" s="11">
        <v>53129.0</v>
      </c>
      <c r="Q352" s="22">
        <v>2.0</v>
      </c>
      <c r="R352" s="11" t="s">
        <v>1573</v>
      </c>
      <c r="S352" s="13" t="s">
        <v>1578</v>
      </c>
      <c r="T352" s="11" t="s">
        <v>644</v>
      </c>
      <c r="U352" s="11">
        <v>814.0</v>
      </c>
      <c r="W352" s="29"/>
      <c r="X352" s="29"/>
      <c r="Y352" s="29"/>
      <c r="Z352" s="29"/>
      <c r="AA352" s="29" t="s">
        <v>1579</v>
      </c>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row>
    <row r="353" ht="14.25" customHeight="1">
      <c r="A353" s="6" t="s">
        <v>772</v>
      </c>
      <c r="B353" s="5">
        <v>2.0</v>
      </c>
      <c r="C353" s="5" t="s">
        <v>637</v>
      </c>
      <c r="D353" s="5">
        <v>53131.0</v>
      </c>
      <c r="E353" s="5">
        <v>13020.0</v>
      </c>
      <c r="F353" s="12" t="s">
        <v>1580</v>
      </c>
      <c r="G353" s="10" t="s">
        <v>1581</v>
      </c>
      <c r="H353" s="5" t="s">
        <v>792</v>
      </c>
      <c r="I353" s="5" t="s">
        <v>49</v>
      </c>
      <c r="J353" s="5" t="s">
        <v>1582</v>
      </c>
      <c r="K353" s="5">
        <v>1.0</v>
      </c>
      <c r="L353" s="5">
        <v>14952.0</v>
      </c>
      <c r="M353" s="11">
        <v>57.30477</v>
      </c>
      <c r="N353" s="11">
        <v>-130.25056</v>
      </c>
      <c r="O353" s="11" t="s">
        <v>1577</v>
      </c>
      <c r="P353" s="11">
        <v>53131.0</v>
      </c>
      <c r="Q353" s="22">
        <v>2.0</v>
      </c>
      <c r="R353" s="11" t="s">
        <v>1583</v>
      </c>
      <c r="S353" s="13" t="s">
        <v>1584</v>
      </c>
      <c r="T353" s="11" t="s">
        <v>644</v>
      </c>
      <c r="U353" s="10">
        <v>814.0</v>
      </c>
      <c r="Z353" s="11"/>
      <c r="AA353" s="11" t="s">
        <v>1585</v>
      </c>
      <c r="AB353" s="11"/>
      <c r="AC353" s="11"/>
      <c r="AD353" s="11"/>
      <c r="AE353" s="11"/>
      <c r="AF353" s="11"/>
      <c r="AG353" s="11"/>
      <c r="AH353" s="11"/>
      <c r="AI353" s="11"/>
    </row>
    <row r="354" ht="14.25" customHeight="1">
      <c r="A354" s="6"/>
      <c r="B354" s="5">
        <v>2.0</v>
      </c>
      <c r="C354" s="5" t="s">
        <v>637</v>
      </c>
      <c r="D354" s="5">
        <v>53221.0</v>
      </c>
      <c r="E354" s="5">
        <v>2928.0</v>
      </c>
      <c r="F354" s="29" t="s">
        <v>1586</v>
      </c>
      <c r="G354" s="21" t="s">
        <v>1587</v>
      </c>
      <c r="H354" s="5" t="s">
        <v>1588</v>
      </c>
      <c r="I354" s="5" t="s">
        <v>641</v>
      </c>
      <c r="J354" s="5" t="s">
        <v>1453</v>
      </c>
      <c r="K354" s="5">
        <v>1.0</v>
      </c>
      <c r="L354" s="5">
        <v>3671.0</v>
      </c>
      <c r="M354" s="29">
        <v>59.24917</v>
      </c>
      <c r="N354" s="29">
        <v>-129.65722</v>
      </c>
      <c r="O354" s="29" t="s">
        <v>1577</v>
      </c>
      <c r="P354" s="29">
        <v>53221.0</v>
      </c>
      <c r="Q354" s="31">
        <v>2.0</v>
      </c>
      <c r="R354" s="29" t="s">
        <v>1586</v>
      </c>
      <c r="S354" s="32" t="s">
        <v>1589</v>
      </c>
      <c r="T354" s="29" t="s">
        <v>644</v>
      </c>
      <c r="U354" s="29">
        <v>940.0</v>
      </c>
      <c r="V354" s="29"/>
      <c r="W354" s="29"/>
      <c r="X354" s="29"/>
      <c r="Y354" s="29"/>
      <c r="Z354" s="29" t="s">
        <v>645</v>
      </c>
      <c r="AA354" s="29" t="s">
        <v>1590</v>
      </c>
      <c r="AB354" s="29"/>
      <c r="AC354" s="33"/>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row>
    <row r="355" ht="14.25" customHeight="1">
      <c r="A355" s="6"/>
      <c r="B355" s="5">
        <v>2.0</v>
      </c>
      <c r="C355" s="5" t="s">
        <v>637</v>
      </c>
      <c r="D355" s="5">
        <v>53222.0</v>
      </c>
      <c r="E355" s="5">
        <v>12508.0</v>
      </c>
      <c r="F355" s="5" t="s">
        <v>1591</v>
      </c>
      <c r="G355" s="21" t="s">
        <v>1592</v>
      </c>
      <c r="H355" s="5" t="s">
        <v>1593</v>
      </c>
      <c r="I355" s="5" t="s">
        <v>49</v>
      </c>
      <c r="J355" s="5" t="s">
        <v>1594</v>
      </c>
      <c r="K355" s="5">
        <v>1.0</v>
      </c>
      <c r="L355" s="5">
        <v>14530.0</v>
      </c>
      <c r="M355" s="11">
        <v>59.25861</v>
      </c>
      <c r="N355" s="11">
        <v>-129.61833</v>
      </c>
      <c r="O355" s="11" t="s">
        <v>1577</v>
      </c>
      <c r="P355" s="11">
        <v>53222.0</v>
      </c>
      <c r="Q355" s="22">
        <v>2.0</v>
      </c>
      <c r="R355" s="11" t="s">
        <v>1595</v>
      </c>
      <c r="S355" s="13" t="s">
        <v>1596</v>
      </c>
      <c r="T355" s="11" t="s">
        <v>644</v>
      </c>
      <c r="U355" s="11">
        <v>915.0</v>
      </c>
      <c r="Z355" s="11"/>
      <c r="AA355" s="11" t="s">
        <v>1597</v>
      </c>
      <c r="AB355" s="11"/>
      <c r="AC355" s="11"/>
      <c r="AD355" s="11"/>
      <c r="AE355" s="11"/>
      <c r="AF355" s="11"/>
      <c r="AG355" s="11"/>
      <c r="AH355" s="11"/>
      <c r="AI355" s="11"/>
    </row>
    <row r="356" ht="14.25" customHeight="1">
      <c r="A356" s="6"/>
      <c r="B356" s="5">
        <v>2.0</v>
      </c>
      <c r="C356" s="5" t="s">
        <v>637</v>
      </c>
      <c r="D356" s="5">
        <v>53321.0</v>
      </c>
      <c r="E356" s="5">
        <v>2930.0</v>
      </c>
      <c r="F356" s="5" t="s">
        <v>1598</v>
      </c>
      <c r="G356" s="21" t="s">
        <v>1599</v>
      </c>
      <c r="H356" s="5" t="s">
        <v>1309</v>
      </c>
      <c r="I356" s="5" t="s">
        <v>641</v>
      </c>
      <c r="J356" s="5" t="s">
        <v>1453</v>
      </c>
      <c r="K356" s="5">
        <v>1.0</v>
      </c>
      <c r="L356" s="5">
        <v>3673.0</v>
      </c>
      <c r="M356" s="11">
        <v>57.91278</v>
      </c>
      <c r="N356" s="11">
        <v>-131.13111</v>
      </c>
      <c r="O356" s="11" t="s">
        <v>1577</v>
      </c>
      <c r="P356" s="11">
        <v>53321.0</v>
      </c>
      <c r="Q356" s="22">
        <v>1.0</v>
      </c>
      <c r="R356" s="11" t="s">
        <v>1598</v>
      </c>
      <c r="S356" s="13" t="s">
        <v>1600</v>
      </c>
      <c r="T356" s="11" t="s">
        <v>644</v>
      </c>
      <c r="U356" s="11">
        <v>290.0</v>
      </c>
      <c r="Z356" s="11"/>
      <c r="AA356" s="11" t="s">
        <v>1601</v>
      </c>
      <c r="AB356" s="11"/>
      <c r="AC356" s="11"/>
      <c r="AD356" s="11"/>
      <c r="AE356" s="11"/>
      <c r="AF356" s="11"/>
      <c r="AG356" s="11"/>
      <c r="AH356" s="11"/>
      <c r="AI356" s="11"/>
    </row>
    <row r="357" ht="14.25" customHeight="1">
      <c r="A357" s="6"/>
      <c r="B357" s="5">
        <v>2.0</v>
      </c>
      <c r="C357" s="5" t="s">
        <v>637</v>
      </c>
      <c r="D357" s="5">
        <v>54091.0</v>
      </c>
      <c r="E357" s="5">
        <v>2934.0</v>
      </c>
      <c r="F357" s="5" t="s">
        <v>1602</v>
      </c>
      <c r="G357" s="21" t="s">
        <v>1603</v>
      </c>
      <c r="H357" s="5" t="s">
        <v>1604</v>
      </c>
      <c r="I357" s="5" t="s">
        <v>641</v>
      </c>
      <c r="J357" s="5" t="s">
        <v>642</v>
      </c>
      <c r="K357" s="5">
        <v>1.0</v>
      </c>
      <c r="L357" s="5">
        <v>3677.0</v>
      </c>
      <c r="M357" s="11">
        <v>54.48194</v>
      </c>
      <c r="N357" s="11">
        <v>-126.74361</v>
      </c>
      <c r="O357" s="11" t="s">
        <v>148</v>
      </c>
      <c r="P357" s="11">
        <v>54091.0</v>
      </c>
      <c r="Q357" s="22">
        <v>1.0</v>
      </c>
      <c r="R357" s="11" t="s">
        <v>1602</v>
      </c>
      <c r="S357" s="13" t="s">
        <v>1605</v>
      </c>
      <c r="T357" s="11" t="s">
        <v>644</v>
      </c>
      <c r="U357" s="11">
        <v>820.0</v>
      </c>
      <c r="Z357" s="11" t="s">
        <v>645</v>
      </c>
      <c r="AA357" s="11" t="s">
        <v>1606</v>
      </c>
      <c r="AB357" s="11"/>
      <c r="AC357" s="23"/>
      <c r="AD357" s="11"/>
      <c r="AE357" s="11"/>
      <c r="AF357" s="11"/>
      <c r="AG357" s="11"/>
      <c r="AH357" s="11"/>
      <c r="AI357" s="11"/>
    </row>
    <row r="358" ht="14.25" customHeight="1">
      <c r="A358" s="6"/>
      <c r="B358" s="5">
        <v>2.0</v>
      </c>
      <c r="C358" s="5" t="s">
        <v>637</v>
      </c>
      <c r="D358" s="5">
        <v>54092.0</v>
      </c>
      <c r="E358" s="5">
        <v>12493.0</v>
      </c>
      <c r="F358" s="29" t="s">
        <v>1607</v>
      </c>
      <c r="G358" s="21" t="s">
        <v>1608</v>
      </c>
      <c r="H358" s="5" t="s">
        <v>709</v>
      </c>
      <c r="I358" s="5" t="s">
        <v>49</v>
      </c>
      <c r="J358" s="5" t="s">
        <v>1170</v>
      </c>
      <c r="K358" s="5">
        <v>1.0</v>
      </c>
      <c r="L358" s="5">
        <v>14515.0</v>
      </c>
      <c r="M358" s="29">
        <v>54.94143</v>
      </c>
      <c r="N358" s="29">
        <v>-127.3261</v>
      </c>
      <c r="O358" s="29" t="s">
        <v>148</v>
      </c>
      <c r="P358" s="29">
        <v>54092.0</v>
      </c>
      <c r="Q358" s="31">
        <v>1.0</v>
      </c>
      <c r="R358" s="29" t="s">
        <v>1607</v>
      </c>
      <c r="S358" s="32" t="s">
        <v>1609</v>
      </c>
      <c r="T358" s="29" t="s">
        <v>644</v>
      </c>
      <c r="U358" s="29">
        <v>410.0</v>
      </c>
      <c r="V358" s="29"/>
      <c r="W358" s="29"/>
      <c r="X358" s="29"/>
      <c r="Y358" s="29"/>
      <c r="Z358" s="29"/>
      <c r="AA358" s="29" t="s">
        <v>1610</v>
      </c>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row>
    <row r="359" ht="14.25" customHeight="1">
      <c r="A359" s="6"/>
      <c r="B359" s="5">
        <v>2.0</v>
      </c>
      <c r="C359" s="5" t="s">
        <v>637</v>
      </c>
      <c r="D359" s="5">
        <v>55091.0</v>
      </c>
      <c r="E359" s="5">
        <v>2938.0</v>
      </c>
      <c r="F359" s="5" t="s">
        <v>1611</v>
      </c>
      <c r="G359" s="21" t="s">
        <v>1612</v>
      </c>
      <c r="H359" s="5" t="s">
        <v>1613</v>
      </c>
      <c r="I359" s="5" t="s">
        <v>641</v>
      </c>
      <c r="J359" s="5" t="s">
        <v>642</v>
      </c>
      <c r="K359" s="5">
        <v>1.0</v>
      </c>
      <c r="L359" s="5">
        <v>3681.0</v>
      </c>
      <c r="M359" s="11">
        <v>54.19167</v>
      </c>
      <c r="N359" s="11">
        <v>-125.53639</v>
      </c>
      <c r="O359" s="11" t="s">
        <v>148</v>
      </c>
      <c r="P359" s="11">
        <v>55091.0</v>
      </c>
      <c r="Q359" s="22">
        <v>1.0</v>
      </c>
      <c r="R359" s="11" t="s">
        <v>1611</v>
      </c>
      <c r="S359" s="13" t="s">
        <v>1614</v>
      </c>
      <c r="T359" s="11" t="s">
        <v>644</v>
      </c>
      <c r="U359" s="11">
        <v>719.0</v>
      </c>
      <c r="V359" s="29"/>
      <c r="W359" s="29"/>
      <c r="X359" s="29"/>
      <c r="Y359" s="29"/>
      <c r="Z359" s="29"/>
      <c r="AA359" s="29" t="s">
        <v>1615</v>
      </c>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row>
    <row r="360" ht="14.25" customHeight="1">
      <c r="A360" s="6"/>
      <c r="B360" s="5">
        <v>2.0</v>
      </c>
      <c r="C360" s="5" t="s">
        <v>637</v>
      </c>
      <c r="D360" s="5">
        <v>55092.0</v>
      </c>
      <c r="E360" s="5">
        <v>12494.0</v>
      </c>
      <c r="F360" s="5" t="s">
        <v>1616</v>
      </c>
      <c r="G360" s="21" t="s">
        <v>1617</v>
      </c>
      <c r="H360" s="5" t="s">
        <v>709</v>
      </c>
      <c r="I360" s="5" t="s">
        <v>49</v>
      </c>
      <c r="J360" s="5" t="s">
        <v>1170</v>
      </c>
      <c r="K360" s="5">
        <v>1.0</v>
      </c>
      <c r="L360" s="5">
        <v>14516.0</v>
      </c>
      <c r="M360" s="11">
        <v>54.45944</v>
      </c>
      <c r="N360" s="11">
        <v>-126.1961</v>
      </c>
      <c r="O360" s="11" t="s">
        <v>148</v>
      </c>
      <c r="P360" s="11">
        <v>55092.0</v>
      </c>
      <c r="Q360" s="22">
        <v>1.0</v>
      </c>
      <c r="R360" s="11" t="s">
        <v>1616</v>
      </c>
      <c r="S360" s="13" t="s">
        <v>1618</v>
      </c>
      <c r="T360" s="11" t="s">
        <v>644</v>
      </c>
      <c r="U360" s="11">
        <v>840.0</v>
      </c>
      <c r="V360" s="29"/>
      <c r="W360" s="29"/>
      <c r="X360" s="29"/>
      <c r="Y360" s="29"/>
      <c r="Z360" s="29"/>
      <c r="AA360" s="29" t="s">
        <v>1619</v>
      </c>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row>
    <row r="361" ht="14.25" customHeight="1">
      <c r="A361" s="6"/>
      <c r="B361" s="5">
        <v>2.0</v>
      </c>
      <c r="C361" s="5" t="s">
        <v>637</v>
      </c>
      <c r="D361" s="5">
        <v>62091.0</v>
      </c>
      <c r="E361" s="5">
        <v>11030.0</v>
      </c>
      <c r="F361" s="5" t="s">
        <v>1620</v>
      </c>
      <c r="G361" s="21" t="s">
        <v>1621</v>
      </c>
      <c r="H361" s="5" t="s">
        <v>891</v>
      </c>
      <c r="I361" s="5" t="s">
        <v>49</v>
      </c>
      <c r="J361" s="5" t="s">
        <v>710</v>
      </c>
      <c r="K361" s="5">
        <v>1.0</v>
      </c>
      <c r="L361" s="5">
        <v>13198.0</v>
      </c>
      <c r="M361" s="11">
        <v>48.56794</v>
      </c>
      <c r="N361" s="11">
        <v>-123.54176</v>
      </c>
      <c r="O361" s="11" t="s">
        <v>183</v>
      </c>
      <c r="P361" s="11">
        <v>62091.0</v>
      </c>
      <c r="Q361" s="22">
        <v>5.0</v>
      </c>
      <c r="R361" s="11" t="s">
        <v>1620</v>
      </c>
      <c r="S361" s="13" t="s">
        <v>1622</v>
      </c>
      <c r="T361" s="11" t="s">
        <v>644</v>
      </c>
      <c r="U361" s="11">
        <v>340.0</v>
      </c>
      <c r="Z361" s="11" t="s">
        <v>645</v>
      </c>
      <c r="AA361" s="11" t="s">
        <v>1623</v>
      </c>
      <c r="AB361" s="11"/>
      <c r="AC361" s="23"/>
      <c r="AD361" s="11"/>
      <c r="AE361" s="11"/>
      <c r="AF361" s="11"/>
      <c r="AG361" s="11"/>
      <c r="AH361" s="11"/>
      <c r="AI361" s="11"/>
    </row>
    <row r="362" ht="14.25" customHeight="1">
      <c r="A362" s="6"/>
      <c r="B362" s="5">
        <v>2.0</v>
      </c>
      <c r="C362" s="5" t="s">
        <v>637</v>
      </c>
      <c r="D362" s="5">
        <v>63093.0</v>
      </c>
      <c r="E362" s="5">
        <v>2944.0</v>
      </c>
      <c r="F362" s="5" t="s">
        <v>1624</v>
      </c>
      <c r="G362" s="21" t="s">
        <v>1625</v>
      </c>
      <c r="H362" s="5" t="s">
        <v>1626</v>
      </c>
      <c r="I362" s="5" t="s">
        <v>641</v>
      </c>
      <c r="J362" s="5" t="s">
        <v>755</v>
      </c>
      <c r="K362" s="5">
        <v>1.0</v>
      </c>
      <c r="L362" s="5">
        <v>3687.0</v>
      </c>
      <c r="M362" s="11">
        <v>49.37056</v>
      </c>
      <c r="N362" s="11">
        <v>-124.61611</v>
      </c>
      <c r="O362" s="11" t="s">
        <v>183</v>
      </c>
      <c r="P362" s="11">
        <v>63093.0</v>
      </c>
      <c r="Q362" s="22">
        <v>3.0</v>
      </c>
      <c r="R362" s="11" t="s">
        <v>1624</v>
      </c>
      <c r="S362" s="13" t="s">
        <v>1627</v>
      </c>
      <c r="T362" s="11" t="s">
        <v>644</v>
      </c>
      <c r="U362" s="11">
        <v>115.0</v>
      </c>
      <c r="Z362" s="11" t="s">
        <v>645</v>
      </c>
      <c r="AA362" s="11" t="s">
        <v>1628</v>
      </c>
      <c r="AB362" s="11"/>
      <c r="AC362" s="23"/>
      <c r="AD362" s="11"/>
      <c r="AE362" s="11"/>
      <c r="AF362" s="11"/>
      <c r="AG362" s="11"/>
      <c r="AH362" s="11"/>
      <c r="AI362" s="11"/>
    </row>
    <row r="363" ht="14.25" customHeight="1">
      <c r="A363" s="6"/>
      <c r="B363" s="5">
        <v>2.0</v>
      </c>
      <c r="C363" s="5" t="s">
        <v>637</v>
      </c>
      <c r="D363" s="5">
        <v>63094.0</v>
      </c>
      <c r="E363" s="5">
        <v>2945.0</v>
      </c>
      <c r="F363" s="5" t="s">
        <v>1629</v>
      </c>
      <c r="G363" s="21" t="s">
        <v>1630</v>
      </c>
      <c r="H363" s="5" t="s">
        <v>1631</v>
      </c>
      <c r="I363" s="5" t="s">
        <v>641</v>
      </c>
      <c r="J363" s="5" t="s">
        <v>642</v>
      </c>
      <c r="K363" s="5">
        <v>1.0</v>
      </c>
      <c r="L363" s="5">
        <v>3688.0</v>
      </c>
      <c r="M363" s="11">
        <v>49.10056</v>
      </c>
      <c r="N363" s="11">
        <v>-125.4525</v>
      </c>
      <c r="O363" s="11" t="s">
        <v>51</v>
      </c>
      <c r="P363" s="11">
        <v>63094.0</v>
      </c>
      <c r="Q363" s="22">
        <v>1.0</v>
      </c>
      <c r="R363" s="11" t="s">
        <v>1629</v>
      </c>
      <c r="S363" s="13" t="s">
        <v>1632</v>
      </c>
      <c r="T363" s="11" t="s">
        <v>644</v>
      </c>
      <c r="U363" s="11">
        <v>35.0</v>
      </c>
      <c r="Z363" s="11"/>
      <c r="AA363" s="11" t="s">
        <v>1633</v>
      </c>
      <c r="AB363" s="11"/>
      <c r="AC363" s="11"/>
      <c r="AD363" s="11"/>
      <c r="AE363" s="11"/>
      <c r="AF363" s="11"/>
      <c r="AG363" s="11"/>
      <c r="AH363" s="11"/>
      <c r="AI363" s="11"/>
    </row>
    <row r="364" ht="14.25" customHeight="1">
      <c r="A364" s="6" t="s">
        <v>912</v>
      </c>
      <c r="B364" s="5">
        <v>2.0</v>
      </c>
      <c r="C364" s="5" t="s">
        <v>637</v>
      </c>
      <c r="D364" s="5">
        <v>64091.0</v>
      </c>
      <c r="E364" s="5">
        <v>2954.0</v>
      </c>
      <c r="F364" s="5" t="s">
        <v>1634</v>
      </c>
      <c r="G364" s="10" t="s">
        <v>1635</v>
      </c>
      <c r="H364" s="5" t="s">
        <v>1636</v>
      </c>
      <c r="I364" s="5" t="s">
        <v>641</v>
      </c>
      <c r="J364" s="5" t="s">
        <v>642</v>
      </c>
      <c r="K364" s="5">
        <v>1.0</v>
      </c>
      <c r="L364" s="5">
        <v>3697.0</v>
      </c>
      <c r="M364" s="29">
        <v>50.28236</v>
      </c>
      <c r="N364" s="29">
        <v>-126.35528</v>
      </c>
      <c r="O364" s="29" t="s">
        <v>51</v>
      </c>
      <c r="P364" s="29">
        <v>64091.0</v>
      </c>
      <c r="Q364" s="31">
        <v>3.0</v>
      </c>
      <c r="R364" s="29" t="s">
        <v>1634</v>
      </c>
      <c r="S364" s="32" t="s">
        <v>1637</v>
      </c>
      <c r="T364" s="29" t="s">
        <v>644</v>
      </c>
      <c r="U364" s="29">
        <v>436.0</v>
      </c>
      <c r="V364" s="29"/>
      <c r="W364" s="29"/>
      <c r="X364" s="29"/>
      <c r="Y364" s="29"/>
      <c r="Z364" s="29" t="s">
        <v>645</v>
      </c>
      <c r="AA364" s="29" t="s">
        <v>1638</v>
      </c>
      <c r="AB364" s="29"/>
      <c r="AC364" s="33"/>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row>
    <row r="365" ht="14.25" customHeight="1">
      <c r="A365" s="6" t="s">
        <v>88</v>
      </c>
      <c r="B365" s="5">
        <v>2.0</v>
      </c>
      <c r="C365" s="5" t="s">
        <v>637</v>
      </c>
      <c r="D365" s="5">
        <v>64092.0</v>
      </c>
      <c r="E365" s="5">
        <v>12991.0</v>
      </c>
      <c r="F365" s="5" t="s">
        <v>1639</v>
      </c>
      <c r="G365" s="10" t="s">
        <v>1640</v>
      </c>
      <c r="H365" s="5" t="s">
        <v>1149</v>
      </c>
      <c r="I365" s="5" t="s">
        <v>49</v>
      </c>
      <c r="J365" s="5" t="s">
        <v>793</v>
      </c>
      <c r="K365" s="5">
        <v>1.0</v>
      </c>
      <c r="L365" s="5">
        <v>14923.0</v>
      </c>
      <c r="M365" s="11">
        <v>50.17186</v>
      </c>
      <c r="N365" s="11">
        <v>-125.4792</v>
      </c>
      <c r="O365" s="11" t="s">
        <v>183</v>
      </c>
      <c r="P365" s="11">
        <v>64092.0</v>
      </c>
      <c r="Q365" s="22">
        <v>5.0</v>
      </c>
      <c r="R365" s="11" t="s">
        <v>1641</v>
      </c>
      <c r="S365" s="13" t="s">
        <v>1639</v>
      </c>
      <c r="T365" s="11" t="s">
        <v>644</v>
      </c>
      <c r="U365" s="11">
        <v>300.0</v>
      </c>
      <c r="Z365" s="11"/>
      <c r="AA365" s="11" t="s">
        <v>1642</v>
      </c>
      <c r="AB365" s="11"/>
      <c r="AC365" s="11"/>
      <c r="AD365" s="11"/>
      <c r="AE365" s="11"/>
      <c r="AF365" s="11"/>
      <c r="AG365" s="11"/>
      <c r="AH365" s="11"/>
      <c r="AI365" s="11"/>
    </row>
    <row r="366" ht="14.25" customHeight="1">
      <c r="A366" s="6"/>
      <c r="B366" s="5">
        <v>2.0</v>
      </c>
      <c r="C366" s="5" t="s">
        <v>637</v>
      </c>
      <c r="D366" s="5">
        <v>64093.0</v>
      </c>
      <c r="E366" s="5">
        <v>2955.0</v>
      </c>
      <c r="F366" s="5" t="s">
        <v>1643</v>
      </c>
      <c r="G366" s="21" t="s">
        <v>1644</v>
      </c>
      <c r="H366" s="5" t="s">
        <v>1645</v>
      </c>
      <c r="I366" s="5" t="s">
        <v>641</v>
      </c>
      <c r="J366" s="5" t="s">
        <v>642</v>
      </c>
      <c r="K366" s="5">
        <v>1.0</v>
      </c>
      <c r="L366" s="5">
        <v>3698.0</v>
      </c>
      <c r="M366" s="11">
        <v>49.83003</v>
      </c>
      <c r="N366" s="11">
        <v>-125.19006</v>
      </c>
      <c r="O366" s="11" t="s">
        <v>183</v>
      </c>
      <c r="P366" s="11">
        <v>64093.0</v>
      </c>
      <c r="Q366" s="22">
        <v>3.0</v>
      </c>
      <c r="R366" s="11" t="s">
        <v>1643</v>
      </c>
      <c r="S366" s="13" t="s">
        <v>1646</v>
      </c>
      <c r="T366" s="11" t="s">
        <v>644</v>
      </c>
      <c r="U366" s="11">
        <v>100.0</v>
      </c>
      <c r="Z366" s="11"/>
      <c r="AA366" s="11" t="s">
        <v>1647</v>
      </c>
      <c r="AB366" s="11"/>
      <c r="AC366" s="23"/>
      <c r="AD366" s="11"/>
      <c r="AE366" s="11"/>
      <c r="AF366" s="11"/>
      <c r="AG366" s="11"/>
      <c r="AH366" s="11"/>
      <c r="AI366" s="11"/>
    </row>
    <row r="367" ht="14.25" customHeight="1">
      <c r="A367" s="43" t="s">
        <v>422</v>
      </c>
      <c r="B367" s="44">
        <v>2.0</v>
      </c>
      <c r="C367" s="44" t="s">
        <v>637</v>
      </c>
      <c r="D367" s="44" t="s">
        <v>1648</v>
      </c>
      <c r="E367" s="44">
        <v>12521.0</v>
      </c>
      <c r="F367" s="44" t="s">
        <v>1649</v>
      </c>
      <c r="G367" s="44" t="s">
        <v>113</v>
      </c>
      <c r="H367" s="44" t="s">
        <v>1650</v>
      </c>
      <c r="I367" s="44" t="s">
        <v>49</v>
      </c>
      <c r="J367" s="44" t="s">
        <v>1651</v>
      </c>
      <c r="K367" s="44">
        <v>1.0</v>
      </c>
      <c r="L367" s="44">
        <v>14543.0</v>
      </c>
      <c r="M367" s="45"/>
      <c r="N367" s="45"/>
      <c r="O367" s="45"/>
      <c r="P367" s="46"/>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row>
    <row r="368" ht="14.25" customHeight="1">
      <c r="A368" s="6" t="s">
        <v>328</v>
      </c>
      <c r="B368" s="5">
        <v>2.0</v>
      </c>
      <c r="C368" s="12" t="s">
        <v>688</v>
      </c>
      <c r="D368" s="12" t="s">
        <v>1652</v>
      </c>
      <c r="F368" s="12" t="s">
        <v>1653</v>
      </c>
      <c r="G368" s="12" t="s">
        <v>1654</v>
      </c>
      <c r="M368" s="47">
        <v>49.87759</v>
      </c>
      <c r="N368" s="47">
        <v>-117.39829</v>
      </c>
      <c r="O368" s="5" t="s">
        <v>170</v>
      </c>
      <c r="P368" s="5">
        <v>34891.0</v>
      </c>
      <c r="Q368" s="22">
        <v>1.0</v>
      </c>
      <c r="R368" s="48" t="s">
        <v>1655</v>
      </c>
      <c r="S368" s="13" t="s">
        <v>1656</v>
      </c>
      <c r="T368" s="5" t="s">
        <v>644</v>
      </c>
      <c r="U368" s="5">
        <v>808.0</v>
      </c>
      <c r="V368" s="23">
        <v>45890.0</v>
      </c>
      <c r="W368" s="44"/>
      <c r="X368" s="44"/>
      <c r="AA368" s="49" t="s">
        <v>1657</v>
      </c>
      <c r="AD368" s="11"/>
      <c r="AE368" s="11"/>
      <c r="AI368" s="11"/>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row>
    <row r="369" ht="14.25" customHeight="1">
      <c r="A369" s="6" t="s">
        <v>1658</v>
      </c>
      <c r="B369" s="5">
        <v>6.0</v>
      </c>
      <c r="C369" s="5" t="s">
        <v>1659</v>
      </c>
      <c r="D369" s="5" t="s">
        <v>1660</v>
      </c>
      <c r="E369" s="5">
        <v>2422.0</v>
      </c>
      <c r="F369" s="5" t="s">
        <v>1661</v>
      </c>
      <c r="G369" s="10" t="s">
        <v>1662</v>
      </c>
      <c r="H369" s="5" t="s">
        <v>1663</v>
      </c>
      <c r="I369" s="5" t="s">
        <v>1664</v>
      </c>
      <c r="J369" s="5" t="s">
        <v>1665</v>
      </c>
      <c r="M369" s="11">
        <v>53.5803</v>
      </c>
      <c r="N369" s="11">
        <v>-124.94605</v>
      </c>
      <c r="O369" s="11" t="s">
        <v>148</v>
      </c>
      <c r="P369" s="10" t="s">
        <v>1666</v>
      </c>
      <c r="Q369" s="5">
        <v>2.0</v>
      </c>
      <c r="R369" s="5" t="s">
        <v>1661</v>
      </c>
      <c r="S369" s="5" t="str">
        <f t="shared" ref="S369:S374" si="3">UPPER(R369)</f>
        <v>KENNEY DAM</v>
      </c>
      <c r="T369" s="5" t="s">
        <v>1659</v>
      </c>
      <c r="U369" s="5">
        <v>858.0</v>
      </c>
    </row>
    <row r="370" ht="14.25" customHeight="1">
      <c r="A370" s="6" t="s">
        <v>1658</v>
      </c>
      <c r="B370" s="5">
        <v>6.0</v>
      </c>
      <c r="C370" s="5" t="s">
        <v>1659</v>
      </c>
      <c r="D370" s="5" t="s">
        <v>1667</v>
      </c>
      <c r="E370" s="5">
        <v>2423.0</v>
      </c>
      <c r="F370" s="29" t="s">
        <v>1668</v>
      </c>
      <c r="G370" s="10" t="s">
        <v>1669</v>
      </c>
      <c r="H370" s="5" t="s">
        <v>1670</v>
      </c>
      <c r="I370" s="5" t="s">
        <v>1664</v>
      </c>
      <c r="J370" s="5" t="s">
        <v>1671</v>
      </c>
      <c r="M370" s="29">
        <v>53.23395</v>
      </c>
      <c r="N370" s="29">
        <v>-126.1132667</v>
      </c>
      <c r="O370" s="29" t="s">
        <v>148</v>
      </c>
      <c r="P370" s="38" t="s">
        <v>1672</v>
      </c>
      <c r="Q370" s="29">
        <v>2.0</v>
      </c>
      <c r="R370" s="29" t="s">
        <v>1668</v>
      </c>
      <c r="S370" s="29" t="str">
        <f t="shared" si="3"/>
        <v>EUTSUK</v>
      </c>
      <c r="T370" s="29" t="s">
        <v>1659</v>
      </c>
      <c r="U370" s="29">
        <v>863.0</v>
      </c>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row>
    <row r="371" ht="14.25" customHeight="1">
      <c r="A371" s="6" t="s">
        <v>1658</v>
      </c>
      <c r="B371" s="5">
        <v>6.0</v>
      </c>
      <c r="C371" s="5" t="s">
        <v>1659</v>
      </c>
      <c r="D371" s="5" t="s">
        <v>1673</v>
      </c>
      <c r="E371" s="5">
        <v>2424.0</v>
      </c>
      <c r="F371" s="5" t="s">
        <v>1674</v>
      </c>
      <c r="G371" s="10" t="s">
        <v>1675</v>
      </c>
      <c r="H371" s="5" t="s">
        <v>1676</v>
      </c>
      <c r="I371" s="5" t="s">
        <v>1664</v>
      </c>
      <c r="J371" s="5" t="s">
        <v>1677</v>
      </c>
      <c r="M371" s="10">
        <v>53.6171</v>
      </c>
      <c r="N371" s="10">
        <v>-127.696397</v>
      </c>
      <c r="O371" s="11" t="s">
        <v>148</v>
      </c>
      <c r="P371" s="10" t="s">
        <v>1678</v>
      </c>
      <c r="Q371" s="5">
        <v>2.0</v>
      </c>
      <c r="R371" s="5" t="s">
        <v>1674</v>
      </c>
      <c r="S371" s="5" t="str">
        <f t="shared" si="3"/>
        <v>TAHTSA INTAKE</v>
      </c>
      <c r="T371" s="5" t="s">
        <v>1659</v>
      </c>
      <c r="U371" s="5">
        <v>880.0</v>
      </c>
    </row>
    <row r="372" ht="14.25" customHeight="1">
      <c r="A372" s="6"/>
      <c r="B372" s="5">
        <v>6.0</v>
      </c>
      <c r="C372" s="5" t="s">
        <v>1659</v>
      </c>
      <c r="D372" s="5" t="s">
        <v>1679</v>
      </c>
      <c r="E372" s="5">
        <v>2425.0</v>
      </c>
      <c r="F372" s="5" t="s">
        <v>1680</v>
      </c>
      <c r="G372" s="5" t="s">
        <v>1681</v>
      </c>
      <c r="H372" s="5" t="s">
        <v>1663</v>
      </c>
      <c r="I372" s="5" t="s">
        <v>1664</v>
      </c>
      <c r="J372" s="5" t="s">
        <v>1682</v>
      </c>
      <c r="M372" s="11">
        <v>53.72923333</v>
      </c>
      <c r="N372" s="11">
        <v>-126.4179333</v>
      </c>
      <c r="O372" s="11" t="s">
        <v>148</v>
      </c>
      <c r="P372" s="10" t="s">
        <v>1683</v>
      </c>
      <c r="Q372" s="5">
        <v>7.0</v>
      </c>
      <c r="R372" s="5" t="s">
        <v>1680</v>
      </c>
      <c r="S372" s="5" t="str">
        <f t="shared" si="3"/>
        <v>MOUNT WELLS</v>
      </c>
      <c r="T372" s="5" t="s">
        <v>1659</v>
      </c>
      <c r="U372" s="5">
        <v>1490.0</v>
      </c>
    </row>
    <row r="373" ht="14.25" customHeight="1">
      <c r="A373" s="6"/>
      <c r="B373" s="5">
        <v>6.0</v>
      </c>
      <c r="C373" s="5" t="s">
        <v>1659</v>
      </c>
      <c r="D373" s="5" t="s">
        <v>1684</v>
      </c>
      <c r="E373" s="5">
        <v>2426.0</v>
      </c>
      <c r="F373" s="5" t="s">
        <v>1685</v>
      </c>
      <c r="G373" s="5" t="s">
        <v>1686</v>
      </c>
      <c r="H373" s="5" t="s">
        <v>1663</v>
      </c>
      <c r="I373" s="5" t="s">
        <v>1664</v>
      </c>
      <c r="J373" s="5" t="s">
        <v>1682</v>
      </c>
      <c r="M373" s="11">
        <v>53.58741667</v>
      </c>
      <c r="N373" s="11">
        <v>-127.6505667</v>
      </c>
      <c r="O373" s="11" t="s">
        <v>51</v>
      </c>
      <c r="P373" s="10" t="s">
        <v>1687</v>
      </c>
      <c r="Q373" s="5">
        <v>6.0</v>
      </c>
      <c r="R373" s="5" t="s">
        <v>1685</v>
      </c>
      <c r="S373" s="5" t="str">
        <f t="shared" si="3"/>
        <v>TAHTSA LAKE</v>
      </c>
      <c r="T373" s="5" t="s">
        <v>1659</v>
      </c>
      <c r="U373" s="5">
        <v>1300.0</v>
      </c>
    </row>
    <row r="374" ht="14.25" customHeight="1">
      <c r="A374" s="6"/>
      <c r="B374" s="5">
        <v>6.0</v>
      </c>
      <c r="C374" s="5" t="s">
        <v>1659</v>
      </c>
      <c r="D374" s="5" t="s">
        <v>1688</v>
      </c>
      <c r="E374" s="5">
        <v>2427.0</v>
      </c>
      <c r="F374" s="5" t="s">
        <v>1689</v>
      </c>
      <c r="G374" s="5" t="s">
        <v>1690</v>
      </c>
      <c r="H374" s="5" t="s">
        <v>1663</v>
      </c>
      <c r="I374" s="5" t="s">
        <v>1664</v>
      </c>
      <c r="J374" s="5" t="s">
        <v>1682</v>
      </c>
      <c r="M374" s="11">
        <v>53.16476667</v>
      </c>
      <c r="N374" s="11">
        <v>-126.8755167</v>
      </c>
      <c r="O374" s="11" t="s">
        <v>51</v>
      </c>
      <c r="P374" s="10" t="s">
        <v>1691</v>
      </c>
      <c r="Q374" s="5">
        <v>7.0</v>
      </c>
      <c r="R374" s="5" t="s">
        <v>1689</v>
      </c>
      <c r="S374" s="5" t="str">
        <f t="shared" si="3"/>
        <v>MOUNT PONDOSY</v>
      </c>
      <c r="T374" s="5" t="s">
        <v>1659</v>
      </c>
      <c r="U374" s="5">
        <v>1400.0</v>
      </c>
    </row>
    <row r="375" ht="14.25" customHeight="1">
      <c r="A375" s="5" t="s">
        <v>1692</v>
      </c>
      <c r="B375" s="5">
        <v>12.0</v>
      </c>
      <c r="C375" s="10" t="s">
        <v>1693</v>
      </c>
      <c r="D375" s="10" t="s">
        <v>1694</v>
      </c>
      <c r="E375" s="5">
        <v>12960.0</v>
      </c>
      <c r="F375" s="12" t="s">
        <v>1695</v>
      </c>
      <c r="G375" s="12" t="s">
        <v>1696</v>
      </c>
      <c r="H375" s="5" t="s">
        <v>1697</v>
      </c>
      <c r="I375" s="5" t="s">
        <v>49</v>
      </c>
      <c r="J375" s="5" t="s">
        <v>1698</v>
      </c>
      <c r="K375" s="5">
        <v>1.0</v>
      </c>
      <c r="L375" s="5">
        <v>14892.0</v>
      </c>
      <c r="AO375" s="50" t="s">
        <v>1699</v>
      </c>
      <c r="AP375" s="50">
        <v>1.0</v>
      </c>
      <c r="AQ375" s="50" t="s">
        <v>1700</v>
      </c>
      <c r="AR375" s="50" t="s">
        <v>1701</v>
      </c>
      <c r="AS375" s="50" t="s">
        <v>1702</v>
      </c>
      <c r="AT375" s="50" t="s">
        <v>1703</v>
      </c>
      <c r="AU375" s="50" t="s">
        <v>1704</v>
      </c>
      <c r="AV375" s="50" t="s">
        <v>1702</v>
      </c>
      <c r="AW375" s="50" t="s">
        <v>1705</v>
      </c>
      <c r="AX375" s="50" t="s">
        <v>1706</v>
      </c>
      <c r="AY375" s="50">
        <v>49.0781</v>
      </c>
      <c r="AZ375" s="50">
        <v>-125.7696</v>
      </c>
      <c r="BA375" s="50">
        <v>24.0</v>
      </c>
    </row>
    <row r="376" ht="14.25" customHeight="1">
      <c r="A376" s="5" t="s">
        <v>422</v>
      </c>
      <c r="B376" s="5">
        <v>12.0</v>
      </c>
      <c r="C376" s="5" t="s">
        <v>1707</v>
      </c>
      <c r="D376" s="5">
        <v>2.0</v>
      </c>
      <c r="E376" s="5">
        <v>12961.0</v>
      </c>
      <c r="F376" s="51" t="s">
        <v>1708</v>
      </c>
      <c r="G376" s="51" t="s">
        <v>127</v>
      </c>
      <c r="H376" s="5" t="s">
        <v>1697</v>
      </c>
      <c r="I376" s="5" t="s">
        <v>49</v>
      </c>
      <c r="J376" s="5" t="s">
        <v>1698</v>
      </c>
      <c r="K376" s="5">
        <v>1.0</v>
      </c>
      <c r="L376" s="5">
        <v>14893.0</v>
      </c>
      <c r="AO376" s="50" t="s">
        <v>1709</v>
      </c>
      <c r="AP376" s="50">
        <v>2.0</v>
      </c>
      <c r="AQ376" s="50" t="s">
        <v>1700</v>
      </c>
      <c r="AR376" s="50" t="s">
        <v>1701</v>
      </c>
      <c r="AS376" s="50" t="s">
        <v>1702</v>
      </c>
      <c r="AT376" s="50" t="s">
        <v>1703</v>
      </c>
      <c r="AU376" s="50" t="s">
        <v>1704</v>
      </c>
      <c r="AV376" s="50" t="s">
        <v>1702</v>
      </c>
      <c r="AW376" s="50" t="s">
        <v>1705</v>
      </c>
      <c r="AX376" s="50" t="s">
        <v>1710</v>
      </c>
      <c r="AY376" s="50">
        <v>50.7</v>
      </c>
      <c r="AZ376" s="50">
        <v>-127.4</v>
      </c>
      <c r="BA376" s="50">
        <v>22.0</v>
      </c>
    </row>
    <row r="377" ht="14.25" customHeight="1">
      <c r="B377" s="5">
        <v>12.0</v>
      </c>
      <c r="C377" s="5" t="s">
        <v>1711</v>
      </c>
      <c r="D377" s="5">
        <v>3.0</v>
      </c>
      <c r="E377" s="5">
        <v>1603.0</v>
      </c>
      <c r="F377" s="18" t="s">
        <v>1712</v>
      </c>
      <c r="G377" s="51" t="s">
        <v>1713</v>
      </c>
      <c r="H377" s="5" t="s">
        <v>1714</v>
      </c>
      <c r="I377" s="5" t="s">
        <v>1664</v>
      </c>
      <c r="J377" s="5" t="s">
        <v>1715</v>
      </c>
      <c r="K377" s="5">
        <v>1.0</v>
      </c>
      <c r="L377" s="5">
        <v>2006.0</v>
      </c>
      <c r="AO377" s="5" t="s">
        <v>1712</v>
      </c>
      <c r="AP377" s="5">
        <v>3.0</v>
      </c>
      <c r="AQ377" s="5" t="s">
        <v>1716</v>
      </c>
      <c r="AR377" s="5" t="s">
        <v>1717</v>
      </c>
      <c r="AS377" s="5" t="s">
        <v>1718</v>
      </c>
      <c r="AT377" s="5" t="s">
        <v>1719</v>
      </c>
      <c r="AU377" s="5" t="s">
        <v>1703</v>
      </c>
      <c r="AV377" s="5" t="s">
        <v>1720</v>
      </c>
      <c r="AW377" s="5" t="s">
        <v>1705</v>
      </c>
      <c r="AX377" s="5" t="s">
        <v>1706</v>
      </c>
      <c r="AY377" s="5">
        <v>49.0</v>
      </c>
      <c r="AZ377" s="5">
        <v>-124.7</v>
      </c>
      <c r="BA377" s="5">
        <v>5.0</v>
      </c>
    </row>
    <row r="378" ht="14.25" customHeight="1">
      <c r="B378" s="5">
        <v>12.0</v>
      </c>
      <c r="C378" s="5" t="s">
        <v>1711</v>
      </c>
      <c r="D378" s="5">
        <v>4.0</v>
      </c>
      <c r="E378" s="5">
        <v>1607.0</v>
      </c>
      <c r="F378" s="18" t="s">
        <v>1721</v>
      </c>
      <c r="G378" s="51" t="s">
        <v>1722</v>
      </c>
      <c r="H378" s="5" t="s">
        <v>1714</v>
      </c>
      <c r="I378" s="5" t="s">
        <v>1664</v>
      </c>
      <c r="J378" s="5" t="s">
        <v>1715</v>
      </c>
      <c r="K378" s="5">
        <v>1.0</v>
      </c>
      <c r="L378" s="5">
        <v>2010.0</v>
      </c>
      <c r="AO378" s="5" t="s">
        <v>1721</v>
      </c>
      <c r="AP378" s="5">
        <v>4.0</v>
      </c>
      <c r="AQ378" s="5" t="s">
        <v>1716</v>
      </c>
      <c r="AR378" s="5" t="s">
        <v>1717</v>
      </c>
      <c r="AS378" s="5" t="s">
        <v>1718</v>
      </c>
      <c r="AT378" s="5" t="s">
        <v>1719</v>
      </c>
      <c r="AU378" s="5" t="s">
        <v>1703</v>
      </c>
      <c r="AV378" s="5" t="s">
        <v>1720</v>
      </c>
      <c r="AW378" s="5" t="s">
        <v>1705</v>
      </c>
      <c r="AX378" s="5" t="s">
        <v>1723</v>
      </c>
      <c r="AY378" s="5">
        <v>50.0</v>
      </c>
      <c r="AZ378" s="5">
        <v>-126.8</v>
      </c>
      <c r="BA378" s="5">
        <v>2.0</v>
      </c>
    </row>
    <row r="379" ht="14.25" customHeight="1">
      <c r="B379" s="5">
        <v>12.0</v>
      </c>
      <c r="C379" s="5" t="s">
        <v>1711</v>
      </c>
      <c r="D379" s="5">
        <v>8.0</v>
      </c>
      <c r="E379" s="5">
        <v>1608.0</v>
      </c>
      <c r="F379" s="18" t="s">
        <v>1724</v>
      </c>
      <c r="G379" s="51" t="s">
        <v>1725</v>
      </c>
      <c r="H379" s="5" t="s">
        <v>1726</v>
      </c>
      <c r="I379" s="5" t="s">
        <v>1664</v>
      </c>
      <c r="J379" s="5" t="s">
        <v>1715</v>
      </c>
      <c r="K379" s="5">
        <v>1.0</v>
      </c>
      <c r="L379" s="5">
        <v>2011.0</v>
      </c>
      <c r="AO379" s="5" t="s">
        <v>1724</v>
      </c>
      <c r="AP379" s="5">
        <v>8.0</v>
      </c>
      <c r="AQ379" s="5" t="s">
        <v>1716</v>
      </c>
      <c r="AR379" s="5" t="s">
        <v>1717</v>
      </c>
      <c r="AS379" s="5" t="s">
        <v>1718</v>
      </c>
      <c r="AT379" s="5" t="s">
        <v>1719</v>
      </c>
      <c r="AU379" s="5" t="s">
        <v>1703</v>
      </c>
      <c r="AV379" s="5" t="s">
        <v>1720</v>
      </c>
      <c r="AW379" s="5" t="s">
        <v>1705</v>
      </c>
      <c r="AX379" s="5" t="s">
        <v>1706</v>
      </c>
      <c r="AY379" s="5">
        <v>48.8</v>
      </c>
      <c r="AZ379" s="5">
        <v>-124.9</v>
      </c>
      <c r="BA379" s="5">
        <v>3.0</v>
      </c>
    </row>
    <row r="380" ht="14.25" customHeight="1">
      <c r="B380" s="5">
        <v>12.0</v>
      </c>
      <c r="C380" s="5" t="s">
        <v>1711</v>
      </c>
      <c r="D380" s="5">
        <v>9.0</v>
      </c>
      <c r="E380" s="5">
        <v>1609.0</v>
      </c>
      <c r="F380" s="18" t="s">
        <v>1727</v>
      </c>
      <c r="G380" s="51" t="s">
        <v>1728</v>
      </c>
      <c r="H380" s="5" t="s">
        <v>1729</v>
      </c>
      <c r="I380" s="5" t="s">
        <v>1664</v>
      </c>
      <c r="J380" s="5" t="s">
        <v>1715</v>
      </c>
      <c r="K380" s="5">
        <v>1.0</v>
      </c>
      <c r="L380" s="5">
        <v>2012.0</v>
      </c>
      <c r="AO380" s="5" t="s">
        <v>1727</v>
      </c>
      <c r="AP380" s="5">
        <v>9.0</v>
      </c>
      <c r="AQ380" s="5" t="s">
        <v>1716</v>
      </c>
      <c r="AR380" s="5" t="s">
        <v>1717</v>
      </c>
      <c r="AS380" s="5" t="s">
        <v>1718</v>
      </c>
      <c r="AT380" s="5" t="s">
        <v>1719</v>
      </c>
      <c r="AU380" s="5" t="s">
        <v>1703</v>
      </c>
      <c r="AV380" s="5" t="s">
        <v>1720</v>
      </c>
      <c r="AW380" s="5" t="s">
        <v>1705</v>
      </c>
      <c r="AX380" s="5" t="s">
        <v>1706</v>
      </c>
      <c r="AY380" s="5">
        <v>48.8</v>
      </c>
      <c r="AZ380" s="5">
        <v>-125.0</v>
      </c>
      <c r="BA380" s="5">
        <v>1.0</v>
      </c>
    </row>
    <row r="381" ht="14.25" customHeight="1">
      <c r="B381" s="5">
        <v>12.0</v>
      </c>
      <c r="C381" s="5" t="s">
        <v>1711</v>
      </c>
      <c r="D381" s="5">
        <v>10.0</v>
      </c>
      <c r="E381" s="5">
        <v>1610.0</v>
      </c>
      <c r="F381" s="18" t="s">
        <v>1730</v>
      </c>
      <c r="G381" s="51" t="s">
        <v>1731</v>
      </c>
      <c r="H381" s="5" t="s">
        <v>1732</v>
      </c>
      <c r="I381" s="5" t="s">
        <v>1664</v>
      </c>
      <c r="J381" s="5" t="s">
        <v>1715</v>
      </c>
      <c r="K381" s="5">
        <v>1.0</v>
      </c>
      <c r="L381" s="5">
        <v>2013.0</v>
      </c>
      <c r="AO381" s="5" t="s">
        <v>1730</v>
      </c>
      <c r="AP381" s="5">
        <v>10.0</v>
      </c>
      <c r="AQ381" s="5" t="s">
        <v>1716</v>
      </c>
      <c r="AR381" s="5" t="s">
        <v>1717</v>
      </c>
      <c r="AS381" s="5" t="s">
        <v>1718</v>
      </c>
      <c r="AT381" s="5" t="s">
        <v>1719</v>
      </c>
      <c r="AU381" s="5" t="s">
        <v>1703</v>
      </c>
      <c r="AV381" s="5" t="s">
        <v>1720</v>
      </c>
      <c r="AW381" s="5" t="s">
        <v>1705</v>
      </c>
      <c r="AX381" s="5" t="s">
        <v>1710</v>
      </c>
      <c r="AY381" s="5">
        <v>50.7</v>
      </c>
      <c r="AZ381" s="5">
        <v>-126.3</v>
      </c>
      <c r="BA381" s="5">
        <v>7.0</v>
      </c>
    </row>
    <row r="382" ht="14.25" customHeight="1">
      <c r="A382" s="5" t="s">
        <v>88</v>
      </c>
      <c r="B382" s="5">
        <v>12.0</v>
      </c>
      <c r="C382" s="5" t="s">
        <v>1711</v>
      </c>
      <c r="D382" s="5">
        <v>11.0</v>
      </c>
      <c r="E382" s="5">
        <v>1611.0</v>
      </c>
      <c r="F382" s="5" t="s">
        <v>1733</v>
      </c>
      <c r="G382" s="12" t="s">
        <v>1734</v>
      </c>
      <c r="H382" s="5" t="s">
        <v>1735</v>
      </c>
      <c r="I382" s="5" t="s">
        <v>641</v>
      </c>
      <c r="J382" s="5" t="s">
        <v>1736</v>
      </c>
      <c r="K382" s="5">
        <v>1.0</v>
      </c>
      <c r="L382" s="5">
        <v>2014.0</v>
      </c>
      <c r="M382" s="11">
        <v>48.92757</v>
      </c>
      <c r="N382" s="11">
        <v>-124.6469</v>
      </c>
      <c r="O382" s="11" t="s">
        <v>51</v>
      </c>
      <c r="P382" s="16">
        <v>11.0</v>
      </c>
      <c r="Q382" s="5">
        <v>4.0</v>
      </c>
      <c r="R382" s="5" t="s">
        <v>1733</v>
      </c>
      <c r="S382" s="5" t="s">
        <v>1737</v>
      </c>
      <c r="T382" s="5">
        <v>680.0</v>
      </c>
      <c r="W382" s="5">
        <v>31048.0</v>
      </c>
      <c r="X382" s="5" t="s">
        <v>1738</v>
      </c>
      <c r="AO382" s="16" t="s">
        <v>1733</v>
      </c>
      <c r="AP382" s="16">
        <v>11.0</v>
      </c>
      <c r="AQ382" s="16" t="s">
        <v>1716</v>
      </c>
      <c r="AR382" s="16" t="s">
        <v>1739</v>
      </c>
      <c r="AS382" s="16" t="s">
        <v>1740</v>
      </c>
      <c r="AT382" s="16" t="s">
        <v>1741</v>
      </c>
      <c r="AU382" s="16" t="s">
        <v>1742</v>
      </c>
      <c r="AV382" s="16" t="s">
        <v>1720</v>
      </c>
      <c r="AW382" s="16" t="s">
        <v>1705</v>
      </c>
      <c r="AX382" s="16" t="s">
        <v>1706</v>
      </c>
      <c r="AY382" s="16">
        <v>48.9276</v>
      </c>
      <c r="AZ382" s="16">
        <v>-124.6469</v>
      </c>
      <c r="BA382" s="16">
        <v>671.0</v>
      </c>
    </row>
    <row r="383" ht="14.25" customHeight="1">
      <c r="B383" s="5">
        <v>12.0</v>
      </c>
      <c r="C383" s="5" t="s">
        <v>1711</v>
      </c>
      <c r="D383" s="5">
        <v>12.0</v>
      </c>
      <c r="E383" s="5">
        <v>1612.0</v>
      </c>
      <c r="F383" s="18" t="s">
        <v>1743</v>
      </c>
      <c r="G383" s="51" t="s">
        <v>1744</v>
      </c>
      <c r="H383" s="5" t="s">
        <v>1745</v>
      </c>
      <c r="I383" s="5" t="s">
        <v>1664</v>
      </c>
      <c r="J383" s="5" t="s">
        <v>1746</v>
      </c>
      <c r="K383" s="5">
        <v>1.0</v>
      </c>
      <c r="L383" s="5">
        <v>2015.0</v>
      </c>
      <c r="AO383" s="5" t="s">
        <v>1743</v>
      </c>
      <c r="AP383" s="5">
        <v>12.0</v>
      </c>
      <c r="AQ383" s="5" t="s">
        <v>1716</v>
      </c>
      <c r="AR383" s="5" t="s">
        <v>1717</v>
      </c>
      <c r="AS383" s="5" t="s">
        <v>1718</v>
      </c>
      <c r="AT383" s="5" t="s">
        <v>1719</v>
      </c>
      <c r="AU383" s="5" t="s">
        <v>1703</v>
      </c>
      <c r="AV383" s="5" t="s">
        <v>1720</v>
      </c>
      <c r="AW383" s="5" t="s">
        <v>1705</v>
      </c>
      <c r="AX383" s="5" t="s">
        <v>1747</v>
      </c>
      <c r="AY383" s="5">
        <v>48.5</v>
      </c>
      <c r="AZ383" s="5">
        <v>-124.3</v>
      </c>
      <c r="BA383" s="5">
        <v>4.0</v>
      </c>
    </row>
    <row r="384" ht="14.25" customHeight="1">
      <c r="B384" s="5">
        <v>12.0</v>
      </c>
      <c r="C384" s="5" t="s">
        <v>1711</v>
      </c>
      <c r="D384" s="5">
        <v>13.0</v>
      </c>
      <c r="E384" s="5">
        <v>1613.0</v>
      </c>
      <c r="F384" s="18" t="s">
        <v>1748</v>
      </c>
      <c r="G384" s="51" t="s">
        <v>1749</v>
      </c>
      <c r="H384" s="5" t="s">
        <v>1750</v>
      </c>
      <c r="I384" s="5" t="s">
        <v>1664</v>
      </c>
      <c r="J384" s="5" t="s">
        <v>1715</v>
      </c>
      <c r="K384" s="5">
        <v>1.0</v>
      </c>
      <c r="L384" s="5">
        <v>2016.0</v>
      </c>
      <c r="AO384" s="5" t="s">
        <v>1748</v>
      </c>
      <c r="AP384" s="5">
        <v>13.0</v>
      </c>
      <c r="AQ384" s="5" t="s">
        <v>1716</v>
      </c>
      <c r="AR384" s="5" t="s">
        <v>1717</v>
      </c>
      <c r="AS384" s="5" t="s">
        <v>1718</v>
      </c>
      <c r="AT384" s="5" t="s">
        <v>1719</v>
      </c>
      <c r="AU384" s="5" t="s">
        <v>1703</v>
      </c>
      <c r="AV384" s="5" t="s">
        <v>1720</v>
      </c>
      <c r="AW384" s="5" t="s">
        <v>1705</v>
      </c>
      <c r="AX384" s="5" t="s">
        <v>1706</v>
      </c>
      <c r="AY384" s="5">
        <v>48.8</v>
      </c>
      <c r="AZ384" s="5">
        <v>-124.8</v>
      </c>
      <c r="BA384" s="5">
        <v>2.0</v>
      </c>
    </row>
    <row r="385" ht="14.25" customHeight="1">
      <c r="B385" s="5">
        <v>12.0</v>
      </c>
      <c r="C385" s="5" t="s">
        <v>1711</v>
      </c>
      <c r="D385" s="5">
        <v>14.0</v>
      </c>
      <c r="E385" s="5">
        <v>1614.0</v>
      </c>
      <c r="F385" s="18" t="s">
        <v>1751</v>
      </c>
      <c r="G385" s="51" t="s">
        <v>1752</v>
      </c>
      <c r="H385" s="5" t="s">
        <v>1753</v>
      </c>
      <c r="I385" s="5" t="s">
        <v>1664</v>
      </c>
      <c r="J385" s="5" t="s">
        <v>1715</v>
      </c>
      <c r="K385" s="5">
        <v>1.0</v>
      </c>
      <c r="L385" s="5">
        <v>2017.0</v>
      </c>
      <c r="AO385" s="5" t="s">
        <v>1751</v>
      </c>
      <c r="AP385" s="5">
        <v>14.0</v>
      </c>
      <c r="AQ385" s="5" t="s">
        <v>1716</v>
      </c>
      <c r="AR385" s="5" t="s">
        <v>1717</v>
      </c>
      <c r="AS385" s="5" t="s">
        <v>1718</v>
      </c>
      <c r="AT385" s="5" t="s">
        <v>1719</v>
      </c>
      <c r="AU385" s="5" t="s">
        <v>1703</v>
      </c>
      <c r="AV385" s="5" t="s">
        <v>1720</v>
      </c>
      <c r="AW385" s="5" t="s">
        <v>1705</v>
      </c>
      <c r="AX385" s="5" t="s">
        <v>1747</v>
      </c>
      <c r="AY385" s="5">
        <v>48.9</v>
      </c>
      <c r="AZ385" s="5">
        <v>-124.5</v>
      </c>
      <c r="BA385" s="5">
        <v>4.0</v>
      </c>
    </row>
    <row r="386" ht="14.25" customHeight="1">
      <c r="B386" s="5">
        <v>12.0</v>
      </c>
      <c r="C386" s="5" t="s">
        <v>1711</v>
      </c>
      <c r="D386" s="5">
        <v>15.0</v>
      </c>
      <c r="E386" s="5">
        <v>1615.0</v>
      </c>
      <c r="F386" s="18" t="s">
        <v>1754</v>
      </c>
      <c r="G386" s="51" t="s">
        <v>1755</v>
      </c>
      <c r="H386" s="5" t="s">
        <v>1756</v>
      </c>
      <c r="I386" s="5" t="s">
        <v>1664</v>
      </c>
      <c r="J386" s="5" t="s">
        <v>1715</v>
      </c>
      <c r="K386" s="5">
        <v>1.0</v>
      </c>
      <c r="L386" s="5">
        <v>2018.0</v>
      </c>
      <c r="AO386" s="5" t="s">
        <v>1754</v>
      </c>
      <c r="AP386" s="5">
        <v>15.0</v>
      </c>
      <c r="AQ386" s="5" t="s">
        <v>1716</v>
      </c>
      <c r="AR386" s="5" t="s">
        <v>1717</v>
      </c>
      <c r="AS386" s="5" t="s">
        <v>1718</v>
      </c>
      <c r="AT386" s="5" t="s">
        <v>1719</v>
      </c>
      <c r="AU386" s="5" t="s">
        <v>1703</v>
      </c>
      <c r="AV386" s="5" t="s">
        <v>1720</v>
      </c>
      <c r="AW386" s="5" t="s">
        <v>1705</v>
      </c>
      <c r="AX386" s="5" t="s">
        <v>1706</v>
      </c>
      <c r="AY386" s="5">
        <v>48.7</v>
      </c>
      <c r="AZ386" s="5">
        <v>-125.0</v>
      </c>
      <c r="BA386" s="5">
        <v>2.0</v>
      </c>
    </row>
    <row r="387" ht="14.25" customHeight="1">
      <c r="B387" s="5">
        <v>12.0</v>
      </c>
      <c r="C387" s="5" t="s">
        <v>1711</v>
      </c>
      <c r="D387" s="5">
        <v>16.0</v>
      </c>
      <c r="E387" s="5">
        <v>1616.0</v>
      </c>
      <c r="F387" s="18" t="s">
        <v>1757</v>
      </c>
      <c r="G387" s="51" t="s">
        <v>1758</v>
      </c>
      <c r="H387" s="5" t="s">
        <v>1759</v>
      </c>
      <c r="I387" s="5" t="s">
        <v>641</v>
      </c>
      <c r="J387" s="5" t="s">
        <v>1715</v>
      </c>
      <c r="K387" s="5">
        <v>1.0</v>
      </c>
      <c r="L387" s="5">
        <v>2019.0</v>
      </c>
      <c r="AO387" s="5" t="s">
        <v>1757</v>
      </c>
      <c r="AP387" s="5">
        <v>16.0</v>
      </c>
      <c r="AQ387" s="5" t="s">
        <v>1716</v>
      </c>
      <c r="AR387" s="5" t="s">
        <v>1717</v>
      </c>
      <c r="AS387" s="5" t="s">
        <v>1718</v>
      </c>
      <c r="AT387" s="5" t="s">
        <v>1703</v>
      </c>
      <c r="AU387" s="5" t="s">
        <v>1703</v>
      </c>
      <c r="AV387" s="5" t="s">
        <v>1720</v>
      </c>
      <c r="AW387" s="5" t="s">
        <v>1705</v>
      </c>
      <c r="AX387" s="5" t="s">
        <v>1747</v>
      </c>
      <c r="AY387" s="5">
        <v>48.5783</v>
      </c>
      <c r="AZ387" s="5">
        <v>-124.41</v>
      </c>
      <c r="BA387" s="5">
        <v>300.0</v>
      </c>
    </row>
    <row r="388" ht="14.25" customHeight="1">
      <c r="B388" s="5">
        <v>12.0</v>
      </c>
      <c r="C388" s="5" t="s">
        <v>1711</v>
      </c>
      <c r="D388" s="5">
        <v>18.0</v>
      </c>
      <c r="E388" s="5">
        <v>1617.0</v>
      </c>
      <c r="F388" s="18" t="s">
        <v>1760</v>
      </c>
      <c r="G388" s="51" t="s">
        <v>1761</v>
      </c>
      <c r="H388" s="5" t="s">
        <v>1762</v>
      </c>
      <c r="I388" s="5" t="s">
        <v>1664</v>
      </c>
      <c r="J388" s="5" t="s">
        <v>1715</v>
      </c>
      <c r="K388" s="5">
        <v>1.0</v>
      </c>
      <c r="L388" s="5">
        <v>2020.0</v>
      </c>
      <c r="AO388" s="5" t="s">
        <v>1760</v>
      </c>
      <c r="AP388" s="5">
        <v>18.0</v>
      </c>
      <c r="AQ388" s="5" t="s">
        <v>1716</v>
      </c>
      <c r="AR388" s="5" t="s">
        <v>1717</v>
      </c>
      <c r="AS388" s="5" t="s">
        <v>1718</v>
      </c>
      <c r="AT388" s="5" t="s">
        <v>1719</v>
      </c>
      <c r="AU388" s="5" t="s">
        <v>1703</v>
      </c>
      <c r="AV388" s="5" t="s">
        <v>1720</v>
      </c>
      <c r="AW388" s="5" t="s">
        <v>1705</v>
      </c>
      <c r="AX388" s="5" t="s">
        <v>1747</v>
      </c>
      <c r="AY388" s="5">
        <v>48.8</v>
      </c>
      <c r="AZ388" s="5">
        <v>-124.5</v>
      </c>
      <c r="BA388" s="5">
        <v>4.0</v>
      </c>
    </row>
    <row r="389" ht="14.25" customHeight="1">
      <c r="A389" s="5" t="s">
        <v>88</v>
      </c>
      <c r="B389" s="5">
        <v>12.0</v>
      </c>
      <c r="C389" s="5" t="s">
        <v>1711</v>
      </c>
      <c r="D389" s="5">
        <v>19.0</v>
      </c>
      <c r="E389" s="5">
        <v>1618.0</v>
      </c>
      <c r="F389" s="5" t="s">
        <v>1763</v>
      </c>
      <c r="G389" s="12" t="s">
        <v>1764</v>
      </c>
      <c r="H389" s="5" t="s">
        <v>1765</v>
      </c>
      <c r="I389" s="5" t="s">
        <v>641</v>
      </c>
      <c r="J389" s="5" t="s">
        <v>1736</v>
      </c>
      <c r="K389" s="5">
        <v>1.0</v>
      </c>
      <c r="L389" s="5">
        <v>2021.0</v>
      </c>
      <c r="M389" s="11">
        <v>50.04863</v>
      </c>
      <c r="N389" s="11">
        <v>-125.78867</v>
      </c>
      <c r="O389" s="11" t="s">
        <v>183</v>
      </c>
      <c r="P389" s="16">
        <v>19.0</v>
      </c>
      <c r="Q389" s="5">
        <v>6.0</v>
      </c>
      <c r="R389" s="5" t="s">
        <v>1763</v>
      </c>
      <c r="S389" s="5" t="s">
        <v>1737</v>
      </c>
      <c r="T389" s="5">
        <v>438.0</v>
      </c>
      <c r="W389" s="5">
        <v>25569.0</v>
      </c>
      <c r="X389" s="5" t="s">
        <v>1738</v>
      </c>
      <c r="AO389" s="16" t="s">
        <v>1763</v>
      </c>
      <c r="AP389" s="16">
        <v>19.0</v>
      </c>
      <c r="AQ389" s="16" t="s">
        <v>1716</v>
      </c>
      <c r="AR389" s="16" t="s">
        <v>1739</v>
      </c>
      <c r="AS389" s="16" t="s">
        <v>1740</v>
      </c>
      <c r="AT389" s="16" t="s">
        <v>1741</v>
      </c>
      <c r="AU389" s="16" t="s">
        <v>1742</v>
      </c>
      <c r="AV389" s="16" t="s">
        <v>1720</v>
      </c>
      <c r="AW389" s="16" t="s">
        <v>1705</v>
      </c>
      <c r="AX389" s="16" t="s">
        <v>1723</v>
      </c>
      <c r="AY389" s="16">
        <v>50.0486</v>
      </c>
      <c r="AZ389" s="16">
        <v>-125.7887</v>
      </c>
      <c r="BA389" s="16">
        <v>435.0</v>
      </c>
    </row>
    <row r="390" ht="14.25" customHeight="1">
      <c r="B390" s="5">
        <v>12.0</v>
      </c>
      <c r="C390" s="5" t="s">
        <v>1711</v>
      </c>
      <c r="D390" s="5">
        <v>20.0</v>
      </c>
      <c r="E390" s="5">
        <v>1619.0</v>
      </c>
      <c r="F390" s="18" t="s">
        <v>1766</v>
      </c>
      <c r="G390" s="51" t="s">
        <v>1767</v>
      </c>
      <c r="H390" s="5" t="s">
        <v>1714</v>
      </c>
      <c r="I390" s="5" t="s">
        <v>1664</v>
      </c>
      <c r="J390" s="5" t="s">
        <v>1715</v>
      </c>
      <c r="K390" s="5">
        <v>1.0</v>
      </c>
      <c r="L390" s="5">
        <v>2022.0</v>
      </c>
      <c r="AO390" s="5" t="s">
        <v>1766</v>
      </c>
      <c r="AP390" s="5">
        <v>20.0</v>
      </c>
      <c r="AQ390" s="5" t="s">
        <v>1716</v>
      </c>
      <c r="AR390" s="5" t="s">
        <v>1717</v>
      </c>
      <c r="AS390" s="5" t="s">
        <v>1718</v>
      </c>
      <c r="AT390" s="5" t="s">
        <v>1719</v>
      </c>
      <c r="AU390" s="5" t="s">
        <v>1703</v>
      </c>
      <c r="AV390" s="5" t="s">
        <v>1720</v>
      </c>
      <c r="AW390" s="5" t="s">
        <v>1705</v>
      </c>
      <c r="AX390" s="5" t="s">
        <v>1723</v>
      </c>
      <c r="AY390" s="5">
        <v>49.8</v>
      </c>
      <c r="AZ390" s="5">
        <v>-126.1</v>
      </c>
      <c r="BA390" s="5">
        <v>6.0</v>
      </c>
    </row>
    <row r="391" ht="14.25" customHeight="1">
      <c r="A391" s="5" t="s">
        <v>88</v>
      </c>
      <c r="B391" s="5">
        <v>12.0</v>
      </c>
      <c r="C391" s="5" t="s">
        <v>1711</v>
      </c>
      <c r="D391" s="5">
        <v>21.0</v>
      </c>
      <c r="E391" s="5">
        <v>1620.0</v>
      </c>
      <c r="F391" s="5" t="s">
        <v>1768</v>
      </c>
      <c r="G391" s="12" t="s">
        <v>1769</v>
      </c>
      <c r="H391" s="5" t="s">
        <v>1770</v>
      </c>
      <c r="I391" s="5" t="s">
        <v>641</v>
      </c>
      <c r="J391" s="5" t="s">
        <v>1736</v>
      </c>
      <c r="K391" s="5">
        <v>1.0</v>
      </c>
      <c r="L391" s="5">
        <v>2023.0</v>
      </c>
      <c r="M391" s="11">
        <v>50.21312</v>
      </c>
      <c r="N391" s="11">
        <v>-126.60705</v>
      </c>
      <c r="O391" s="11" t="s">
        <v>51</v>
      </c>
      <c r="P391" s="16">
        <v>21.0</v>
      </c>
      <c r="Q391" s="5">
        <v>2.0</v>
      </c>
      <c r="R391" s="5" t="s">
        <v>1768</v>
      </c>
      <c r="S391" s="5" t="s">
        <v>1737</v>
      </c>
      <c r="T391" s="5">
        <v>156.0</v>
      </c>
      <c r="U391" s="5" t="s">
        <v>645</v>
      </c>
      <c r="V391" s="5" t="s">
        <v>1771</v>
      </c>
      <c r="W391" s="5">
        <v>25569.0</v>
      </c>
      <c r="X391" s="5" t="s">
        <v>1738</v>
      </c>
      <c r="AO391" s="16" t="s">
        <v>1768</v>
      </c>
      <c r="AP391" s="16">
        <v>21.0</v>
      </c>
      <c r="AQ391" s="16" t="s">
        <v>1716</v>
      </c>
      <c r="AR391" s="16" t="s">
        <v>1739</v>
      </c>
      <c r="AS391" s="16" t="s">
        <v>1740</v>
      </c>
      <c r="AT391" s="16" t="s">
        <v>1741</v>
      </c>
      <c r="AU391" s="16" t="s">
        <v>1772</v>
      </c>
      <c r="AV391" s="16" t="s">
        <v>1720</v>
      </c>
      <c r="AW391" s="16" t="s">
        <v>1705</v>
      </c>
      <c r="AX391" s="16" t="s">
        <v>1710</v>
      </c>
      <c r="AY391" s="16">
        <v>50.2132</v>
      </c>
      <c r="AZ391" s="16">
        <v>-126.6071</v>
      </c>
      <c r="BA391" s="16">
        <v>151.0</v>
      </c>
    </row>
    <row r="392" ht="14.25" customHeight="1">
      <c r="B392" s="5">
        <v>12.0</v>
      </c>
      <c r="C392" s="5" t="s">
        <v>1711</v>
      </c>
      <c r="D392" s="5">
        <v>23.0</v>
      </c>
      <c r="E392" s="5">
        <v>1621.0</v>
      </c>
      <c r="F392" s="18" t="s">
        <v>1773</v>
      </c>
      <c r="G392" s="51" t="s">
        <v>1774</v>
      </c>
      <c r="H392" s="5" t="s">
        <v>1775</v>
      </c>
      <c r="I392" s="5" t="s">
        <v>641</v>
      </c>
      <c r="J392" s="5" t="s">
        <v>1715</v>
      </c>
      <c r="K392" s="5">
        <v>1.0</v>
      </c>
      <c r="L392" s="5">
        <v>2024.0</v>
      </c>
      <c r="AO392" s="5" t="s">
        <v>1773</v>
      </c>
      <c r="AP392" s="5">
        <v>23.0</v>
      </c>
      <c r="AQ392" s="5" t="s">
        <v>1716</v>
      </c>
      <c r="AR392" s="5" t="s">
        <v>1717</v>
      </c>
      <c r="AS392" s="5" t="s">
        <v>1718</v>
      </c>
      <c r="AT392" s="5" t="s">
        <v>1703</v>
      </c>
      <c r="AU392" s="5" t="s">
        <v>1703</v>
      </c>
      <c r="AV392" s="5" t="s">
        <v>1720</v>
      </c>
      <c r="AW392" s="5" t="s">
        <v>1705</v>
      </c>
      <c r="AX392" s="5" t="s">
        <v>1706</v>
      </c>
      <c r="AY392" s="5">
        <v>49.2267</v>
      </c>
      <c r="AZ392" s="5">
        <v>-124.9083</v>
      </c>
      <c r="BA392" s="5">
        <v>455.0</v>
      </c>
    </row>
    <row r="393" ht="14.25" customHeight="1">
      <c r="B393" s="5">
        <v>12.0</v>
      </c>
      <c r="C393" s="5" t="s">
        <v>1711</v>
      </c>
      <c r="D393" s="5">
        <v>24.0</v>
      </c>
      <c r="E393" s="5">
        <v>1622.0</v>
      </c>
      <c r="F393" s="18" t="s">
        <v>1776</v>
      </c>
      <c r="G393" s="51" t="s">
        <v>1777</v>
      </c>
      <c r="H393" s="5" t="s">
        <v>1778</v>
      </c>
      <c r="I393" s="5" t="s">
        <v>1664</v>
      </c>
      <c r="J393" s="5" t="s">
        <v>1715</v>
      </c>
      <c r="K393" s="5">
        <v>1.0</v>
      </c>
      <c r="L393" s="5">
        <v>2025.0</v>
      </c>
      <c r="AO393" s="5" t="s">
        <v>1776</v>
      </c>
      <c r="AP393" s="5">
        <v>24.0</v>
      </c>
      <c r="AQ393" s="5" t="s">
        <v>1716</v>
      </c>
      <c r="AR393" s="5" t="s">
        <v>1717</v>
      </c>
      <c r="AS393" s="5" t="s">
        <v>1718</v>
      </c>
      <c r="AT393" s="5" t="s">
        <v>1719</v>
      </c>
      <c r="AU393" s="5" t="s">
        <v>1703</v>
      </c>
      <c r="AV393" s="5" t="s">
        <v>1720</v>
      </c>
      <c r="AW393" s="5" t="s">
        <v>1705</v>
      </c>
      <c r="AX393" s="5" t="s">
        <v>1706</v>
      </c>
      <c r="AY393" s="5">
        <v>49.2</v>
      </c>
      <c r="AZ393" s="5">
        <v>-124.6</v>
      </c>
      <c r="BA393" s="5">
        <v>7.0</v>
      </c>
    </row>
    <row r="394" ht="14.25" customHeight="1">
      <c r="B394" s="5">
        <v>12.0</v>
      </c>
      <c r="C394" s="5" t="s">
        <v>1711</v>
      </c>
      <c r="D394" s="5">
        <v>25.0</v>
      </c>
      <c r="E394" s="5">
        <v>1623.0</v>
      </c>
      <c r="F394" s="18" t="s">
        <v>1779</v>
      </c>
      <c r="G394" s="51" t="s">
        <v>1780</v>
      </c>
      <c r="H394" s="5" t="s">
        <v>1781</v>
      </c>
      <c r="I394" s="5" t="s">
        <v>641</v>
      </c>
      <c r="J394" s="5" t="s">
        <v>1715</v>
      </c>
      <c r="K394" s="5">
        <v>1.0</v>
      </c>
      <c r="L394" s="5">
        <v>2026.0</v>
      </c>
      <c r="AO394" s="5" t="s">
        <v>1779</v>
      </c>
      <c r="AP394" s="5">
        <v>25.0</v>
      </c>
      <c r="AQ394" s="5" t="s">
        <v>1716</v>
      </c>
      <c r="AR394" s="5" t="s">
        <v>1717</v>
      </c>
      <c r="AS394" s="5" t="s">
        <v>1718</v>
      </c>
      <c r="AT394" s="5" t="s">
        <v>1703</v>
      </c>
      <c r="AU394" s="5" t="s">
        <v>1703</v>
      </c>
      <c r="AV394" s="5" t="s">
        <v>1720</v>
      </c>
      <c r="AW394" s="5" t="s">
        <v>1705</v>
      </c>
      <c r="AX394" s="5" t="s">
        <v>1747</v>
      </c>
      <c r="AY394" s="5">
        <v>48.9417</v>
      </c>
      <c r="AZ394" s="5">
        <v>-124.1067</v>
      </c>
      <c r="BA394" s="5">
        <v>710.0</v>
      </c>
    </row>
    <row r="395" ht="14.25" customHeight="1">
      <c r="A395" s="5" t="s">
        <v>422</v>
      </c>
      <c r="B395" s="5">
        <v>12.0</v>
      </c>
      <c r="C395" s="5" t="s">
        <v>1782</v>
      </c>
      <c r="D395" s="5">
        <v>26.0</v>
      </c>
      <c r="E395" s="5">
        <v>12962.0</v>
      </c>
      <c r="F395" s="51" t="s">
        <v>1783</v>
      </c>
      <c r="G395" s="51" t="s">
        <v>127</v>
      </c>
      <c r="H395" s="5" t="s">
        <v>1697</v>
      </c>
      <c r="I395" s="5" t="s">
        <v>49</v>
      </c>
      <c r="J395" s="5" t="s">
        <v>1698</v>
      </c>
      <c r="K395" s="5">
        <v>1.0</v>
      </c>
      <c r="L395" s="5">
        <v>14894.0</v>
      </c>
      <c r="AO395" s="50" t="s">
        <v>1784</v>
      </c>
      <c r="AP395" s="50" t="s">
        <v>1784</v>
      </c>
      <c r="AQ395" s="50" t="s">
        <v>1784</v>
      </c>
      <c r="AR395" s="50" t="s">
        <v>1784</v>
      </c>
      <c r="AS395" s="50" t="s">
        <v>1784</v>
      </c>
      <c r="AT395" s="50" t="s">
        <v>1784</v>
      </c>
      <c r="AU395" s="50" t="s">
        <v>1784</v>
      </c>
      <c r="AV395" s="50" t="s">
        <v>1784</v>
      </c>
      <c r="AW395" s="50" t="s">
        <v>1784</v>
      </c>
      <c r="AX395" s="50" t="s">
        <v>1784</v>
      </c>
      <c r="AY395" s="50" t="s">
        <v>1784</v>
      </c>
      <c r="AZ395" s="50" t="s">
        <v>1784</v>
      </c>
      <c r="BA395" s="50" t="s">
        <v>1784</v>
      </c>
    </row>
    <row r="396" ht="14.25" customHeight="1">
      <c r="B396" s="5">
        <v>12.0</v>
      </c>
      <c r="C396" s="5" t="s">
        <v>1711</v>
      </c>
      <c r="D396" s="5">
        <v>28.0</v>
      </c>
      <c r="E396" s="5">
        <v>1624.0</v>
      </c>
      <c r="F396" s="18" t="s">
        <v>1785</v>
      </c>
      <c r="G396" s="51" t="s">
        <v>1786</v>
      </c>
      <c r="H396" s="5" t="s">
        <v>1787</v>
      </c>
      <c r="I396" s="5" t="s">
        <v>1664</v>
      </c>
      <c r="J396" s="5" t="s">
        <v>1715</v>
      </c>
      <c r="K396" s="5">
        <v>1.0</v>
      </c>
      <c r="L396" s="5">
        <v>2027.0</v>
      </c>
      <c r="AO396" s="5" t="s">
        <v>1785</v>
      </c>
      <c r="AP396" s="5">
        <v>28.0</v>
      </c>
      <c r="AQ396" s="5" t="s">
        <v>1716</v>
      </c>
      <c r="AR396" s="5" t="s">
        <v>1717</v>
      </c>
      <c r="AS396" s="5" t="s">
        <v>1718</v>
      </c>
      <c r="AT396" s="5" t="s">
        <v>1719</v>
      </c>
      <c r="AU396" s="5" t="s">
        <v>1703</v>
      </c>
      <c r="AV396" s="5" t="s">
        <v>1720</v>
      </c>
      <c r="AW396" s="5" t="s">
        <v>1705</v>
      </c>
      <c r="AX396" s="5" t="s">
        <v>1723</v>
      </c>
      <c r="AY396" s="5">
        <v>50.5</v>
      </c>
      <c r="AZ396" s="5">
        <v>-126.0</v>
      </c>
      <c r="BA396" s="5">
        <v>0.0</v>
      </c>
    </row>
    <row r="397" ht="14.25" customHeight="1">
      <c r="B397" s="5">
        <v>12.0</v>
      </c>
      <c r="C397" s="5" t="s">
        <v>1711</v>
      </c>
      <c r="D397" s="5">
        <v>29.0</v>
      </c>
      <c r="E397" s="5">
        <v>1625.0</v>
      </c>
      <c r="F397" s="18" t="s">
        <v>1788</v>
      </c>
      <c r="G397" s="51" t="s">
        <v>1789</v>
      </c>
      <c r="H397" s="5" t="s">
        <v>1790</v>
      </c>
      <c r="I397" s="5" t="s">
        <v>641</v>
      </c>
      <c r="J397" s="5" t="s">
        <v>1715</v>
      </c>
      <c r="K397" s="5">
        <v>1.0</v>
      </c>
      <c r="L397" s="5">
        <v>2028.0</v>
      </c>
      <c r="AO397" s="5" t="s">
        <v>1791</v>
      </c>
      <c r="AP397" s="5">
        <v>29.0</v>
      </c>
      <c r="AQ397" s="5" t="s">
        <v>1716</v>
      </c>
      <c r="AR397" s="5" t="s">
        <v>1717</v>
      </c>
      <c r="AS397" s="5" t="s">
        <v>1718</v>
      </c>
      <c r="AT397" s="5" t="s">
        <v>1703</v>
      </c>
      <c r="AU397" s="5" t="s">
        <v>1703</v>
      </c>
      <c r="AV397" s="5" t="s">
        <v>1720</v>
      </c>
      <c r="AW397" s="5" t="s">
        <v>1705</v>
      </c>
      <c r="AX397" s="5" t="s">
        <v>1706</v>
      </c>
      <c r="AY397" s="5">
        <v>49.3883</v>
      </c>
      <c r="AZ397" s="5">
        <v>-125.3333</v>
      </c>
      <c r="BA397" s="5">
        <v>300.0</v>
      </c>
    </row>
    <row r="398" ht="14.25" customHeight="1">
      <c r="B398" s="5">
        <v>12.0</v>
      </c>
      <c r="C398" s="5" t="s">
        <v>1711</v>
      </c>
      <c r="D398" s="5">
        <v>30.0</v>
      </c>
      <c r="E398" s="5">
        <v>1626.0</v>
      </c>
      <c r="F398" s="18" t="s">
        <v>1792</v>
      </c>
      <c r="G398" s="51" t="s">
        <v>1793</v>
      </c>
      <c r="H398" s="5" t="s">
        <v>1794</v>
      </c>
      <c r="I398" s="5" t="s">
        <v>1664</v>
      </c>
      <c r="J398" s="5" t="s">
        <v>1715</v>
      </c>
      <c r="K398" s="5">
        <v>1.0</v>
      </c>
      <c r="L398" s="5">
        <v>2029.0</v>
      </c>
      <c r="AO398" s="5" t="s">
        <v>1792</v>
      </c>
      <c r="AP398" s="5">
        <v>30.0</v>
      </c>
      <c r="AQ398" s="5" t="s">
        <v>1716</v>
      </c>
      <c r="AR398" s="5" t="s">
        <v>1717</v>
      </c>
      <c r="AS398" s="5" t="s">
        <v>1718</v>
      </c>
      <c r="AT398" s="5" t="s">
        <v>1719</v>
      </c>
      <c r="AU398" s="5" t="s">
        <v>1703</v>
      </c>
      <c r="AV398" s="5" t="s">
        <v>1720</v>
      </c>
      <c r="AW398" s="5" t="s">
        <v>1705</v>
      </c>
      <c r="AX398" s="5" t="s">
        <v>1723</v>
      </c>
      <c r="AY398" s="5">
        <v>50.3</v>
      </c>
      <c r="AZ398" s="5">
        <v>-126.0</v>
      </c>
      <c r="BA398" s="5">
        <v>0.0</v>
      </c>
    </row>
    <row r="399" ht="14.25" customHeight="1">
      <c r="B399" s="5">
        <v>12.0</v>
      </c>
      <c r="C399" s="5" t="s">
        <v>1711</v>
      </c>
      <c r="D399" s="5">
        <v>31.0</v>
      </c>
      <c r="E399" s="5">
        <v>1627.0</v>
      </c>
      <c r="F399" s="18" t="s">
        <v>1795</v>
      </c>
      <c r="G399" s="51" t="s">
        <v>1796</v>
      </c>
      <c r="H399" s="5" t="s">
        <v>1797</v>
      </c>
      <c r="I399" s="5" t="s">
        <v>1664</v>
      </c>
      <c r="J399" s="5" t="s">
        <v>1715</v>
      </c>
      <c r="K399" s="5">
        <v>1.0</v>
      </c>
      <c r="L399" s="5">
        <v>2030.0</v>
      </c>
      <c r="AO399" s="5" t="s">
        <v>1795</v>
      </c>
      <c r="AP399" s="5">
        <v>31.0</v>
      </c>
      <c r="AQ399" s="5" t="s">
        <v>1716</v>
      </c>
      <c r="AR399" s="5" t="s">
        <v>1717</v>
      </c>
      <c r="AS399" s="5" t="s">
        <v>1718</v>
      </c>
      <c r="AT399" s="5" t="s">
        <v>1719</v>
      </c>
      <c r="AU399" s="5" t="s">
        <v>1703</v>
      </c>
      <c r="AV399" s="5" t="s">
        <v>1720</v>
      </c>
      <c r="AW399" s="5" t="s">
        <v>1705</v>
      </c>
      <c r="AX399" s="5" t="s">
        <v>1723</v>
      </c>
      <c r="AY399" s="5">
        <v>50.1</v>
      </c>
      <c r="AZ399" s="5">
        <v>-125.7</v>
      </c>
      <c r="BA399" s="5">
        <v>0.0</v>
      </c>
    </row>
    <row r="400" ht="14.25" customHeight="1">
      <c r="B400" s="5">
        <v>12.0</v>
      </c>
      <c r="C400" s="5" t="s">
        <v>1711</v>
      </c>
      <c r="D400" s="5">
        <v>32.0</v>
      </c>
      <c r="E400" s="5">
        <v>1628.0</v>
      </c>
      <c r="F400" s="18" t="s">
        <v>1798</v>
      </c>
      <c r="G400" s="51" t="s">
        <v>1799</v>
      </c>
      <c r="H400" s="5" t="s">
        <v>1800</v>
      </c>
      <c r="I400" s="5" t="s">
        <v>1664</v>
      </c>
      <c r="J400" s="5" t="s">
        <v>1715</v>
      </c>
      <c r="K400" s="5">
        <v>1.0</v>
      </c>
      <c r="L400" s="5">
        <v>2031.0</v>
      </c>
      <c r="AO400" s="5" t="s">
        <v>1798</v>
      </c>
      <c r="AP400" s="5">
        <v>32.0</v>
      </c>
      <c r="AQ400" s="5" t="s">
        <v>1716</v>
      </c>
      <c r="AR400" s="5" t="s">
        <v>1717</v>
      </c>
      <c r="AS400" s="5" t="s">
        <v>1718</v>
      </c>
      <c r="AT400" s="5" t="s">
        <v>1719</v>
      </c>
      <c r="AU400" s="5" t="s">
        <v>1703</v>
      </c>
      <c r="AV400" s="5" t="s">
        <v>1720</v>
      </c>
      <c r="AW400" s="5" t="s">
        <v>1705</v>
      </c>
      <c r="AX400" s="5" t="s">
        <v>1747</v>
      </c>
      <c r="AY400" s="5">
        <v>48.6</v>
      </c>
      <c r="AZ400" s="5">
        <v>-123.8</v>
      </c>
      <c r="BA400" s="5">
        <v>0.0</v>
      </c>
    </row>
    <row r="401" ht="14.25" customHeight="1">
      <c r="B401" s="5">
        <v>12.0</v>
      </c>
      <c r="C401" s="5" t="s">
        <v>1711</v>
      </c>
      <c r="D401" s="5">
        <v>34.0</v>
      </c>
      <c r="E401" s="5">
        <v>1629.0</v>
      </c>
      <c r="F401" s="18" t="s">
        <v>1801</v>
      </c>
      <c r="G401" s="51" t="s">
        <v>1802</v>
      </c>
      <c r="H401" s="5" t="s">
        <v>1803</v>
      </c>
      <c r="I401" s="5" t="s">
        <v>1664</v>
      </c>
      <c r="J401" s="5" t="s">
        <v>1715</v>
      </c>
      <c r="K401" s="5">
        <v>1.0</v>
      </c>
      <c r="L401" s="5">
        <v>2032.0</v>
      </c>
      <c r="AO401" s="16" t="s">
        <v>1801</v>
      </c>
      <c r="AP401" s="16">
        <v>34.0</v>
      </c>
      <c r="AQ401" s="16" t="s">
        <v>1716</v>
      </c>
      <c r="AR401" s="16" t="s">
        <v>1717</v>
      </c>
      <c r="AS401" s="16" t="s">
        <v>1718</v>
      </c>
      <c r="AT401" s="16" t="s">
        <v>1719</v>
      </c>
      <c r="AU401" s="16" t="s">
        <v>1703</v>
      </c>
      <c r="AV401" s="16" t="s">
        <v>1720</v>
      </c>
      <c r="AW401" s="16" t="s">
        <v>1705</v>
      </c>
      <c r="AX401" s="16" t="s">
        <v>1747</v>
      </c>
      <c r="AY401" s="16">
        <v>48.6</v>
      </c>
      <c r="AZ401" s="16">
        <v>-124.3</v>
      </c>
      <c r="BA401" s="52">
        <v>6.0</v>
      </c>
    </row>
    <row r="402" ht="14.25" customHeight="1">
      <c r="B402" s="5">
        <v>12.0</v>
      </c>
      <c r="C402" s="5" t="s">
        <v>1711</v>
      </c>
      <c r="D402" s="5">
        <v>35.0</v>
      </c>
      <c r="E402" s="5">
        <v>1630.0</v>
      </c>
      <c r="F402" s="18" t="s">
        <v>1804</v>
      </c>
      <c r="G402" s="51" t="s">
        <v>1805</v>
      </c>
      <c r="H402" s="5" t="s">
        <v>1806</v>
      </c>
      <c r="I402" s="5" t="s">
        <v>1664</v>
      </c>
      <c r="J402" s="5" t="s">
        <v>1715</v>
      </c>
      <c r="K402" s="5">
        <v>1.0</v>
      </c>
      <c r="L402" s="5">
        <v>2033.0</v>
      </c>
      <c r="AO402" s="5" t="s">
        <v>1804</v>
      </c>
      <c r="AP402" s="5">
        <v>35.0</v>
      </c>
      <c r="AQ402" s="5" t="s">
        <v>1716</v>
      </c>
      <c r="AR402" s="5" t="s">
        <v>1717</v>
      </c>
      <c r="AS402" s="5" t="s">
        <v>1718</v>
      </c>
      <c r="AT402" s="5" t="s">
        <v>1719</v>
      </c>
      <c r="AU402" s="5" t="s">
        <v>1703</v>
      </c>
      <c r="AV402" s="5" t="s">
        <v>1720</v>
      </c>
      <c r="AW402" s="5" t="s">
        <v>1705</v>
      </c>
      <c r="AX402" s="5" t="s">
        <v>1723</v>
      </c>
      <c r="AY402" s="5">
        <v>50.2</v>
      </c>
      <c r="AZ402" s="5">
        <v>-126.1</v>
      </c>
      <c r="BA402" s="5">
        <v>6.0</v>
      </c>
    </row>
    <row r="403" ht="14.25" customHeight="1">
      <c r="B403" s="5">
        <v>12.0</v>
      </c>
      <c r="C403" s="5" t="s">
        <v>1711</v>
      </c>
      <c r="D403" s="5">
        <v>36.0</v>
      </c>
      <c r="E403" s="5">
        <v>1631.0</v>
      </c>
      <c r="F403" s="18" t="s">
        <v>1807</v>
      </c>
      <c r="G403" s="51" t="s">
        <v>1808</v>
      </c>
      <c r="H403" s="5" t="s">
        <v>1809</v>
      </c>
      <c r="I403" s="5" t="s">
        <v>641</v>
      </c>
      <c r="J403" s="5" t="s">
        <v>1715</v>
      </c>
      <c r="K403" s="5">
        <v>1.0</v>
      </c>
      <c r="L403" s="5">
        <v>2034.0</v>
      </c>
      <c r="AO403" s="5" t="s">
        <v>1807</v>
      </c>
      <c r="AP403" s="5">
        <v>36.0</v>
      </c>
      <c r="AQ403" s="5" t="s">
        <v>1716</v>
      </c>
      <c r="AR403" s="5" t="s">
        <v>1717</v>
      </c>
      <c r="AS403" s="5" t="s">
        <v>1718</v>
      </c>
      <c r="AT403" s="5" t="s">
        <v>1703</v>
      </c>
      <c r="AU403" s="5" t="s">
        <v>1703</v>
      </c>
      <c r="AV403" s="5" t="s">
        <v>1720</v>
      </c>
      <c r="AW403" s="5" t="s">
        <v>1705</v>
      </c>
      <c r="AX403" s="5" t="s">
        <v>1706</v>
      </c>
      <c r="AY403" s="5">
        <v>49.2717</v>
      </c>
      <c r="AZ403" s="5">
        <v>-124.6483</v>
      </c>
      <c r="BA403" s="5">
        <v>974.0</v>
      </c>
    </row>
    <row r="404" ht="14.25" customHeight="1">
      <c r="A404" s="5" t="s">
        <v>88</v>
      </c>
      <c r="B404" s="5">
        <v>12.0</v>
      </c>
      <c r="C404" s="5" t="s">
        <v>1711</v>
      </c>
      <c r="D404" s="5">
        <v>37.0</v>
      </c>
      <c r="E404" s="5">
        <v>1632.0</v>
      </c>
      <c r="F404" s="5" t="s">
        <v>1810</v>
      </c>
      <c r="G404" s="12" t="s">
        <v>1811</v>
      </c>
      <c r="H404" s="5" t="s">
        <v>1812</v>
      </c>
      <c r="I404" s="5" t="s">
        <v>641</v>
      </c>
      <c r="J404" s="5" t="s">
        <v>1736</v>
      </c>
      <c r="K404" s="5">
        <v>1.0</v>
      </c>
      <c r="L404" s="5">
        <v>2035.0</v>
      </c>
      <c r="M404" s="11">
        <v>49.37748</v>
      </c>
      <c r="N404" s="11">
        <v>-124.93327</v>
      </c>
      <c r="O404" s="11" t="s">
        <v>183</v>
      </c>
      <c r="P404" s="16">
        <v>37.0</v>
      </c>
      <c r="Q404" s="5">
        <v>3.0</v>
      </c>
      <c r="R404" s="5" t="s">
        <v>1810</v>
      </c>
      <c r="S404" s="5" t="s">
        <v>1737</v>
      </c>
      <c r="T404" s="5">
        <v>100.0</v>
      </c>
      <c r="U404" s="5" t="s">
        <v>645</v>
      </c>
      <c r="V404" s="5" t="s">
        <v>1813</v>
      </c>
      <c r="W404" s="5">
        <v>31778.0</v>
      </c>
      <c r="X404" s="5" t="s">
        <v>1738</v>
      </c>
      <c r="AO404" s="16" t="s">
        <v>1810</v>
      </c>
      <c r="AP404" s="16">
        <v>37.0</v>
      </c>
      <c r="AQ404" s="16" t="s">
        <v>1716</v>
      </c>
      <c r="AR404" s="16" t="s">
        <v>1739</v>
      </c>
      <c r="AS404" s="16" t="s">
        <v>1740</v>
      </c>
      <c r="AT404" s="16" t="s">
        <v>1741</v>
      </c>
      <c r="AU404" s="16" t="s">
        <v>1742</v>
      </c>
      <c r="AV404" s="16" t="s">
        <v>1720</v>
      </c>
      <c r="AW404" s="16" t="s">
        <v>1705</v>
      </c>
      <c r="AX404" s="16" t="s">
        <v>1706</v>
      </c>
      <c r="AY404" s="16">
        <v>49.3776</v>
      </c>
      <c r="AZ404" s="16">
        <v>-124.9337</v>
      </c>
      <c r="BA404" s="16">
        <v>121.0</v>
      </c>
    </row>
    <row r="405" ht="14.25" customHeight="1">
      <c r="B405" s="5">
        <v>12.0</v>
      </c>
      <c r="C405" s="5" t="s">
        <v>1711</v>
      </c>
      <c r="D405" s="5">
        <v>39.0</v>
      </c>
      <c r="E405" s="5">
        <v>1633.0</v>
      </c>
      <c r="F405" s="18" t="s">
        <v>1814</v>
      </c>
      <c r="G405" s="51" t="s">
        <v>1815</v>
      </c>
      <c r="H405" s="5" t="s">
        <v>1816</v>
      </c>
      <c r="I405" s="5" t="s">
        <v>641</v>
      </c>
      <c r="J405" s="5" t="s">
        <v>1715</v>
      </c>
      <c r="K405" s="5">
        <v>1.0</v>
      </c>
      <c r="L405" s="5">
        <v>2036.0</v>
      </c>
      <c r="AO405" s="5" t="s">
        <v>1817</v>
      </c>
      <c r="AP405" s="5">
        <v>39.0</v>
      </c>
      <c r="AQ405" s="5" t="s">
        <v>1716</v>
      </c>
      <c r="AR405" s="5" t="s">
        <v>1717</v>
      </c>
      <c r="AS405" s="5" t="s">
        <v>1718</v>
      </c>
      <c r="AT405" s="5" t="s">
        <v>1703</v>
      </c>
      <c r="AU405" s="5" t="s">
        <v>1703</v>
      </c>
      <c r="AV405" s="5" t="s">
        <v>1720</v>
      </c>
      <c r="AW405" s="5" t="s">
        <v>1705</v>
      </c>
      <c r="AX405" s="5" t="s">
        <v>1706</v>
      </c>
      <c r="AY405" s="5">
        <v>49.1933</v>
      </c>
      <c r="AZ405" s="5">
        <v>-125.385</v>
      </c>
      <c r="BA405" s="5">
        <v>500.0</v>
      </c>
    </row>
    <row r="406" ht="14.25" customHeight="1">
      <c r="B406" s="5">
        <v>12.0</v>
      </c>
      <c r="C406" s="5" t="s">
        <v>1711</v>
      </c>
      <c r="D406" s="5">
        <v>40.0</v>
      </c>
      <c r="E406" s="5">
        <v>1634.0</v>
      </c>
      <c r="F406" s="18" t="s">
        <v>1818</v>
      </c>
      <c r="G406" s="51" t="s">
        <v>1819</v>
      </c>
      <c r="H406" s="5" t="s">
        <v>1820</v>
      </c>
      <c r="I406" s="5" t="s">
        <v>641</v>
      </c>
      <c r="J406" s="5" t="s">
        <v>1715</v>
      </c>
      <c r="K406" s="5">
        <v>1.0</v>
      </c>
      <c r="L406" s="5">
        <v>2037.0</v>
      </c>
      <c r="M406" s="11"/>
      <c r="N406" s="11"/>
      <c r="O406" s="11"/>
      <c r="P406" s="11"/>
      <c r="AO406" s="5" t="s">
        <v>1818</v>
      </c>
      <c r="AP406" s="5">
        <v>40.0</v>
      </c>
      <c r="AQ406" s="5" t="s">
        <v>1716</v>
      </c>
      <c r="AR406" s="5" t="s">
        <v>1717</v>
      </c>
      <c r="AS406" s="5" t="s">
        <v>1718</v>
      </c>
      <c r="AT406" s="5" t="s">
        <v>1703</v>
      </c>
      <c r="AU406" s="5" t="s">
        <v>1703</v>
      </c>
      <c r="AV406" s="5" t="s">
        <v>1720</v>
      </c>
      <c r="AW406" s="5" t="s">
        <v>1705</v>
      </c>
      <c r="AX406" s="5" t="s">
        <v>1747</v>
      </c>
      <c r="AY406" s="5">
        <v>48.4067</v>
      </c>
      <c r="AZ406" s="5">
        <v>-123.76</v>
      </c>
      <c r="BA406" s="5">
        <v>23.0</v>
      </c>
    </row>
    <row r="407" ht="14.25" customHeight="1">
      <c r="B407" s="5">
        <v>12.0</v>
      </c>
      <c r="C407" s="5" t="s">
        <v>1711</v>
      </c>
      <c r="D407" s="5">
        <v>41.0</v>
      </c>
      <c r="E407" s="5">
        <v>1635.0</v>
      </c>
      <c r="F407" s="18" t="s">
        <v>1821</v>
      </c>
      <c r="G407" s="51" t="s">
        <v>1822</v>
      </c>
      <c r="H407" s="5" t="s">
        <v>1823</v>
      </c>
      <c r="I407" s="5" t="s">
        <v>641</v>
      </c>
      <c r="J407" s="5" t="s">
        <v>1715</v>
      </c>
      <c r="K407" s="5">
        <v>1.0</v>
      </c>
      <c r="L407" s="5">
        <v>2038.0</v>
      </c>
      <c r="AO407" s="5" t="s">
        <v>1821</v>
      </c>
      <c r="AP407" s="5">
        <v>41.0</v>
      </c>
      <c r="AQ407" s="5" t="s">
        <v>1716</v>
      </c>
      <c r="AR407" s="5" t="s">
        <v>1717</v>
      </c>
      <c r="AS407" s="5" t="s">
        <v>1718</v>
      </c>
      <c r="AT407" s="5" t="s">
        <v>1703</v>
      </c>
      <c r="AU407" s="5" t="s">
        <v>1703</v>
      </c>
      <c r="AV407" s="5" t="s">
        <v>1720</v>
      </c>
      <c r="AW407" s="5" t="s">
        <v>1705</v>
      </c>
      <c r="AX407" s="5" t="s">
        <v>1723</v>
      </c>
      <c r="AY407" s="5">
        <v>50.3117</v>
      </c>
      <c r="AZ407" s="5">
        <v>-125.5867</v>
      </c>
      <c r="BA407" s="5">
        <v>224.0</v>
      </c>
    </row>
    <row r="408" ht="14.25" customHeight="1">
      <c r="B408" s="5">
        <v>12.0</v>
      </c>
      <c r="C408" s="5" t="s">
        <v>1711</v>
      </c>
      <c r="D408" s="5">
        <v>43.0</v>
      </c>
      <c r="E408" s="5">
        <v>1636.0</v>
      </c>
      <c r="F408" s="18" t="s">
        <v>1824</v>
      </c>
      <c r="G408" s="51" t="s">
        <v>1825</v>
      </c>
      <c r="H408" s="5" t="s">
        <v>1714</v>
      </c>
      <c r="I408" s="5" t="s">
        <v>1664</v>
      </c>
      <c r="J408" s="5" t="s">
        <v>1715</v>
      </c>
      <c r="K408" s="5">
        <v>1.0</v>
      </c>
      <c r="L408" s="5">
        <v>2039.0</v>
      </c>
      <c r="AO408" s="5" t="s">
        <v>1824</v>
      </c>
      <c r="AP408" s="5">
        <v>43.0</v>
      </c>
      <c r="AQ408" s="5" t="s">
        <v>1716</v>
      </c>
      <c r="AR408" s="5" t="s">
        <v>1717</v>
      </c>
      <c r="AS408" s="5" t="s">
        <v>1718</v>
      </c>
      <c r="AT408" s="5" t="s">
        <v>1719</v>
      </c>
      <c r="AU408" s="5" t="s">
        <v>1703</v>
      </c>
      <c r="AV408" s="5" t="s">
        <v>1720</v>
      </c>
      <c r="AW408" s="5" t="s">
        <v>1705</v>
      </c>
      <c r="AX408" s="5" t="s">
        <v>1706</v>
      </c>
      <c r="AY408" s="5">
        <v>49.3</v>
      </c>
      <c r="AZ408" s="5">
        <v>-124.2</v>
      </c>
      <c r="BA408" s="5">
        <v>1.0</v>
      </c>
    </row>
    <row r="409" ht="14.25" customHeight="1">
      <c r="A409" s="5" t="s">
        <v>88</v>
      </c>
      <c r="B409" s="5">
        <v>12.0</v>
      </c>
      <c r="C409" s="5" t="s">
        <v>1711</v>
      </c>
      <c r="D409" s="5">
        <v>45.0</v>
      </c>
      <c r="E409" s="5">
        <v>1637.0</v>
      </c>
      <c r="F409" s="5" t="s">
        <v>1826</v>
      </c>
      <c r="G409" s="12" t="s">
        <v>1827</v>
      </c>
      <c r="H409" s="5" t="s">
        <v>1828</v>
      </c>
      <c r="I409" s="5" t="s">
        <v>641</v>
      </c>
      <c r="J409" s="5" t="s">
        <v>1829</v>
      </c>
      <c r="K409" s="5">
        <v>1.0</v>
      </c>
      <c r="L409" s="5">
        <v>2040.0</v>
      </c>
      <c r="M409" s="11">
        <v>48.77395</v>
      </c>
      <c r="N409" s="11">
        <v>-123.4735</v>
      </c>
      <c r="O409" s="11" t="s">
        <v>183</v>
      </c>
      <c r="P409" s="16">
        <v>45.0</v>
      </c>
      <c r="Q409" s="5">
        <v>1.0</v>
      </c>
      <c r="R409" s="5" t="s">
        <v>1826</v>
      </c>
      <c r="S409" s="5" t="s">
        <v>1737</v>
      </c>
      <c r="T409" s="5">
        <v>15.0</v>
      </c>
      <c r="U409" s="5" t="s">
        <v>645</v>
      </c>
      <c r="V409" s="5" t="s">
        <v>1830</v>
      </c>
      <c r="W409" s="5">
        <v>36892.0</v>
      </c>
      <c r="X409" s="5" t="s">
        <v>1738</v>
      </c>
      <c r="AO409" s="5" t="s">
        <v>1826</v>
      </c>
      <c r="AP409" s="5">
        <v>45.0</v>
      </c>
      <c r="AQ409" s="5" t="s">
        <v>1716</v>
      </c>
      <c r="AR409" s="5" t="s">
        <v>1739</v>
      </c>
      <c r="AS409" s="5" t="s">
        <v>1740</v>
      </c>
      <c r="AT409" s="5" t="s">
        <v>1741</v>
      </c>
      <c r="AU409" s="5" t="s">
        <v>1742</v>
      </c>
      <c r="AV409" s="5" t="s">
        <v>1720</v>
      </c>
      <c r="AW409" s="5" t="s">
        <v>1705</v>
      </c>
      <c r="AX409" s="5" t="s">
        <v>1747</v>
      </c>
      <c r="AY409" s="5">
        <v>48.7729</v>
      </c>
      <c r="AZ409" s="5">
        <v>-123.4745</v>
      </c>
      <c r="BA409" s="5">
        <v>15.0</v>
      </c>
    </row>
    <row r="410" ht="14.25" customHeight="1">
      <c r="B410" s="5">
        <v>12.0</v>
      </c>
      <c r="C410" s="5" t="s">
        <v>1711</v>
      </c>
      <c r="D410" s="5">
        <v>46.0</v>
      </c>
      <c r="E410" s="5">
        <v>1638.0</v>
      </c>
      <c r="F410" s="5" t="s">
        <v>1831</v>
      </c>
      <c r="G410" s="51" t="s">
        <v>1832</v>
      </c>
      <c r="H410" s="5" t="s">
        <v>1833</v>
      </c>
      <c r="I410" s="5" t="s">
        <v>641</v>
      </c>
      <c r="J410" s="5" t="s">
        <v>1715</v>
      </c>
      <c r="K410" s="5">
        <v>1.0</v>
      </c>
      <c r="L410" s="5">
        <v>2041.0</v>
      </c>
      <c r="M410" s="11"/>
      <c r="N410" s="11"/>
      <c r="O410" s="11"/>
      <c r="P410" s="11"/>
      <c r="AO410" s="5" t="s">
        <v>1834</v>
      </c>
      <c r="AP410" s="5">
        <v>46.0</v>
      </c>
      <c r="AQ410" s="5" t="s">
        <v>1716</v>
      </c>
      <c r="AR410" s="5" t="s">
        <v>1717</v>
      </c>
      <c r="AS410" s="5" t="s">
        <v>1718</v>
      </c>
      <c r="AT410" s="5" t="s">
        <v>1835</v>
      </c>
      <c r="AU410" s="5" t="s">
        <v>1836</v>
      </c>
      <c r="AV410" s="5" t="s">
        <v>1720</v>
      </c>
      <c r="AW410" s="5" t="s">
        <v>1705</v>
      </c>
      <c r="AX410" s="5" t="s">
        <v>1837</v>
      </c>
      <c r="AY410" s="5">
        <v>49.4497</v>
      </c>
      <c r="AZ410" s="5">
        <v>-123.72</v>
      </c>
      <c r="BA410" s="5">
        <v>75.0</v>
      </c>
    </row>
    <row r="411" ht="14.25" customHeight="1">
      <c r="B411" s="5">
        <v>12.0</v>
      </c>
      <c r="C411" s="5" t="s">
        <v>1711</v>
      </c>
      <c r="D411" s="5">
        <v>47.0</v>
      </c>
      <c r="E411" s="5">
        <v>1639.0</v>
      </c>
      <c r="F411" s="18" t="s">
        <v>1838</v>
      </c>
      <c r="G411" s="51" t="s">
        <v>1839</v>
      </c>
      <c r="H411" s="5" t="s">
        <v>1840</v>
      </c>
      <c r="I411" s="5" t="s">
        <v>641</v>
      </c>
      <c r="J411" s="5" t="s">
        <v>1715</v>
      </c>
      <c r="K411" s="5">
        <v>1.0</v>
      </c>
      <c r="L411" s="5">
        <v>2042.0</v>
      </c>
      <c r="AO411" s="5" t="s">
        <v>1838</v>
      </c>
      <c r="AP411" s="5">
        <v>47.0</v>
      </c>
      <c r="AQ411" s="5" t="s">
        <v>1716</v>
      </c>
      <c r="AR411" s="5" t="s">
        <v>1717</v>
      </c>
      <c r="AS411" s="5" t="s">
        <v>1718</v>
      </c>
      <c r="AT411" s="5" t="s">
        <v>1841</v>
      </c>
      <c r="AU411" s="5" t="s">
        <v>1836</v>
      </c>
      <c r="AV411" s="5" t="s">
        <v>1720</v>
      </c>
      <c r="AW411" s="5" t="s">
        <v>1705</v>
      </c>
      <c r="AX411" s="5" t="s">
        <v>1837</v>
      </c>
      <c r="AY411" s="5">
        <v>49.5</v>
      </c>
      <c r="AZ411" s="5">
        <v>-123.7</v>
      </c>
      <c r="BA411" s="5">
        <v>100.0</v>
      </c>
    </row>
    <row r="412" ht="14.25" customHeight="1">
      <c r="A412" s="5" t="s">
        <v>422</v>
      </c>
      <c r="B412" s="5">
        <v>12.0</v>
      </c>
      <c r="C412" s="5" t="s">
        <v>1842</v>
      </c>
      <c r="D412" s="5">
        <v>49.0</v>
      </c>
      <c r="E412" s="5">
        <v>12963.0</v>
      </c>
      <c r="F412" s="51" t="s">
        <v>1843</v>
      </c>
      <c r="G412" s="51" t="s">
        <v>1844</v>
      </c>
      <c r="H412" s="5" t="s">
        <v>1697</v>
      </c>
      <c r="I412" s="5" t="s">
        <v>49</v>
      </c>
      <c r="J412" s="5" t="s">
        <v>1698</v>
      </c>
      <c r="K412" s="5">
        <v>1.0</v>
      </c>
      <c r="L412" s="5">
        <v>14895.0</v>
      </c>
      <c r="AO412" s="50" t="s">
        <v>1845</v>
      </c>
      <c r="AP412" s="50">
        <v>49.0</v>
      </c>
      <c r="AQ412" s="50" t="s">
        <v>1700</v>
      </c>
      <c r="AR412" s="50" t="s">
        <v>1701</v>
      </c>
      <c r="AS412" s="50" t="s">
        <v>1702</v>
      </c>
      <c r="AT412" s="50" t="s">
        <v>1703</v>
      </c>
      <c r="AU412" s="50" t="s">
        <v>1704</v>
      </c>
      <c r="AV412" s="50" t="s">
        <v>1702</v>
      </c>
      <c r="AW412" s="50" t="s">
        <v>1705</v>
      </c>
      <c r="AX412" s="50" t="s">
        <v>1747</v>
      </c>
      <c r="AY412" s="50">
        <v>48.6482</v>
      </c>
      <c r="AZ412" s="50">
        <v>-123.4288</v>
      </c>
      <c r="BA412" s="50">
        <v>19.0</v>
      </c>
    </row>
    <row r="413" ht="14.25" customHeight="1">
      <c r="A413" s="5" t="s">
        <v>422</v>
      </c>
      <c r="B413" s="5">
        <v>12.0</v>
      </c>
      <c r="C413" s="5" t="s">
        <v>1711</v>
      </c>
      <c r="D413" s="5">
        <v>50.0</v>
      </c>
      <c r="E413" s="5">
        <v>1640.0</v>
      </c>
      <c r="F413" s="18" t="s">
        <v>1846</v>
      </c>
      <c r="G413" s="5" t="s">
        <v>1847</v>
      </c>
      <c r="H413" s="5" t="s">
        <v>1848</v>
      </c>
      <c r="I413" s="5" t="s">
        <v>641</v>
      </c>
      <c r="J413" s="5" t="s">
        <v>1746</v>
      </c>
      <c r="K413" s="5">
        <v>1.0</v>
      </c>
      <c r="L413" s="5">
        <v>2043.0</v>
      </c>
      <c r="AO413" s="5" t="s">
        <v>1846</v>
      </c>
      <c r="AP413" s="5">
        <v>50.0</v>
      </c>
      <c r="AQ413" s="5" t="s">
        <v>1716</v>
      </c>
      <c r="AR413" s="5" t="s">
        <v>1717</v>
      </c>
      <c r="AS413" s="5" t="s">
        <v>1718</v>
      </c>
      <c r="AT413" s="5" t="s">
        <v>1703</v>
      </c>
      <c r="AU413" s="5" t="s">
        <v>1703</v>
      </c>
      <c r="AV413" s="5" t="s">
        <v>1720</v>
      </c>
      <c r="AW413" s="5" t="s">
        <v>1705</v>
      </c>
      <c r="AX413" s="5" t="s">
        <v>1747</v>
      </c>
      <c r="AY413" s="5">
        <v>48.6</v>
      </c>
      <c r="AZ413" s="5">
        <v>-123.9</v>
      </c>
      <c r="BA413" s="5">
        <v>4.0</v>
      </c>
    </row>
    <row r="414" ht="14.25" customHeight="1">
      <c r="B414" s="5">
        <v>12.0</v>
      </c>
      <c r="C414" s="5" t="s">
        <v>1711</v>
      </c>
      <c r="D414" s="5">
        <v>51.0</v>
      </c>
      <c r="E414" s="5">
        <v>1641.0</v>
      </c>
      <c r="F414" s="18" t="s">
        <v>1849</v>
      </c>
      <c r="G414" s="5" t="s">
        <v>1850</v>
      </c>
      <c r="H414" s="5" t="s">
        <v>1787</v>
      </c>
      <c r="I414" s="5" t="s">
        <v>1664</v>
      </c>
      <c r="J414" s="5" t="s">
        <v>1715</v>
      </c>
      <c r="K414" s="5">
        <v>1.0</v>
      </c>
      <c r="L414" s="5">
        <v>2044.0</v>
      </c>
      <c r="AO414" s="5" t="s">
        <v>1849</v>
      </c>
      <c r="AP414" s="5">
        <v>51.0</v>
      </c>
      <c r="AQ414" s="5" t="s">
        <v>1716</v>
      </c>
      <c r="AR414" s="5" t="s">
        <v>1717</v>
      </c>
      <c r="AS414" s="5" t="s">
        <v>1718</v>
      </c>
      <c r="AT414" s="5" t="s">
        <v>1719</v>
      </c>
      <c r="AU414" s="5" t="s">
        <v>1703</v>
      </c>
      <c r="AV414" s="5" t="s">
        <v>1720</v>
      </c>
      <c r="AW414" s="5" t="s">
        <v>1705</v>
      </c>
      <c r="AX414" s="5" t="s">
        <v>1706</v>
      </c>
      <c r="AY414" s="5">
        <v>49.2</v>
      </c>
      <c r="AZ414" s="5">
        <v>-124.4</v>
      </c>
      <c r="BA414" s="5">
        <v>7.0</v>
      </c>
    </row>
    <row r="415" ht="14.25" customHeight="1">
      <c r="B415" s="5">
        <v>12.0</v>
      </c>
      <c r="C415" s="5" t="s">
        <v>1711</v>
      </c>
      <c r="D415" s="5">
        <v>52.0</v>
      </c>
      <c r="E415" s="5">
        <v>1642.0</v>
      </c>
      <c r="F415" s="18" t="s">
        <v>1851</v>
      </c>
      <c r="G415" s="5" t="s">
        <v>1852</v>
      </c>
      <c r="H415" s="5" t="s">
        <v>1853</v>
      </c>
      <c r="I415" s="5" t="s">
        <v>1664</v>
      </c>
      <c r="J415" s="5" t="s">
        <v>1715</v>
      </c>
      <c r="K415" s="5">
        <v>1.0</v>
      </c>
      <c r="L415" s="5">
        <v>2045.0</v>
      </c>
      <c r="AO415" s="5" t="s">
        <v>1851</v>
      </c>
      <c r="AP415" s="5">
        <v>52.0</v>
      </c>
      <c r="AQ415" s="5" t="s">
        <v>1716</v>
      </c>
      <c r="AR415" s="5" t="s">
        <v>1717</v>
      </c>
      <c r="AS415" s="5" t="s">
        <v>1718</v>
      </c>
      <c r="AT415" s="5" t="s">
        <v>1719</v>
      </c>
      <c r="AU415" s="5" t="s">
        <v>1703</v>
      </c>
      <c r="AV415" s="5" t="s">
        <v>1720</v>
      </c>
      <c r="AW415" s="5" t="s">
        <v>1705</v>
      </c>
      <c r="AX415" s="5" t="s">
        <v>1706</v>
      </c>
      <c r="AY415" s="5">
        <v>49.3</v>
      </c>
      <c r="AZ415" s="5">
        <v>-124.3</v>
      </c>
      <c r="BA415" s="5">
        <v>1.0</v>
      </c>
    </row>
    <row r="416" ht="14.25" customHeight="1">
      <c r="A416" s="5" t="s">
        <v>422</v>
      </c>
      <c r="B416" s="5">
        <v>12.0</v>
      </c>
      <c r="C416" s="5" t="s">
        <v>1711</v>
      </c>
      <c r="D416" s="5">
        <v>53.0</v>
      </c>
      <c r="E416" s="5">
        <v>1643.0</v>
      </c>
      <c r="F416" s="18" t="s">
        <v>1854</v>
      </c>
      <c r="G416" s="5" t="s">
        <v>1855</v>
      </c>
      <c r="H416" s="5" t="s">
        <v>1856</v>
      </c>
      <c r="I416" s="5" t="s">
        <v>641</v>
      </c>
      <c r="J416" s="5" t="s">
        <v>1746</v>
      </c>
      <c r="K416" s="5">
        <v>1.0</v>
      </c>
      <c r="L416" s="5">
        <v>2046.0</v>
      </c>
      <c r="AO416" s="5" t="s">
        <v>1854</v>
      </c>
      <c r="AP416" s="5">
        <v>53.0</v>
      </c>
      <c r="AQ416" s="5" t="s">
        <v>1716</v>
      </c>
      <c r="AR416" s="5" t="s">
        <v>1717</v>
      </c>
      <c r="AS416" s="5" t="s">
        <v>1718</v>
      </c>
      <c r="AT416" s="5" t="s">
        <v>1719</v>
      </c>
      <c r="AU416" s="5" t="s">
        <v>1703</v>
      </c>
      <c r="AV416" s="5" t="s">
        <v>1720</v>
      </c>
      <c r="AW416" s="5" t="s">
        <v>1705</v>
      </c>
      <c r="AX416" s="5" t="s">
        <v>1747</v>
      </c>
      <c r="AY416" s="5">
        <v>48.6</v>
      </c>
      <c r="AZ416" s="5">
        <v>-123.6</v>
      </c>
      <c r="BA416" s="5">
        <v>2.0</v>
      </c>
    </row>
    <row r="417" ht="14.25" customHeight="1">
      <c r="B417" s="5">
        <v>12.0</v>
      </c>
      <c r="C417" s="5" t="s">
        <v>1711</v>
      </c>
      <c r="D417" s="5">
        <v>54.0</v>
      </c>
      <c r="E417" s="5">
        <v>1644.0</v>
      </c>
      <c r="F417" s="18" t="s">
        <v>1857</v>
      </c>
      <c r="G417" s="5" t="s">
        <v>1858</v>
      </c>
      <c r="H417" s="5" t="s">
        <v>1859</v>
      </c>
      <c r="I417" s="5" t="s">
        <v>1664</v>
      </c>
      <c r="J417" s="5" t="s">
        <v>1715</v>
      </c>
      <c r="K417" s="5">
        <v>1.0</v>
      </c>
      <c r="L417" s="5">
        <v>2047.0</v>
      </c>
      <c r="AO417" s="5" t="s">
        <v>1857</v>
      </c>
      <c r="AP417" s="5">
        <v>54.0</v>
      </c>
      <c r="AQ417" s="5" t="s">
        <v>1716</v>
      </c>
      <c r="AR417" s="5" t="s">
        <v>1717</v>
      </c>
      <c r="AS417" s="5" t="s">
        <v>1718</v>
      </c>
      <c r="AT417" s="5" t="s">
        <v>1719</v>
      </c>
      <c r="AU417" s="5" t="s">
        <v>1703</v>
      </c>
      <c r="AV417" s="5" t="s">
        <v>1720</v>
      </c>
      <c r="AW417" s="5" t="s">
        <v>1705</v>
      </c>
      <c r="AX417" s="5" t="s">
        <v>1747</v>
      </c>
      <c r="AY417" s="5">
        <v>48.8</v>
      </c>
      <c r="AZ417" s="5">
        <v>-123.8</v>
      </c>
      <c r="BA417" s="5">
        <v>1.0</v>
      </c>
    </row>
    <row r="418" ht="14.25" customHeight="1">
      <c r="B418" s="5">
        <v>12.0</v>
      </c>
      <c r="C418" s="5" t="s">
        <v>1711</v>
      </c>
      <c r="D418" s="5">
        <v>55.0</v>
      </c>
      <c r="E418" s="5">
        <v>1645.0</v>
      </c>
      <c r="F418" s="18" t="s">
        <v>1860</v>
      </c>
      <c r="G418" s="5" t="s">
        <v>1861</v>
      </c>
      <c r="H418" s="5" t="s">
        <v>1859</v>
      </c>
      <c r="I418" s="5" t="s">
        <v>1664</v>
      </c>
      <c r="J418" s="5" t="s">
        <v>1715</v>
      </c>
      <c r="K418" s="5">
        <v>1.0</v>
      </c>
      <c r="L418" s="5">
        <v>2048.0</v>
      </c>
      <c r="AO418" s="5" t="s">
        <v>1860</v>
      </c>
      <c r="AP418" s="5">
        <v>55.0</v>
      </c>
      <c r="AQ418" s="5" t="s">
        <v>1716</v>
      </c>
      <c r="AR418" s="5" t="s">
        <v>1717</v>
      </c>
      <c r="AS418" s="5" t="s">
        <v>1718</v>
      </c>
      <c r="AT418" s="5" t="s">
        <v>1719</v>
      </c>
      <c r="AU418" s="5" t="s">
        <v>1703</v>
      </c>
      <c r="AV418" s="5" t="s">
        <v>1720</v>
      </c>
      <c r="AW418" s="5" t="s">
        <v>1705</v>
      </c>
      <c r="AX418" s="5" t="s">
        <v>1747</v>
      </c>
      <c r="AY418" s="5">
        <v>48.9</v>
      </c>
      <c r="AZ418" s="5">
        <v>-124.1</v>
      </c>
      <c r="BA418" s="5">
        <v>7.0</v>
      </c>
    </row>
    <row r="419" ht="14.25" customHeight="1">
      <c r="A419" s="5" t="s">
        <v>88</v>
      </c>
      <c r="B419" s="5">
        <v>12.0</v>
      </c>
      <c r="C419" s="5" t="s">
        <v>1711</v>
      </c>
      <c r="D419" s="5">
        <v>56.0</v>
      </c>
      <c r="E419" s="5">
        <v>1646.0</v>
      </c>
      <c r="F419" s="5" t="s">
        <v>1862</v>
      </c>
      <c r="G419" s="10" t="s">
        <v>1863</v>
      </c>
      <c r="H419" s="5" t="s">
        <v>1864</v>
      </c>
      <c r="I419" s="5" t="s">
        <v>641</v>
      </c>
      <c r="J419" s="5" t="s">
        <v>1865</v>
      </c>
      <c r="K419" s="5">
        <v>1.0</v>
      </c>
      <c r="L419" s="5">
        <v>2049.0</v>
      </c>
      <c r="M419" s="11">
        <v>49.43682</v>
      </c>
      <c r="N419" s="11">
        <v>-124.70223</v>
      </c>
      <c r="O419" s="11" t="s">
        <v>183</v>
      </c>
      <c r="P419" s="16">
        <v>56.0</v>
      </c>
      <c r="Q419" s="22">
        <v>3.0</v>
      </c>
      <c r="R419" s="11" t="s">
        <v>1862</v>
      </c>
      <c r="S419" s="11" t="s">
        <v>1737</v>
      </c>
      <c r="T419" s="11">
        <v>112.0</v>
      </c>
      <c r="U419" s="11"/>
      <c r="V419" s="11"/>
      <c r="W419" s="23">
        <v>31048.0</v>
      </c>
      <c r="X419" s="11" t="s">
        <v>1738</v>
      </c>
      <c r="AO419" s="5" t="s">
        <v>1862</v>
      </c>
      <c r="AP419" s="5">
        <v>56.0</v>
      </c>
      <c r="AQ419" s="5" t="s">
        <v>1700</v>
      </c>
      <c r="AR419" s="5" t="s">
        <v>1739</v>
      </c>
      <c r="AS419" s="5" t="s">
        <v>1740</v>
      </c>
      <c r="AT419" s="5" t="s">
        <v>1741</v>
      </c>
      <c r="AU419" s="5" t="s">
        <v>1772</v>
      </c>
      <c r="AV419" s="5" t="s">
        <v>1720</v>
      </c>
      <c r="AW419" s="5" t="s">
        <v>1705</v>
      </c>
      <c r="AX419" s="5" t="s">
        <v>1706</v>
      </c>
      <c r="AY419" s="5">
        <v>49.4368</v>
      </c>
      <c r="AZ419" s="5">
        <v>-124.7022</v>
      </c>
      <c r="BA419" s="10" t="s">
        <v>1866</v>
      </c>
    </row>
    <row r="420" ht="14.25" customHeight="1">
      <c r="B420" s="5">
        <v>12.0</v>
      </c>
      <c r="C420" s="5" t="s">
        <v>1711</v>
      </c>
      <c r="D420" s="5">
        <v>57.0</v>
      </c>
      <c r="E420" s="5">
        <v>1647.0</v>
      </c>
      <c r="F420" s="18" t="s">
        <v>1867</v>
      </c>
      <c r="G420" s="5" t="s">
        <v>1868</v>
      </c>
      <c r="H420" s="5" t="s">
        <v>1869</v>
      </c>
      <c r="I420" s="5" t="s">
        <v>1664</v>
      </c>
      <c r="J420" s="5" t="s">
        <v>1746</v>
      </c>
      <c r="K420" s="5">
        <v>1.0</v>
      </c>
      <c r="L420" s="5">
        <v>2050.0</v>
      </c>
      <c r="AO420" s="5" t="s">
        <v>1867</v>
      </c>
      <c r="AP420" s="5">
        <v>57.0</v>
      </c>
      <c r="AQ420" s="5" t="s">
        <v>1716</v>
      </c>
      <c r="AR420" s="5" t="s">
        <v>1717</v>
      </c>
      <c r="AS420" s="5" t="s">
        <v>1718</v>
      </c>
      <c r="AT420" s="5" t="s">
        <v>1719</v>
      </c>
      <c r="AU420" s="5" t="s">
        <v>1703</v>
      </c>
      <c r="AV420" s="5" t="s">
        <v>1720</v>
      </c>
      <c r="AW420" s="5" t="s">
        <v>1705</v>
      </c>
      <c r="AX420" s="5" t="s">
        <v>1747</v>
      </c>
      <c r="AY420" s="5">
        <v>48.9</v>
      </c>
      <c r="AZ420" s="5">
        <v>-123.5</v>
      </c>
      <c r="BA420" s="5">
        <v>1.0</v>
      </c>
    </row>
    <row r="421" ht="14.25" customHeight="1">
      <c r="A421" s="5" t="s">
        <v>88</v>
      </c>
      <c r="B421" s="5">
        <v>12.0</v>
      </c>
      <c r="C421" s="5" t="s">
        <v>1711</v>
      </c>
      <c r="D421" s="5">
        <v>59.0</v>
      </c>
      <c r="E421" s="5">
        <v>1648.0</v>
      </c>
      <c r="F421" s="5" t="s">
        <v>1870</v>
      </c>
      <c r="G421" s="10" t="s">
        <v>1871</v>
      </c>
      <c r="H421" s="5" t="s">
        <v>1872</v>
      </c>
      <c r="I421" s="5" t="s">
        <v>641</v>
      </c>
      <c r="J421" s="5" t="s">
        <v>1865</v>
      </c>
      <c r="K421" s="5">
        <v>1.0</v>
      </c>
      <c r="L421" s="5">
        <v>2051.0</v>
      </c>
      <c r="M421" s="11">
        <v>49.04762</v>
      </c>
      <c r="N421" s="11">
        <v>-123.87473</v>
      </c>
      <c r="O421" s="11" t="s">
        <v>183</v>
      </c>
      <c r="P421" s="11">
        <v>59.0</v>
      </c>
      <c r="Q421" s="22">
        <v>1.0</v>
      </c>
      <c r="R421" s="11" t="s">
        <v>1870</v>
      </c>
      <c r="S421" s="11" t="s">
        <v>1737</v>
      </c>
      <c r="T421" s="11">
        <v>30.0</v>
      </c>
      <c r="U421" s="11" t="s">
        <v>645</v>
      </c>
      <c r="V421" s="11" t="s">
        <v>1813</v>
      </c>
      <c r="W421" s="23">
        <v>32509.0</v>
      </c>
      <c r="X421" s="11" t="s">
        <v>1738</v>
      </c>
      <c r="AO421" s="5" t="s">
        <v>1870</v>
      </c>
      <c r="AP421" s="5">
        <v>59.0</v>
      </c>
      <c r="AQ421" s="5" t="s">
        <v>1700</v>
      </c>
      <c r="AR421" s="5" t="s">
        <v>1739</v>
      </c>
      <c r="AS421" s="5" t="s">
        <v>1740</v>
      </c>
      <c r="AT421" s="5" t="s">
        <v>1741</v>
      </c>
      <c r="AU421" s="5" t="s">
        <v>1772</v>
      </c>
      <c r="AV421" s="5" t="s">
        <v>1720</v>
      </c>
      <c r="AW421" s="5" t="s">
        <v>1705</v>
      </c>
      <c r="AX421" s="5" t="s">
        <v>1706</v>
      </c>
      <c r="AY421" s="5">
        <v>49.0476</v>
      </c>
      <c r="AZ421" s="5">
        <v>-123.8747</v>
      </c>
      <c r="BA421" s="5">
        <v>31.0</v>
      </c>
    </row>
    <row r="422" ht="14.25" customHeight="1">
      <c r="B422" s="5">
        <v>12.0</v>
      </c>
      <c r="C422" s="5" t="s">
        <v>1711</v>
      </c>
      <c r="D422" s="5">
        <v>60.0</v>
      </c>
      <c r="E422" s="5">
        <v>1649.0</v>
      </c>
      <c r="F422" s="18" t="s">
        <v>1873</v>
      </c>
      <c r="G422" s="5" t="s">
        <v>1874</v>
      </c>
      <c r="H422" s="5" t="s">
        <v>1875</v>
      </c>
      <c r="I422" s="5" t="s">
        <v>641</v>
      </c>
      <c r="J422" s="5" t="s">
        <v>1715</v>
      </c>
      <c r="K422" s="5">
        <v>1.0</v>
      </c>
      <c r="L422" s="5">
        <v>2052.0</v>
      </c>
      <c r="AO422" s="5" t="s">
        <v>1873</v>
      </c>
      <c r="AP422" s="5">
        <v>60.0</v>
      </c>
      <c r="AQ422" s="5" t="s">
        <v>1716</v>
      </c>
      <c r="AR422" s="5" t="s">
        <v>1717</v>
      </c>
      <c r="AS422" s="5" t="s">
        <v>1718</v>
      </c>
      <c r="AT422" s="5" t="s">
        <v>1703</v>
      </c>
      <c r="AU422" s="5" t="s">
        <v>1703</v>
      </c>
      <c r="AV422" s="5" t="s">
        <v>1720</v>
      </c>
      <c r="AW422" s="5" t="s">
        <v>1705</v>
      </c>
      <c r="AX422" s="5" t="s">
        <v>1747</v>
      </c>
      <c r="AY422" s="5">
        <v>48.7783</v>
      </c>
      <c r="AZ422" s="5">
        <v>-123.4533</v>
      </c>
      <c r="BA422" s="5">
        <v>150.0</v>
      </c>
    </row>
    <row r="423" ht="14.25" customHeight="1">
      <c r="B423" s="5">
        <v>12.0</v>
      </c>
      <c r="C423" s="5" t="s">
        <v>1711</v>
      </c>
      <c r="D423" s="5">
        <v>63.0</v>
      </c>
      <c r="E423" s="5">
        <v>1650.0</v>
      </c>
      <c r="F423" s="18" t="s">
        <v>1876</v>
      </c>
      <c r="G423" s="5" t="s">
        <v>1877</v>
      </c>
      <c r="H423" s="5" t="s">
        <v>1878</v>
      </c>
      <c r="I423" s="5" t="s">
        <v>641</v>
      </c>
      <c r="J423" s="5" t="s">
        <v>1715</v>
      </c>
      <c r="K423" s="5">
        <v>1.0</v>
      </c>
      <c r="L423" s="5">
        <v>2053.0</v>
      </c>
      <c r="AO423" s="5" t="s">
        <v>1876</v>
      </c>
      <c r="AP423" s="5">
        <v>63.0</v>
      </c>
      <c r="AQ423" s="5" t="s">
        <v>1716</v>
      </c>
      <c r="AR423" s="5" t="s">
        <v>1717</v>
      </c>
      <c r="AS423" s="5" t="s">
        <v>1718</v>
      </c>
      <c r="AT423" s="5" t="s">
        <v>1703</v>
      </c>
      <c r="AU423" s="5" t="s">
        <v>1703</v>
      </c>
      <c r="AV423" s="5" t="s">
        <v>1720</v>
      </c>
      <c r="AW423" s="5" t="s">
        <v>1705</v>
      </c>
      <c r="AX423" s="5" t="s">
        <v>1879</v>
      </c>
      <c r="AY423" s="5">
        <v>50.1167</v>
      </c>
      <c r="AZ423" s="5">
        <v>-123.3967</v>
      </c>
      <c r="BA423" s="5">
        <v>200.0</v>
      </c>
    </row>
    <row r="424" ht="14.25" customHeight="1">
      <c r="B424" s="5">
        <v>12.0</v>
      </c>
      <c r="C424" s="5" t="s">
        <v>1711</v>
      </c>
      <c r="D424" s="5">
        <v>65.0</v>
      </c>
      <c r="E424" s="5">
        <v>1651.0</v>
      </c>
      <c r="F424" s="18" t="s">
        <v>1880</v>
      </c>
      <c r="G424" s="5" t="s">
        <v>1881</v>
      </c>
      <c r="H424" s="5" t="s">
        <v>1882</v>
      </c>
      <c r="I424" s="5" t="s">
        <v>1664</v>
      </c>
      <c r="J424" s="5" t="s">
        <v>1715</v>
      </c>
      <c r="K424" s="5">
        <v>1.0</v>
      </c>
      <c r="L424" s="5">
        <v>2054.0</v>
      </c>
      <c r="AO424" s="5" t="s">
        <v>1880</v>
      </c>
      <c r="AP424" s="5">
        <v>65.0</v>
      </c>
      <c r="AQ424" s="5" t="s">
        <v>1716</v>
      </c>
      <c r="AR424" s="5" t="s">
        <v>1717</v>
      </c>
      <c r="AS424" s="5" t="s">
        <v>1718</v>
      </c>
      <c r="AT424" s="5" t="s">
        <v>1719</v>
      </c>
      <c r="AU424" s="5" t="s">
        <v>1703</v>
      </c>
      <c r="AV424" s="5" t="s">
        <v>1720</v>
      </c>
      <c r="AW424" s="5" t="s">
        <v>1705</v>
      </c>
      <c r="AX424" s="5" t="s">
        <v>1883</v>
      </c>
      <c r="AY424" s="5">
        <v>49.4</v>
      </c>
      <c r="AZ424" s="5">
        <v>-123.1</v>
      </c>
      <c r="BA424" s="5">
        <v>11.0</v>
      </c>
    </row>
    <row r="425" ht="14.25" customHeight="1">
      <c r="B425" s="5">
        <v>12.0</v>
      </c>
      <c r="C425" s="5" t="s">
        <v>1711</v>
      </c>
      <c r="D425" s="5">
        <v>66.0</v>
      </c>
      <c r="E425" s="5">
        <v>1652.0</v>
      </c>
      <c r="F425" s="5" t="s">
        <v>1884</v>
      </c>
      <c r="G425" s="10" t="s">
        <v>1885</v>
      </c>
      <c r="H425" s="5" t="s">
        <v>1886</v>
      </c>
      <c r="I425" s="5" t="s">
        <v>641</v>
      </c>
      <c r="J425" s="5" t="s">
        <v>1715</v>
      </c>
      <c r="K425" s="5">
        <v>1.0</v>
      </c>
      <c r="L425" s="5">
        <v>2055.0</v>
      </c>
      <c r="M425" s="11"/>
      <c r="N425" s="11"/>
      <c r="O425" s="11"/>
      <c r="P425" s="11"/>
      <c r="Q425" s="22"/>
      <c r="R425" s="11"/>
      <c r="S425" s="11"/>
      <c r="T425" s="11"/>
      <c r="U425" s="11"/>
      <c r="V425" s="11"/>
      <c r="W425" s="23"/>
      <c r="X425" s="11"/>
      <c r="AO425" s="5" t="s">
        <v>1887</v>
      </c>
      <c r="AP425" s="5">
        <v>66.0</v>
      </c>
      <c r="AQ425" s="5" t="s">
        <v>1716</v>
      </c>
      <c r="AR425" s="5" t="s">
        <v>1717</v>
      </c>
      <c r="AS425" s="5" t="s">
        <v>1718</v>
      </c>
      <c r="AT425" s="5" t="s">
        <v>1835</v>
      </c>
      <c r="AU425" s="5" t="s">
        <v>1836</v>
      </c>
      <c r="AV425" s="5" t="s">
        <v>1720</v>
      </c>
      <c r="AW425" s="5" t="s">
        <v>1705</v>
      </c>
      <c r="AX425" s="5" t="s">
        <v>1883</v>
      </c>
      <c r="AY425" s="5">
        <v>49.691</v>
      </c>
      <c r="AZ425" s="5">
        <v>-121.8596</v>
      </c>
      <c r="BA425" s="5">
        <v>152.0</v>
      </c>
    </row>
    <row r="426" ht="14.25" customHeight="1">
      <c r="A426" s="5" t="s">
        <v>88</v>
      </c>
      <c r="B426" s="5">
        <v>12.0</v>
      </c>
      <c r="C426" s="5" t="s">
        <v>1711</v>
      </c>
      <c r="D426" s="5">
        <v>67.0</v>
      </c>
      <c r="E426" s="5">
        <v>1653.0</v>
      </c>
      <c r="F426" s="5" t="s">
        <v>1888</v>
      </c>
      <c r="G426" s="10" t="s">
        <v>1889</v>
      </c>
      <c r="H426" s="5" t="s">
        <v>1890</v>
      </c>
      <c r="I426" s="5" t="s">
        <v>641</v>
      </c>
      <c r="J426" s="5" t="s">
        <v>1891</v>
      </c>
      <c r="K426" s="5">
        <v>1.0</v>
      </c>
      <c r="L426" s="5">
        <v>2056.0</v>
      </c>
      <c r="M426" s="11">
        <v>49.3806</v>
      </c>
      <c r="N426" s="11">
        <v>-121.52597</v>
      </c>
      <c r="O426" s="11" t="s">
        <v>51</v>
      </c>
      <c r="P426" s="11">
        <v>67.0</v>
      </c>
      <c r="Q426" s="22">
        <v>1.0</v>
      </c>
      <c r="R426" s="11" t="s">
        <v>1888</v>
      </c>
      <c r="S426" s="11" t="s">
        <v>1737</v>
      </c>
      <c r="T426" s="11">
        <v>38.0</v>
      </c>
      <c r="U426" s="11" t="s">
        <v>645</v>
      </c>
      <c r="V426" s="11"/>
      <c r="W426" s="23">
        <v>37257.0</v>
      </c>
      <c r="X426" s="11" t="s">
        <v>1738</v>
      </c>
      <c r="AO426" s="5" t="s">
        <v>1888</v>
      </c>
      <c r="AP426" s="5">
        <v>67.0</v>
      </c>
      <c r="AQ426" s="5" t="s">
        <v>1700</v>
      </c>
      <c r="AR426" s="5" t="s">
        <v>1739</v>
      </c>
      <c r="AS426" s="5" t="s">
        <v>1740</v>
      </c>
      <c r="AT426" s="5" t="s">
        <v>1741</v>
      </c>
      <c r="AU426" s="5" t="s">
        <v>1772</v>
      </c>
      <c r="AV426" s="5" t="s">
        <v>1720</v>
      </c>
      <c r="AW426" s="5" t="s">
        <v>1705</v>
      </c>
      <c r="AX426" s="5" t="s">
        <v>1883</v>
      </c>
      <c r="AY426" s="5">
        <v>49.3806</v>
      </c>
      <c r="AZ426" s="5">
        <v>-121.5259</v>
      </c>
      <c r="BA426" s="5">
        <v>42.0</v>
      </c>
    </row>
    <row r="427" ht="14.25" customHeight="1">
      <c r="B427" s="5">
        <v>12.0</v>
      </c>
      <c r="C427" s="5" t="s">
        <v>1711</v>
      </c>
      <c r="D427" s="5">
        <v>68.0</v>
      </c>
      <c r="E427" s="5">
        <v>1654.0</v>
      </c>
      <c r="F427" s="18" t="s">
        <v>1892</v>
      </c>
      <c r="G427" s="5" t="s">
        <v>1893</v>
      </c>
      <c r="H427" s="5" t="s">
        <v>1894</v>
      </c>
      <c r="I427" s="5" t="s">
        <v>641</v>
      </c>
      <c r="J427" s="5" t="s">
        <v>1715</v>
      </c>
      <c r="K427" s="5">
        <v>1.0</v>
      </c>
      <c r="L427" s="5">
        <v>2057.0</v>
      </c>
      <c r="AO427" s="5" t="s">
        <v>1892</v>
      </c>
      <c r="AP427" s="5">
        <v>68.0</v>
      </c>
      <c r="AQ427" s="5" t="s">
        <v>1716</v>
      </c>
      <c r="AR427" s="5" t="s">
        <v>1717</v>
      </c>
      <c r="AS427" s="5" t="s">
        <v>1718</v>
      </c>
      <c r="AT427" s="5" t="s">
        <v>1703</v>
      </c>
      <c r="AU427" s="5" t="s">
        <v>1703</v>
      </c>
      <c r="AV427" s="5" t="s">
        <v>1720</v>
      </c>
      <c r="AW427" s="5" t="s">
        <v>1705</v>
      </c>
      <c r="AX427" s="5" t="s">
        <v>1883</v>
      </c>
      <c r="AY427" s="5">
        <v>49.7017</v>
      </c>
      <c r="AZ427" s="5">
        <v>-122.7</v>
      </c>
      <c r="BA427" s="5">
        <v>401.0</v>
      </c>
    </row>
    <row r="428" ht="14.25" customHeight="1">
      <c r="A428" s="5" t="s">
        <v>422</v>
      </c>
      <c r="B428" s="5">
        <v>12.0</v>
      </c>
      <c r="C428" s="5" t="s">
        <v>1707</v>
      </c>
      <c r="D428" s="5">
        <v>69.0</v>
      </c>
      <c r="E428" s="5">
        <v>12984.0</v>
      </c>
      <c r="F428" s="51" t="s">
        <v>1895</v>
      </c>
      <c r="G428" s="51" t="s">
        <v>127</v>
      </c>
      <c r="H428" s="5" t="s">
        <v>1896</v>
      </c>
      <c r="I428" s="5" t="s">
        <v>49</v>
      </c>
      <c r="J428" s="5" t="s">
        <v>1698</v>
      </c>
      <c r="K428" s="5">
        <v>1.0</v>
      </c>
      <c r="L428" s="5">
        <v>14916.0</v>
      </c>
      <c r="AO428" s="50" t="s">
        <v>1897</v>
      </c>
      <c r="AP428" s="50">
        <v>69.0</v>
      </c>
      <c r="AQ428" s="50" t="s">
        <v>1700</v>
      </c>
      <c r="AR428" s="50" t="s">
        <v>1701</v>
      </c>
      <c r="AS428" s="50" t="s">
        <v>1702</v>
      </c>
      <c r="AT428" s="50" t="s">
        <v>1703</v>
      </c>
      <c r="AU428" s="50" t="s">
        <v>1704</v>
      </c>
      <c r="AV428" s="50" t="s">
        <v>1702</v>
      </c>
      <c r="AW428" s="50" t="s">
        <v>1705</v>
      </c>
      <c r="AX428" s="50" t="s">
        <v>1883</v>
      </c>
      <c r="AY428" s="50">
        <v>49.2</v>
      </c>
      <c r="AZ428" s="50">
        <v>-123.2</v>
      </c>
      <c r="BA428" s="50">
        <v>1.0</v>
      </c>
    </row>
    <row r="429" ht="14.25" customHeight="1">
      <c r="A429" s="5" t="s">
        <v>88</v>
      </c>
      <c r="B429" s="5">
        <v>12.0</v>
      </c>
      <c r="C429" s="5" t="s">
        <v>1711</v>
      </c>
      <c r="D429" s="5">
        <v>71.0</v>
      </c>
      <c r="E429" s="5">
        <v>1655.0</v>
      </c>
      <c r="F429" s="18" t="s">
        <v>1898</v>
      </c>
      <c r="G429" s="10" t="s">
        <v>1899</v>
      </c>
      <c r="H429" s="5" t="s">
        <v>1900</v>
      </c>
      <c r="I429" s="5" t="s">
        <v>1664</v>
      </c>
      <c r="J429" s="5" t="s">
        <v>1715</v>
      </c>
      <c r="K429" s="5">
        <v>1.0</v>
      </c>
      <c r="L429" s="5">
        <v>2058.0</v>
      </c>
      <c r="AO429" s="5" t="s">
        <v>1898</v>
      </c>
      <c r="AP429" s="5">
        <v>71.0</v>
      </c>
      <c r="AQ429" s="5" t="s">
        <v>1716</v>
      </c>
      <c r="AR429" s="5" t="s">
        <v>1717</v>
      </c>
      <c r="AS429" s="5" t="s">
        <v>1718</v>
      </c>
      <c r="AT429" s="5" t="s">
        <v>1719</v>
      </c>
      <c r="AU429" s="5" t="s">
        <v>1703</v>
      </c>
      <c r="AV429" s="5" t="s">
        <v>1720</v>
      </c>
      <c r="AW429" s="5" t="s">
        <v>1705</v>
      </c>
      <c r="AX429" s="5" t="s">
        <v>1879</v>
      </c>
      <c r="AY429" s="5">
        <v>50.2</v>
      </c>
      <c r="AZ429" s="5">
        <v>-122.5</v>
      </c>
      <c r="BA429" s="5">
        <v>2.0</v>
      </c>
    </row>
    <row r="430" ht="14.25" customHeight="1">
      <c r="A430" s="5" t="s">
        <v>88</v>
      </c>
      <c r="B430" s="5">
        <v>12.0</v>
      </c>
      <c r="C430" s="5" t="s">
        <v>1711</v>
      </c>
      <c r="D430" s="5">
        <v>72.0</v>
      </c>
      <c r="E430" s="5">
        <v>1656.0</v>
      </c>
      <c r="F430" s="5" t="s">
        <v>1901</v>
      </c>
      <c r="G430" s="10" t="s">
        <v>1902</v>
      </c>
      <c r="H430" s="5" t="s">
        <v>1903</v>
      </c>
      <c r="I430" s="5" t="s">
        <v>641</v>
      </c>
      <c r="J430" s="5" t="s">
        <v>1865</v>
      </c>
      <c r="K430" s="5">
        <v>1.0</v>
      </c>
      <c r="L430" s="5">
        <v>2059.0</v>
      </c>
      <c r="M430" s="11">
        <v>49.2645</v>
      </c>
      <c r="N430" s="11">
        <v>-122.57328</v>
      </c>
      <c r="O430" s="11" t="s">
        <v>183</v>
      </c>
      <c r="P430" s="11">
        <v>72.0</v>
      </c>
      <c r="Q430" s="22">
        <v>4.0</v>
      </c>
      <c r="R430" s="11" t="s">
        <v>1901</v>
      </c>
      <c r="S430" s="11" t="s">
        <v>1737</v>
      </c>
      <c r="T430" s="10" t="s">
        <v>1904</v>
      </c>
      <c r="U430" s="11" t="s">
        <v>645</v>
      </c>
      <c r="V430" s="11"/>
      <c r="W430" s="23">
        <v>29587.0</v>
      </c>
      <c r="X430" s="11" t="s">
        <v>1738</v>
      </c>
      <c r="AO430" s="5" t="s">
        <v>1901</v>
      </c>
      <c r="AP430" s="5">
        <v>72.0</v>
      </c>
      <c r="AQ430" s="5" t="s">
        <v>1700</v>
      </c>
      <c r="AR430" s="5" t="s">
        <v>1739</v>
      </c>
      <c r="AS430" s="5" t="s">
        <v>1740</v>
      </c>
      <c r="AT430" s="5" t="s">
        <v>1741</v>
      </c>
      <c r="AU430" s="5" t="s">
        <v>1772</v>
      </c>
      <c r="AV430" s="5" t="s">
        <v>1720</v>
      </c>
      <c r="AW430" s="5" t="s">
        <v>1705</v>
      </c>
      <c r="AX430" s="5" t="s">
        <v>1883</v>
      </c>
      <c r="AY430" s="5">
        <v>49.2645</v>
      </c>
      <c r="AZ430" s="5">
        <v>-122.5732</v>
      </c>
      <c r="BA430" s="5">
        <v>146.0</v>
      </c>
    </row>
    <row r="431" ht="14.25" customHeight="1">
      <c r="B431" s="5">
        <v>12.0</v>
      </c>
      <c r="C431" s="5" t="s">
        <v>1711</v>
      </c>
      <c r="D431" s="5">
        <v>73.0</v>
      </c>
      <c r="E431" s="5">
        <v>1657.0</v>
      </c>
      <c r="F431" s="18" t="s">
        <v>1905</v>
      </c>
      <c r="G431" s="5" t="s">
        <v>1906</v>
      </c>
      <c r="H431" s="5" t="s">
        <v>1907</v>
      </c>
      <c r="I431" s="5" t="s">
        <v>1664</v>
      </c>
      <c r="J431" s="5" t="s">
        <v>1715</v>
      </c>
      <c r="K431" s="5">
        <v>1.0</v>
      </c>
      <c r="L431" s="5">
        <v>2060.0</v>
      </c>
      <c r="AO431" s="5" t="s">
        <v>1905</v>
      </c>
      <c r="AP431" s="5">
        <v>73.0</v>
      </c>
      <c r="AQ431" s="5" t="s">
        <v>1716</v>
      </c>
      <c r="AR431" s="5" t="s">
        <v>1717</v>
      </c>
      <c r="AS431" s="5" t="s">
        <v>1718</v>
      </c>
      <c r="AT431" s="5" t="s">
        <v>1719</v>
      </c>
      <c r="AU431" s="5" t="s">
        <v>1703</v>
      </c>
      <c r="AV431" s="5" t="s">
        <v>1720</v>
      </c>
      <c r="AW431" s="5" t="s">
        <v>1705</v>
      </c>
      <c r="AX431" s="5" t="s">
        <v>1883</v>
      </c>
      <c r="AY431" s="5">
        <v>49.2</v>
      </c>
      <c r="AZ431" s="5">
        <v>-122.3</v>
      </c>
      <c r="BA431" s="5">
        <v>5.0</v>
      </c>
    </row>
    <row r="432" ht="14.25" customHeight="1">
      <c r="A432" s="5" t="s">
        <v>1908</v>
      </c>
      <c r="B432" s="5">
        <v>12.0</v>
      </c>
      <c r="C432" s="5" t="s">
        <v>1711</v>
      </c>
      <c r="D432" s="5">
        <v>74.0</v>
      </c>
      <c r="E432" s="5">
        <v>1658.0</v>
      </c>
      <c r="F432" s="5" t="s">
        <v>1909</v>
      </c>
      <c r="G432" s="10" t="s">
        <v>1910</v>
      </c>
      <c r="H432" s="5" t="s">
        <v>1911</v>
      </c>
      <c r="I432" s="5" t="s">
        <v>641</v>
      </c>
      <c r="J432" s="5" t="s">
        <v>1715</v>
      </c>
      <c r="K432" s="5">
        <v>1.0</v>
      </c>
      <c r="L432" s="5">
        <v>2061.0</v>
      </c>
      <c r="M432" s="13"/>
      <c r="N432" s="13"/>
      <c r="O432" s="13"/>
      <c r="P432" s="13"/>
      <c r="Q432" s="14"/>
      <c r="R432" s="13"/>
      <c r="S432" s="13"/>
      <c r="T432" s="13"/>
      <c r="U432" s="13"/>
      <c r="V432" s="13"/>
      <c r="W432" s="53"/>
      <c r="X432" s="13"/>
      <c r="AO432" s="5" t="s">
        <v>1912</v>
      </c>
      <c r="AP432" s="5">
        <v>74.0</v>
      </c>
      <c r="AQ432" s="5" t="s">
        <v>1716</v>
      </c>
      <c r="AR432" s="5" t="s">
        <v>1717</v>
      </c>
      <c r="AS432" s="5" t="s">
        <v>1718</v>
      </c>
      <c r="AT432" s="5" t="s">
        <v>1835</v>
      </c>
      <c r="AU432" s="5" t="s">
        <v>1836</v>
      </c>
      <c r="AV432" s="5" t="s">
        <v>1720</v>
      </c>
      <c r="AW432" s="5" t="s">
        <v>1705</v>
      </c>
      <c r="AX432" s="5" t="s">
        <v>1883</v>
      </c>
      <c r="AY432" s="5">
        <v>49.0953</v>
      </c>
      <c r="AZ432" s="5">
        <v>-121.6628</v>
      </c>
      <c r="BA432" s="5">
        <v>320.0</v>
      </c>
    </row>
    <row r="433" ht="14.25" customHeight="1">
      <c r="A433" s="5" t="s">
        <v>88</v>
      </c>
      <c r="B433" s="5">
        <v>12.0</v>
      </c>
      <c r="C433" s="5" t="s">
        <v>1711</v>
      </c>
      <c r="D433" s="5">
        <v>75.0</v>
      </c>
      <c r="E433" s="5">
        <v>1659.0</v>
      </c>
      <c r="F433" s="5" t="s">
        <v>1913</v>
      </c>
      <c r="G433" s="10" t="s">
        <v>1914</v>
      </c>
      <c r="H433" s="5" t="s">
        <v>1915</v>
      </c>
      <c r="I433" s="5" t="s">
        <v>641</v>
      </c>
      <c r="J433" s="5" t="s">
        <v>1736</v>
      </c>
      <c r="K433" s="5">
        <v>1.0</v>
      </c>
      <c r="L433" s="5">
        <v>2062.0</v>
      </c>
      <c r="M433" s="11">
        <v>50.568</v>
      </c>
      <c r="N433" s="11">
        <v>-124.073</v>
      </c>
      <c r="O433" s="11" t="s">
        <v>51</v>
      </c>
      <c r="P433" s="11">
        <v>75.0</v>
      </c>
      <c r="Q433" s="22">
        <v>1.0</v>
      </c>
      <c r="R433" s="11" t="s">
        <v>1913</v>
      </c>
      <c r="S433" s="11" t="s">
        <v>1737</v>
      </c>
      <c r="T433" s="11">
        <v>10.0</v>
      </c>
      <c r="U433" s="11"/>
      <c r="V433" s="11"/>
      <c r="W433" s="23">
        <v>35796.0</v>
      </c>
      <c r="X433" s="11" t="s">
        <v>1738</v>
      </c>
      <c r="AO433" s="5" t="s">
        <v>1913</v>
      </c>
      <c r="AP433" s="5">
        <v>75.0</v>
      </c>
      <c r="AQ433" s="5" t="s">
        <v>1716</v>
      </c>
      <c r="AR433" s="5" t="s">
        <v>1739</v>
      </c>
      <c r="AS433" s="5" t="s">
        <v>1740</v>
      </c>
      <c r="AT433" s="5" t="s">
        <v>1741</v>
      </c>
      <c r="AU433" s="5" t="s">
        <v>1742</v>
      </c>
      <c r="AV433" s="5" t="s">
        <v>1720</v>
      </c>
      <c r="AW433" s="5" t="s">
        <v>1705</v>
      </c>
      <c r="AX433" s="5" t="s">
        <v>1837</v>
      </c>
      <c r="AY433" s="5">
        <v>50.5711</v>
      </c>
      <c r="AZ433" s="5">
        <v>-124.0777</v>
      </c>
      <c r="BA433" s="5">
        <v>49.0</v>
      </c>
    </row>
    <row r="434" ht="14.25" customHeight="1">
      <c r="B434" s="5">
        <v>12.0</v>
      </c>
      <c r="C434" s="5" t="s">
        <v>1711</v>
      </c>
      <c r="D434" s="5">
        <v>76.0</v>
      </c>
      <c r="E434" s="5">
        <v>1660.0</v>
      </c>
      <c r="F434" s="18" t="s">
        <v>1916</v>
      </c>
      <c r="G434" s="5" t="s">
        <v>1917</v>
      </c>
      <c r="H434" s="5" t="s">
        <v>1714</v>
      </c>
      <c r="I434" s="5" t="s">
        <v>1664</v>
      </c>
      <c r="J434" s="5" t="s">
        <v>1715</v>
      </c>
      <c r="K434" s="5">
        <v>1.0</v>
      </c>
      <c r="L434" s="5">
        <v>2063.0</v>
      </c>
      <c r="AO434" s="5" t="s">
        <v>1916</v>
      </c>
      <c r="AP434" s="5">
        <v>76.0</v>
      </c>
      <c r="AQ434" s="5" t="s">
        <v>1716</v>
      </c>
      <c r="AR434" s="5" t="s">
        <v>1717</v>
      </c>
      <c r="AS434" s="5" t="s">
        <v>1718</v>
      </c>
      <c r="AT434" s="5" t="s">
        <v>1719</v>
      </c>
      <c r="AU434" s="5" t="s">
        <v>1703</v>
      </c>
      <c r="AV434" s="5" t="s">
        <v>1720</v>
      </c>
      <c r="AW434" s="5" t="s">
        <v>1705</v>
      </c>
      <c r="AX434" s="5" t="s">
        <v>1879</v>
      </c>
      <c r="AY434" s="5">
        <v>49.7</v>
      </c>
      <c r="AZ434" s="5">
        <v>-123.1</v>
      </c>
      <c r="BA434" s="5">
        <v>0.0</v>
      </c>
    </row>
    <row r="435" ht="14.25" customHeight="1">
      <c r="B435" s="5">
        <v>12.0</v>
      </c>
      <c r="C435" s="5" t="s">
        <v>1711</v>
      </c>
      <c r="D435" s="5">
        <v>78.0</v>
      </c>
      <c r="E435" s="5">
        <v>1661.0</v>
      </c>
      <c r="F435" s="18" t="s">
        <v>1918</v>
      </c>
      <c r="G435" s="5" t="s">
        <v>1919</v>
      </c>
      <c r="H435" s="5" t="s">
        <v>1920</v>
      </c>
      <c r="I435" s="5" t="s">
        <v>1664</v>
      </c>
      <c r="J435" s="5" t="s">
        <v>1715</v>
      </c>
      <c r="K435" s="5">
        <v>1.0</v>
      </c>
      <c r="L435" s="5">
        <v>2064.0</v>
      </c>
      <c r="AO435" s="5" t="s">
        <v>1918</v>
      </c>
      <c r="AP435" s="5">
        <v>78.0</v>
      </c>
      <c r="AQ435" s="5" t="s">
        <v>1716</v>
      </c>
      <c r="AR435" s="5" t="s">
        <v>1717</v>
      </c>
      <c r="AS435" s="5" t="s">
        <v>1718</v>
      </c>
      <c r="AT435" s="5" t="s">
        <v>1719</v>
      </c>
      <c r="AU435" s="5" t="s">
        <v>1703</v>
      </c>
      <c r="AV435" s="5" t="s">
        <v>1720</v>
      </c>
      <c r="AW435" s="5" t="s">
        <v>1705</v>
      </c>
      <c r="AX435" s="5" t="s">
        <v>1879</v>
      </c>
      <c r="AY435" s="5">
        <v>50.2</v>
      </c>
      <c r="AZ435" s="5">
        <v>-123.6</v>
      </c>
      <c r="BA435" s="5">
        <v>5.0</v>
      </c>
    </row>
    <row r="436" ht="14.25" customHeight="1">
      <c r="B436" s="5">
        <v>12.0</v>
      </c>
      <c r="C436" s="5" t="s">
        <v>1711</v>
      </c>
      <c r="D436" s="5">
        <v>79.0</v>
      </c>
      <c r="E436" s="5">
        <v>1662.0</v>
      </c>
      <c r="F436" s="18" t="s">
        <v>1921</v>
      </c>
      <c r="G436" s="5" t="s">
        <v>1922</v>
      </c>
      <c r="H436" s="5" t="s">
        <v>1714</v>
      </c>
      <c r="I436" s="5" t="s">
        <v>1664</v>
      </c>
      <c r="J436" s="5" t="s">
        <v>1715</v>
      </c>
      <c r="K436" s="5">
        <v>1.0</v>
      </c>
      <c r="L436" s="5">
        <v>2065.0</v>
      </c>
      <c r="AO436" s="5" t="s">
        <v>1921</v>
      </c>
      <c r="AP436" s="5">
        <v>79.0</v>
      </c>
      <c r="AQ436" s="5" t="s">
        <v>1716</v>
      </c>
      <c r="AR436" s="5" t="s">
        <v>1717</v>
      </c>
      <c r="AS436" s="5" t="s">
        <v>1718</v>
      </c>
      <c r="AT436" s="5" t="s">
        <v>1719</v>
      </c>
      <c r="AU436" s="5" t="s">
        <v>1703</v>
      </c>
      <c r="AV436" s="5" t="s">
        <v>1720</v>
      </c>
      <c r="AW436" s="5" t="s">
        <v>1705</v>
      </c>
      <c r="AX436" s="5" t="s">
        <v>1710</v>
      </c>
      <c r="AY436" s="5">
        <v>51.1</v>
      </c>
      <c r="AZ436" s="5">
        <v>-125.6</v>
      </c>
      <c r="BA436" s="5">
        <v>0.0</v>
      </c>
    </row>
    <row r="437" ht="14.25" customHeight="1">
      <c r="B437" s="5">
        <v>12.0</v>
      </c>
      <c r="C437" s="5" t="s">
        <v>1711</v>
      </c>
      <c r="D437" s="5">
        <v>80.0</v>
      </c>
      <c r="E437" s="5">
        <v>1663.0</v>
      </c>
      <c r="F437" s="18" t="s">
        <v>1923</v>
      </c>
      <c r="G437" s="5" t="s">
        <v>1924</v>
      </c>
      <c r="H437" s="5" t="s">
        <v>1794</v>
      </c>
      <c r="I437" s="5" t="s">
        <v>1664</v>
      </c>
      <c r="J437" s="5" t="s">
        <v>1715</v>
      </c>
      <c r="K437" s="5">
        <v>1.0</v>
      </c>
      <c r="L437" s="5">
        <v>2066.0</v>
      </c>
      <c r="AO437" s="5" t="s">
        <v>1923</v>
      </c>
      <c r="AP437" s="5">
        <v>80.0</v>
      </c>
      <c r="AQ437" s="5" t="s">
        <v>1716</v>
      </c>
      <c r="AR437" s="5" t="s">
        <v>1717</v>
      </c>
      <c r="AS437" s="5" t="s">
        <v>1718</v>
      </c>
      <c r="AT437" s="5" t="s">
        <v>1719</v>
      </c>
      <c r="AU437" s="5" t="s">
        <v>1703</v>
      </c>
      <c r="AV437" s="5" t="s">
        <v>1720</v>
      </c>
      <c r="AW437" s="5" t="s">
        <v>1705</v>
      </c>
      <c r="AX437" s="5" t="s">
        <v>1837</v>
      </c>
      <c r="AY437" s="5">
        <v>50.2</v>
      </c>
      <c r="AZ437" s="5">
        <v>-125.1</v>
      </c>
      <c r="BA437" s="5">
        <v>0.0</v>
      </c>
    </row>
    <row r="438" ht="14.25" customHeight="1">
      <c r="B438" s="5">
        <v>12.0</v>
      </c>
      <c r="C438" s="5" t="s">
        <v>1711</v>
      </c>
      <c r="D438" s="5">
        <v>81.0</v>
      </c>
      <c r="E438" s="5">
        <v>1664.0</v>
      </c>
      <c r="F438" s="18" t="s">
        <v>1925</v>
      </c>
      <c r="G438" s="5" t="s">
        <v>1926</v>
      </c>
      <c r="H438" s="5" t="s">
        <v>1800</v>
      </c>
      <c r="I438" s="5" t="s">
        <v>1664</v>
      </c>
      <c r="J438" s="5" t="s">
        <v>1715</v>
      </c>
      <c r="K438" s="5">
        <v>1.0</v>
      </c>
      <c r="L438" s="5">
        <v>2067.0</v>
      </c>
      <c r="AO438" s="5" t="s">
        <v>1925</v>
      </c>
      <c r="AP438" s="5">
        <v>81.0</v>
      </c>
      <c r="AQ438" s="5" t="s">
        <v>1716</v>
      </c>
      <c r="AR438" s="5" t="s">
        <v>1717</v>
      </c>
      <c r="AS438" s="5" t="s">
        <v>1718</v>
      </c>
      <c r="AT438" s="5" t="s">
        <v>1719</v>
      </c>
      <c r="AU438" s="5" t="s">
        <v>1703</v>
      </c>
      <c r="AV438" s="5" t="s">
        <v>1720</v>
      </c>
      <c r="AW438" s="5" t="s">
        <v>1705</v>
      </c>
      <c r="AX438" s="5" t="s">
        <v>1837</v>
      </c>
      <c r="AY438" s="5">
        <v>50.3</v>
      </c>
      <c r="AZ438" s="5">
        <v>-124.3</v>
      </c>
      <c r="BA438" s="5">
        <v>0.0</v>
      </c>
    </row>
    <row r="439" ht="14.25" customHeight="1">
      <c r="A439" s="5" t="s">
        <v>88</v>
      </c>
      <c r="B439" s="5">
        <v>12.0</v>
      </c>
      <c r="C439" s="5" t="s">
        <v>1711</v>
      </c>
      <c r="D439" s="5">
        <v>82.0</v>
      </c>
      <c r="E439" s="5">
        <v>1665.0</v>
      </c>
      <c r="F439" s="5" t="s">
        <v>1927</v>
      </c>
      <c r="G439" s="10" t="s">
        <v>1928</v>
      </c>
      <c r="H439" s="5" t="s">
        <v>1929</v>
      </c>
      <c r="I439" s="5" t="s">
        <v>641</v>
      </c>
      <c r="J439" s="5" t="s">
        <v>1736</v>
      </c>
      <c r="K439" s="5">
        <v>1.0</v>
      </c>
      <c r="L439" s="5">
        <v>2068.0</v>
      </c>
      <c r="M439" s="11">
        <v>51.18908</v>
      </c>
      <c r="N439" s="11">
        <v>-125.02807</v>
      </c>
      <c r="O439" s="11" t="s">
        <v>51</v>
      </c>
      <c r="P439" s="11">
        <v>82.0</v>
      </c>
      <c r="Q439" s="22">
        <v>2.0</v>
      </c>
      <c r="R439" s="11" t="s">
        <v>1927</v>
      </c>
      <c r="S439" s="11" t="s">
        <v>1737</v>
      </c>
      <c r="T439" s="11">
        <v>126.0</v>
      </c>
      <c r="U439" s="11"/>
      <c r="V439" s="11"/>
      <c r="W439" s="23">
        <v>29952.0</v>
      </c>
      <c r="X439" s="11" t="s">
        <v>1738</v>
      </c>
      <c r="AO439" s="5" t="s">
        <v>1927</v>
      </c>
      <c r="AP439" s="5">
        <v>82.0</v>
      </c>
      <c r="AQ439" s="5" t="s">
        <v>1716</v>
      </c>
      <c r="AR439" s="5" t="s">
        <v>1701</v>
      </c>
      <c r="AS439" s="5" t="s">
        <v>1740</v>
      </c>
      <c r="AT439" s="5" t="s">
        <v>1741</v>
      </c>
      <c r="AU439" s="5" t="s">
        <v>1742</v>
      </c>
      <c r="AV439" s="5" t="s">
        <v>1720</v>
      </c>
      <c r="AW439" s="5" t="s">
        <v>1705</v>
      </c>
      <c r="AX439" s="5" t="s">
        <v>1837</v>
      </c>
      <c r="AY439" s="5">
        <v>51.1891</v>
      </c>
      <c r="AZ439" s="5">
        <v>-125.0281</v>
      </c>
      <c r="BA439" s="5">
        <v>122.0</v>
      </c>
    </row>
    <row r="440" ht="14.25" customHeight="1">
      <c r="A440" s="5" t="s">
        <v>422</v>
      </c>
      <c r="B440" s="5">
        <v>12.0</v>
      </c>
      <c r="C440" s="5" t="s">
        <v>1707</v>
      </c>
      <c r="D440" s="5">
        <v>83.0</v>
      </c>
      <c r="E440" s="5">
        <v>12964.0</v>
      </c>
      <c r="F440" s="51" t="s">
        <v>1930</v>
      </c>
      <c r="G440" s="51" t="s">
        <v>127</v>
      </c>
      <c r="H440" s="5" t="s">
        <v>1697</v>
      </c>
      <c r="I440" s="5" t="s">
        <v>49</v>
      </c>
      <c r="J440" s="5" t="s">
        <v>1746</v>
      </c>
      <c r="K440" s="5">
        <v>1.0</v>
      </c>
      <c r="L440" s="5">
        <v>14896.0</v>
      </c>
      <c r="AO440" s="50" t="s">
        <v>1931</v>
      </c>
      <c r="AP440" s="50">
        <v>83.0</v>
      </c>
      <c r="AQ440" s="50" t="s">
        <v>1700</v>
      </c>
      <c r="AR440" s="50" t="s">
        <v>1739</v>
      </c>
      <c r="AS440" s="50" t="s">
        <v>1702</v>
      </c>
      <c r="AT440" s="50" t="s">
        <v>1703</v>
      </c>
      <c r="AU440" s="50" t="s">
        <v>1704</v>
      </c>
      <c r="AV440" s="50" t="s">
        <v>1702</v>
      </c>
      <c r="AW440" s="50" t="s">
        <v>1705</v>
      </c>
      <c r="AX440" s="50" t="s">
        <v>1879</v>
      </c>
      <c r="AY440" s="50">
        <v>49.7824</v>
      </c>
      <c r="AZ440" s="50">
        <v>-123.1619</v>
      </c>
      <c r="BA440" s="50">
        <v>60.0</v>
      </c>
    </row>
    <row r="441" ht="14.25" customHeight="1">
      <c r="B441" s="5">
        <v>12.0</v>
      </c>
      <c r="C441" s="5" t="s">
        <v>1711</v>
      </c>
      <c r="D441" s="5">
        <v>84.0</v>
      </c>
      <c r="E441" s="5">
        <v>1666.0</v>
      </c>
      <c r="F441" s="18" t="s">
        <v>1932</v>
      </c>
      <c r="G441" s="5" t="s">
        <v>1933</v>
      </c>
      <c r="H441" s="5" t="s">
        <v>1934</v>
      </c>
      <c r="I441" s="5" t="s">
        <v>1664</v>
      </c>
      <c r="J441" s="5" t="s">
        <v>1746</v>
      </c>
      <c r="K441" s="5">
        <v>1.0</v>
      </c>
      <c r="L441" s="5">
        <v>2069.0</v>
      </c>
      <c r="AO441" s="5" t="s">
        <v>1932</v>
      </c>
      <c r="AP441" s="5">
        <v>84.0</v>
      </c>
      <c r="AQ441" s="5" t="s">
        <v>1716</v>
      </c>
      <c r="AR441" s="5" t="s">
        <v>1717</v>
      </c>
      <c r="AS441" s="5" t="s">
        <v>1718</v>
      </c>
      <c r="AT441" s="5" t="s">
        <v>1719</v>
      </c>
      <c r="AU441" s="5" t="s">
        <v>1703</v>
      </c>
      <c r="AV441" s="5" t="s">
        <v>1720</v>
      </c>
      <c r="AW441" s="5" t="s">
        <v>1705</v>
      </c>
      <c r="AX441" s="5" t="s">
        <v>1723</v>
      </c>
      <c r="AY441" s="5">
        <v>50.7</v>
      </c>
      <c r="AZ441" s="5">
        <v>-125.2</v>
      </c>
      <c r="BA441" s="5">
        <v>7.0</v>
      </c>
    </row>
    <row r="442" ht="14.25" customHeight="1">
      <c r="B442" s="5">
        <v>12.0</v>
      </c>
      <c r="C442" s="5" t="s">
        <v>1711</v>
      </c>
      <c r="D442" s="5">
        <v>85.0</v>
      </c>
      <c r="E442" s="5">
        <v>1667.0</v>
      </c>
      <c r="F442" s="18" t="s">
        <v>1935</v>
      </c>
      <c r="G442" s="5" t="s">
        <v>1936</v>
      </c>
      <c r="H442" s="5" t="s">
        <v>1937</v>
      </c>
      <c r="I442" s="5" t="s">
        <v>641</v>
      </c>
      <c r="J442" s="5" t="s">
        <v>1715</v>
      </c>
      <c r="K442" s="5">
        <v>1.0</v>
      </c>
      <c r="L442" s="5">
        <v>2070.0</v>
      </c>
      <c r="AO442" s="5" t="s">
        <v>1935</v>
      </c>
      <c r="AP442" s="5">
        <v>85.0</v>
      </c>
      <c r="AQ442" s="5" t="s">
        <v>1716</v>
      </c>
      <c r="AR442" s="5" t="s">
        <v>1717</v>
      </c>
      <c r="AS442" s="5" t="s">
        <v>1718</v>
      </c>
      <c r="AT442" s="5" t="s">
        <v>1703</v>
      </c>
      <c r="AU442" s="5" t="s">
        <v>1703</v>
      </c>
      <c r="AV442" s="5" t="s">
        <v>1720</v>
      </c>
      <c r="AW442" s="5" t="s">
        <v>1705</v>
      </c>
      <c r="AX442" s="5" t="s">
        <v>1837</v>
      </c>
      <c r="AY442" s="5">
        <v>49.7567</v>
      </c>
      <c r="AZ442" s="5">
        <v>-123.5083</v>
      </c>
      <c r="BA442" s="5">
        <v>18.0</v>
      </c>
    </row>
    <row r="443" ht="14.25" customHeight="1">
      <c r="A443" s="5" t="s">
        <v>88</v>
      </c>
      <c r="B443" s="5">
        <v>12.0</v>
      </c>
      <c r="C443" s="5" t="s">
        <v>1711</v>
      </c>
      <c r="D443" s="5">
        <v>86.0</v>
      </c>
      <c r="E443" s="5">
        <v>1668.0</v>
      </c>
      <c r="F443" s="18" t="s">
        <v>1938</v>
      </c>
      <c r="G443" s="10" t="s">
        <v>1939</v>
      </c>
      <c r="H443" s="5" t="s">
        <v>1940</v>
      </c>
      <c r="I443" s="5" t="s">
        <v>1664</v>
      </c>
      <c r="J443" s="5" t="s">
        <v>1715</v>
      </c>
      <c r="K443" s="5">
        <v>1.0</v>
      </c>
      <c r="L443" s="5">
        <v>2071.0</v>
      </c>
      <c r="AO443" s="5" t="s">
        <v>1938</v>
      </c>
      <c r="AP443" s="5">
        <v>86.0</v>
      </c>
      <c r="AQ443" s="5" t="s">
        <v>1716</v>
      </c>
      <c r="AR443" s="5" t="s">
        <v>1717</v>
      </c>
      <c r="AS443" s="5" t="s">
        <v>1718</v>
      </c>
      <c r="AT443" s="5" t="s">
        <v>1719</v>
      </c>
      <c r="AU443" s="5" t="s">
        <v>1703</v>
      </c>
      <c r="AV443" s="5" t="s">
        <v>1720</v>
      </c>
      <c r="AW443" s="5" t="s">
        <v>1705</v>
      </c>
      <c r="AX443" s="5" t="s">
        <v>1837</v>
      </c>
      <c r="AY443" s="5">
        <v>50.6</v>
      </c>
      <c r="AZ443" s="5">
        <v>-124.7</v>
      </c>
      <c r="BA443" s="5">
        <v>6.0</v>
      </c>
    </row>
    <row r="444" ht="14.25" customHeight="1">
      <c r="B444" s="5">
        <v>12.0</v>
      </c>
      <c r="C444" s="5" t="s">
        <v>1711</v>
      </c>
      <c r="D444" s="5">
        <v>87.0</v>
      </c>
      <c r="E444" s="5">
        <v>1669.0</v>
      </c>
      <c r="F444" s="18" t="s">
        <v>1941</v>
      </c>
      <c r="G444" s="5" t="s">
        <v>1942</v>
      </c>
      <c r="H444" s="5" t="s">
        <v>1943</v>
      </c>
      <c r="I444" s="5" t="s">
        <v>641</v>
      </c>
      <c r="J444" s="5" t="s">
        <v>1715</v>
      </c>
      <c r="K444" s="5">
        <v>1.0</v>
      </c>
      <c r="L444" s="5">
        <v>2072.0</v>
      </c>
      <c r="AO444" s="5" t="s">
        <v>1941</v>
      </c>
      <c r="AP444" s="5">
        <v>87.0</v>
      </c>
      <c r="AQ444" s="5" t="s">
        <v>1716</v>
      </c>
      <c r="AR444" s="5" t="s">
        <v>1717</v>
      </c>
      <c r="AS444" s="5" t="s">
        <v>1718</v>
      </c>
      <c r="AT444" s="5" t="s">
        <v>1703</v>
      </c>
      <c r="AU444" s="5" t="s">
        <v>1703</v>
      </c>
      <c r="AV444" s="5" t="s">
        <v>1720</v>
      </c>
      <c r="AW444" s="5" t="s">
        <v>1705</v>
      </c>
      <c r="AX444" s="5" t="s">
        <v>1710</v>
      </c>
      <c r="AY444" s="5">
        <v>50.8</v>
      </c>
      <c r="AZ444" s="5">
        <v>-125.8</v>
      </c>
      <c r="BA444" s="5">
        <v>300.0</v>
      </c>
    </row>
    <row r="445" ht="14.25" customHeight="1">
      <c r="A445" s="5" t="s">
        <v>422</v>
      </c>
      <c r="B445" s="5">
        <v>12.0</v>
      </c>
      <c r="C445" s="5" t="s">
        <v>1944</v>
      </c>
      <c r="D445" s="5">
        <v>88.0</v>
      </c>
      <c r="E445" s="5">
        <v>12965.0</v>
      </c>
      <c r="F445" s="51" t="s">
        <v>1945</v>
      </c>
      <c r="G445" s="51" t="s">
        <v>127</v>
      </c>
      <c r="H445" s="5" t="s">
        <v>1697</v>
      </c>
      <c r="I445" s="5" t="s">
        <v>49</v>
      </c>
      <c r="J445" s="5" t="s">
        <v>1746</v>
      </c>
      <c r="K445" s="5">
        <v>1.0</v>
      </c>
      <c r="L445" s="5">
        <v>14897.0</v>
      </c>
      <c r="AO445" s="50" t="s">
        <v>1946</v>
      </c>
      <c r="AP445" s="50">
        <v>88.0</v>
      </c>
      <c r="AQ445" s="50" t="s">
        <v>1700</v>
      </c>
      <c r="AR445" s="50" t="s">
        <v>1701</v>
      </c>
      <c r="AS445" s="50" t="s">
        <v>1702</v>
      </c>
      <c r="AT445" s="50" t="s">
        <v>1703</v>
      </c>
      <c r="AU445" s="50" t="s">
        <v>1704</v>
      </c>
      <c r="AV445" s="50" t="s">
        <v>1702</v>
      </c>
      <c r="AW445" s="50" t="s">
        <v>1947</v>
      </c>
      <c r="AX445" s="50" t="s">
        <v>1948</v>
      </c>
      <c r="AY445" s="50">
        <v>54.3</v>
      </c>
      <c r="AZ445" s="50">
        <v>-130.4</v>
      </c>
      <c r="BA445" s="50">
        <v>35.0</v>
      </c>
    </row>
    <row r="446" ht="14.25" customHeight="1">
      <c r="B446" s="5">
        <v>12.0</v>
      </c>
      <c r="C446" s="5" t="s">
        <v>1711</v>
      </c>
      <c r="D446" s="5">
        <v>91.0</v>
      </c>
      <c r="E446" s="5">
        <v>1670.0</v>
      </c>
      <c r="F446" s="18" t="s">
        <v>1949</v>
      </c>
      <c r="G446" s="5" t="s">
        <v>1950</v>
      </c>
      <c r="H446" s="5" t="s">
        <v>1951</v>
      </c>
      <c r="I446" s="5" t="s">
        <v>1664</v>
      </c>
      <c r="J446" s="5" t="s">
        <v>1715</v>
      </c>
      <c r="K446" s="5">
        <v>1.0</v>
      </c>
      <c r="L446" s="5">
        <v>2073.0</v>
      </c>
      <c r="AO446" s="5" t="s">
        <v>1949</v>
      </c>
      <c r="AP446" s="5">
        <v>91.0</v>
      </c>
      <c r="AQ446" s="5" t="s">
        <v>1716</v>
      </c>
      <c r="AR446" s="5" t="s">
        <v>1717</v>
      </c>
      <c r="AS446" s="5" t="s">
        <v>1718</v>
      </c>
      <c r="AT446" s="5" t="s">
        <v>1719</v>
      </c>
      <c r="AU446" s="5" t="s">
        <v>1703</v>
      </c>
      <c r="AV446" s="5" t="s">
        <v>1720</v>
      </c>
      <c r="AW446" s="5" t="s">
        <v>1705</v>
      </c>
      <c r="AX446" s="5" t="s">
        <v>1952</v>
      </c>
      <c r="AY446" s="5">
        <v>53.7</v>
      </c>
      <c r="AZ446" s="5">
        <v>-132.3</v>
      </c>
      <c r="BA446" s="5">
        <v>0.0</v>
      </c>
    </row>
    <row r="447" ht="14.25" customHeight="1">
      <c r="A447" s="5" t="s">
        <v>88</v>
      </c>
      <c r="B447" s="5">
        <v>12.0</v>
      </c>
      <c r="C447" s="5" t="s">
        <v>1711</v>
      </c>
      <c r="D447" s="5">
        <v>93.0</v>
      </c>
      <c r="E447" s="5">
        <v>1671.0</v>
      </c>
      <c r="F447" s="5" t="s">
        <v>1953</v>
      </c>
      <c r="G447" s="10" t="s">
        <v>1954</v>
      </c>
      <c r="H447" s="5" t="s">
        <v>1955</v>
      </c>
      <c r="I447" s="5" t="s">
        <v>641</v>
      </c>
      <c r="J447" s="5" t="s">
        <v>1865</v>
      </c>
      <c r="K447" s="5">
        <v>1.0</v>
      </c>
      <c r="L447" s="5">
        <v>2074.0</v>
      </c>
      <c r="M447" s="11">
        <v>53.25322778</v>
      </c>
      <c r="N447" s="11">
        <v>-131.884375</v>
      </c>
      <c r="O447" s="11" t="s">
        <v>51</v>
      </c>
      <c r="P447" s="11">
        <v>93.0</v>
      </c>
      <c r="Q447" s="22">
        <v>1.0</v>
      </c>
      <c r="R447" s="11" t="s">
        <v>1953</v>
      </c>
      <c r="S447" s="11" t="s">
        <v>1737</v>
      </c>
      <c r="T447" s="11">
        <v>17.0</v>
      </c>
      <c r="U447" s="11" t="s">
        <v>645</v>
      </c>
      <c r="V447" s="11"/>
      <c r="W447" s="23">
        <v>31413.0</v>
      </c>
      <c r="X447" s="11" t="s">
        <v>1738</v>
      </c>
      <c r="AO447" s="5" t="s">
        <v>1953</v>
      </c>
      <c r="AP447" s="5">
        <v>93.0</v>
      </c>
      <c r="AQ447" s="5" t="s">
        <v>1700</v>
      </c>
      <c r="AR447" s="5" t="s">
        <v>1739</v>
      </c>
      <c r="AS447" s="5" t="s">
        <v>1740</v>
      </c>
      <c r="AT447" s="5" t="s">
        <v>1835</v>
      </c>
      <c r="AU447" s="5" t="s">
        <v>1772</v>
      </c>
      <c r="AV447" s="5" t="s">
        <v>1720</v>
      </c>
      <c r="AW447" s="5" t="s">
        <v>1705</v>
      </c>
      <c r="AX447" s="5" t="s">
        <v>1883</v>
      </c>
      <c r="AY447" s="5">
        <v>53.2532</v>
      </c>
      <c r="AZ447" s="5">
        <v>-132.1156</v>
      </c>
      <c r="BA447" s="5">
        <v>21.0</v>
      </c>
    </row>
    <row r="448" ht="14.25" customHeight="1">
      <c r="B448" s="5">
        <v>12.0</v>
      </c>
      <c r="C448" s="5" t="s">
        <v>1711</v>
      </c>
      <c r="D448" s="5">
        <v>97.0</v>
      </c>
      <c r="E448" s="5">
        <v>1672.0</v>
      </c>
      <c r="F448" s="18" t="s">
        <v>1956</v>
      </c>
      <c r="G448" s="5" t="s">
        <v>1957</v>
      </c>
      <c r="H448" s="5" t="s">
        <v>1958</v>
      </c>
      <c r="I448" s="5" t="s">
        <v>641</v>
      </c>
      <c r="J448" s="5" t="s">
        <v>1715</v>
      </c>
      <c r="K448" s="5">
        <v>1.0</v>
      </c>
      <c r="L448" s="5">
        <v>2075.0</v>
      </c>
      <c r="AO448" s="5" t="s">
        <v>1956</v>
      </c>
      <c r="AP448" s="5">
        <v>97.0</v>
      </c>
      <c r="AQ448" s="5" t="s">
        <v>1716</v>
      </c>
      <c r="AR448" s="5" t="s">
        <v>1717</v>
      </c>
      <c r="AS448" s="5" t="s">
        <v>1718</v>
      </c>
      <c r="AT448" s="5" t="s">
        <v>1719</v>
      </c>
      <c r="AU448" s="5" t="s">
        <v>1959</v>
      </c>
      <c r="AV448" s="5" t="s">
        <v>1720</v>
      </c>
      <c r="AW448" s="5" t="s">
        <v>1947</v>
      </c>
      <c r="AX448" s="5" t="s">
        <v>1952</v>
      </c>
      <c r="AY448" s="5">
        <v>53.15</v>
      </c>
      <c r="AZ448" s="5">
        <v>-131.86</v>
      </c>
      <c r="BA448" s="5">
        <v>287.0</v>
      </c>
    </row>
    <row r="449" ht="14.25" customHeight="1">
      <c r="B449" s="5">
        <v>12.0</v>
      </c>
      <c r="C449" s="5" t="s">
        <v>1711</v>
      </c>
      <c r="D449" s="5">
        <v>98.0</v>
      </c>
      <c r="E449" s="5">
        <v>1673.0</v>
      </c>
      <c r="F449" s="18" t="s">
        <v>1960</v>
      </c>
      <c r="G449" s="5" t="s">
        <v>1961</v>
      </c>
      <c r="H449" s="5" t="s">
        <v>1962</v>
      </c>
      <c r="I449" s="5" t="s">
        <v>641</v>
      </c>
      <c r="J449" s="5" t="s">
        <v>1715</v>
      </c>
      <c r="K449" s="5">
        <v>1.0</v>
      </c>
      <c r="L449" s="5">
        <v>2076.0</v>
      </c>
      <c r="AO449" s="5" t="s">
        <v>1960</v>
      </c>
      <c r="AP449" s="5">
        <v>98.0</v>
      </c>
      <c r="AQ449" s="5" t="s">
        <v>1716</v>
      </c>
      <c r="AR449" s="5" t="s">
        <v>1717</v>
      </c>
      <c r="AS449" s="5" t="s">
        <v>1718</v>
      </c>
      <c r="AT449" s="5" t="s">
        <v>1703</v>
      </c>
      <c r="AU449" s="5" t="s">
        <v>1703</v>
      </c>
      <c r="AV449" s="5" t="s">
        <v>1720</v>
      </c>
      <c r="AW449" s="5" t="s">
        <v>1947</v>
      </c>
      <c r="AX449" s="5" t="s">
        <v>1948</v>
      </c>
      <c r="AY449" s="5">
        <v>55.4583</v>
      </c>
      <c r="AZ449" s="5">
        <v>-129.475</v>
      </c>
      <c r="BA449" s="5">
        <v>100.0</v>
      </c>
    </row>
    <row r="450" ht="14.25" customHeight="1">
      <c r="B450" s="5">
        <v>12.0</v>
      </c>
      <c r="C450" s="5" t="s">
        <v>1711</v>
      </c>
      <c r="D450" s="5">
        <v>99.0</v>
      </c>
      <c r="E450" s="5">
        <v>1674.0</v>
      </c>
      <c r="F450" s="18" t="s">
        <v>1963</v>
      </c>
      <c r="G450" s="5" t="s">
        <v>1964</v>
      </c>
      <c r="H450" s="5" t="s">
        <v>1714</v>
      </c>
      <c r="I450" s="5" t="s">
        <v>1664</v>
      </c>
      <c r="J450" s="5" t="s">
        <v>1715</v>
      </c>
      <c r="K450" s="5">
        <v>1.0</v>
      </c>
      <c r="L450" s="5">
        <v>2077.0</v>
      </c>
      <c r="AO450" s="5" t="s">
        <v>1963</v>
      </c>
      <c r="AP450" s="5">
        <v>99.0</v>
      </c>
      <c r="AQ450" s="5" t="s">
        <v>1716</v>
      </c>
      <c r="AR450" s="5" t="s">
        <v>1717</v>
      </c>
      <c r="AS450" s="5" t="s">
        <v>1718</v>
      </c>
      <c r="AT450" s="5" t="s">
        <v>1719</v>
      </c>
      <c r="AU450" s="5" t="s">
        <v>1703</v>
      </c>
      <c r="AV450" s="5" t="s">
        <v>1720</v>
      </c>
      <c r="AW450" s="5" t="s">
        <v>1705</v>
      </c>
      <c r="AX450" s="5" t="s">
        <v>1965</v>
      </c>
      <c r="AY450" s="5">
        <v>52.5</v>
      </c>
      <c r="AZ450" s="5">
        <v>-126.3</v>
      </c>
      <c r="BA450" s="5">
        <v>0.0</v>
      </c>
    </row>
    <row r="451" ht="14.25" customHeight="1">
      <c r="A451" s="5" t="s">
        <v>1908</v>
      </c>
      <c r="B451" s="5">
        <v>12.0</v>
      </c>
      <c r="C451" s="5" t="s">
        <v>1711</v>
      </c>
      <c r="D451" s="5">
        <v>101.0</v>
      </c>
      <c r="E451" s="5">
        <v>1675.0</v>
      </c>
      <c r="F451" s="10" t="s">
        <v>1966</v>
      </c>
      <c r="G451" s="10" t="s">
        <v>1967</v>
      </c>
      <c r="H451" s="5" t="s">
        <v>1968</v>
      </c>
      <c r="I451" s="5" t="s">
        <v>641</v>
      </c>
      <c r="J451" s="5" t="s">
        <v>1736</v>
      </c>
      <c r="K451" s="5">
        <v>1.0</v>
      </c>
      <c r="L451" s="5">
        <v>2078.0</v>
      </c>
      <c r="M451" s="11">
        <v>51.59312</v>
      </c>
      <c r="N451" s="11">
        <v>-126.45077</v>
      </c>
      <c r="O451" s="11" t="s">
        <v>51</v>
      </c>
      <c r="P451" s="11">
        <v>101.0</v>
      </c>
      <c r="Q451" s="22">
        <v>3.0</v>
      </c>
      <c r="R451" s="11" t="s">
        <v>1969</v>
      </c>
      <c r="S451" s="11" t="s">
        <v>1737</v>
      </c>
      <c r="T451" s="11">
        <v>332.0</v>
      </c>
      <c r="U451" s="11"/>
      <c r="V451" s="11"/>
      <c r="W451" s="23">
        <v>32874.0</v>
      </c>
      <c r="X451" s="11" t="s">
        <v>1738</v>
      </c>
      <c r="AO451" s="5" t="s">
        <v>1969</v>
      </c>
      <c r="AP451" s="5">
        <v>101.0</v>
      </c>
      <c r="AQ451" s="5" t="s">
        <v>1716</v>
      </c>
      <c r="AR451" s="5" t="s">
        <v>1739</v>
      </c>
      <c r="AS451" s="5" t="s">
        <v>1740</v>
      </c>
      <c r="AT451" s="5" t="s">
        <v>1741</v>
      </c>
      <c r="AU451" s="5" t="s">
        <v>1742</v>
      </c>
      <c r="AV451" s="5" t="s">
        <v>1720</v>
      </c>
      <c r="AW451" s="5" t="s">
        <v>1705</v>
      </c>
      <c r="AX451" s="5" t="s">
        <v>1965</v>
      </c>
      <c r="AY451" s="5">
        <v>51.5931</v>
      </c>
      <c r="AZ451" s="5">
        <v>-126.4508</v>
      </c>
      <c r="BA451" s="5">
        <v>344.0</v>
      </c>
    </row>
    <row r="452" ht="14.25" customHeight="1">
      <c r="A452" s="5" t="s">
        <v>422</v>
      </c>
      <c r="B452" s="5">
        <v>12.0</v>
      </c>
      <c r="C452" s="5" t="s">
        <v>1970</v>
      </c>
      <c r="D452" s="5">
        <v>103.0</v>
      </c>
      <c r="E452" s="5">
        <v>12966.0</v>
      </c>
      <c r="F452" s="5" t="s">
        <v>1971</v>
      </c>
      <c r="G452" s="5" t="s">
        <v>127</v>
      </c>
      <c r="H452" s="5" t="s">
        <v>1697</v>
      </c>
      <c r="I452" s="5" t="s">
        <v>49</v>
      </c>
      <c r="J452" s="5" t="s">
        <v>1698</v>
      </c>
      <c r="K452" s="5">
        <v>1.0</v>
      </c>
      <c r="L452" s="5">
        <v>14898.0</v>
      </c>
      <c r="AO452" s="50" t="s">
        <v>1972</v>
      </c>
      <c r="AP452" s="50">
        <v>103.0</v>
      </c>
      <c r="AQ452" s="50" t="s">
        <v>1716</v>
      </c>
      <c r="AR452" s="50" t="s">
        <v>1717</v>
      </c>
      <c r="AS452" s="50" t="s">
        <v>1702</v>
      </c>
      <c r="AT452" s="50" t="s">
        <v>1703</v>
      </c>
      <c r="AU452" s="50" t="s">
        <v>1704</v>
      </c>
      <c r="AV452" s="50" t="s">
        <v>1702</v>
      </c>
      <c r="AW452" s="50" t="s">
        <v>1947</v>
      </c>
      <c r="AX452" s="50" t="s">
        <v>1973</v>
      </c>
      <c r="AY452" s="50">
        <v>54.5</v>
      </c>
      <c r="AZ452" s="50">
        <v>-128.6</v>
      </c>
      <c r="BA452" s="50">
        <v>217.0</v>
      </c>
    </row>
    <row r="453" ht="14.25" customHeight="1">
      <c r="B453" s="5">
        <v>12.0</v>
      </c>
      <c r="C453" s="5" t="s">
        <v>1711</v>
      </c>
      <c r="D453" s="5">
        <v>104.0</v>
      </c>
      <c r="E453" s="5">
        <v>1676.0</v>
      </c>
      <c r="F453" s="18" t="s">
        <v>1974</v>
      </c>
      <c r="G453" s="5" t="s">
        <v>1975</v>
      </c>
      <c r="H453" s="5" t="s">
        <v>1976</v>
      </c>
      <c r="I453" s="5" t="s">
        <v>641</v>
      </c>
      <c r="J453" s="5" t="s">
        <v>1715</v>
      </c>
      <c r="K453" s="5">
        <v>1.0</v>
      </c>
      <c r="L453" s="5">
        <v>2079.0</v>
      </c>
      <c r="AO453" s="5" t="s">
        <v>1974</v>
      </c>
      <c r="AP453" s="5">
        <v>104.0</v>
      </c>
      <c r="AQ453" s="5" t="s">
        <v>1716</v>
      </c>
      <c r="AR453" s="5" t="s">
        <v>1717</v>
      </c>
      <c r="AS453" s="5" t="s">
        <v>1718</v>
      </c>
      <c r="AT453" s="5" t="s">
        <v>1703</v>
      </c>
      <c r="AU453" s="5" t="s">
        <v>1703</v>
      </c>
      <c r="AV453" s="5" t="s">
        <v>1720</v>
      </c>
      <c r="AW453" s="5" t="s">
        <v>1947</v>
      </c>
      <c r="AX453" s="5" t="s">
        <v>1973</v>
      </c>
      <c r="AY453" s="5">
        <v>53.5633</v>
      </c>
      <c r="AZ453" s="5">
        <v>-127.9433</v>
      </c>
      <c r="BA453" s="5">
        <v>17.0</v>
      </c>
    </row>
    <row r="454" ht="14.25" customHeight="1">
      <c r="A454" s="5" t="s">
        <v>88</v>
      </c>
      <c r="B454" s="5">
        <v>12.0</v>
      </c>
      <c r="C454" s="5" t="s">
        <v>1711</v>
      </c>
      <c r="D454" s="5">
        <v>105.0</v>
      </c>
      <c r="E454" s="5">
        <v>1677.0</v>
      </c>
      <c r="F454" s="5" t="s">
        <v>1483</v>
      </c>
      <c r="G454" s="10" t="s">
        <v>1977</v>
      </c>
      <c r="H454" s="5" t="s">
        <v>1978</v>
      </c>
      <c r="I454" s="5" t="s">
        <v>641</v>
      </c>
      <c r="J454" s="5" t="s">
        <v>1865</v>
      </c>
      <c r="K454" s="5">
        <v>1.0</v>
      </c>
      <c r="L454" s="5">
        <v>2080.0</v>
      </c>
      <c r="M454" s="11">
        <v>54.91693</v>
      </c>
      <c r="N454" s="11">
        <v>-128.85965</v>
      </c>
      <c r="O454" s="11" t="s">
        <v>51</v>
      </c>
      <c r="P454" s="11">
        <v>105.0</v>
      </c>
      <c r="Q454" s="22">
        <v>2.0</v>
      </c>
      <c r="R454" s="11" t="s">
        <v>1483</v>
      </c>
      <c r="S454" s="11" t="s">
        <v>1737</v>
      </c>
      <c r="T454" s="11">
        <v>239.0</v>
      </c>
      <c r="U454" s="11"/>
      <c r="V454" s="11"/>
      <c r="W454" s="23">
        <v>32874.0</v>
      </c>
      <c r="X454" s="11" t="s">
        <v>1738</v>
      </c>
      <c r="AO454" s="5" t="s">
        <v>1483</v>
      </c>
      <c r="AP454" s="5">
        <v>105.0</v>
      </c>
      <c r="AQ454" s="5" t="s">
        <v>1716</v>
      </c>
      <c r="AR454" s="5" t="s">
        <v>1739</v>
      </c>
      <c r="AS454" s="5" t="s">
        <v>1740</v>
      </c>
      <c r="AT454" s="5" t="s">
        <v>1741</v>
      </c>
      <c r="AU454" s="5" t="s">
        <v>1742</v>
      </c>
      <c r="AV454" s="5" t="s">
        <v>1720</v>
      </c>
      <c r="AW454" s="5" t="s">
        <v>1947</v>
      </c>
      <c r="AX454" s="5" t="s">
        <v>1973</v>
      </c>
      <c r="AY454" s="5">
        <v>54.9168</v>
      </c>
      <c r="AZ454" s="5">
        <v>-128.8597</v>
      </c>
      <c r="BA454" s="5">
        <v>239.0</v>
      </c>
    </row>
    <row r="455" ht="14.25" customHeight="1">
      <c r="A455" s="5" t="s">
        <v>88</v>
      </c>
      <c r="B455" s="5">
        <v>12.0</v>
      </c>
      <c r="C455" s="5" t="s">
        <v>1711</v>
      </c>
      <c r="D455" s="5">
        <v>106.0</v>
      </c>
      <c r="E455" s="5">
        <v>1678.0</v>
      </c>
      <c r="F455" s="5" t="s">
        <v>1979</v>
      </c>
      <c r="G455" s="10" t="s">
        <v>1980</v>
      </c>
      <c r="H455" s="5" t="s">
        <v>1981</v>
      </c>
      <c r="I455" s="5" t="s">
        <v>641</v>
      </c>
      <c r="J455" s="5" t="s">
        <v>1736</v>
      </c>
      <c r="K455" s="5">
        <v>1.0</v>
      </c>
      <c r="L455" s="5">
        <v>2081.0</v>
      </c>
      <c r="M455" s="11">
        <v>54.1694</v>
      </c>
      <c r="N455" s="11">
        <v>-128.5758</v>
      </c>
      <c r="O455" s="11" t="s">
        <v>51</v>
      </c>
      <c r="P455" s="11">
        <v>106.0</v>
      </c>
      <c r="Q455" s="22">
        <v>1.0</v>
      </c>
      <c r="R455" s="11" t="s">
        <v>1979</v>
      </c>
      <c r="S455" s="11" t="s">
        <v>1737</v>
      </c>
      <c r="T455" s="11">
        <v>75.0</v>
      </c>
      <c r="U455" s="11" t="s">
        <v>645</v>
      </c>
      <c r="V455" s="11" t="s">
        <v>1830</v>
      </c>
      <c r="W455" s="23">
        <v>34700.0</v>
      </c>
      <c r="X455" s="11" t="s">
        <v>1738</v>
      </c>
      <c r="AO455" s="5" t="s">
        <v>1979</v>
      </c>
      <c r="AP455" s="5">
        <v>106.0</v>
      </c>
      <c r="AQ455" s="5" t="s">
        <v>1716</v>
      </c>
      <c r="AR455" s="5" t="s">
        <v>1739</v>
      </c>
      <c r="AS455" s="5" t="s">
        <v>1740</v>
      </c>
      <c r="AT455" s="5" t="s">
        <v>1741</v>
      </c>
      <c r="AU455" s="5" t="s">
        <v>1742</v>
      </c>
      <c r="AV455" s="5" t="s">
        <v>1720</v>
      </c>
      <c r="AW455" s="5" t="s">
        <v>1947</v>
      </c>
      <c r="AX455" s="5" t="s">
        <v>1973</v>
      </c>
      <c r="AY455" s="5">
        <v>54.1696</v>
      </c>
      <c r="AZ455" s="5">
        <v>-128.5759</v>
      </c>
      <c r="BA455" s="5">
        <v>55.0</v>
      </c>
    </row>
    <row r="456" ht="14.25" customHeight="1">
      <c r="A456" s="5" t="s">
        <v>88</v>
      </c>
      <c r="B456" s="5">
        <v>12.0</v>
      </c>
      <c r="C456" s="5" t="s">
        <v>1711</v>
      </c>
      <c r="D456" s="5">
        <v>108.0</v>
      </c>
      <c r="E456" s="5">
        <v>1679.0</v>
      </c>
      <c r="F456" s="5" t="s">
        <v>1982</v>
      </c>
      <c r="G456" s="10" t="s">
        <v>1983</v>
      </c>
      <c r="H456" s="5" t="s">
        <v>1984</v>
      </c>
      <c r="I456" s="5" t="s">
        <v>641</v>
      </c>
      <c r="J456" s="5" t="s">
        <v>1736</v>
      </c>
      <c r="K456" s="5">
        <v>1.0</v>
      </c>
      <c r="L456" s="5">
        <v>2082.0</v>
      </c>
      <c r="M456" s="11">
        <v>58.4</v>
      </c>
      <c r="N456" s="11">
        <v>-130.0</v>
      </c>
      <c r="O456" s="11" t="s">
        <v>1577</v>
      </c>
      <c r="P456" s="11">
        <v>108.0</v>
      </c>
      <c r="Q456" s="22">
        <v>1.0</v>
      </c>
      <c r="R456" s="11" t="s">
        <v>1985</v>
      </c>
      <c r="S456" s="11" t="s">
        <v>1737</v>
      </c>
      <c r="T456" s="11">
        <v>800.0</v>
      </c>
      <c r="U456" s="11"/>
      <c r="V456" s="11" t="s">
        <v>1830</v>
      </c>
      <c r="W456" s="23">
        <v>35065.0</v>
      </c>
      <c r="X456" s="11" t="s">
        <v>1738</v>
      </c>
      <c r="AO456" s="5" t="s">
        <v>1985</v>
      </c>
      <c r="AP456" s="5">
        <v>108.0</v>
      </c>
      <c r="AQ456" s="5" t="s">
        <v>1716</v>
      </c>
      <c r="AR456" s="5" t="s">
        <v>1739</v>
      </c>
      <c r="AS456" s="5" t="s">
        <v>1740</v>
      </c>
      <c r="AT456" s="5" t="s">
        <v>1741</v>
      </c>
      <c r="AU456" s="5" t="s">
        <v>1742</v>
      </c>
      <c r="AV456" s="5" t="s">
        <v>1720</v>
      </c>
      <c r="AW456" s="5" t="s">
        <v>1947</v>
      </c>
      <c r="AX456" s="5" t="s">
        <v>1986</v>
      </c>
      <c r="AY456" s="5">
        <v>58.4258</v>
      </c>
      <c r="AZ456" s="5">
        <v>-130.0187</v>
      </c>
      <c r="BA456" s="5">
        <v>797.0</v>
      </c>
    </row>
    <row r="457" ht="14.25" customHeight="1">
      <c r="A457" s="5" t="s">
        <v>88</v>
      </c>
      <c r="B457" s="5">
        <v>12.0</v>
      </c>
      <c r="C457" s="5" t="s">
        <v>1711</v>
      </c>
      <c r="D457" s="5">
        <v>110.0</v>
      </c>
      <c r="E457" s="5">
        <v>1680.0</v>
      </c>
      <c r="F457" s="5" t="s">
        <v>1987</v>
      </c>
      <c r="G457" s="10" t="s">
        <v>1988</v>
      </c>
      <c r="H457" s="5" t="s">
        <v>1989</v>
      </c>
      <c r="I457" s="5" t="s">
        <v>641</v>
      </c>
      <c r="J457" s="5" t="s">
        <v>1736</v>
      </c>
      <c r="K457" s="5">
        <v>1.0</v>
      </c>
      <c r="L457" s="5">
        <v>2083.0</v>
      </c>
      <c r="M457" s="11">
        <v>57.91413</v>
      </c>
      <c r="N457" s="11">
        <v>-131.17115</v>
      </c>
      <c r="O457" s="11" t="s">
        <v>1577</v>
      </c>
      <c r="P457" s="11">
        <v>110.0</v>
      </c>
      <c r="Q457" s="22">
        <v>1.0</v>
      </c>
      <c r="R457" s="11" t="s">
        <v>1987</v>
      </c>
      <c r="S457" s="11" t="s">
        <v>1737</v>
      </c>
      <c r="T457" s="11">
        <v>382.0</v>
      </c>
      <c r="U457" s="11" t="s">
        <v>645</v>
      </c>
      <c r="V457" s="11" t="s">
        <v>1830</v>
      </c>
      <c r="W457" s="23">
        <v>28491.0</v>
      </c>
      <c r="X457" s="11" t="s">
        <v>1738</v>
      </c>
      <c r="AO457" s="5" t="s">
        <v>1987</v>
      </c>
      <c r="AP457" s="5">
        <v>110.0</v>
      </c>
      <c r="AQ457" s="5" t="s">
        <v>1716</v>
      </c>
      <c r="AR457" s="5" t="s">
        <v>1739</v>
      </c>
      <c r="AS457" s="5" t="s">
        <v>1740</v>
      </c>
      <c r="AT457" s="5" t="s">
        <v>1741</v>
      </c>
      <c r="AU457" s="5" t="s">
        <v>1742</v>
      </c>
      <c r="AV457" s="5" t="s">
        <v>1720</v>
      </c>
      <c r="AW457" s="5" t="s">
        <v>1947</v>
      </c>
      <c r="AX457" s="5" t="s">
        <v>1986</v>
      </c>
      <c r="AY457" s="5">
        <v>57.9141</v>
      </c>
      <c r="AZ457" s="5">
        <v>-131.1711</v>
      </c>
      <c r="BA457" s="5">
        <v>382.0</v>
      </c>
    </row>
    <row r="458" ht="14.25" customHeight="1">
      <c r="A458" s="5" t="s">
        <v>88</v>
      </c>
      <c r="B458" s="5">
        <v>12.0</v>
      </c>
      <c r="C458" s="5" t="s">
        <v>1711</v>
      </c>
      <c r="D458" s="5">
        <v>111.0</v>
      </c>
      <c r="E458" s="5">
        <v>1681.0</v>
      </c>
      <c r="F458" s="5" t="s">
        <v>1990</v>
      </c>
      <c r="G458" s="10" t="s">
        <v>1991</v>
      </c>
      <c r="H458" s="5" t="s">
        <v>1992</v>
      </c>
      <c r="I458" s="5" t="s">
        <v>641</v>
      </c>
      <c r="J458" s="5" t="s">
        <v>1736</v>
      </c>
      <c r="K458" s="5">
        <v>1.0</v>
      </c>
      <c r="L458" s="5">
        <v>2084.0</v>
      </c>
      <c r="M458" s="11">
        <v>59.58333</v>
      </c>
      <c r="N458" s="11">
        <v>-133.66667</v>
      </c>
      <c r="O458" s="11" t="s">
        <v>1577</v>
      </c>
      <c r="P458" s="16">
        <v>111.0</v>
      </c>
      <c r="Q458" s="22">
        <v>1.0</v>
      </c>
      <c r="R458" s="11" t="s">
        <v>1990</v>
      </c>
      <c r="S458" s="11" t="s">
        <v>1737</v>
      </c>
      <c r="T458" s="11">
        <v>729.0</v>
      </c>
      <c r="U458" s="11" t="s">
        <v>645</v>
      </c>
      <c r="V458" s="11" t="s">
        <v>1830</v>
      </c>
      <c r="W458" s="23">
        <v>28126.0</v>
      </c>
      <c r="X458" s="11" t="s">
        <v>1738</v>
      </c>
      <c r="AO458" s="5" t="s">
        <v>1990</v>
      </c>
      <c r="AP458" s="5">
        <v>111.0</v>
      </c>
      <c r="AQ458" s="5" t="s">
        <v>1716</v>
      </c>
      <c r="AR458" s="5" t="s">
        <v>1739</v>
      </c>
      <c r="AS458" s="5" t="s">
        <v>1740</v>
      </c>
      <c r="AT458" s="5" t="s">
        <v>1741</v>
      </c>
      <c r="AU458" s="5" t="s">
        <v>1742</v>
      </c>
      <c r="AV458" s="5" t="s">
        <v>1720</v>
      </c>
      <c r="AW458" s="5" t="s">
        <v>1947</v>
      </c>
      <c r="AX458" s="5" t="s">
        <v>1986</v>
      </c>
      <c r="AY458" s="5">
        <v>59.5845</v>
      </c>
      <c r="AZ458" s="5">
        <v>-133.6643</v>
      </c>
      <c r="BA458" s="5">
        <v>719.0</v>
      </c>
    </row>
    <row r="459" ht="14.25" customHeight="1">
      <c r="A459" s="5" t="s">
        <v>88</v>
      </c>
      <c r="B459" s="5">
        <v>12.0</v>
      </c>
      <c r="C459" s="5" t="s">
        <v>1711</v>
      </c>
      <c r="D459" s="5">
        <v>112.0</v>
      </c>
      <c r="E459" s="5">
        <v>1682.0</v>
      </c>
      <c r="F459" s="5" t="s">
        <v>1993</v>
      </c>
      <c r="G459" s="10" t="s">
        <v>1994</v>
      </c>
      <c r="H459" s="5" t="s">
        <v>1995</v>
      </c>
      <c r="I459" s="5" t="s">
        <v>641</v>
      </c>
      <c r="J459" s="5" t="s">
        <v>1736</v>
      </c>
      <c r="K459" s="5">
        <v>1.0</v>
      </c>
      <c r="L459" s="5">
        <v>2085.0</v>
      </c>
      <c r="M459" s="11">
        <v>57.85667</v>
      </c>
      <c r="N459" s="11">
        <v>-130.00833</v>
      </c>
      <c r="O459" s="11" t="s">
        <v>1577</v>
      </c>
      <c r="P459" s="11">
        <v>112.0</v>
      </c>
      <c r="Q459" s="22">
        <v>2.0</v>
      </c>
      <c r="R459" s="11" t="s">
        <v>1993</v>
      </c>
      <c r="S459" s="11" t="s">
        <v>1737</v>
      </c>
      <c r="T459" s="11">
        <v>890.0</v>
      </c>
      <c r="U459" s="11" t="s">
        <v>645</v>
      </c>
      <c r="V459" s="11" t="s">
        <v>1830</v>
      </c>
      <c r="W459" s="23">
        <v>28856.0</v>
      </c>
      <c r="X459" s="11" t="s">
        <v>1738</v>
      </c>
      <c r="AO459" s="5" t="s">
        <v>1993</v>
      </c>
      <c r="AP459" s="5">
        <v>112.0</v>
      </c>
      <c r="AQ459" s="5" t="s">
        <v>1716</v>
      </c>
      <c r="AR459" s="5" t="s">
        <v>1739</v>
      </c>
      <c r="AS459" s="5" t="s">
        <v>1740</v>
      </c>
      <c r="AT459" s="5" t="s">
        <v>1741</v>
      </c>
      <c r="AU459" s="5" t="s">
        <v>1742</v>
      </c>
      <c r="AV459" s="5" t="s">
        <v>1720</v>
      </c>
      <c r="AW459" s="5" t="s">
        <v>1947</v>
      </c>
      <c r="AX459" s="5" t="s">
        <v>1986</v>
      </c>
      <c r="AY459" s="5">
        <v>57.8617</v>
      </c>
      <c r="AZ459" s="5">
        <v>-130.0181</v>
      </c>
      <c r="BA459" s="5">
        <v>857.0</v>
      </c>
    </row>
    <row r="460" ht="14.25" customHeight="1">
      <c r="A460" s="5" t="s">
        <v>1908</v>
      </c>
      <c r="B460" s="5">
        <v>12.0</v>
      </c>
      <c r="C460" s="5" t="s">
        <v>1711</v>
      </c>
      <c r="D460" s="5">
        <v>113.0</v>
      </c>
      <c r="E460" s="5">
        <v>1683.0</v>
      </c>
      <c r="F460" s="10" t="s">
        <v>1996</v>
      </c>
      <c r="G460" s="10" t="s">
        <v>1997</v>
      </c>
      <c r="H460" s="5" t="s">
        <v>1998</v>
      </c>
      <c r="I460" s="5" t="s">
        <v>641</v>
      </c>
      <c r="J460" s="5" t="s">
        <v>1736</v>
      </c>
      <c r="K460" s="5">
        <v>1.0</v>
      </c>
      <c r="L460" s="5">
        <v>2086.0</v>
      </c>
      <c r="M460" s="11">
        <v>56.9809</v>
      </c>
      <c r="N460" s="11">
        <v>-130.2508</v>
      </c>
      <c r="O460" s="11" t="s">
        <v>1290</v>
      </c>
      <c r="P460" s="11">
        <v>113.0</v>
      </c>
      <c r="Q460" s="22">
        <v>1.0</v>
      </c>
      <c r="R460" s="11" t="s">
        <v>1999</v>
      </c>
      <c r="S460" s="11" t="s">
        <v>1737</v>
      </c>
      <c r="T460" s="11">
        <v>609.0</v>
      </c>
      <c r="U460" s="11" t="s">
        <v>645</v>
      </c>
      <c r="V460" s="11" t="s">
        <v>1830</v>
      </c>
      <c r="W460" s="23">
        <v>30682.0</v>
      </c>
      <c r="X460" s="11" t="s">
        <v>1738</v>
      </c>
      <c r="AO460" s="48" t="s">
        <v>1999</v>
      </c>
      <c r="AP460" s="48">
        <v>113.0</v>
      </c>
      <c r="AQ460" s="48" t="s">
        <v>1716</v>
      </c>
      <c r="AR460" s="48" t="s">
        <v>1739</v>
      </c>
      <c r="AS460" s="48" t="s">
        <v>1740</v>
      </c>
      <c r="AT460" s="48" t="s">
        <v>1741</v>
      </c>
      <c r="AU460" s="48" t="s">
        <v>1742</v>
      </c>
      <c r="AV460" s="48" t="s">
        <v>1720</v>
      </c>
      <c r="AW460" s="48" t="s">
        <v>1947</v>
      </c>
      <c r="AX460" s="48" t="s">
        <v>1986</v>
      </c>
      <c r="AY460" s="48">
        <v>56.9809</v>
      </c>
      <c r="AZ460" s="48">
        <v>-130.251</v>
      </c>
      <c r="BA460" s="48">
        <v>605.0</v>
      </c>
    </row>
    <row r="461" ht="14.25" customHeight="1">
      <c r="B461" s="5">
        <v>12.0</v>
      </c>
      <c r="C461" s="5" t="s">
        <v>1711</v>
      </c>
      <c r="D461" s="5">
        <v>116.0</v>
      </c>
      <c r="E461" s="5">
        <v>1684.0</v>
      </c>
      <c r="F461" s="18" t="s">
        <v>2000</v>
      </c>
      <c r="G461" s="5" t="s">
        <v>2001</v>
      </c>
      <c r="H461" s="5" t="s">
        <v>2002</v>
      </c>
      <c r="I461" s="5" t="s">
        <v>1664</v>
      </c>
      <c r="J461" s="5" t="s">
        <v>1715</v>
      </c>
      <c r="K461" s="5">
        <v>1.0</v>
      </c>
      <c r="L461" s="5">
        <v>2087.0</v>
      </c>
      <c r="AO461" s="5" t="s">
        <v>2000</v>
      </c>
      <c r="AP461" s="5">
        <v>116.0</v>
      </c>
      <c r="AQ461" s="5" t="s">
        <v>1716</v>
      </c>
      <c r="AR461" s="5" t="s">
        <v>1717</v>
      </c>
      <c r="AS461" s="5" t="s">
        <v>1718</v>
      </c>
      <c r="AT461" s="5" t="s">
        <v>1719</v>
      </c>
      <c r="AU461" s="5" t="s">
        <v>1703</v>
      </c>
      <c r="AV461" s="5" t="s">
        <v>1720</v>
      </c>
      <c r="AW461" s="5" t="s">
        <v>2003</v>
      </c>
      <c r="AX461" s="5" t="s">
        <v>2004</v>
      </c>
      <c r="AY461" s="5">
        <v>57.9</v>
      </c>
      <c r="AZ461" s="5">
        <v>-120.3</v>
      </c>
      <c r="BA461" s="5">
        <v>0.0</v>
      </c>
    </row>
    <row r="462" ht="14.25" customHeight="1">
      <c r="A462" s="5" t="s">
        <v>88</v>
      </c>
      <c r="B462" s="5">
        <v>12.0</v>
      </c>
      <c r="C462" s="5" t="s">
        <v>1711</v>
      </c>
      <c r="D462" s="5">
        <v>117.0</v>
      </c>
      <c r="E462" s="5">
        <v>1685.0</v>
      </c>
      <c r="F462" s="5" t="s">
        <v>2005</v>
      </c>
      <c r="G462" s="10" t="s">
        <v>2006</v>
      </c>
      <c r="H462" s="5" t="s">
        <v>2007</v>
      </c>
      <c r="I462" s="5" t="s">
        <v>641</v>
      </c>
      <c r="J462" s="5" t="s">
        <v>1865</v>
      </c>
      <c r="K462" s="5">
        <v>1.0</v>
      </c>
      <c r="L462" s="5">
        <v>2088.0</v>
      </c>
      <c r="M462" s="11">
        <v>58.83811</v>
      </c>
      <c r="N462" s="11">
        <v>-121.39666</v>
      </c>
      <c r="O462" s="11" t="s">
        <v>2008</v>
      </c>
      <c r="P462" s="11">
        <v>117.0</v>
      </c>
      <c r="Q462" s="22">
        <v>5.0</v>
      </c>
      <c r="R462" s="11" t="s">
        <v>2005</v>
      </c>
      <c r="S462" s="11" t="s">
        <v>1737</v>
      </c>
      <c r="T462" s="11">
        <v>584.0</v>
      </c>
      <c r="U462" s="11" t="s">
        <v>645</v>
      </c>
      <c r="V462" s="11"/>
      <c r="W462" s="23">
        <v>29587.0</v>
      </c>
      <c r="X462" s="11" t="s">
        <v>1738</v>
      </c>
      <c r="AO462" s="5" t="s">
        <v>2005</v>
      </c>
      <c r="AP462" s="5">
        <v>117.0</v>
      </c>
      <c r="AQ462" s="5" t="s">
        <v>1716</v>
      </c>
      <c r="AR462" s="5" t="s">
        <v>1739</v>
      </c>
      <c r="AS462" s="5" t="s">
        <v>1740</v>
      </c>
      <c r="AT462" s="5" t="s">
        <v>1741</v>
      </c>
      <c r="AU462" s="5" t="s">
        <v>1959</v>
      </c>
      <c r="AV462" s="5" t="s">
        <v>1720</v>
      </c>
      <c r="AW462" s="5" t="s">
        <v>2003</v>
      </c>
      <c r="AX462" s="5" t="s">
        <v>2009</v>
      </c>
      <c r="AY462" s="5">
        <v>58.8381</v>
      </c>
      <c r="AZ462" s="5">
        <v>-121.3967</v>
      </c>
      <c r="BA462" s="5">
        <v>573.0</v>
      </c>
    </row>
    <row r="463" ht="14.25" customHeight="1">
      <c r="A463" s="5" t="s">
        <v>88</v>
      </c>
      <c r="B463" s="5">
        <v>12.0</v>
      </c>
      <c r="C463" s="5" t="s">
        <v>1711</v>
      </c>
      <c r="D463" s="5">
        <v>118.0</v>
      </c>
      <c r="E463" s="5">
        <v>1686.0</v>
      </c>
      <c r="F463" s="5" t="s">
        <v>2010</v>
      </c>
      <c r="G463" s="10" t="s">
        <v>2011</v>
      </c>
      <c r="H463" s="5" t="s">
        <v>2012</v>
      </c>
      <c r="I463" s="5" t="s">
        <v>641</v>
      </c>
      <c r="J463" s="5" t="s">
        <v>1736</v>
      </c>
      <c r="K463" s="5">
        <v>1.0</v>
      </c>
      <c r="L463" s="5">
        <v>2089.0</v>
      </c>
      <c r="M463" s="11">
        <v>59.421</v>
      </c>
      <c r="N463" s="11">
        <v>-120.78892</v>
      </c>
      <c r="O463" s="11" t="s">
        <v>2008</v>
      </c>
      <c r="P463" s="11">
        <v>118.0</v>
      </c>
      <c r="Q463" s="22">
        <v>6.0</v>
      </c>
      <c r="R463" s="11" t="s">
        <v>2010</v>
      </c>
      <c r="S463" s="11" t="s">
        <v>1737</v>
      </c>
      <c r="T463" s="11">
        <v>598.0</v>
      </c>
      <c r="U463" s="11" t="s">
        <v>645</v>
      </c>
      <c r="V463" s="11"/>
      <c r="W463" s="23">
        <v>30317.0</v>
      </c>
      <c r="X463" s="11" t="s">
        <v>1738</v>
      </c>
      <c r="AO463" s="5" t="s">
        <v>2010</v>
      </c>
      <c r="AP463" s="5">
        <v>118.0</v>
      </c>
      <c r="AQ463" s="5" t="s">
        <v>1716</v>
      </c>
      <c r="AR463" s="5" t="s">
        <v>1739</v>
      </c>
      <c r="AS463" s="5" t="s">
        <v>1740</v>
      </c>
      <c r="AT463" s="5" t="s">
        <v>1741</v>
      </c>
      <c r="AU463" s="5" t="s">
        <v>1742</v>
      </c>
      <c r="AV463" s="5" t="s">
        <v>1720</v>
      </c>
      <c r="AW463" s="5" t="s">
        <v>2003</v>
      </c>
      <c r="AX463" s="5" t="s">
        <v>2009</v>
      </c>
      <c r="AY463" s="5">
        <v>59.4211</v>
      </c>
      <c r="AZ463" s="5">
        <v>-120.7889</v>
      </c>
      <c r="BA463" s="5">
        <v>588.0</v>
      </c>
    </row>
    <row r="464" ht="14.25" customHeight="1">
      <c r="A464" s="5" t="s">
        <v>88</v>
      </c>
      <c r="B464" s="5">
        <v>12.0</v>
      </c>
      <c r="C464" s="5" t="s">
        <v>1711</v>
      </c>
      <c r="D464" s="5">
        <v>119.0</v>
      </c>
      <c r="E464" s="5">
        <v>1687.0</v>
      </c>
      <c r="F464" s="5" t="s">
        <v>2013</v>
      </c>
      <c r="G464" s="10" t="s">
        <v>2014</v>
      </c>
      <c r="H464" s="5" t="s">
        <v>2015</v>
      </c>
      <c r="I464" s="5" t="s">
        <v>641</v>
      </c>
      <c r="J464" s="5" t="s">
        <v>1865</v>
      </c>
      <c r="K464" s="5">
        <v>1.0</v>
      </c>
      <c r="L464" s="5">
        <v>2090.0</v>
      </c>
      <c r="M464" s="11">
        <v>59.61728</v>
      </c>
      <c r="N464" s="11">
        <v>-124.09851</v>
      </c>
      <c r="O464" s="11" t="s">
        <v>2008</v>
      </c>
      <c r="P464" s="11">
        <v>119.0</v>
      </c>
      <c r="Q464" s="22">
        <v>6.0</v>
      </c>
      <c r="R464" s="11" t="s">
        <v>2013</v>
      </c>
      <c r="S464" s="11" t="s">
        <v>1737</v>
      </c>
      <c r="T464" s="11">
        <v>604.0</v>
      </c>
      <c r="U464" s="11"/>
      <c r="V464" s="11"/>
      <c r="W464" s="23">
        <v>31413.0</v>
      </c>
      <c r="X464" s="11" t="s">
        <v>1738</v>
      </c>
      <c r="AO464" s="5" t="s">
        <v>2013</v>
      </c>
      <c r="AP464" s="5">
        <v>119.0</v>
      </c>
      <c r="AQ464" s="5" t="s">
        <v>1716</v>
      </c>
      <c r="AR464" s="5" t="s">
        <v>1739</v>
      </c>
      <c r="AS464" s="5" t="s">
        <v>1740</v>
      </c>
      <c r="AT464" s="5" t="s">
        <v>1741</v>
      </c>
      <c r="AU464" s="5" t="s">
        <v>1742</v>
      </c>
      <c r="AV464" s="5" t="s">
        <v>1720</v>
      </c>
      <c r="AW464" s="5" t="s">
        <v>2003</v>
      </c>
      <c r="AX464" s="5" t="s">
        <v>2009</v>
      </c>
      <c r="AY464" s="5">
        <v>59.6173</v>
      </c>
      <c r="AZ464" s="5">
        <v>-124.0985</v>
      </c>
      <c r="BA464" s="5">
        <v>660.0</v>
      </c>
    </row>
    <row r="465" ht="14.25" customHeight="1">
      <c r="A465" s="5" t="s">
        <v>88</v>
      </c>
      <c r="B465" s="5">
        <v>12.0</v>
      </c>
      <c r="C465" s="5" t="s">
        <v>1711</v>
      </c>
      <c r="D465" s="5">
        <v>120.0</v>
      </c>
      <c r="E465" s="5">
        <v>1688.0</v>
      </c>
      <c r="F465" s="5" t="s">
        <v>2016</v>
      </c>
      <c r="G465" s="10" t="s">
        <v>2017</v>
      </c>
      <c r="H465" s="5" t="s">
        <v>2018</v>
      </c>
      <c r="I465" s="5" t="s">
        <v>641</v>
      </c>
      <c r="J465" s="5" t="s">
        <v>1865</v>
      </c>
      <c r="K465" s="5">
        <v>1.0</v>
      </c>
      <c r="L465" s="5">
        <v>2091.0</v>
      </c>
      <c r="M465" s="11">
        <v>57.49678</v>
      </c>
      <c r="N465" s="11">
        <v>-121.29695</v>
      </c>
      <c r="O465" s="11" t="s">
        <v>153</v>
      </c>
      <c r="P465" s="11">
        <v>120.0</v>
      </c>
      <c r="Q465" s="22">
        <v>6.0</v>
      </c>
      <c r="R465" s="11" t="s">
        <v>2016</v>
      </c>
      <c r="S465" s="11" t="s">
        <v>1737</v>
      </c>
      <c r="T465" s="11">
        <v>835.0</v>
      </c>
      <c r="U465" s="11"/>
      <c r="V465" s="11"/>
      <c r="W465" s="23">
        <v>31413.0</v>
      </c>
      <c r="X465" s="11" t="s">
        <v>1738</v>
      </c>
      <c r="AO465" s="5" t="s">
        <v>2016</v>
      </c>
      <c r="AP465" s="5">
        <v>120.0</v>
      </c>
      <c r="AQ465" s="5" t="s">
        <v>1716</v>
      </c>
      <c r="AR465" s="5" t="s">
        <v>1739</v>
      </c>
      <c r="AS465" s="5" t="s">
        <v>1740</v>
      </c>
      <c r="AT465" s="5" t="s">
        <v>1741</v>
      </c>
      <c r="AU465" s="5" t="s">
        <v>1742</v>
      </c>
      <c r="AV465" s="5" t="s">
        <v>1720</v>
      </c>
      <c r="AW465" s="5" t="s">
        <v>2003</v>
      </c>
      <c r="AX465" s="5" t="s">
        <v>2004</v>
      </c>
      <c r="AY465" s="5">
        <v>57.3745</v>
      </c>
      <c r="AZ465" s="5">
        <v>-121.4069</v>
      </c>
      <c r="BA465" s="5">
        <v>835.0</v>
      </c>
    </row>
    <row r="466" ht="14.25" customHeight="1">
      <c r="B466" s="5">
        <v>12.0</v>
      </c>
      <c r="C466" s="5" t="s">
        <v>1711</v>
      </c>
      <c r="D466" s="5">
        <v>121.0</v>
      </c>
      <c r="E466" s="5">
        <v>1689.0</v>
      </c>
      <c r="F466" s="5" t="s">
        <v>2019</v>
      </c>
      <c r="G466" s="5" t="s">
        <v>2020</v>
      </c>
      <c r="H466" s="5" t="s">
        <v>2021</v>
      </c>
      <c r="I466" s="5" t="s">
        <v>641</v>
      </c>
      <c r="J466" s="5" t="s">
        <v>1736</v>
      </c>
      <c r="K466" s="5">
        <v>1.0</v>
      </c>
      <c r="L466" s="5">
        <v>2092.0</v>
      </c>
      <c r="M466" s="11">
        <v>57.78181</v>
      </c>
      <c r="N466" s="11">
        <v>-120.2368</v>
      </c>
      <c r="O466" s="11" t="s">
        <v>153</v>
      </c>
      <c r="P466" s="11">
        <v>121.0</v>
      </c>
      <c r="Q466" s="22">
        <v>3.0</v>
      </c>
      <c r="R466" s="11" t="s">
        <v>2019</v>
      </c>
      <c r="S466" s="11" t="s">
        <v>1737</v>
      </c>
      <c r="T466" s="11">
        <v>729.0</v>
      </c>
      <c r="U466" s="11" t="s">
        <v>645</v>
      </c>
      <c r="V466" s="11"/>
      <c r="W466" s="23">
        <v>31413.0</v>
      </c>
      <c r="X466" s="11" t="s">
        <v>1738</v>
      </c>
      <c r="AO466" s="5" t="s">
        <v>2019</v>
      </c>
      <c r="AP466" s="5">
        <v>121.0</v>
      </c>
      <c r="AQ466" s="5" t="s">
        <v>1716</v>
      </c>
      <c r="AR466" s="5" t="s">
        <v>1739</v>
      </c>
      <c r="AS466" s="5" t="s">
        <v>1740</v>
      </c>
      <c r="AT466" s="5" t="s">
        <v>1741</v>
      </c>
      <c r="AU466" s="5" t="s">
        <v>1742</v>
      </c>
      <c r="AV466" s="5" t="s">
        <v>1720</v>
      </c>
      <c r="AW466" s="5" t="s">
        <v>2003</v>
      </c>
      <c r="AX466" s="5" t="s">
        <v>2004</v>
      </c>
      <c r="AY466" s="5">
        <v>57.7818</v>
      </c>
      <c r="AZ466" s="5">
        <v>-120.2368</v>
      </c>
      <c r="BA466" s="5">
        <v>722.0</v>
      </c>
    </row>
    <row r="467" ht="14.25" customHeight="1">
      <c r="A467" s="5" t="s">
        <v>422</v>
      </c>
      <c r="B467" s="5">
        <v>12.0</v>
      </c>
      <c r="C467" s="5" t="s">
        <v>1970</v>
      </c>
      <c r="D467" s="5">
        <v>122.0</v>
      </c>
      <c r="E467" s="5">
        <v>12967.0</v>
      </c>
      <c r="F467" s="5" t="s">
        <v>2022</v>
      </c>
      <c r="G467" s="5" t="s">
        <v>127</v>
      </c>
      <c r="H467" s="5" t="s">
        <v>1697</v>
      </c>
      <c r="I467" s="5" t="s">
        <v>49</v>
      </c>
      <c r="J467" s="5" t="s">
        <v>1698</v>
      </c>
      <c r="K467" s="5">
        <v>1.0</v>
      </c>
      <c r="L467" s="5">
        <v>14899.0</v>
      </c>
      <c r="AO467" s="50" t="s">
        <v>2023</v>
      </c>
      <c r="AP467" s="50">
        <v>122.0</v>
      </c>
      <c r="AQ467" s="50" t="s">
        <v>1700</v>
      </c>
      <c r="AR467" s="50" t="s">
        <v>1701</v>
      </c>
      <c r="AS467" s="50" t="s">
        <v>1702</v>
      </c>
      <c r="AT467" s="50" t="s">
        <v>1703</v>
      </c>
      <c r="AU467" s="50" t="s">
        <v>1704</v>
      </c>
      <c r="AV467" s="50" t="s">
        <v>1702</v>
      </c>
      <c r="AW467" s="50" t="s">
        <v>2003</v>
      </c>
      <c r="AX467" s="50" t="s">
        <v>2024</v>
      </c>
      <c r="AY467" s="50">
        <v>55.7</v>
      </c>
      <c r="AZ467" s="50">
        <v>-121.6</v>
      </c>
      <c r="BA467" s="50">
        <v>610.0</v>
      </c>
    </row>
    <row r="468" ht="14.25" customHeight="1">
      <c r="B468" s="5">
        <v>12.0</v>
      </c>
      <c r="C468" s="5" t="s">
        <v>1711</v>
      </c>
      <c r="D468" s="5">
        <v>123.0</v>
      </c>
      <c r="E468" s="5">
        <v>1690.0</v>
      </c>
      <c r="F468" s="18" t="s">
        <v>2025</v>
      </c>
      <c r="G468" s="5" t="s">
        <v>2026</v>
      </c>
      <c r="H468" s="5" t="s">
        <v>2027</v>
      </c>
      <c r="I468" s="5" t="s">
        <v>1664</v>
      </c>
      <c r="J468" s="5" t="s">
        <v>1715</v>
      </c>
      <c r="K468" s="5">
        <v>1.0</v>
      </c>
      <c r="L468" s="5">
        <v>2093.0</v>
      </c>
      <c r="AO468" s="5" t="s">
        <v>2025</v>
      </c>
      <c r="AP468" s="5">
        <v>123.0</v>
      </c>
      <c r="AQ468" s="5" t="s">
        <v>1716</v>
      </c>
      <c r="AR468" s="5" t="s">
        <v>1717</v>
      </c>
      <c r="AS468" s="5" t="s">
        <v>1718</v>
      </c>
      <c r="AT468" s="5" t="s">
        <v>1719</v>
      </c>
      <c r="AU468" s="5" t="s">
        <v>1703</v>
      </c>
      <c r="AV468" s="5" t="s">
        <v>1720</v>
      </c>
      <c r="AW468" s="5" t="s">
        <v>2003</v>
      </c>
      <c r="AX468" s="5" t="s">
        <v>2024</v>
      </c>
      <c r="AY468" s="5">
        <v>56.3</v>
      </c>
      <c r="AZ468" s="5">
        <v>-122.2</v>
      </c>
      <c r="BA468" s="5">
        <v>7.0</v>
      </c>
    </row>
    <row r="469" ht="14.25" customHeight="1">
      <c r="B469" s="5">
        <v>12.0</v>
      </c>
      <c r="C469" s="5" t="s">
        <v>1711</v>
      </c>
      <c r="D469" s="5">
        <v>124.0</v>
      </c>
      <c r="E469" s="5">
        <v>1691.0</v>
      </c>
      <c r="F469" s="5" t="s">
        <v>2028</v>
      </c>
      <c r="G469" s="5" t="s">
        <v>2029</v>
      </c>
      <c r="H469" s="5" t="s">
        <v>2030</v>
      </c>
      <c r="I469" s="5" t="s">
        <v>641</v>
      </c>
      <c r="J469" s="5" t="s">
        <v>1736</v>
      </c>
      <c r="K469" s="5">
        <v>1.0</v>
      </c>
      <c r="L469" s="5">
        <v>2094.0</v>
      </c>
      <c r="M469" s="11">
        <v>56.43464</v>
      </c>
      <c r="N469" s="11">
        <v>-122.45767</v>
      </c>
      <c r="O469" s="11" t="s">
        <v>153</v>
      </c>
      <c r="P469" s="11">
        <v>124.0</v>
      </c>
      <c r="Q469" s="22">
        <v>5.0</v>
      </c>
      <c r="R469" s="11" t="s">
        <v>2028</v>
      </c>
      <c r="S469" s="11" t="s">
        <v>1737</v>
      </c>
      <c r="T469" s="11">
        <v>768.0</v>
      </c>
      <c r="U469" s="11" t="s">
        <v>645</v>
      </c>
      <c r="V469" s="11"/>
      <c r="W469" s="23">
        <v>28856.0</v>
      </c>
      <c r="X469" s="11" t="s">
        <v>1738</v>
      </c>
      <c r="AO469" s="5" t="s">
        <v>2028</v>
      </c>
      <c r="AP469" s="5">
        <v>124.0</v>
      </c>
      <c r="AQ469" s="5" t="s">
        <v>1716</v>
      </c>
      <c r="AR469" s="5" t="s">
        <v>1739</v>
      </c>
      <c r="AS469" s="5" t="s">
        <v>1740</v>
      </c>
      <c r="AT469" s="5" t="s">
        <v>1741</v>
      </c>
      <c r="AU469" s="5" t="s">
        <v>1742</v>
      </c>
      <c r="AV469" s="5" t="s">
        <v>1720</v>
      </c>
      <c r="AW469" s="5" t="s">
        <v>2003</v>
      </c>
      <c r="AX469" s="5" t="s">
        <v>2004</v>
      </c>
      <c r="AY469" s="5">
        <v>56.4346</v>
      </c>
      <c r="AZ469" s="5">
        <v>-122.4576</v>
      </c>
      <c r="BA469" s="5">
        <v>759.0</v>
      </c>
    </row>
    <row r="470" ht="14.25" customHeight="1">
      <c r="B470" s="5">
        <v>12.0</v>
      </c>
      <c r="C470" s="5" t="s">
        <v>1711</v>
      </c>
      <c r="D470" s="5">
        <v>125.0</v>
      </c>
      <c r="E470" s="5">
        <v>1692.0</v>
      </c>
      <c r="F470" s="18" t="s">
        <v>2031</v>
      </c>
      <c r="G470" s="5" t="s">
        <v>2032</v>
      </c>
      <c r="H470" s="5" t="s">
        <v>2033</v>
      </c>
      <c r="I470" s="5" t="s">
        <v>1664</v>
      </c>
      <c r="J470" s="5" t="s">
        <v>1715</v>
      </c>
      <c r="K470" s="5">
        <v>1.0</v>
      </c>
      <c r="L470" s="5">
        <v>2095.0</v>
      </c>
      <c r="AO470" s="5" t="s">
        <v>2031</v>
      </c>
      <c r="AP470" s="5">
        <v>125.0</v>
      </c>
      <c r="AQ470" s="5" t="s">
        <v>1716</v>
      </c>
      <c r="AR470" s="5" t="s">
        <v>1717</v>
      </c>
      <c r="AS470" s="5" t="s">
        <v>1718</v>
      </c>
      <c r="AT470" s="5" t="s">
        <v>1719</v>
      </c>
      <c r="AU470" s="5" t="s">
        <v>1703</v>
      </c>
      <c r="AV470" s="5" t="s">
        <v>1720</v>
      </c>
      <c r="AW470" s="5" t="s">
        <v>2003</v>
      </c>
      <c r="AX470" s="5" t="s">
        <v>2024</v>
      </c>
      <c r="AY470" s="5">
        <v>56.1</v>
      </c>
      <c r="AZ470" s="5">
        <v>-122.4</v>
      </c>
      <c r="BA470" s="5">
        <v>9.0</v>
      </c>
    </row>
    <row r="471" ht="14.25" customHeight="1">
      <c r="B471" s="5">
        <v>12.0</v>
      </c>
      <c r="C471" s="5" t="s">
        <v>1711</v>
      </c>
      <c r="D471" s="5">
        <v>126.0</v>
      </c>
      <c r="E471" s="5">
        <v>1693.0</v>
      </c>
      <c r="F471" s="5" t="s">
        <v>2034</v>
      </c>
      <c r="G471" s="5" t="s">
        <v>2035</v>
      </c>
      <c r="H471" s="5" t="s">
        <v>2036</v>
      </c>
      <c r="I471" s="5" t="s">
        <v>641</v>
      </c>
      <c r="J471" s="5" t="s">
        <v>1736</v>
      </c>
      <c r="K471" s="5">
        <v>1.0</v>
      </c>
      <c r="L471" s="5">
        <v>2096.0</v>
      </c>
      <c r="M471" s="11">
        <v>58.86585</v>
      </c>
      <c r="N471" s="11">
        <v>-125.3107</v>
      </c>
      <c r="O471" s="11" t="s">
        <v>1577</v>
      </c>
      <c r="P471" s="11">
        <v>126.0</v>
      </c>
      <c r="Q471" s="22">
        <v>1.0</v>
      </c>
      <c r="R471" s="11" t="s">
        <v>2034</v>
      </c>
      <c r="S471" s="11" t="s">
        <v>1737</v>
      </c>
      <c r="T471" s="11">
        <v>711.0</v>
      </c>
      <c r="U471" s="11" t="s">
        <v>645</v>
      </c>
      <c r="V471" s="11"/>
      <c r="W471" s="23">
        <v>29587.0</v>
      </c>
      <c r="X471" s="11" t="s">
        <v>1738</v>
      </c>
      <c r="AO471" s="5" t="s">
        <v>2034</v>
      </c>
      <c r="AP471" s="5">
        <v>126.0</v>
      </c>
      <c r="AQ471" s="5" t="s">
        <v>1716</v>
      </c>
      <c r="AR471" s="5" t="s">
        <v>1739</v>
      </c>
      <c r="AS471" s="5" t="s">
        <v>1740</v>
      </c>
      <c r="AT471" s="5" t="s">
        <v>1741</v>
      </c>
      <c r="AU471" s="5" t="s">
        <v>1742</v>
      </c>
      <c r="AV471" s="5" t="s">
        <v>1720</v>
      </c>
      <c r="AW471" s="5" t="s">
        <v>2003</v>
      </c>
      <c r="AX471" s="5" t="s">
        <v>2009</v>
      </c>
      <c r="AY471" s="5">
        <v>58.8659</v>
      </c>
      <c r="AZ471" s="5">
        <v>-125.3107</v>
      </c>
      <c r="BA471" s="5">
        <v>702.0</v>
      </c>
    </row>
    <row r="472" ht="14.25" customHeight="1">
      <c r="A472" s="5" t="s">
        <v>2037</v>
      </c>
      <c r="B472" s="5">
        <v>12.0</v>
      </c>
      <c r="C472" s="5" t="s">
        <v>1711</v>
      </c>
      <c r="D472" s="5">
        <v>127.0</v>
      </c>
      <c r="E472" s="5">
        <v>1694.0</v>
      </c>
      <c r="F472" s="10" t="s">
        <v>2038</v>
      </c>
      <c r="G472" s="5" t="s">
        <v>2039</v>
      </c>
      <c r="H472" s="5" t="s">
        <v>2040</v>
      </c>
      <c r="I472" s="5" t="s">
        <v>641</v>
      </c>
      <c r="J472" s="5" t="s">
        <v>1736</v>
      </c>
      <c r="K472" s="5">
        <v>1.0</v>
      </c>
      <c r="L472" s="5">
        <v>2097.0</v>
      </c>
      <c r="M472" s="5">
        <v>55.02736</v>
      </c>
      <c r="N472" s="5">
        <v>-120.93405</v>
      </c>
      <c r="O472" s="5" t="s">
        <v>1290</v>
      </c>
      <c r="P472" s="5">
        <v>127.0</v>
      </c>
      <c r="Q472" s="5">
        <v>3.0</v>
      </c>
      <c r="R472" s="5" t="s">
        <v>2041</v>
      </c>
      <c r="S472" s="5" t="s">
        <v>1737</v>
      </c>
      <c r="T472" s="5">
        <v>942.0</v>
      </c>
      <c r="U472" s="5" t="s">
        <v>645</v>
      </c>
      <c r="V472" s="5" t="s">
        <v>1771</v>
      </c>
      <c r="W472" s="5">
        <v>29952.0</v>
      </c>
      <c r="X472" s="5" t="s">
        <v>1738</v>
      </c>
      <c r="AO472" s="54" t="s">
        <v>2042</v>
      </c>
      <c r="AP472" s="5">
        <v>127.0</v>
      </c>
      <c r="AQ472" s="5" t="s">
        <v>1700</v>
      </c>
      <c r="AR472" s="5" t="s">
        <v>1739</v>
      </c>
      <c r="AS472" s="5" t="s">
        <v>1740</v>
      </c>
      <c r="AT472" s="5" t="s">
        <v>1741</v>
      </c>
      <c r="AU472" s="5" t="s">
        <v>2043</v>
      </c>
      <c r="AV472" s="5" t="s">
        <v>1720</v>
      </c>
      <c r="AW472" s="5" t="s">
        <v>2003</v>
      </c>
      <c r="AX472" s="5" t="s">
        <v>2024</v>
      </c>
      <c r="AY472" s="5">
        <v>55.0274</v>
      </c>
      <c r="AZ472" s="5">
        <v>-120.934</v>
      </c>
      <c r="BA472" s="5">
        <v>932.0</v>
      </c>
    </row>
    <row r="473" ht="14.25" customHeight="1">
      <c r="B473" s="5">
        <v>12.0</v>
      </c>
      <c r="C473" s="5" t="s">
        <v>1711</v>
      </c>
      <c r="D473" s="5">
        <v>128.0</v>
      </c>
      <c r="E473" s="5">
        <v>1695.0</v>
      </c>
      <c r="F473" s="18" t="s">
        <v>2044</v>
      </c>
      <c r="G473" s="5" t="s">
        <v>2045</v>
      </c>
      <c r="H473" s="5" t="s">
        <v>2046</v>
      </c>
      <c r="I473" s="5" t="s">
        <v>1664</v>
      </c>
      <c r="J473" s="5" t="s">
        <v>1715</v>
      </c>
      <c r="K473" s="5">
        <v>1.0</v>
      </c>
      <c r="L473" s="5">
        <v>2098.0</v>
      </c>
      <c r="AO473" s="5" t="s">
        <v>2044</v>
      </c>
      <c r="AP473" s="5">
        <v>128.0</v>
      </c>
      <c r="AQ473" s="5" t="s">
        <v>1716</v>
      </c>
      <c r="AR473" s="5" t="s">
        <v>1717</v>
      </c>
      <c r="AS473" s="5" t="s">
        <v>1718</v>
      </c>
      <c r="AT473" s="5" t="s">
        <v>1719</v>
      </c>
      <c r="AU473" s="5" t="s">
        <v>1703</v>
      </c>
      <c r="AV473" s="5" t="s">
        <v>1720</v>
      </c>
      <c r="AW473" s="5" t="s">
        <v>2003</v>
      </c>
      <c r="AX473" s="5" t="s">
        <v>2024</v>
      </c>
      <c r="AY473" s="5">
        <v>54.8</v>
      </c>
      <c r="AZ473" s="5">
        <v>-120.6</v>
      </c>
      <c r="BA473" s="5">
        <v>11.0</v>
      </c>
    </row>
    <row r="474" ht="14.25" customHeight="1">
      <c r="A474" s="5" t="s">
        <v>88</v>
      </c>
      <c r="B474" s="5">
        <v>12.0</v>
      </c>
      <c r="C474" s="5" t="s">
        <v>1711</v>
      </c>
      <c r="D474" s="5">
        <v>129.0</v>
      </c>
      <c r="E474" s="5">
        <v>1696.0</v>
      </c>
      <c r="F474" s="5" t="s">
        <v>2047</v>
      </c>
      <c r="G474" s="10" t="s">
        <v>2048</v>
      </c>
      <c r="H474" s="5" t="s">
        <v>2049</v>
      </c>
      <c r="I474" s="5" t="s">
        <v>641</v>
      </c>
      <c r="J474" s="5" t="s">
        <v>1736</v>
      </c>
      <c r="K474" s="5">
        <v>1.0</v>
      </c>
      <c r="L474" s="5">
        <v>2099.0</v>
      </c>
      <c r="M474" s="5">
        <v>57.07653</v>
      </c>
      <c r="N474" s="5">
        <v>-122.55906</v>
      </c>
      <c r="O474" s="5" t="s">
        <v>2008</v>
      </c>
      <c r="P474" s="5">
        <v>129.0</v>
      </c>
      <c r="Q474" s="5">
        <v>8.0</v>
      </c>
      <c r="R474" s="5" t="s">
        <v>2050</v>
      </c>
      <c r="S474" s="5" t="s">
        <v>1737</v>
      </c>
      <c r="T474" s="5">
        <v>989.0</v>
      </c>
      <c r="W474" s="5">
        <v>30317.0</v>
      </c>
      <c r="X474" s="5" t="s">
        <v>1738</v>
      </c>
      <c r="AO474" s="5" t="s">
        <v>2050</v>
      </c>
      <c r="AP474" s="5">
        <v>129.0</v>
      </c>
      <c r="AQ474" s="5" t="s">
        <v>1716</v>
      </c>
      <c r="AR474" s="5" t="s">
        <v>1739</v>
      </c>
      <c r="AS474" s="5" t="s">
        <v>1740</v>
      </c>
      <c r="AT474" s="5" t="s">
        <v>1741</v>
      </c>
      <c r="AU474" s="5" t="s">
        <v>1742</v>
      </c>
      <c r="AV474" s="5" t="s">
        <v>1720</v>
      </c>
      <c r="AW474" s="5" t="s">
        <v>2003</v>
      </c>
      <c r="AX474" s="5" t="s">
        <v>2004</v>
      </c>
      <c r="AY474" s="5">
        <v>57.0874</v>
      </c>
      <c r="AZ474" s="5">
        <v>-122.5912</v>
      </c>
      <c r="BA474" s="5">
        <v>989.0</v>
      </c>
    </row>
    <row r="475" ht="14.25" customHeight="1">
      <c r="B475" s="5">
        <v>12.0</v>
      </c>
      <c r="C475" s="5" t="s">
        <v>1711</v>
      </c>
      <c r="D475" s="5">
        <v>130.0</v>
      </c>
      <c r="E475" s="5">
        <v>1697.0</v>
      </c>
      <c r="F475" s="18" t="s">
        <v>2051</v>
      </c>
      <c r="G475" s="5" t="s">
        <v>2052</v>
      </c>
      <c r="H475" s="5" t="s">
        <v>2053</v>
      </c>
      <c r="I475" s="5" t="s">
        <v>1664</v>
      </c>
      <c r="J475" s="5" t="s">
        <v>1715</v>
      </c>
      <c r="K475" s="5">
        <v>1.0</v>
      </c>
      <c r="L475" s="5">
        <v>2100.0</v>
      </c>
      <c r="AO475" s="5" t="s">
        <v>2051</v>
      </c>
      <c r="AP475" s="5">
        <v>130.0</v>
      </c>
      <c r="AQ475" s="5" t="s">
        <v>1716</v>
      </c>
      <c r="AR475" s="5" t="s">
        <v>1717</v>
      </c>
      <c r="AS475" s="5" t="s">
        <v>1718</v>
      </c>
      <c r="AT475" s="5" t="s">
        <v>1719</v>
      </c>
      <c r="AU475" s="5" t="s">
        <v>1703</v>
      </c>
      <c r="AV475" s="5" t="s">
        <v>1720</v>
      </c>
      <c r="AW475" s="5" t="s">
        <v>2003</v>
      </c>
      <c r="AX475" s="5" t="s">
        <v>2004</v>
      </c>
      <c r="AY475" s="5">
        <v>57.4</v>
      </c>
      <c r="AZ475" s="5">
        <v>-122.9</v>
      </c>
      <c r="BA475" s="5">
        <v>0.0</v>
      </c>
    </row>
    <row r="476" ht="14.25" customHeight="1">
      <c r="A476" s="5" t="s">
        <v>88</v>
      </c>
      <c r="B476" s="5">
        <v>12.0</v>
      </c>
      <c r="C476" s="5" t="s">
        <v>1711</v>
      </c>
      <c r="D476" s="5">
        <v>131.0</v>
      </c>
      <c r="E476" s="5">
        <v>1698.0</v>
      </c>
      <c r="F476" s="5" t="s">
        <v>2054</v>
      </c>
      <c r="G476" s="10" t="s">
        <v>2055</v>
      </c>
      <c r="H476" s="5" t="s">
        <v>2056</v>
      </c>
      <c r="I476" s="5" t="s">
        <v>641</v>
      </c>
      <c r="J476" s="5" t="s">
        <v>1865</v>
      </c>
      <c r="K476" s="5">
        <v>1.0</v>
      </c>
      <c r="L476" s="5">
        <v>2101.0</v>
      </c>
      <c r="M476" s="5">
        <v>57.88425</v>
      </c>
      <c r="N476" s="5">
        <v>-123.6163</v>
      </c>
      <c r="O476" s="5" t="s">
        <v>2008</v>
      </c>
      <c r="P476" s="5">
        <v>131.0</v>
      </c>
      <c r="Q476" s="5">
        <v>7.0</v>
      </c>
      <c r="R476" s="5" t="s">
        <v>2054</v>
      </c>
      <c r="S476" s="5" t="s">
        <v>1737</v>
      </c>
      <c r="T476" s="5">
        <v>780.0</v>
      </c>
      <c r="W476" s="5">
        <v>30317.0</v>
      </c>
      <c r="X476" s="5" t="s">
        <v>1738</v>
      </c>
      <c r="AO476" s="5" t="s">
        <v>2054</v>
      </c>
      <c r="AP476" s="5">
        <v>131.0</v>
      </c>
      <c r="AQ476" s="5" t="s">
        <v>1716</v>
      </c>
      <c r="AR476" s="5" t="s">
        <v>1739</v>
      </c>
      <c r="AS476" s="5" t="s">
        <v>1740</v>
      </c>
      <c r="AT476" s="5" t="s">
        <v>1741</v>
      </c>
      <c r="AU476" s="5" t="s">
        <v>1742</v>
      </c>
      <c r="AV476" s="5" t="s">
        <v>1720</v>
      </c>
      <c r="AW476" s="5" t="s">
        <v>2003</v>
      </c>
      <c r="AX476" s="5" t="s">
        <v>2009</v>
      </c>
      <c r="AY476" s="5">
        <v>57.8842</v>
      </c>
      <c r="AZ476" s="5">
        <v>-123.6164</v>
      </c>
      <c r="BA476" s="5">
        <v>769.0</v>
      </c>
    </row>
    <row r="477" ht="14.25" customHeight="1">
      <c r="B477" s="5">
        <v>12.0</v>
      </c>
      <c r="C477" s="5" t="s">
        <v>1711</v>
      </c>
      <c r="D477" s="5">
        <v>132.0</v>
      </c>
      <c r="E477" s="5">
        <v>1699.0</v>
      </c>
      <c r="F477" s="5" t="s">
        <v>2057</v>
      </c>
      <c r="G477" s="5" t="s">
        <v>2058</v>
      </c>
      <c r="H477" s="5" t="s">
        <v>2059</v>
      </c>
      <c r="I477" s="5" t="s">
        <v>641</v>
      </c>
      <c r="J477" s="5" t="s">
        <v>1736</v>
      </c>
      <c r="K477" s="5">
        <v>1.0</v>
      </c>
      <c r="L477" s="5">
        <v>2102.0</v>
      </c>
      <c r="M477" s="5">
        <v>56.0347</v>
      </c>
      <c r="N477" s="5">
        <v>-121.99021</v>
      </c>
      <c r="O477" s="5" t="s">
        <v>153</v>
      </c>
      <c r="P477" s="5">
        <v>132.0</v>
      </c>
      <c r="Q477" s="5">
        <v>3.0</v>
      </c>
      <c r="R477" s="5" t="s">
        <v>2057</v>
      </c>
      <c r="S477" s="5" t="s">
        <v>1737</v>
      </c>
      <c r="T477" s="5">
        <v>704.0</v>
      </c>
      <c r="W477" s="5">
        <v>31413.0</v>
      </c>
      <c r="X477" s="5" t="s">
        <v>1738</v>
      </c>
      <c r="AO477" s="5" t="s">
        <v>2057</v>
      </c>
      <c r="AP477" s="5">
        <v>132.0</v>
      </c>
      <c r="AQ477" s="5" t="s">
        <v>1700</v>
      </c>
      <c r="AR477" s="5" t="s">
        <v>1739</v>
      </c>
      <c r="AS477" s="5" t="s">
        <v>1740</v>
      </c>
      <c r="AT477" s="5" t="s">
        <v>1835</v>
      </c>
      <c r="AU477" s="5" t="s">
        <v>1772</v>
      </c>
      <c r="AV477" s="5" t="s">
        <v>1720</v>
      </c>
      <c r="AW477" s="5" t="s">
        <v>2003</v>
      </c>
      <c r="AX477" s="5" t="s">
        <v>2024</v>
      </c>
      <c r="AY477" s="5">
        <v>56.0347</v>
      </c>
      <c r="AZ477" s="5">
        <v>-121.9903</v>
      </c>
      <c r="BA477" s="5">
        <v>697.0</v>
      </c>
    </row>
    <row r="478" ht="14.25" customHeight="1">
      <c r="B478" s="5">
        <v>12.0</v>
      </c>
      <c r="C478" s="5" t="s">
        <v>1711</v>
      </c>
      <c r="D478" s="5">
        <v>133.0</v>
      </c>
      <c r="E478" s="5">
        <v>1700.0</v>
      </c>
      <c r="F478" s="18" t="s">
        <v>2060</v>
      </c>
      <c r="G478" s="5" t="s">
        <v>2061</v>
      </c>
      <c r="H478" s="5" t="s">
        <v>2062</v>
      </c>
      <c r="I478" s="5" t="s">
        <v>1664</v>
      </c>
      <c r="J478" s="5" t="s">
        <v>1715</v>
      </c>
      <c r="K478" s="5">
        <v>1.0</v>
      </c>
      <c r="L478" s="5">
        <v>2103.0</v>
      </c>
      <c r="AO478" s="5" t="s">
        <v>2060</v>
      </c>
      <c r="AP478" s="5">
        <v>133.0</v>
      </c>
      <c r="AQ478" s="5" t="s">
        <v>1716</v>
      </c>
      <c r="AR478" s="5" t="s">
        <v>1717</v>
      </c>
      <c r="AS478" s="5" t="s">
        <v>1718</v>
      </c>
      <c r="AT478" s="5" t="s">
        <v>1719</v>
      </c>
      <c r="AU478" s="5" t="s">
        <v>1703</v>
      </c>
      <c r="AV478" s="5" t="s">
        <v>1720</v>
      </c>
      <c r="AW478" s="5" t="s">
        <v>2003</v>
      </c>
      <c r="AX478" s="5" t="s">
        <v>2004</v>
      </c>
      <c r="AY478" s="5">
        <v>57.3</v>
      </c>
      <c r="AZ478" s="5">
        <v>-122.8</v>
      </c>
      <c r="BA478" s="5">
        <v>10.0</v>
      </c>
    </row>
    <row r="479" ht="14.25" customHeight="1">
      <c r="B479" s="5">
        <v>12.0</v>
      </c>
      <c r="C479" s="5" t="s">
        <v>1711</v>
      </c>
      <c r="D479" s="5">
        <v>134.0</v>
      </c>
      <c r="E479" s="5">
        <v>1701.0</v>
      </c>
      <c r="F479" s="18" t="s">
        <v>2063</v>
      </c>
      <c r="G479" s="5" t="s">
        <v>2064</v>
      </c>
      <c r="H479" s="5" t="s">
        <v>2065</v>
      </c>
      <c r="I479" s="5" t="s">
        <v>1664</v>
      </c>
      <c r="J479" s="5" t="s">
        <v>1715</v>
      </c>
      <c r="K479" s="5">
        <v>1.0</v>
      </c>
      <c r="L479" s="5">
        <v>2104.0</v>
      </c>
      <c r="AO479" s="5" t="s">
        <v>2063</v>
      </c>
      <c r="AP479" s="5">
        <v>134.0</v>
      </c>
      <c r="AQ479" s="5" t="s">
        <v>1716</v>
      </c>
      <c r="AR479" s="5" t="s">
        <v>1717</v>
      </c>
      <c r="AS479" s="5" t="s">
        <v>1718</v>
      </c>
      <c r="AT479" s="5" t="s">
        <v>1719</v>
      </c>
      <c r="AU479" s="5" t="s">
        <v>1703</v>
      </c>
      <c r="AV479" s="5" t="s">
        <v>1720</v>
      </c>
      <c r="AW479" s="5" t="s">
        <v>2003</v>
      </c>
      <c r="AX479" s="5" t="s">
        <v>2004</v>
      </c>
      <c r="AY479" s="5">
        <v>56.7</v>
      </c>
      <c r="AZ479" s="5">
        <v>-120.1</v>
      </c>
      <c r="BA479" s="5">
        <v>8.0</v>
      </c>
    </row>
    <row r="480" ht="14.25" customHeight="1">
      <c r="A480" s="5" t="s">
        <v>422</v>
      </c>
      <c r="B480" s="5">
        <v>12.0</v>
      </c>
      <c r="C480" s="5" t="s">
        <v>1711</v>
      </c>
      <c r="D480" s="5">
        <v>135.0</v>
      </c>
      <c r="E480" s="5">
        <v>1702.0</v>
      </c>
      <c r="F480" s="18" t="s">
        <v>2066</v>
      </c>
      <c r="G480" s="5" t="s">
        <v>2067</v>
      </c>
      <c r="H480" s="5" t="s">
        <v>2068</v>
      </c>
      <c r="I480" s="5" t="s">
        <v>1664</v>
      </c>
      <c r="J480" s="5" t="s">
        <v>1746</v>
      </c>
      <c r="K480" s="5">
        <v>1.0</v>
      </c>
      <c r="L480" s="5">
        <v>2105.0</v>
      </c>
      <c r="AO480" s="5" t="s">
        <v>2066</v>
      </c>
      <c r="AP480" s="5">
        <v>135.0</v>
      </c>
      <c r="AQ480" s="5" t="s">
        <v>1716</v>
      </c>
      <c r="AR480" s="5" t="s">
        <v>1717</v>
      </c>
      <c r="AS480" s="5" t="s">
        <v>1718</v>
      </c>
      <c r="AT480" s="5" t="s">
        <v>1719</v>
      </c>
      <c r="AU480" s="5" t="s">
        <v>1703</v>
      </c>
      <c r="AV480" s="5" t="s">
        <v>1720</v>
      </c>
      <c r="AW480" s="5" t="s">
        <v>2003</v>
      </c>
      <c r="AX480" s="5" t="s">
        <v>2004</v>
      </c>
      <c r="AY480" s="5">
        <v>56.5</v>
      </c>
      <c r="AZ480" s="5">
        <v>-123.2</v>
      </c>
      <c r="BA480" s="5">
        <v>11.0</v>
      </c>
    </row>
    <row r="481" ht="14.25" customHeight="1">
      <c r="A481" s="5" t="s">
        <v>88</v>
      </c>
      <c r="B481" s="5">
        <v>12.0</v>
      </c>
      <c r="C481" s="5" t="s">
        <v>1711</v>
      </c>
      <c r="D481" s="5">
        <v>136.0</v>
      </c>
      <c r="E481" s="5">
        <v>1703.0</v>
      </c>
      <c r="F481" s="5" t="s">
        <v>2069</v>
      </c>
      <c r="G481" s="10" t="s">
        <v>2070</v>
      </c>
      <c r="H481" s="5" t="s">
        <v>2071</v>
      </c>
      <c r="I481" s="5" t="s">
        <v>641</v>
      </c>
      <c r="J481" s="5" t="s">
        <v>1865</v>
      </c>
      <c r="K481" s="5">
        <v>1.0</v>
      </c>
      <c r="L481" s="5">
        <v>2106.0</v>
      </c>
      <c r="M481" s="5">
        <v>56.7185</v>
      </c>
      <c r="N481" s="5">
        <v>-121.76543</v>
      </c>
      <c r="O481" s="5" t="s">
        <v>153</v>
      </c>
      <c r="P481" s="5">
        <v>136.0</v>
      </c>
      <c r="Q481" s="5">
        <v>8.0</v>
      </c>
      <c r="R481" s="5" t="s">
        <v>2069</v>
      </c>
      <c r="S481" s="5" t="s">
        <v>1737</v>
      </c>
      <c r="T481" s="5">
        <v>967.0</v>
      </c>
      <c r="U481" s="5" t="s">
        <v>645</v>
      </c>
      <c r="V481" s="5" t="s">
        <v>1813</v>
      </c>
      <c r="W481" s="5">
        <v>32874.0</v>
      </c>
      <c r="X481" s="5" t="s">
        <v>1738</v>
      </c>
      <c r="AO481" s="5" t="s">
        <v>2069</v>
      </c>
      <c r="AP481" s="5">
        <v>136.0</v>
      </c>
      <c r="AQ481" s="5" t="s">
        <v>1700</v>
      </c>
      <c r="AR481" s="5" t="s">
        <v>1739</v>
      </c>
      <c r="AS481" s="5" t="s">
        <v>1740</v>
      </c>
      <c r="AT481" s="5" t="s">
        <v>1835</v>
      </c>
      <c r="AU481" s="5" t="s">
        <v>1772</v>
      </c>
      <c r="AV481" s="5" t="s">
        <v>1720</v>
      </c>
      <c r="AW481" s="5" t="s">
        <v>2003</v>
      </c>
      <c r="AX481" s="5" t="s">
        <v>2004</v>
      </c>
      <c r="AY481" s="5">
        <v>56.7184</v>
      </c>
      <c r="AZ481" s="5">
        <v>-121.7654</v>
      </c>
      <c r="BA481" s="5">
        <v>958.0</v>
      </c>
    </row>
    <row r="482" ht="14.25" customHeight="1">
      <c r="B482" s="5">
        <v>12.0</v>
      </c>
      <c r="C482" s="5" t="s">
        <v>1711</v>
      </c>
      <c r="D482" s="5">
        <v>137.0</v>
      </c>
      <c r="E482" s="5">
        <v>1704.0</v>
      </c>
      <c r="F482" s="18" t="s">
        <v>2072</v>
      </c>
      <c r="G482" s="5" t="s">
        <v>2073</v>
      </c>
      <c r="H482" s="5" t="s">
        <v>2074</v>
      </c>
      <c r="I482" s="5" t="s">
        <v>1664</v>
      </c>
      <c r="J482" s="5" t="s">
        <v>1715</v>
      </c>
      <c r="K482" s="5">
        <v>1.0</v>
      </c>
      <c r="L482" s="5">
        <v>2107.0</v>
      </c>
      <c r="AO482" s="5" t="s">
        <v>2072</v>
      </c>
      <c r="AP482" s="5">
        <v>137.0</v>
      </c>
      <c r="AQ482" s="5" t="s">
        <v>1716</v>
      </c>
      <c r="AR482" s="5" t="s">
        <v>1717</v>
      </c>
      <c r="AS482" s="5" t="s">
        <v>1718</v>
      </c>
      <c r="AT482" s="5" t="s">
        <v>1719</v>
      </c>
      <c r="AU482" s="5" t="s">
        <v>1703</v>
      </c>
      <c r="AV482" s="5" t="s">
        <v>1720</v>
      </c>
      <c r="AW482" s="5" t="s">
        <v>2003</v>
      </c>
      <c r="AX482" s="5" t="s">
        <v>2024</v>
      </c>
      <c r="AY482" s="5">
        <v>56.1</v>
      </c>
      <c r="AZ482" s="5">
        <v>-122.3</v>
      </c>
      <c r="BA482" s="5">
        <v>8.0</v>
      </c>
    </row>
    <row r="483" ht="14.25" customHeight="1">
      <c r="B483" s="5">
        <v>12.0</v>
      </c>
      <c r="C483" s="5" t="s">
        <v>1711</v>
      </c>
      <c r="D483" s="5">
        <v>138.0</v>
      </c>
      <c r="E483" s="5">
        <v>1705.0</v>
      </c>
      <c r="F483" s="5" t="s">
        <v>2075</v>
      </c>
      <c r="G483" s="5" t="s">
        <v>2076</v>
      </c>
      <c r="H483" s="5" t="s">
        <v>2077</v>
      </c>
      <c r="I483" s="5" t="s">
        <v>641</v>
      </c>
      <c r="J483" s="5" t="s">
        <v>1865</v>
      </c>
      <c r="K483" s="5">
        <v>1.0</v>
      </c>
      <c r="L483" s="5">
        <v>2108.0</v>
      </c>
      <c r="M483" s="5">
        <v>54.63303</v>
      </c>
      <c r="N483" s="5">
        <v>-120.57621</v>
      </c>
      <c r="O483" s="5" t="s">
        <v>1290</v>
      </c>
      <c r="P483" s="5">
        <v>138.0</v>
      </c>
      <c r="Q483" s="5">
        <v>6.0</v>
      </c>
      <c r="R483" s="5" t="s">
        <v>2075</v>
      </c>
      <c r="S483" s="5" t="s">
        <v>1737</v>
      </c>
      <c r="T483" s="5">
        <v>1306.0</v>
      </c>
      <c r="W483" s="5">
        <v>32143.0</v>
      </c>
      <c r="X483" s="5" t="s">
        <v>1738</v>
      </c>
      <c r="AO483" s="5" t="s">
        <v>2075</v>
      </c>
      <c r="AP483" s="5">
        <v>138.0</v>
      </c>
      <c r="AQ483" s="5" t="s">
        <v>1700</v>
      </c>
      <c r="AR483" s="5" t="s">
        <v>1739</v>
      </c>
      <c r="AS483" s="5" t="s">
        <v>1740</v>
      </c>
      <c r="AT483" s="5" t="s">
        <v>1835</v>
      </c>
      <c r="AU483" s="5" t="s">
        <v>1959</v>
      </c>
      <c r="AV483" s="5" t="s">
        <v>1720</v>
      </c>
      <c r="AW483" s="5" t="s">
        <v>2003</v>
      </c>
      <c r="AX483" s="5" t="s">
        <v>2024</v>
      </c>
      <c r="AY483" s="5">
        <v>54.633</v>
      </c>
      <c r="AZ483" s="5">
        <v>-120.5762</v>
      </c>
      <c r="BA483" s="5">
        <v>1306.0</v>
      </c>
    </row>
    <row r="484" ht="14.25" customHeight="1">
      <c r="B484" s="5">
        <v>12.0</v>
      </c>
      <c r="C484" s="5" t="s">
        <v>1711</v>
      </c>
      <c r="D484" s="5">
        <v>139.0</v>
      </c>
      <c r="E484" s="5">
        <v>1706.0</v>
      </c>
      <c r="F484" s="18" t="s">
        <v>2078</v>
      </c>
      <c r="G484" s="5" t="s">
        <v>2079</v>
      </c>
      <c r="H484" s="5" t="s">
        <v>2080</v>
      </c>
      <c r="I484" s="5" t="s">
        <v>1664</v>
      </c>
      <c r="J484" s="5" t="s">
        <v>1715</v>
      </c>
      <c r="K484" s="5">
        <v>1.0</v>
      </c>
      <c r="L484" s="5">
        <v>2109.0</v>
      </c>
      <c r="AO484" s="5" t="s">
        <v>2078</v>
      </c>
      <c r="AP484" s="5">
        <v>139.0</v>
      </c>
      <c r="AQ484" s="5" t="s">
        <v>1716</v>
      </c>
      <c r="AR484" s="5" t="s">
        <v>1717</v>
      </c>
      <c r="AS484" s="5" t="s">
        <v>1718</v>
      </c>
      <c r="AT484" s="5" t="s">
        <v>1719</v>
      </c>
      <c r="AU484" s="5" t="s">
        <v>1703</v>
      </c>
      <c r="AV484" s="5" t="s">
        <v>1720</v>
      </c>
      <c r="AW484" s="5" t="s">
        <v>2003</v>
      </c>
      <c r="AX484" s="5" t="s">
        <v>2024</v>
      </c>
      <c r="AY484" s="5">
        <v>55.2</v>
      </c>
      <c r="AZ484" s="5">
        <v>-121.6</v>
      </c>
      <c r="BA484" s="5">
        <v>8.0</v>
      </c>
    </row>
    <row r="485" ht="14.25" customHeight="1">
      <c r="A485" s="5" t="s">
        <v>88</v>
      </c>
      <c r="B485" s="5">
        <v>12.0</v>
      </c>
      <c r="C485" s="5" t="s">
        <v>1711</v>
      </c>
      <c r="D485" s="5">
        <v>140.0</v>
      </c>
      <c r="E485" s="5">
        <v>1707.0</v>
      </c>
      <c r="F485" s="5" t="s">
        <v>2081</v>
      </c>
      <c r="G485" s="10" t="s">
        <v>2082</v>
      </c>
      <c r="H485" s="5" t="s">
        <v>2083</v>
      </c>
      <c r="I485" s="5" t="s">
        <v>641</v>
      </c>
      <c r="J485" s="5" t="s">
        <v>1736</v>
      </c>
      <c r="K485" s="5">
        <v>1.0</v>
      </c>
      <c r="L485" s="5">
        <v>2110.0</v>
      </c>
      <c r="M485" s="5">
        <v>55.52498</v>
      </c>
      <c r="N485" s="5">
        <v>-122.5171</v>
      </c>
      <c r="O485" s="5" t="s">
        <v>1290</v>
      </c>
      <c r="P485" s="5">
        <v>140.0</v>
      </c>
      <c r="Q485" s="5">
        <v>1.0</v>
      </c>
      <c r="R485" s="5" t="s">
        <v>2081</v>
      </c>
      <c r="S485" s="5" t="s">
        <v>1737</v>
      </c>
      <c r="T485" s="5">
        <v>757.0</v>
      </c>
      <c r="U485" s="5" t="s">
        <v>645</v>
      </c>
      <c r="W485" s="5">
        <v>32143.0</v>
      </c>
      <c r="X485" s="5" t="s">
        <v>1738</v>
      </c>
      <c r="AO485" s="5" t="s">
        <v>2081</v>
      </c>
      <c r="AP485" s="5">
        <v>140.0</v>
      </c>
      <c r="AQ485" s="5" t="s">
        <v>1716</v>
      </c>
      <c r="AR485" s="5" t="s">
        <v>1739</v>
      </c>
      <c r="AS485" s="5" t="s">
        <v>1740</v>
      </c>
      <c r="AT485" s="5" t="s">
        <v>1741</v>
      </c>
      <c r="AU485" s="5" t="s">
        <v>1742</v>
      </c>
      <c r="AV485" s="5" t="s">
        <v>1720</v>
      </c>
      <c r="AW485" s="5" t="s">
        <v>2003</v>
      </c>
      <c r="AX485" s="5" t="s">
        <v>2024</v>
      </c>
      <c r="AY485" s="5">
        <v>55.525</v>
      </c>
      <c r="AZ485" s="5">
        <v>-122.5172</v>
      </c>
      <c r="BA485" s="5">
        <v>747.0</v>
      </c>
    </row>
    <row r="486" ht="14.25" customHeight="1">
      <c r="B486" s="5">
        <v>12.0</v>
      </c>
      <c r="C486" s="5" t="s">
        <v>1711</v>
      </c>
      <c r="D486" s="5">
        <v>141.0</v>
      </c>
      <c r="E486" s="5">
        <v>1708.0</v>
      </c>
      <c r="F486" s="5" t="s">
        <v>2084</v>
      </c>
      <c r="G486" s="5" t="s">
        <v>2085</v>
      </c>
      <c r="H486" s="5" t="s">
        <v>2086</v>
      </c>
      <c r="I486" s="5" t="s">
        <v>641</v>
      </c>
      <c r="J486" s="5" t="s">
        <v>1865</v>
      </c>
      <c r="K486" s="5">
        <v>1.0</v>
      </c>
      <c r="L486" s="5">
        <v>2111.0</v>
      </c>
      <c r="M486" s="5">
        <v>55.57988</v>
      </c>
      <c r="N486" s="5">
        <v>-124.23198</v>
      </c>
      <c r="O486" s="5" t="s">
        <v>1290</v>
      </c>
      <c r="P486" s="5">
        <v>141.0</v>
      </c>
      <c r="Q486" s="5">
        <v>4.0</v>
      </c>
      <c r="R486" s="5" t="s">
        <v>2084</v>
      </c>
      <c r="S486" s="5" t="s">
        <v>1737</v>
      </c>
      <c r="T486" s="5">
        <v>1047.0</v>
      </c>
      <c r="W486" s="5">
        <v>25569.0</v>
      </c>
      <c r="X486" s="5" t="s">
        <v>1738</v>
      </c>
      <c r="AO486" s="5" t="s">
        <v>2084</v>
      </c>
      <c r="AP486" s="5">
        <v>141.0</v>
      </c>
      <c r="AQ486" s="5" t="s">
        <v>1716</v>
      </c>
      <c r="AR486" s="5" t="s">
        <v>1739</v>
      </c>
      <c r="AS486" s="5" t="s">
        <v>1740</v>
      </c>
      <c r="AT486" s="5" t="s">
        <v>1741</v>
      </c>
      <c r="AU486" s="5" t="s">
        <v>1742</v>
      </c>
      <c r="AV486" s="5" t="s">
        <v>1720</v>
      </c>
      <c r="AW486" s="5" t="s">
        <v>2003</v>
      </c>
      <c r="AX486" s="5" t="s">
        <v>2087</v>
      </c>
      <c r="AY486" s="5">
        <v>55.5798</v>
      </c>
      <c r="AZ486" s="5">
        <v>-124.2321</v>
      </c>
      <c r="BA486" s="5">
        <v>1038.0</v>
      </c>
    </row>
    <row r="487" ht="14.25" customHeight="1">
      <c r="A487" s="5" t="s">
        <v>88</v>
      </c>
      <c r="B487" s="5">
        <v>12.0</v>
      </c>
      <c r="C487" s="5" t="s">
        <v>1711</v>
      </c>
      <c r="D487" s="5">
        <v>144.0</v>
      </c>
      <c r="E487" s="5">
        <v>1709.0</v>
      </c>
      <c r="F487" s="5" t="s">
        <v>2088</v>
      </c>
      <c r="G487" s="10" t="s">
        <v>2089</v>
      </c>
      <c r="H487" s="5" t="s">
        <v>2090</v>
      </c>
      <c r="I487" s="5" t="s">
        <v>641</v>
      </c>
      <c r="J487" s="5" t="s">
        <v>1865</v>
      </c>
      <c r="K487" s="5">
        <v>1.0</v>
      </c>
      <c r="L487" s="5">
        <v>2112.0</v>
      </c>
      <c r="M487" s="5">
        <v>54.71617</v>
      </c>
      <c r="N487" s="5">
        <v>-122.27417</v>
      </c>
      <c r="O487" s="5" t="s">
        <v>1290</v>
      </c>
      <c r="P487" s="5">
        <v>144.0</v>
      </c>
      <c r="Q487" s="5">
        <v>1.0</v>
      </c>
      <c r="R487" s="5" t="s">
        <v>2088</v>
      </c>
      <c r="S487" s="5" t="s">
        <v>1737</v>
      </c>
      <c r="T487" s="5">
        <v>760.0</v>
      </c>
      <c r="W487" s="5">
        <v>31778.0</v>
      </c>
      <c r="X487" s="5" t="s">
        <v>1738</v>
      </c>
      <c r="AO487" s="5" t="s">
        <v>2088</v>
      </c>
      <c r="AP487" s="5">
        <v>144.0</v>
      </c>
      <c r="AQ487" s="5" t="s">
        <v>1700</v>
      </c>
      <c r="AR487" s="5" t="s">
        <v>1739</v>
      </c>
      <c r="AS487" s="5" t="s">
        <v>1740</v>
      </c>
      <c r="AT487" s="5" t="s">
        <v>1835</v>
      </c>
      <c r="AU487" s="5" t="s">
        <v>1959</v>
      </c>
      <c r="AV487" s="5" t="s">
        <v>1720</v>
      </c>
      <c r="AW487" s="5" t="s">
        <v>2003</v>
      </c>
      <c r="AX487" s="5" t="s">
        <v>2091</v>
      </c>
      <c r="AY487" s="5">
        <v>54.7158</v>
      </c>
      <c r="AZ487" s="5">
        <v>-122.2747</v>
      </c>
      <c r="BA487" s="5">
        <v>775.0</v>
      </c>
    </row>
    <row r="488" ht="14.25" customHeight="1">
      <c r="A488" s="5" t="s">
        <v>1908</v>
      </c>
      <c r="B488" s="5">
        <v>12.0</v>
      </c>
      <c r="C488" s="5" t="s">
        <v>1711</v>
      </c>
      <c r="D488" s="5">
        <v>145.0</v>
      </c>
      <c r="E488" s="5">
        <v>1710.0</v>
      </c>
      <c r="F488" s="10" t="s">
        <v>2092</v>
      </c>
      <c r="G488" s="10" t="s">
        <v>2093</v>
      </c>
      <c r="H488" s="5" t="s">
        <v>2094</v>
      </c>
      <c r="I488" s="5" t="s">
        <v>641</v>
      </c>
      <c r="J488" s="5" t="s">
        <v>1736</v>
      </c>
      <c r="K488" s="5">
        <v>1.0</v>
      </c>
      <c r="L488" s="5">
        <v>2113.0</v>
      </c>
      <c r="M488" s="5">
        <v>57.01942</v>
      </c>
      <c r="N488" s="5">
        <v>-125.18039</v>
      </c>
      <c r="O488" s="5" t="s">
        <v>1577</v>
      </c>
      <c r="P488" s="5">
        <v>145.0</v>
      </c>
      <c r="Q488" s="5">
        <v>4.0</v>
      </c>
      <c r="R488" s="5" t="s">
        <v>2095</v>
      </c>
      <c r="S488" s="5" t="s">
        <v>1737</v>
      </c>
      <c r="T488" s="5">
        <v>1213.0</v>
      </c>
      <c r="U488" s="5" t="s">
        <v>645</v>
      </c>
      <c r="W488" s="5">
        <v>31413.0</v>
      </c>
      <c r="X488" s="5" t="s">
        <v>1738</v>
      </c>
      <c r="AO488" s="5" t="s">
        <v>2095</v>
      </c>
      <c r="AP488" s="5">
        <v>145.0</v>
      </c>
      <c r="AQ488" s="5" t="s">
        <v>1716</v>
      </c>
      <c r="AR488" s="5" t="s">
        <v>1739</v>
      </c>
      <c r="AS488" s="5" t="s">
        <v>1740</v>
      </c>
      <c r="AT488" s="5" t="s">
        <v>1835</v>
      </c>
      <c r="AU488" s="5" t="s">
        <v>1742</v>
      </c>
      <c r="AV488" s="5" t="s">
        <v>1720</v>
      </c>
      <c r="AW488" s="5" t="s">
        <v>2003</v>
      </c>
      <c r="AX488" s="5" t="s">
        <v>2087</v>
      </c>
      <c r="AY488" s="5">
        <v>57.0194</v>
      </c>
      <c r="AZ488" s="5">
        <v>-125.1804</v>
      </c>
      <c r="BA488" s="5">
        <v>680.0</v>
      </c>
    </row>
    <row r="489" ht="14.25" customHeight="1">
      <c r="A489" s="5" t="s">
        <v>88</v>
      </c>
      <c r="B489" s="8">
        <v>12.0</v>
      </c>
      <c r="C489" s="5" t="s">
        <v>1711</v>
      </c>
      <c r="D489" s="5">
        <v>146.0</v>
      </c>
      <c r="E489" s="5">
        <v>1711.0</v>
      </c>
      <c r="F489" s="5" t="s">
        <v>2096</v>
      </c>
      <c r="G489" s="10" t="s">
        <v>2097</v>
      </c>
      <c r="H489" s="5" t="s">
        <v>2098</v>
      </c>
      <c r="I489" s="5" t="s">
        <v>641</v>
      </c>
      <c r="J489" s="5" t="s">
        <v>1736</v>
      </c>
      <c r="K489" s="5">
        <v>1.0</v>
      </c>
      <c r="L489" s="5">
        <v>2114.0</v>
      </c>
      <c r="M489" s="5">
        <v>54.39408</v>
      </c>
      <c r="N489" s="5">
        <v>-124.26097</v>
      </c>
      <c r="O489" s="5" t="s">
        <v>1290</v>
      </c>
      <c r="P489" s="5">
        <v>146.0</v>
      </c>
      <c r="Q489" s="5">
        <v>1.0</v>
      </c>
      <c r="R489" s="5" t="s">
        <v>2096</v>
      </c>
      <c r="S489" s="5" t="s">
        <v>1737</v>
      </c>
      <c r="T489" s="5">
        <v>750.0</v>
      </c>
      <c r="W489" s="5">
        <v>28856.0</v>
      </c>
      <c r="X489" s="5" t="s">
        <v>1738</v>
      </c>
      <c r="Y489" s="9"/>
      <c r="AO489" s="5" t="s">
        <v>2096</v>
      </c>
      <c r="AP489" s="5">
        <v>146.0</v>
      </c>
      <c r="AQ489" s="5" t="s">
        <v>1700</v>
      </c>
      <c r="AR489" s="5" t="s">
        <v>1739</v>
      </c>
      <c r="AS489" s="5" t="s">
        <v>1740</v>
      </c>
      <c r="AT489" s="5" t="s">
        <v>1741</v>
      </c>
      <c r="AU489" s="5" t="s">
        <v>1772</v>
      </c>
      <c r="AV489" s="5" t="s">
        <v>1720</v>
      </c>
      <c r="AW489" s="5" t="s">
        <v>2003</v>
      </c>
      <c r="AX489" s="5" t="s">
        <v>2099</v>
      </c>
      <c r="AY489" s="5">
        <v>54.3942</v>
      </c>
      <c r="AZ489" s="5">
        <v>-124.2611</v>
      </c>
      <c r="BA489" s="5">
        <v>720.0</v>
      </c>
    </row>
    <row r="490" ht="14.25" customHeight="1">
      <c r="B490" s="8">
        <v>12.0</v>
      </c>
      <c r="C490" s="5" t="s">
        <v>1711</v>
      </c>
      <c r="D490" s="5">
        <v>147.0</v>
      </c>
      <c r="E490" s="5">
        <v>1712.0</v>
      </c>
      <c r="F490" s="18" t="s">
        <v>2100</v>
      </c>
      <c r="G490" s="5" t="s">
        <v>2101</v>
      </c>
      <c r="H490" s="5" t="s">
        <v>2102</v>
      </c>
      <c r="I490" s="5" t="s">
        <v>1664</v>
      </c>
      <c r="J490" s="5" t="s">
        <v>1715</v>
      </c>
      <c r="K490" s="5">
        <v>1.0</v>
      </c>
      <c r="L490" s="5">
        <v>2115.0</v>
      </c>
      <c r="Y490" s="9"/>
      <c r="AO490" s="5" t="s">
        <v>2100</v>
      </c>
      <c r="AP490" s="5">
        <v>147.0</v>
      </c>
      <c r="AQ490" s="5" t="s">
        <v>1716</v>
      </c>
      <c r="AR490" s="5" t="s">
        <v>1717</v>
      </c>
      <c r="AS490" s="5" t="s">
        <v>1718</v>
      </c>
      <c r="AT490" s="5" t="s">
        <v>1719</v>
      </c>
      <c r="AU490" s="5" t="s">
        <v>1703</v>
      </c>
      <c r="AV490" s="5" t="s">
        <v>1720</v>
      </c>
      <c r="AW490" s="5" t="s">
        <v>2003</v>
      </c>
      <c r="AX490" s="5" t="s">
        <v>2091</v>
      </c>
      <c r="AY490" s="5">
        <v>54.4</v>
      </c>
      <c r="AZ490" s="5">
        <v>-122.8</v>
      </c>
      <c r="BA490" s="5">
        <v>0.0</v>
      </c>
    </row>
    <row r="491" ht="14.25" customHeight="1">
      <c r="A491" s="5" t="s">
        <v>88</v>
      </c>
      <c r="B491" s="8">
        <v>12.0</v>
      </c>
      <c r="C491" s="5" t="s">
        <v>1711</v>
      </c>
      <c r="D491" s="5">
        <v>148.0</v>
      </c>
      <c r="E491" s="5">
        <v>1713.0</v>
      </c>
      <c r="F491" s="5" t="s">
        <v>2103</v>
      </c>
      <c r="G491" s="10" t="s">
        <v>2104</v>
      </c>
      <c r="H491" s="5" t="s">
        <v>2083</v>
      </c>
      <c r="I491" s="5" t="s">
        <v>641</v>
      </c>
      <c r="J491" s="5" t="s">
        <v>1736</v>
      </c>
      <c r="K491" s="5">
        <v>1.0</v>
      </c>
      <c r="L491" s="5">
        <v>2116.0</v>
      </c>
      <c r="M491" s="5">
        <v>56.31878</v>
      </c>
      <c r="N491" s="5">
        <v>-125.36797</v>
      </c>
      <c r="O491" s="5" t="s">
        <v>1290</v>
      </c>
      <c r="P491" s="5">
        <v>148.0</v>
      </c>
      <c r="Q491" s="5">
        <v>5.0</v>
      </c>
      <c r="R491" s="5" t="s">
        <v>2103</v>
      </c>
      <c r="S491" s="5" t="s">
        <v>1737</v>
      </c>
      <c r="T491" s="5">
        <v>1126.0</v>
      </c>
      <c r="W491" s="5">
        <v>29221.0</v>
      </c>
      <c r="X491" s="5" t="s">
        <v>1738</v>
      </c>
      <c r="Y491" s="9"/>
      <c r="AO491" s="5" t="s">
        <v>2103</v>
      </c>
      <c r="AP491" s="5">
        <v>148.0</v>
      </c>
      <c r="AQ491" s="5" t="s">
        <v>1716</v>
      </c>
      <c r="AR491" s="5" t="s">
        <v>1739</v>
      </c>
      <c r="AS491" s="5" t="s">
        <v>1740</v>
      </c>
      <c r="AT491" s="5" t="s">
        <v>1741</v>
      </c>
      <c r="AU491" s="5" t="s">
        <v>1742</v>
      </c>
      <c r="AV491" s="5" t="s">
        <v>1720</v>
      </c>
      <c r="AW491" s="5" t="s">
        <v>2003</v>
      </c>
      <c r="AX491" s="5" t="s">
        <v>2087</v>
      </c>
      <c r="AY491" s="5">
        <v>56.3188</v>
      </c>
      <c r="AZ491" s="5">
        <v>-125.368</v>
      </c>
      <c r="BA491" s="5">
        <v>1126.0</v>
      </c>
    </row>
    <row r="492" ht="14.25" customHeight="1">
      <c r="A492" s="5" t="s">
        <v>88</v>
      </c>
      <c r="B492" s="8">
        <v>12.0</v>
      </c>
      <c r="C492" s="5" t="s">
        <v>1711</v>
      </c>
      <c r="D492" s="5">
        <v>149.0</v>
      </c>
      <c r="E492" s="5">
        <v>1714.0</v>
      </c>
      <c r="F492" s="5" t="s">
        <v>2105</v>
      </c>
      <c r="G492" s="10" t="s">
        <v>2106</v>
      </c>
      <c r="H492" s="5" t="s">
        <v>2107</v>
      </c>
      <c r="I492" s="5" t="s">
        <v>641</v>
      </c>
      <c r="J492" s="5" t="s">
        <v>1736</v>
      </c>
      <c r="K492" s="5">
        <v>1.0</v>
      </c>
      <c r="L492" s="5">
        <v>2117.0</v>
      </c>
      <c r="M492" s="5">
        <v>54.50922</v>
      </c>
      <c r="N492" s="5">
        <v>-122.69103</v>
      </c>
      <c r="O492" s="5" t="s">
        <v>1290</v>
      </c>
      <c r="P492" s="5">
        <v>149.0</v>
      </c>
      <c r="Q492" s="5">
        <v>1.0</v>
      </c>
      <c r="R492" s="5" t="s">
        <v>2105</v>
      </c>
      <c r="S492" s="5" t="s">
        <v>1737</v>
      </c>
      <c r="T492" s="5">
        <v>739.0</v>
      </c>
      <c r="W492" s="5">
        <v>29221.0</v>
      </c>
      <c r="X492" s="5" t="s">
        <v>1738</v>
      </c>
      <c r="Y492" s="9"/>
      <c r="AO492" s="5" t="s">
        <v>2105</v>
      </c>
      <c r="AP492" s="5">
        <v>149.0</v>
      </c>
      <c r="AQ492" s="5" t="s">
        <v>1700</v>
      </c>
      <c r="AR492" s="5" t="s">
        <v>1739</v>
      </c>
      <c r="AS492" s="5" t="s">
        <v>1740</v>
      </c>
      <c r="AT492" s="5" t="s">
        <v>1741</v>
      </c>
      <c r="AU492" s="5" t="s">
        <v>1959</v>
      </c>
      <c r="AV492" s="5" t="s">
        <v>1720</v>
      </c>
      <c r="AW492" s="5" t="s">
        <v>2003</v>
      </c>
      <c r="AX492" s="5" t="s">
        <v>2091</v>
      </c>
      <c r="AY492" s="5">
        <v>54.4824</v>
      </c>
      <c r="AZ492" s="5">
        <v>-122.6829</v>
      </c>
      <c r="BA492" s="5">
        <v>715.0</v>
      </c>
    </row>
    <row r="493" ht="14.25" customHeight="1">
      <c r="B493" s="8">
        <v>12.0</v>
      </c>
      <c r="C493" s="5" t="s">
        <v>1711</v>
      </c>
      <c r="D493" s="5">
        <v>150.0</v>
      </c>
      <c r="E493" s="5">
        <v>1715.0</v>
      </c>
      <c r="F493" s="18" t="s">
        <v>2108</v>
      </c>
      <c r="G493" s="5" t="s">
        <v>2109</v>
      </c>
      <c r="H493" s="5" t="s">
        <v>2110</v>
      </c>
      <c r="I493" s="5" t="s">
        <v>1664</v>
      </c>
      <c r="J493" s="5" t="s">
        <v>1715</v>
      </c>
      <c r="K493" s="5">
        <v>1.0</v>
      </c>
      <c r="L493" s="5">
        <v>2118.0</v>
      </c>
      <c r="Y493" s="9"/>
      <c r="AO493" s="5" t="s">
        <v>2108</v>
      </c>
      <c r="AP493" s="5">
        <v>150.0</v>
      </c>
      <c r="AQ493" s="5" t="s">
        <v>1716</v>
      </c>
      <c r="AR493" s="5" t="s">
        <v>1717</v>
      </c>
      <c r="AS493" s="5" t="s">
        <v>1718</v>
      </c>
      <c r="AT493" s="5" t="s">
        <v>1719</v>
      </c>
      <c r="AU493" s="5" t="s">
        <v>1703</v>
      </c>
      <c r="AV493" s="5" t="s">
        <v>1720</v>
      </c>
      <c r="AW493" s="5" t="s">
        <v>2003</v>
      </c>
      <c r="AX493" s="5" t="s">
        <v>2099</v>
      </c>
      <c r="AY493" s="5">
        <v>55.0</v>
      </c>
      <c r="AZ493" s="5">
        <v>-124.3</v>
      </c>
      <c r="BA493" s="5">
        <v>10.0</v>
      </c>
    </row>
    <row r="494" ht="14.25" customHeight="1">
      <c r="B494" s="8">
        <v>12.0</v>
      </c>
      <c r="C494" s="5" t="s">
        <v>1711</v>
      </c>
      <c r="D494" s="5">
        <v>151.0</v>
      </c>
      <c r="E494" s="5">
        <v>1716.0</v>
      </c>
      <c r="F494" s="5" t="s">
        <v>2111</v>
      </c>
      <c r="G494" s="5" t="s">
        <v>2112</v>
      </c>
      <c r="H494" s="5" t="s">
        <v>2113</v>
      </c>
      <c r="I494" s="5" t="s">
        <v>641</v>
      </c>
      <c r="J494" s="5" t="s">
        <v>1736</v>
      </c>
      <c r="K494" s="5">
        <v>1.0</v>
      </c>
      <c r="L494" s="5">
        <v>2119.0</v>
      </c>
      <c r="M494" s="11">
        <v>56.36433</v>
      </c>
      <c r="N494" s="11">
        <v>-123.36556</v>
      </c>
      <c r="O494" s="11" t="s">
        <v>1290</v>
      </c>
      <c r="P494" s="11">
        <v>151.0</v>
      </c>
      <c r="Q494" s="22">
        <v>5.0</v>
      </c>
      <c r="R494" s="11" t="s">
        <v>2111</v>
      </c>
      <c r="S494" s="11" t="s">
        <v>1737</v>
      </c>
      <c r="T494" s="11">
        <v>1108.0</v>
      </c>
      <c r="U494" s="11"/>
      <c r="V494" s="11"/>
      <c r="W494" s="23">
        <v>31778.0</v>
      </c>
      <c r="X494" s="11" t="s">
        <v>1738</v>
      </c>
      <c r="Y494" s="9"/>
      <c r="AO494" s="5" t="s">
        <v>2111</v>
      </c>
      <c r="AP494" s="5">
        <v>151.0</v>
      </c>
      <c r="AQ494" s="5" t="s">
        <v>1716</v>
      </c>
      <c r="AR494" s="5" t="s">
        <v>1739</v>
      </c>
      <c r="AS494" s="5" t="s">
        <v>1740</v>
      </c>
      <c r="AT494" s="5" t="s">
        <v>1741</v>
      </c>
      <c r="AU494" s="5" t="s">
        <v>1742</v>
      </c>
      <c r="AV494" s="5" t="s">
        <v>1720</v>
      </c>
      <c r="AW494" s="5" t="s">
        <v>2003</v>
      </c>
      <c r="AX494" s="5" t="s">
        <v>2087</v>
      </c>
      <c r="AY494" s="5">
        <v>56.3643</v>
      </c>
      <c r="AZ494" s="5">
        <v>-123.3655</v>
      </c>
      <c r="BA494" s="5">
        <v>1103.0</v>
      </c>
    </row>
    <row r="495" ht="14.25" customHeight="1">
      <c r="A495" s="5" t="s">
        <v>88</v>
      </c>
      <c r="B495" s="8">
        <v>12.0</v>
      </c>
      <c r="C495" s="5" t="s">
        <v>1711</v>
      </c>
      <c r="D495" s="5">
        <v>152.0</v>
      </c>
      <c r="E495" s="5">
        <v>1717.0</v>
      </c>
      <c r="F495" s="5" t="s">
        <v>2114</v>
      </c>
      <c r="G495" s="10" t="s">
        <v>2115</v>
      </c>
      <c r="H495" s="5" t="s">
        <v>2116</v>
      </c>
      <c r="I495" s="5" t="s">
        <v>641</v>
      </c>
      <c r="J495" s="5" t="s">
        <v>1865</v>
      </c>
      <c r="K495" s="5">
        <v>1.0</v>
      </c>
      <c r="L495" s="5">
        <v>2120.0</v>
      </c>
      <c r="M495" s="11">
        <v>57.85175</v>
      </c>
      <c r="N495" s="11">
        <v>-126.11676</v>
      </c>
      <c r="O495" s="11" t="s">
        <v>1577</v>
      </c>
      <c r="P495" s="11">
        <v>152.0</v>
      </c>
      <c r="Q495" s="22">
        <v>2.0</v>
      </c>
      <c r="R495" s="11" t="s">
        <v>2114</v>
      </c>
      <c r="S495" s="11" t="s">
        <v>1737</v>
      </c>
      <c r="T495" s="11">
        <v>985.0</v>
      </c>
      <c r="U495" s="11" t="s">
        <v>645</v>
      </c>
      <c r="V495" s="11"/>
      <c r="W495" s="23">
        <v>32143.0</v>
      </c>
      <c r="X495" s="11" t="s">
        <v>1738</v>
      </c>
      <c r="Y495" s="9"/>
      <c r="AO495" s="5" t="s">
        <v>2114</v>
      </c>
      <c r="AP495" s="5">
        <v>152.0</v>
      </c>
      <c r="AQ495" s="5" t="s">
        <v>1716</v>
      </c>
      <c r="AR495" s="5" t="s">
        <v>1739</v>
      </c>
      <c r="AS495" s="5" t="s">
        <v>1740</v>
      </c>
      <c r="AT495" s="5" t="s">
        <v>1835</v>
      </c>
      <c r="AU495" s="5" t="s">
        <v>1742</v>
      </c>
      <c r="AV495" s="5" t="s">
        <v>1720</v>
      </c>
      <c r="AW495" s="5" t="s">
        <v>2003</v>
      </c>
      <c r="AX495" s="5" t="s">
        <v>2087</v>
      </c>
      <c r="AY495" s="5">
        <v>57.8517</v>
      </c>
      <c r="AZ495" s="5">
        <v>-126.1168</v>
      </c>
      <c r="BA495" s="5">
        <v>968.0</v>
      </c>
    </row>
    <row r="496" ht="14.25" customHeight="1">
      <c r="A496" s="5" t="s">
        <v>88</v>
      </c>
      <c r="B496" s="8">
        <v>12.0</v>
      </c>
      <c r="C496" s="5" t="s">
        <v>1711</v>
      </c>
      <c r="D496" s="5">
        <v>153.0</v>
      </c>
      <c r="E496" s="5">
        <v>1718.0</v>
      </c>
      <c r="F496" s="5" t="s">
        <v>2117</v>
      </c>
      <c r="G496" s="10" t="s">
        <v>2118</v>
      </c>
      <c r="H496" s="5" t="s">
        <v>2119</v>
      </c>
      <c r="I496" s="5" t="s">
        <v>641</v>
      </c>
      <c r="J496" s="5" t="s">
        <v>1865</v>
      </c>
      <c r="K496" s="5">
        <v>1.0</v>
      </c>
      <c r="L496" s="5">
        <v>2121.0</v>
      </c>
      <c r="M496" s="11">
        <v>54.72553</v>
      </c>
      <c r="N496" s="11">
        <v>-123.07867</v>
      </c>
      <c r="O496" s="11" t="s">
        <v>1290</v>
      </c>
      <c r="P496" s="11">
        <v>153.0</v>
      </c>
      <c r="Q496" s="22">
        <v>3.0</v>
      </c>
      <c r="R496" s="11" t="s">
        <v>2117</v>
      </c>
      <c r="S496" s="11" t="s">
        <v>1737</v>
      </c>
      <c r="T496" s="11">
        <v>915.0</v>
      </c>
      <c r="U496" s="11"/>
      <c r="V496" s="11"/>
      <c r="W496" s="23">
        <v>32874.0</v>
      </c>
      <c r="X496" s="11" t="s">
        <v>1738</v>
      </c>
      <c r="Y496" s="9"/>
      <c r="AO496" s="5" t="s">
        <v>2117</v>
      </c>
      <c r="AP496" s="5">
        <v>153.0</v>
      </c>
      <c r="AQ496" s="5" t="s">
        <v>1700</v>
      </c>
      <c r="AR496" s="5" t="s">
        <v>1739</v>
      </c>
      <c r="AS496" s="5" t="s">
        <v>1740</v>
      </c>
      <c r="AT496" s="5" t="s">
        <v>1835</v>
      </c>
      <c r="AU496" s="5" t="s">
        <v>1959</v>
      </c>
      <c r="AV496" s="5" t="s">
        <v>1720</v>
      </c>
      <c r="AW496" s="5" t="s">
        <v>2003</v>
      </c>
      <c r="AX496" s="5" t="s">
        <v>2091</v>
      </c>
      <c r="AY496" s="5">
        <v>54.7442</v>
      </c>
      <c r="AZ496" s="5">
        <v>-123.0187</v>
      </c>
      <c r="BA496" s="5">
        <v>867.0</v>
      </c>
    </row>
    <row r="497" ht="14.25" customHeight="1">
      <c r="A497" s="5" t="s">
        <v>88</v>
      </c>
      <c r="B497" s="8">
        <v>12.0</v>
      </c>
      <c r="C497" s="5" t="s">
        <v>1711</v>
      </c>
      <c r="D497" s="5">
        <v>154.0</v>
      </c>
      <c r="E497" s="5">
        <v>1719.0</v>
      </c>
      <c r="F497" s="5" t="s">
        <v>2120</v>
      </c>
      <c r="G497" s="10" t="s">
        <v>2121</v>
      </c>
      <c r="H497" s="5" t="s">
        <v>2122</v>
      </c>
      <c r="I497" s="5" t="s">
        <v>641</v>
      </c>
      <c r="J497" s="5" t="s">
        <v>1736</v>
      </c>
      <c r="K497" s="5">
        <v>1.0</v>
      </c>
      <c r="L497" s="5">
        <v>2122.0</v>
      </c>
      <c r="M497" s="11">
        <v>55.02303</v>
      </c>
      <c r="N497" s="11">
        <v>-124.26661</v>
      </c>
      <c r="O497" s="11" t="s">
        <v>1290</v>
      </c>
      <c r="P497" s="11">
        <v>154.0</v>
      </c>
      <c r="Q497" s="22">
        <v>4.0</v>
      </c>
      <c r="R497" s="11" t="s">
        <v>2120</v>
      </c>
      <c r="S497" s="11" t="s">
        <v>1737</v>
      </c>
      <c r="T497" s="11">
        <v>1030.0</v>
      </c>
      <c r="U497" s="11"/>
      <c r="V497" s="11"/>
      <c r="W497" s="23">
        <v>33970.0</v>
      </c>
      <c r="X497" s="11" t="s">
        <v>1738</v>
      </c>
      <c r="Y497" s="9"/>
      <c r="AO497" s="5" t="s">
        <v>2120</v>
      </c>
      <c r="AP497" s="5">
        <v>154.0</v>
      </c>
      <c r="AQ497" s="5" t="s">
        <v>1716</v>
      </c>
      <c r="AR497" s="5" t="s">
        <v>1739</v>
      </c>
      <c r="AS497" s="5" t="s">
        <v>1740</v>
      </c>
      <c r="AT497" s="5" t="s">
        <v>1741</v>
      </c>
      <c r="AU497" s="5" t="s">
        <v>1742</v>
      </c>
      <c r="AV497" s="5" t="s">
        <v>1720</v>
      </c>
      <c r="AW497" s="5" t="s">
        <v>2003</v>
      </c>
      <c r="AX497" s="5" t="s">
        <v>2099</v>
      </c>
      <c r="AY497" s="5">
        <v>55.023</v>
      </c>
      <c r="AZ497" s="5">
        <v>-124.2666</v>
      </c>
      <c r="BA497" s="5">
        <v>1041.0</v>
      </c>
    </row>
    <row r="498" ht="14.25" customHeight="1">
      <c r="A498" s="5" t="s">
        <v>88</v>
      </c>
      <c r="B498" s="8">
        <v>12.0</v>
      </c>
      <c r="C498" s="5" t="s">
        <v>1711</v>
      </c>
      <c r="D498" s="5">
        <v>155.0</v>
      </c>
      <c r="E498" s="5">
        <v>1720.0</v>
      </c>
      <c r="F498" s="5" t="s">
        <v>2123</v>
      </c>
      <c r="G498" s="10" t="s">
        <v>2124</v>
      </c>
      <c r="H498" s="5" t="s">
        <v>2125</v>
      </c>
      <c r="I498" s="5" t="s">
        <v>641</v>
      </c>
      <c r="J498" s="5" t="s">
        <v>1736</v>
      </c>
      <c r="K498" s="5">
        <v>1.0</v>
      </c>
      <c r="L498" s="5">
        <v>2123.0</v>
      </c>
      <c r="M498" s="11">
        <v>55.32211</v>
      </c>
      <c r="N498" s="11">
        <v>-123.09317</v>
      </c>
      <c r="O498" s="11" t="s">
        <v>1290</v>
      </c>
      <c r="P498" s="11">
        <v>155.0</v>
      </c>
      <c r="Q498" s="22">
        <v>1.0</v>
      </c>
      <c r="R498" s="11" t="s">
        <v>2123</v>
      </c>
      <c r="S498" s="11" t="s">
        <v>1737</v>
      </c>
      <c r="T498" s="11">
        <v>690.0</v>
      </c>
      <c r="U498" s="11"/>
      <c r="V498" s="11"/>
      <c r="W498" s="23">
        <v>34335.0</v>
      </c>
      <c r="X498" s="11" t="s">
        <v>1738</v>
      </c>
      <c r="Y498" s="9"/>
      <c r="AO498" s="5" t="s">
        <v>2123</v>
      </c>
      <c r="AP498" s="5">
        <v>155.0</v>
      </c>
      <c r="AQ498" s="5" t="s">
        <v>1700</v>
      </c>
      <c r="AR498" s="5" t="s">
        <v>1739</v>
      </c>
      <c r="AS498" s="5" t="s">
        <v>1740</v>
      </c>
      <c r="AT498" s="5" t="s">
        <v>1835</v>
      </c>
      <c r="AU498" s="5" t="s">
        <v>1772</v>
      </c>
      <c r="AV498" s="5" t="s">
        <v>1720</v>
      </c>
      <c r="AW498" s="5" t="s">
        <v>2003</v>
      </c>
      <c r="AX498" s="5" t="s">
        <v>2087</v>
      </c>
      <c r="AY498" s="5">
        <v>55.2864</v>
      </c>
      <c r="AZ498" s="5">
        <v>-123.1358</v>
      </c>
      <c r="BA498" s="5">
        <v>697.0</v>
      </c>
    </row>
    <row r="499" ht="14.25" customHeight="1">
      <c r="A499" s="5" t="s">
        <v>88</v>
      </c>
      <c r="B499" s="8">
        <v>12.0</v>
      </c>
      <c r="C499" s="5" t="s">
        <v>1711</v>
      </c>
      <c r="D499" s="5">
        <v>156.0</v>
      </c>
      <c r="E499" s="5">
        <v>1721.0</v>
      </c>
      <c r="F499" s="5" t="s">
        <v>2126</v>
      </c>
      <c r="G499" s="10" t="s">
        <v>2127</v>
      </c>
      <c r="H499" s="5" t="s">
        <v>2128</v>
      </c>
      <c r="I499" s="5" t="s">
        <v>641</v>
      </c>
      <c r="J499" s="5" t="s">
        <v>1736</v>
      </c>
      <c r="K499" s="5">
        <v>1.0</v>
      </c>
      <c r="L499" s="5">
        <v>2124.0</v>
      </c>
      <c r="M499" s="11">
        <v>56.32873</v>
      </c>
      <c r="N499" s="11">
        <v>-127.03425</v>
      </c>
      <c r="O499" s="11" t="s">
        <v>1290</v>
      </c>
      <c r="P499" s="11">
        <v>156.0</v>
      </c>
      <c r="Q499" s="22">
        <v>3.0</v>
      </c>
      <c r="R499" s="11" t="s">
        <v>2126</v>
      </c>
      <c r="S499" s="11" t="s">
        <v>1737</v>
      </c>
      <c r="T499" s="11">
        <v>871.0</v>
      </c>
      <c r="U499" s="11"/>
      <c r="V499" s="11"/>
      <c r="W499" s="23">
        <v>32509.0</v>
      </c>
      <c r="X499" s="11" t="s">
        <v>1738</v>
      </c>
      <c r="Y499" s="9"/>
      <c r="AO499" s="5" t="s">
        <v>2126</v>
      </c>
      <c r="AP499" s="5">
        <v>156.0</v>
      </c>
      <c r="AQ499" s="5" t="s">
        <v>1716</v>
      </c>
      <c r="AR499" s="5" t="s">
        <v>1739</v>
      </c>
      <c r="AS499" s="5" t="s">
        <v>1740</v>
      </c>
      <c r="AT499" s="5" t="s">
        <v>1741</v>
      </c>
      <c r="AU499" s="5" t="s">
        <v>1742</v>
      </c>
      <c r="AV499" s="5" t="s">
        <v>1720</v>
      </c>
      <c r="AW499" s="5" t="s">
        <v>2003</v>
      </c>
      <c r="AX499" s="5" t="s">
        <v>2099</v>
      </c>
      <c r="AY499" s="5">
        <v>56.3288</v>
      </c>
      <c r="AZ499" s="5">
        <v>-127.0339</v>
      </c>
      <c r="BA499" s="5">
        <v>819.0</v>
      </c>
    </row>
    <row r="500" ht="14.25" customHeight="1">
      <c r="A500" s="5" t="s">
        <v>422</v>
      </c>
      <c r="B500" s="8">
        <v>12.0</v>
      </c>
      <c r="C500" s="5" t="s">
        <v>2129</v>
      </c>
      <c r="D500" s="5">
        <v>157.0</v>
      </c>
      <c r="E500" s="5">
        <v>12968.0</v>
      </c>
      <c r="F500" s="51" t="s">
        <v>2130</v>
      </c>
      <c r="G500" s="5" t="s">
        <v>2131</v>
      </c>
      <c r="H500" s="5" t="s">
        <v>1697</v>
      </c>
      <c r="I500" s="5" t="s">
        <v>49</v>
      </c>
      <c r="J500" s="5" t="s">
        <v>1746</v>
      </c>
      <c r="K500" s="5">
        <v>1.0</v>
      </c>
      <c r="L500" s="5">
        <v>14900.0</v>
      </c>
      <c r="Y500" s="9"/>
      <c r="AO500" s="50" t="s">
        <v>2132</v>
      </c>
      <c r="AP500" s="50">
        <v>157.0</v>
      </c>
      <c r="AQ500" s="50" t="s">
        <v>1700</v>
      </c>
      <c r="AR500" s="50" t="s">
        <v>1701</v>
      </c>
      <c r="AS500" s="50" t="s">
        <v>1702</v>
      </c>
      <c r="AT500" s="50" t="s">
        <v>1703</v>
      </c>
      <c r="AU500" s="50" t="s">
        <v>1704</v>
      </c>
      <c r="AV500" s="50" t="s">
        <v>1702</v>
      </c>
      <c r="AW500" s="50" t="s">
        <v>1947</v>
      </c>
      <c r="AX500" s="50" t="s">
        <v>2133</v>
      </c>
      <c r="AY500" s="50">
        <v>54.8242</v>
      </c>
      <c r="AZ500" s="50">
        <v>-127.1894</v>
      </c>
      <c r="BA500" s="50">
        <v>522.0</v>
      </c>
    </row>
    <row r="501" ht="14.25" customHeight="1">
      <c r="A501" s="5" t="s">
        <v>1908</v>
      </c>
      <c r="B501" s="8">
        <v>12.0</v>
      </c>
      <c r="C501" s="5" t="s">
        <v>1711</v>
      </c>
      <c r="D501" s="5">
        <v>158.0</v>
      </c>
      <c r="E501" s="5">
        <v>1722.0</v>
      </c>
      <c r="F501" s="10" t="s">
        <v>2134</v>
      </c>
      <c r="G501" s="10" t="s">
        <v>2135</v>
      </c>
      <c r="H501" s="5" t="s">
        <v>2136</v>
      </c>
      <c r="I501" s="5" t="s">
        <v>641</v>
      </c>
      <c r="J501" s="5" t="s">
        <v>1736</v>
      </c>
      <c r="K501" s="5">
        <v>1.0</v>
      </c>
      <c r="L501" s="5">
        <v>2125.0</v>
      </c>
      <c r="M501" s="11">
        <v>54.05581</v>
      </c>
      <c r="N501" s="11">
        <v>-124.00886</v>
      </c>
      <c r="O501" s="11" t="s">
        <v>1290</v>
      </c>
      <c r="P501" s="11">
        <v>158.0</v>
      </c>
      <c r="Q501" s="22">
        <v>1.0</v>
      </c>
      <c r="R501" s="11" t="s">
        <v>2137</v>
      </c>
      <c r="S501" s="11" t="s">
        <v>1737</v>
      </c>
      <c r="T501" s="11">
        <v>678.0</v>
      </c>
      <c r="U501" s="11"/>
      <c r="V501" s="11" t="s">
        <v>2138</v>
      </c>
      <c r="W501" s="23">
        <v>25569.0</v>
      </c>
      <c r="X501" s="11" t="s">
        <v>1738</v>
      </c>
      <c r="Y501" s="9"/>
      <c r="AO501" s="55" t="s">
        <v>2137</v>
      </c>
      <c r="AP501" s="5">
        <v>158.0</v>
      </c>
      <c r="AQ501" s="5" t="s">
        <v>1700</v>
      </c>
      <c r="AR501" s="5" t="s">
        <v>1739</v>
      </c>
      <c r="AS501" s="5" t="s">
        <v>1740</v>
      </c>
      <c r="AT501" s="5" t="s">
        <v>1741</v>
      </c>
      <c r="AU501" s="5" t="s">
        <v>2043</v>
      </c>
      <c r="AV501" s="5" t="s">
        <v>1720</v>
      </c>
      <c r="AW501" s="5" t="s">
        <v>2003</v>
      </c>
      <c r="AX501" s="5" t="s">
        <v>2139</v>
      </c>
      <c r="AY501" s="5">
        <v>54.0554</v>
      </c>
      <c r="AZ501" s="5">
        <v>-124.0102</v>
      </c>
      <c r="BA501" s="5">
        <v>681.0</v>
      </c>
    </row>
    <row r="502" ht="14.25" customHeight="1">
      <c r="A502" s="5" t="s">
        <v>88</v>
      </c>
      <c r="B502" s="8">
        <v>12.0</v>
      </c>
      <c r="C502" s="5" t="s">
        <v>1711</v>
      </c>
      <c r="D502" s="5">
        <v>159.0</v>
      </c>
      <c r="E502" s="5">
        <v>1723.0</v>
      </c>
      <c r="F502" s="5" t="s">
        <v>2140</v>
      </c>
      <c r="G502" s="10" t="s">
        <v>2141</v>
      </c>
      <c r="H502" s="5" t="s">
        <v>2142</v>
      </c>
      <c r="I502" s="5" t="s">
        <v>641</v>
      </c>
      <c r="J502" s="5" t="s">
        <v>1736</v>
      </c>
      <c r="K502" s="5">
        <v>1.0</v>
      </c>
      <c r="L502" s="5">
        <v>2126.0</v>
      </c>
      <c r="M502" s="11">
        <v>54.15463</v>
      </c>
      <c r="N502" s="11">
        <v>-123.75413</v>
      </c>
      <c r="O502" s="11" t="s">
        <v>1290</v>
      </c>
      <c r="P502" s="11">
        <v>159.0</v>
      </c>
      <c r="Q502" s="22">
        <v>2.0</v>
      </c>
      <c r="R502" s="11" t="s">
        <v>2140</v>
      </c>
      <c r="S502" s="11" t="s">
        <v>1737</v>
      </c>
      <c r="T502" s="11">
        <v>850.0</v>
      </c>
      <c r="U502" s="11"/>
      <c r="V502" s="11"/>
      <c r="W502" s="23">
        <v>26299.0</v>
      </c>
      <c r="X502" s="11" t="s">
        <v>1738</v>
      </c>
      <c r="Y502" s="9"/>
      <c r="AO502" s="5" t="s">
        <v>2140</v>
      </c>
      <c r="AP502" s="5">
        <v>159.0</v>
      </c>
      <c r="AQ502" s="5" t="s">
        <v>1700</v>
      </c>
      <c r="AR502" s="5" t="s">
        <v>1739</v>
      </c>
      <c r="AS502" s="5" t="s">
        <v>1740</v>
      </c>
      <c r="AT502" s="5" t="s">
        <v>1741</v>
      </c>
      <c r="AU502" s="5" t="s">
        <v>1959</v>
      </c>
      <c r="AV502" s="5" t="s">
        <v>1720</v>
      </c>
      <c r="AW502" s="5" t="s">
        <v>2003</v>
      </c>
      <c r="AX502" s="5" t="s">
        <v>2139</v>
      </c>
      <c r="AY502" s="5">
        <v>54.1546</v>
      </c>
      <c r="AZ502" s="5">
        <v>-123.7542</v>
      </c>
      <c r="BA502" s="5">
        <v>836.0</v>
      </c>
    </row>
    <row r="503" ht="14.25" customHeight="1">
      <c r="A503" s="5" t="s">
        <v>1908</v>
      </c>
      <c r="B503" s="8">
        <v>12.0</v>
      </c>
      <c r="C503" s="5" t="s">
        <v>1711</v>
      </c>
      <c r="D503" s="5">
        <v>161.0</v>
      </c>
      <c r="E503" s="5">
        <v>1724.0</v>
      </c>
      <c r="F503" s="10" t="s">
        <v>2143</v>
      </c>
      <c r="G503" s="10" t="s">
        <v>2144</v>
      </c>
      <c r="H503" s="5" t="s">
        <v>2145</v>
      </c>
      <c r="I503" s="5" t="s">
        <v>641</v>
      </c>
      <c r="J503" s="5" t="s">
        <v>1865</v>
      </c>
      <c r="K503" s="5">
        <v>1.0</v>
      </c>
      <c r="L503" s="5">
        <v>2127.0</v>
      </c>
      <c r="M503" s="11">
        <v>53.94667</v>
      </c>
      <c r="N503" s="11">
        <v>-125.86667</v>
      </c>
      <c r="O503" s="11" t="s">
        <v>148</v>
      </c>
      <c r="P503" s="11">
        <v>161.0</v>
      </c>
      <c r="Q503" s="22">
        <v>2.0</v>
      </c>
      <c r="R503" s="11" t="s">
        <v>2146</v>
      </c>
      <c r="S503" s="11" t="s">
        <v>1737</v>
      </c>
      <c r="T503" s="11">
        <v>944.0</v>
      </c>
      <c r="U503" s="11" t="s">
        <v>645</v>
      </c>
      <c r="V503" s="11" t="s">
        <v>2147</v>
      </c>
      <c r="W503" s="23">
        <v>25569.0</v>
      </c>
      <c r="X503" s="11" t="s">
        <v>1738</v>
      </c>
      <c r="Y503" s="9"/>
      <c r="AO503" s="55" t="s">
        <v>2146</v>
      </c>
      <c r="AP503" s="5">
        <v>161.0</v>
      </c>
      <c r="AQ503" s="5" t="s">
        <v>1716</v>
      </c>
      <c r="AR503" s="5" t="s">
        <v>1739</v>
      </c>
      <c r="AS503" s="5" t="s">
        <v>1740</v>
      </c>
      <c r="AT503" s="5" t="s">
        <v>1741</v>
      </c>
      <c r="AU503" s="5" t="s">
        <v>1959</v>
      </c>
      <c r="AV503" s="5" t="s">
        <v>1720</v>
      </c>
      <c r="AW503" s="5" t="s">
        <v>1947</v>
      </c>
      <c r="AX503" s="5" t="s">
        <v>2148</v>
      </c>
      <c r="AY503" s="5">
        <v>53.9454</v>
      </c>
      <c r="AZ503" s="5">
        <v>-125.8761</v>
      </c>
      <c r="BA503" s="5">
        <v>938.0</v>
      </c>
    </row>
    <row r="504" ht="14.25" customHeight="1">
      <c r="A504" s="5" t="s">
        <v>88</v>
      </c>
      <c r="B504" s="8">
        <v>12.0</v>
      </c>
      <c r="C504" s="5" t="s">
        <v>1711</v>
      </c>
      <c r="D504" s="5">
        <v>162.0</v>
      </c>
      <c r="E504" s="5">
        <v>1725.0</v>
      </c>
      <c r="F504" s="5" t="s">
        <v>2149</v>
      </c>
      <c r="G504" s="10" t="s">
        <v>2150</v>
      </c>
      <c r="H504" s="5" t="s">
        <v>2151</v>
      </c>
      <c r="I504" s="5" t="s">
        <v>641</v>
      </c>
      <c r="J504" s="5" t="s">
        <v>1865</v>
      </c>
      <c r="K504" s="5">
        <v>1.0</v>
      </c>
      <c r="L504" s="5">
        <v>2128.0</v>
      </c>
      <c r="M504" s="11">
        <v>54.41167</v>
      </c>
      <c r="N504" s="11">
        <v>-126.62667</v>
      </c>
      <c r="O504" s="11" t="s">
        <v>148</v>
      </c>
      <c r="P504" s="11">
        <v>162.0</v>
      </c>
      <c r="Q504" s="22">
        <v>1.0</v>
      </c>
      <c r="R504" s="11" t="s">
        <v>2149</v>
      </c>
      <c r="S504" s="11" t="s">
        <v>1737</v>
      </c>
      <c r="T504" s="11">
        <v>608.0</v>
      </c>
      <c r="U504" s="11"/>
      <c r="V504" s="11"/>
      <c r="W504" s="23">
        <v>27030.0</v>
      </c>
      <c r="X504" s="11" t="s">
        <v>1738</v>
      </c>
      <c r="Y504" s="9"/>
      <c r="AO504" s="5" t="s">
        <v>2152</v>
      </c>
      <c r="AP504" s="5">
        <v>162.0</v>
      </c>
      <c r="AQ504" s="5" t="s">
        <v>1700</v>
      </c>
      <c r="AR504" s="5" t="s">
        <v>1739</v>
      </c>
      <c r="AS504" s="5" t="s">
        <v>1740</v>
      </c>
      <c r="AT504" s="5" t="s">
        <v>1741</v>
      </c>
      <c r="AU504" s="5" t="s">
        <v>1772</v>
      </c>
      <c r="AV504" s="5" t="s">
        <v>1720</v>
      </c>
      <c r="AW504" s="5" t="s">
        <v>1947</v>
      </c>
      <c r="AX504" s="5" t="s">
        <v>2153</v>
      </c>
      <c r="AY504" s="5">
        <v>54.3939</v>
      </c>
      <c r="AZ504" s="5">
        <v>-126.6175</v>
      </c>
      <c r="BA504" s="5">
        <v>619.0</v>
      </c>
    </row>
    <row r="505" ht="14.25" customHeight="1">
      <c r="A505" s="5" t="s">
        <v>88</v>
      </c>
      <c r="B505" s="8">
        <v>12.0</v>
      </c>
      <c r="C505" s="5" t="s">
        <v>1711</v>
      </c>
      <c r="D505" s="5">
        <v>163.0</v>
      </c>
      <c r="E505" s="5">
        <v>1726.0</v>
      </c>
      <c r="F505" s="5" t="s">
        <v>2154</v>
      </c>
      <c r="G505" s="10" t="s">
        <v>2155</v>
      </c>
      <c r="H505" s="5" t="s">
        <v>2156</v>
      </c>
      <c r="I505" s="5" t="s">
        <v>641</v>
      </c>
      <c r="J505" s="5" t="s">
        <v>1736</v>
      </c>
      <c r="K505" s="5">
        <v>1.0</v>
      </c>
      <c r="L505" s="5">
        <v>2129.0</v>
      </c>
      <c r="M505" s="11">
        <v>55.68822</v>
      </c>
      <c r="N505" s="11">
        <v>-126.05261</v>
      </c>
      <c r="O505" s="11" t="s">
        <v>1290</v>
      </c>
      <c r="P505" s="11">
        <v>163.0</v>
      </c>
      <c r="Q505" s="22">
        <v>4.0</v>
      </c>
      <c r="R505" s="11" t="s">
        <v>2154</v>
      </c>
      <c r="S505" s="11" t="s">
        <v>1737</v>
      </c>
      <c r="T505" s="11">
        <v>990.0</v>
      </c>
      <c r="U505" s="11"/>
      <c r="V505" s="11"/>
      <c r="W505" s="23">
        <v>28856.0</v>
      </c>
      <c r="X505" s="11" t="s">
        <v>1738</v>
      </c>
      <c r="Y505" s="9"/>
      <c r="AO505" s="5" t="s">
        <v>2154</v>
      </c>
      <c r="AP505" s="5">
        <v>163.0</v>
      </c>
      <c r="AQ505" s="5" t="s">
        <v>1716</v>
      </c>
      <c r="AR505" s="5" t="s">
        <v>1739</v>
      </c>
      <c r="AS505" s="5" t="s">
        <v>1740</v>
      </c>
      <c r="AT505" s="5" t="s">
        <v>1741</v>
      </c>
      <c r="AU505" s="5" t="s">
        <v>1742</v>
      </c>
      <c r="AV505" s="5" t="s">
        <v>1720</v>
      </c>
      <c r="AW505" s="5" t="s">
        <v>2003</v>
      </c>
      <c r="AX505" s="5" t="s">
        <v>2099</v>
      </c>
      <c r="AY505" s="5">
        <v>55.6881</v>
      </c>
      <c r="AZ505" s="5">
        <v>-126.0525</v>
      </c>
      <c r="BA505" s="5">
        <v>981.0</v>
      </c>
    </row>
    <row r="506" ht="14.25" customHeight="1">
      <c r="A506" s="5" t="s">
        <v>2037</v>
      </c>
      <c r="B506" s="8">
        <v>12.0</v>
      </c>
      <c r="C506" s="5" t="s">
        <v>1711</v>
      </c>
      <c r="D506" s="5">
        <v>164.0</v>
      </c>
      <c r="E506" s="5">
        <v>1727.0</v>
      </c>
      <c r="F506" s="5" t="s">
        <v>2157</v>
      </c>
      <c r="G506" s="5" t="s">
        <v>2158</v>
      </c>
      <c r="H506" s="5" t="s">
        <v>2159</v>
      </c>
      <c r="I506" s="5" t="s">
        <v>641</v>
      </c>
      <c r="J506" s="5" t="s">
        <v>1715</v>
      </c>
      <c r="K506" s="5">
        <v>1.0</v>
      </c>
      <c r="L506" s="5">
        <v>2130.0</v>
      </c>
      <c r="Y506" s="9"/>
      <c r="AO506" s="5" t="s">
        <v>2160</v>
      </c>
      <c r="AP506" s="5">
        <v>164.0</v>
      </c>
      <c r="AQ506" s="5" t="s">
        <v>1716</v>
      </c>
      <c r="AR506" s="5" t="s">
        <v>1717</v>
      </c>
      <c r="AS506" s="5" t="s">
        <v>1718</v>
      </c>
      <c r="AT506" s="5" t="s">
        <v>2161</v>
      </c>
      <c r="AU506" s="5" t="s">
        <v>2162</v>
      </c>
      <c r="AV506" s="5" t="s">
        <v>1720</v>
      </c>
      <c r="AW506" s="5" t="s">
        <v>1947</v>
      </c>
      <c r="AX506" s="5" t="s">
        <v>2148</v>
      </c>
      <c r="AY506" s="5">
        <v>53.27</v>
      </c>
      <c r="AZ506" s="5">
        <v>-126.17</v>
      </c>
      <c r="BA506" s="5">
        <v>1036.0</v>
      </c>
    </row>
    <row r="507" ht="14.25" customHeight="1">
      <c r="A507" s="5" t="s">
        <v>88</v>
      </c>
      <c r="B507" s="8">
        <v>12.0</v>
      </c>
      <c r="C507" s="5" t="s">
        <v>1711</v>
      </c>
      <c r="D507" s="5">
        <v>165.0</v>
      </c>
      <c r="E507" s="5">
        <v>1728.0</v>
      </c>
      <c r="F507" s="5" t="s">
        <v>2163</v>
      </c>
      <c r="G507" s="10" t="s">
        <v>2164</v>
      </c>
      <c r="H507" s="5" t="s">
        <v>2165</v>
      </c>
      <c r="I507" s="5" t="s">
        <v>641</v>
      </c>
      <c r="J507" s="5" t="s">
        <v>1865</v>
      </c>
      <c r="K507" s="5">
        <v>1.0</v>
      </c>
      <c r="L507" s="5">
        <v>2131.0</v>
      </c>
      <c r="M507" s="11">
        <v>53.07146</v>
      </c>
      <c r="N507" s="11">
        <v>-125.41215</v>
      </c>
      <c r="O507" s="11" t="s">
        <v>148</v>
      </c>
      <c r="P507" s="11">
        <v>165.0</v>
      </c>
      <c r="Q507" s="22">
        <v>4.0</v>
      </c>
      <c r="R507" s="11" t="s">
        <v>2163</v>
      </c>
      <c r="S507" s="11" t="s">
        <v>1737</v>
      </c>
      <c r="T507" s="11">
        <v>1109.0</v>
      </c>
      <c r="U507" s="11"/>
      <c r="V507" s="11" t="s">
        <v>2166</v>
      </c>
      <c r="W507" s="23">
        <v>29221.0</v>
      </c>
      <c r="X507" s="11" t="s">
        <v>1738</v>
      </c>
      <c r="Y507" s="9"/>
      <c r="AO507" s="5" t="s">
        <v>2163</v>
      </c>
      <c r="AP507" s="5">
        <v>165.0</v>
      </c>
      <c r="AQ507" s="5" t="s">
        <v>1700</v>
      </c>
      <c r="AR507" s="5" t="s">
        <v>1739</v>
      </c>
      <c r="AS507" s="5" t="s">
        <v>1740</v>
      </c>
      <c r="AT507" s="5" t="s">
        <v>1835</v>
      </c>
      <c r="AU507" s="5" t="s">
        <v>1959</v>
      </c>
      <c r="AV507" s="5" t="s">
        <v>1720</v>
      </c>
      <c r="AW507" s="5" t="s">
        <v>2003</v>
      </c>
      <c r="AX507" s="5" t="s">
        <v>2139</v>
      </c>
      <c r="AY507" s="5">
        <v>53.0715</v>
      </c>
      <c r="AZ507" s="5">
        <v>-125.4121</v>
      </c>
      <c r="BA507" s="5">
        <v>1094.0</v>
      </c>
    </row>
    <row r="508" ht="14.25" customHeight="1">
      <c r="A508" s="5" t="s">
        <v>88</v>
      </c>
      <c r="B508" s="8">
        <v>12.0</v>
      </c>
      <c r="C508" s="5" t="s">
        <v>1711</v>
      </c>
      <c r="D508" s="5">
        <v>166.0</v>
      </c>
      <c r="E508" s="5">
        <v>1729.0</v>
      </c>
      <c r="F508" s="5" t="s">
        <v>2167</v>
      </c>
      <c r="G508" s="10" t="s">
        <v>2168</v>
      </c>
      <c r="H508" s="5" t="s">
        <v>2169</v>
      </c>
      <c r="I508" s="5" t="s">
        <v>641</v>
      </c>
      <c r="J508" s="5" t="s">
        <v>1865</v>
      </c>
      <c r="K508" s="5">
        <v>1.0</v>
      </c>
      <c r="L508" s="5">
        <v>2132.0</v>
      </c>
      <c r="M508" s="11">
        <v>53.38305</v>
      </c>
      <c r="N508" s="11">
        <v>-124.51208</v>
      </c>
      <c r="O508" s="11" t="s">
        <v>148</v>
      </c>
      <c r="P508" s="11">
        <v>166.0</v>
      </c>
      <c r="Q508" s="22">
        <v>5.0</v>
      </c>
      <c r="R508" s="11" t="s">
        <v>2167</v>
      </c>
      <c r="S508" s="11" t="s">
        <v>1737</v>
      </c>
      <c r="T508" s="11">
        <v>1137.0</v>
      </c>
      <c r="U508" s="11"/>
      <c r="V508" s="11" t="s">
        <v>2147</v>
      </c>
      <c r="W508" s="23">
        <v>29952.0</v>
      </c>
      <c r="X508" s="11" t="s">
        <v>1738</v>
      </c>
      <c r="Y508" s="9"/>
      <c r="AO508" s="5" t="s">
        <v>2167</v>
      </c>
      <c r="AP508" s="5">
        <v>166.0</v>
      </c>
      <c r="AQ508" s="5" t="s">
        <v>1716</v>
      </c>
      <c r="AR508" s="5" t="s">
        <v>1739</v>
      </c>
      <c r="AS508" s="5" t="s">
        <v>1740</v>
      </c>
      <c r="AT508" s="5" t="s">
        <v>1741</v>
      </c>
      <c r="AU508" s="5" t="s">
        <v>1742</v>
      </c>
      <c r="AV508" s="5" t="s">
        <v>1720</v>
      </c>
      <c r="AW508" s="5" t="s">
        <v>2003</v>
      </c>
      <c r="AX508" s="5" t="s">
        <v>2139</v>
      </c>
      <c r="AY508" s="5">
        <v>53.383</v>
      </c>
      <c r="AZ508" s="5">
        <v>-124.5121</v>
      </c>
      <c r="BA508" s="5">
        <v>1125.0</v>
      </c>
    </row>
    <row r="509" ht="14.25" customHeight="1">
      <c r="A509" s="5" t="s">
        <v>88</v>
      </c>
      <c r="B509" s="8">
        <v>12.0</v>
      </c>
      <c r="C509" s="5" t="s">
        <v>1711</v>
      </c>
      <c r="D509" s="5">
        <v>167.0</v>
      </c>
      <c r="E509" s="5">
        <v>1730.0</v>
      </c>
      <c r="F509" s="5" t="s">
        <v>2170</v>
      </c>
      <c r="G509" s="10" t="s">
        <v>2171</v>
      </c>
      <c r="H509" s="5" t="s">
        <v>2172</v>
      </c>
      <c r="I509" s="5" t="s">
        <v>641</v>
      </c>
      <c r="J509" s="5" t="s">
        <v>1736</v>
      </c>
      <c r="K509" s="5">
        <v>1.0</v>
      </c>
      <c r="L509" s="5">
        <v>2133.0</v>
      </c>
      <c r="M509" s="11">
        <v>54.36189</v>
      </c>
      <c r="N509" s="11">
        <v>-125.52531</v>
      </c>
      <c r="O509" s="11" t="s">
        <v>1290</v>
      </c>
      <c r="P509" s="16">
        <v>167.0</v>
      </c>
      <c r="Q509" s="22">
        <v>3.0</v>
      </c>
      <c r="R509" s="11" t="s">
        <v>2170</v>
      </c>
      <c r="S509" s="11" t="s">
        <v>1737</v>
      </c>
      <c r="T509" s="11">
        <v>918.0</v>
      </c>
      <c r="U509" s="11"/>
      <c r="V509" s="11"/>
      <c r="W509" s="23">
        <v>30682.0</v>
      </c>
      <c r="X509" s="11" t="s">
        <v>1738</v>
      </c>
      <c r="Y509" s="9"/>
      <c r="AO509" s="5" t="s">
        <v>2170</v>
      </c>
      <c r="AP509" s="5">
        <v>167.0</v>
      </c>
      <c r="AQ509" s="5" t="s">
        <v>1716</v>
      </c>
      <c r="AR509" s="5" t="s">
        <v>1739</v>
      </c>
      <c r="AS509" s="5" t="s">
        <v>1740</v>
      </c>
      <c r="AT509" s="5" t="s">
        <v>1741</v>
      </c>
      <c r="AU509" s="5" t="s">
        <v>1742</v>
      </c>
      <c r="AV509" s="5" t="s">
        <v>1720</v>
      </c>
      <c r="AW509" s="5" t="s">
        <v>1947</v>
      </c>
      <c r="AX509" s="5" t="s">
        <v>2148</v>
      </c>
      <c r="AY509" s="5">
        <v>54.3619</v>
      </c>
      <c r="AZ509" s="5">
        <v>-125.5253</v>
      </c>
      <c r="BA509" s="5">
        <v>927.0</v>
      </c>
    </row>
    <row r="510" ht="14.25" customHeight="1">
      <c r="B510" s="8">
        <v>12.0</v>
      </c>
      <c r="C510" s="5" t="s">
        <v>1711</v>
      </c>
      <c r="D510" s="5">
        <v>168.0</v>
      </c>
      <c r="E510" s="5">
        <v>1731.0</v>
      </c>
      <c r="F510" s="18" t="s">
        <v>2173</v>
      </c>
      <c r="G510" s="5" t="s">
        <v>2174</v>
      </c>
      <c r="H510" s="5" t="s">
        <v>2175</v>
      </c>
      <c r="I510" s="5" t="s">
        <v>1664</v>
      </c>
      <c r="J510" s="5" t="s">
        <v>1746</v>
      </c>
      <c r="K510" s="5">
        <v>1.0</v>
      </c>
      <c r="L510" s="5">
        <v>2134.0</v>
      </c>
      <c r="Y510" s="9"/>
      <c r="AO510" s="5" t="s">
        <v>2173</v>
      </c>
      <c r="AP510" s="5">
        <v>168.0</v>
      </c>
      <c r="AQ510" s="5" t="s">
        <v>1716</v>
      </c>
      <c r="AR510" s="5" t="s">
        <v>1717</v>
      </c>
      <c r="AS510" s="5" t="s">
        <v>1718</v>
      </c>
      <c r="AT510" s="5" t="s">
        <v>1719</v>
      </c>
      <c r="AU510" s="5" t="s">
        <v>1703</v>
      </c>
      <c r="AV510" s="5" t="s">
        <v>1720</v>
      </c>
      <c r="AW510" s="5" t="s">
        <v>1947</v>
      </c>
      <c r="AX510" s="5" t="s">
        <v>2153</v>
      </c>
      <c r="AY510" s="5">
        <v>54.8</v>
      </c>
      <c r="AZ510" s="5">
        <v>-126.1</v>
      </c>
      <c r="BA510" s="5">
        <v>0.0</v>
      </c>
    </row>
    <row r="511" ht="14.25" customHeight="1">
      <c r="A511" s="5" t="s">
        <v>88</v>
      </c>
      <c r="B511" s="8">
        <v>12.0</v>
      </c>
      <c r="C511" s="5" t="s">
        <v>1711</v>
      </c>
      <c r="D511" s="5">
        <v>169.0</v>
      </c>
      <c r="E511" s="5">
        <v>1732.0</v>
      </c>
      <c r="F511" s="5" t="s">
        <v>2176</v>
      </c>
      <c r="G511" s="10" t="s">
        <v>2177</v>
      </c>
      <c r="H511" s="5" t="s">
        <v>2178</v>
      </c>
      <c r="I511" s="5" t="s">
        <v>641</v>
      </c>
      <c r="J511" s="5" t="s">
        <v>1865</v>
      </c>
      <c r="K511" s="5">
        <v>1.0</v>
      </c>
      <c r="L511" s="5">
        <v>2135.0</v>
      </c>
      <c r="M511" s="11">
        <v>55.03333</v>
      </c>
      <c r="N511" s="11">
        <v>-126.8</v>
      </c>
      <c r="O511" s="11" t="s">
        <v>1290</v>
      </c>
      <c r="P511" s="11">
        <v>169.0</v>
      </c>
      <c r="Q511" s="22">
        <v>3.0</v>
      </c>
      <c r="R511" s="11" t="s">
        <v>2176</v>
      </c>
      <c r="S511" s="11" t="s">
        <v>1737</v>
      </c>
      <c r="T511" s="11">
        <v>900.0</v>
      </c>
      <c r="U511" s="11"/>
      <c r="V511" s="11"/>
      <c r="W511" s="23">
        <v>31413.0</v>
      </c>
      <c r="X511" s="11" t="s">
        <v>1738</v>
      </c>
      <c r="Y511" s="9"/>
      <c r="AO511" s="5" t="s">
        <v>2176</v>
      </c>
      <c r="AP511" s="5">
        <v>169.0</v>
      </c>
      <c r="AQ511" s="5" t="s">
        <v>1700</v>
      </c>
      <c r="AR511" s="5" t="s">
        <v>1739</v>
      </c>
      <c r="AS511" s="5" t="s">
        <v>1740</v>
      </c>
      <c r="AT511" s="5" t="s">
        <v>1741</v>
      </c>
      <c r="AU511" s="5" t="s">
        <v>1959</v>
      </c>
      <c r="AV511" s="5" t="s">
        <v>1720</v>
      </c>
      <c r="AW511" s="5" t="s">
        <v>1947</v>
      </c>
      <c r="AX511" s="5" t="s">
        <v>2133</v>
      </c>
      <c r="AY511" s="5">
        <v>55.034</v>
      </c>
      <c r="AZ511" s="5">
        <v>-126.7996</v>
      </c>
      <c r="BA511" s="5">
        <v>900.0</v>
      </c>
    </row>
    <row r="512" ht="14.25" customHeight="1">
      <c r="A512" s="5" t="s">
        <v>88</v>
      </c>
      <c r="B512" s="8">
        <v>12.0</v>
      </c>
      <c r="C512" s="5" t="s">
        <v>1711</v>
      </c>
      <c r="D512" s="5">
        <v>170.0</v>
      </c>
      <c r="E512" s="5">
        <v>1733.0</v>
      </c>
      <c r="F512" s="5" t="s">
        <v>2179</v>
      </c>
      <c r="G512" s="10" t="s">
        <v>2180</v>
      </c>
      <c r="H512" s="5" t="s">
        <v>2145</v>
      </c>
      <c r="I512" s="5" t="s">
        <v>641</v>
      </c>
      <c r="J512" s="5" t="s">
        <v>1865</v>
      </c>
      <c r="K512" s="5">
        <v>1.0</v>
      </c>
      <c r="L512" s="5">
        <v>2136.0</v>
      </c>
      <c r="M512" s="11">
        <v>53.50167</v>
      </c>
      <c r="N512" s="11">
        <v>-125.77167</v>
      </c>
      <c r="O512" s="11" t="s">
        <v>148</v>
      </c>
      <c r="P512" s="16">
        <v>170.0</v>
      </c>
      <c r="Q512" s="22">
        <v>4.0</v>
      </c>
      <c r="R512" s="11" t="s">
        <v>2179</v>
      </c>
      <c r="S512" s="11" t="s">
        <v>1737</v>
      </c>
      <c r="T512" s="11">
        <v>1089.0</v>
      </c>
      <c r="U512" s="11" t="s">
        <v>645</v>
      </c>
      <c r="V512" s="11" t="s">
        <v>2166</v>
      </c>
      <c r="W512" s="23">
        <v>31413.0</v>
      </c>
      <c r="X512" s="11" t="s">
        <v>1738</v>
      </c>
      <c r="Y512" s="9"/>
      <c r="AO512" s="5" t="s">
        <v>2179</v>
      </c>
      <c r="AP512" s="5">
        <v>170.0</v>
      </c>
      <c r="AQ512" s="5" t="s">
        <v>1716</v>
      </c>
      <c r="AR512" s="5" t="s">
        <v>1739</v>
      </c>
      <c r="AS512" s="5" t="s">
        <v>1740</v>
      </c>
      <c r="AT512" s="5" t="s">
        <v>1741</v>
      </c>
      <c r="AU512" s="5" t="s">
        <v>1742</v>
      </c>
      <c r="AV512" s="5" t="s">
        <v>1720</v>
      </c>
      <c r="AW512" s="5" t="s">
        <v>1947</v>
      </c>
      <c r="AX512" s="5" t="s">
        <v>2148</v>
      </c>
      <c r="AY512" s="5">
        <v>53.5025</v>
      </c>
      <c r="AZ512" s="5">
        <v>-125.7793</v>
      </c>
      <c r="BA512" s="5">
        <v>1086.0</v>
      </c>
    </row>
    <row r="513" ht="14.25" customHeight="1">
      <c r="A513" s="5" t="s">
        <v>88</v>
      </c>
      <c r="B513" s="8">
        <v>12.0</v>
      </c>
      <c r="C513" s="5" t="s">
        <v>1711</v>
      </c>
      <c r="D513" s="5">
        <v>171.0</v>
      </c>
      <c r="E513" s="5">
        <v>1734.0</v>
      </c>
      <c r="F513" s="5" t="s">
        <v>2181</v>
      </c>
      <c r="G513" s="10" t="s">
        <v>2182</v>
      </c>
      <c r="H513" s="5" t="s">
        <v>2156</v>
      </c>
      <c r="I513" s="5" t="s">
        <v>641</v>
      </c>
      <c r="J513" s="5" t="s">
        <v>1865</v>
      </c>
      <c r="K513" s="5">
        <v>1.0</v>
      </c>
      <c r="L513" s="5">
        <v>2137.0</v>
      </c>
      <c r="M513" s="11">
        <v>55.08183</v>
      </c>
      <c r="N513" s="11">
        <v>-125.4774</v>
      </c>
      <c r="O513" s="11" t="s">
        <v>1290</v>
      </c>
      <c r="P513" s="11">
        <v>171.0</v>
      </c>
      <c r="Q513" s="22">
        <v>3.0</v>
      </c>
      <c r="R513" s="11" t="s">
        <v>2181</v>
      </c>
      <c r="S513" s="11" t="s">
        <v>1737</v>
      </c>
      <c r="T513" s="11">
        <v>915.0</v>
      </c>
      <c r="U513" s="11"/>
      <c r="V513" s="11"/>
      <c r="W513" s="23">
        <v>32509.0</v>
      </c>
      <c r="X513" s="11" t="s">
        <v>1738</v>
      </c>
      <c r="Y513" s="9"/>
      <c r="AO513" s="5" t="s">
        <v>2181</v>
      </c>
      <c r="AP513" s="5">
        <v>171.0</v>
      </c>
      <c r="AQ513" s="5" t="s">
        <v>1716</v>
      </c>
      <c r="AR513" s="5" t="s">
        <v>1739</v>
      </c>
      <c r="AS513" s="5" t="s">
        <v>1740</v>
      </c>
      <c r="AT513" s="5" t="s">
        <v>1741</v>
      </c>
      <c r="AU513" s="5" t="s">
        <v>1742</v>
      </c>
      <c r="AV513" s="5" t="s">
        <v>1720</v>
      </c>
      <c r="AW513" s="5" t="s">
        <v>2003</v>
      </c>
      <c r="AX513" s="5" t="s">
        <v>2099</v>
      </c>
      <c r="AY513" s="5">
        <v>55.0817</v>
      </c>
      <c r="AZ513" s="5">
        <v>-125.4773</v>
      </c>
      <c r="BA513" s="5">
        <v>909.0</v>
      </c>
    </row>
    <row r="514" ht="14.25" customHeight="1">
      <c r="A514" s="5" t="s">
        <v>88</v>
      </c>
      <c r="B514" s="8">
        <v>12.0</v>
      </c>
      <c r="C514" s="5" t="s">
        <v>1711</v>
      </c>
      <c r="D514" s="5">
        <v>172.0</v>
      </c>
      <c r="E514" s="5">
        <v>1735.0</v>
      </c>
      <c r="F514" s="5" t="s">
        <v>2183</v>
      </c>
      <c r="G514" s="10" t="s">
        <v>2184</v>
      </c>
      <c r="H514" s="5" t="s">
        <v>2185</v>
      </c>
      <c r="I514" s="5" t="s">
        <v>641</v>
      </c>
      <c r="J514" s="5" t="s">
        <v>1736</v>
      </c>
      <c r="K514" s="5">
        <v>1.0</v>
      </c>
      <c r="L514" s="5">
        <v>2138.0</v>
      </c>
      <c r="M514" s="11">
        <v>55.55333</v>
      </c>
      <c r="N514" s="11">
        <v>-126.57833</v>
      </c>
      <c r="O514" s="11" t="s">
        <v>1290</v>
      </c>
      <c r="P514" s="11">
        <v>172.0</v>
      </c>
      <c r="Q514" s="22">
        <v>4.0</v>
      </c>
      <c r="R514" s="11" t="s">
        <v>2183</v>
      </c>
      <c r="S514" s="11" t="s">
        <v>1737</v>
      </c>
      <c r="T514" s="11">
        <v>978.0</v>
      </c>
      <c r="U514" s="11"/>
      <c r="V514" s="11"/>
      <c r="W514" s="23">
        <v>31413.0</v>
      </c>
      <c r="X514" s="11" t="s">
        <v>1738</v>
      </c>
      <c r="Y514" s="9"/>
      <c r="AO514" s="5" t="s">
        <v>2183</v>
      </c>
      <c r="AP514" s="5">
        <v>172.0</v>
      </c>
      <c r="AQ514" s="5" t="s">
        <v>1700</v>
      </c>
      <c r="AR514" s="5" t="s">
        <v>1739</v>
      </c>
      <c r="AS514" s="5" t="s">
        <v>1740</v>
      </c>
      <c r="AT514" s="5" t="s">
        <v>1835</v>
      </c>
      <c r="AU514" s="5" t="s">
        <v>1959</v>
      </c>
      <c r="AV514" s="5" t="s">
        <v>1720</v>
      </c>
      <c r="AW514" s="5" t="s">
        <v>1947</v>
      </c>
      <c r="AX514" s="5" t="s">
        <v>2133</v>
      </c>
      <c r="AY514" s="5">
        <v>55.538</v>
      </c>
      <c r="AZ514" s="5">
        <v>-126.5775</v>
      </c>
      <c r="BA514" s="5">
        <v>969.0</v>
      </c>
    </row>
    <row r="515" ht="14.25" customHeight="1">
      <c r="A515" s="5" t="s">
        <v>88</v>
      </c>
      <c r="B515" s="8">
        <v>12.0</v>
      </c>
      <c r="C515" s="5" t="s">
        <v>1711</v>
      </c>
      <c r="D515" s="5">
        <v>173.0</v>
      </c>
      <c r="E515" s="5">
        <v>1736.0</v>
      </c>
      <c r="F515" s="5" t="s">
        <v>2186</v>
      </c>
      <c r="G515" s="10" t="s">
        <v>2187</v>
      </c>
      <c r="H515" s="5" t="s">
        <v>2188</v>
      </c>
      <c r="I515" s="5" t="s">
        <v>641</v>
      </c>
      <c r="J515" s="5" t="s">
        <v>1865</v>
      </c>
      <c r="K515" s="5">
        <v>1.0</v>
      </c>
      <c r="L515" s="5">
        <v>2139.0</v>
      </c>
      <c r="M515" s="11">
        <v>55.13667</v>
      </c>
      <c r="N515" s="11">
        <v>-126.21167</v>
      </c>
      <c r="O515" s="11" t="s">
        <v>1290</v>
      </c>
      <c r="P515" s="11">
        <v>173.0</v>
      </c>
      <c r="Q515" s="22">
        <v>3.0</v>
      </c>
      <c r="R515" s="11" t="s">
        <v>2186</v>
      </c>
      <c r="S515" s="11" t="s">
        <v>1737</v>
      </c>
      <c r="T515" s="11">
        <v>951.0</v>
      </c>
      <c r="U515" s="11"/>
      <c r="V515" s="11" t="s">
        <v>2189</v>
      </c>
      <c r="W515" s="23">
        <v>31413.0</v>
      </c>
      <c r="X515" s="11" t="s">
        <v>1738</v>
      </c>
      <c r="Y515" s="9"/>
      <c r="AO515" s="5" t="s">
        <v>2186</v>
      </c>
      <c r="AP515" s="5">
        <v>173.0</v>
      </c>
      <c r="AQ515" s="5" t="s">
        <v>1700</v>
      </c>
      <c r="AR515" s="5" t="s">
        <v>1739</v>
      </c>
      <c r="AS515" s="5" t="s">
        <v>1740</v>
      </c>
      <c r="AT515" s="5" t="s">
        <v>1835</v>
      </c>
      <c r="AU515" s="5" t="s">
        <v>1959</v>
      </c>
      <c r="AV515" s="5" t="s">
        <v>1720</v>
      </c>
      <c r="AW515" s="5" t="s">
        <v>1947</v>
      </c>
      <c r="AX515" s="5" t="s">
        <v>2153</v>
      </c>
      <c r="AY515" s="5">
        <v>55.135</v>
      </c>
      <c r="AZ515" s="5">
        <v>-126.2073</v>
      </c>
      <c r="BA515" s="5">
        <v>951.0</v>
      </c>
    </row>
    <row r="516" ht="14.25" customHeight="1">
      <c r="B516" s="8">
        <v>12.0</v>
      </c>
      <c r="C516" s="5" t="s">
        <v>1711</v>
      </c>
      <c r="D516" s="5">
        <v>174.0</v>
      </c>
      <c r="E516" s="5">
        <v>1737.0</v>
      </c>
      <c r="F516" s="18" t="s">
        <v>2190</v>
      </c>
      <c r="G516" s="5" t="s">
        <v>2191</v>
      </c>
      <c r="H516" s="5" t="s">
        <v>2192</v>
      </c>
      <c r="I516" s="5" t="s">
        <v>1664</v>
      </c>
      <c r="J516" s="5" t="s">
        <v>1715</v>
      </c>
      <c r="K516" s="5">
        <v>1.0</v>
      </c>
      <c r="L516" s="5">
        <v>2140.0</v>
      </c>
      <c r="Y516" s="9"/>
      <c r="AO516" s="5" t="s">
        <v>2190</v>
      </c>
      <c r="AP516" s="5">
        <v>174.0</v>
      </c>
      <c r="AQ516" s="5" t="s">
        <v>1716</v>
      </c>
      <c r="AR516" s="5" t="s">
        <v>1717</v>
      </c>
      <c r="AS516" s="5" t="s">
        <v>1718</v>
      </c>
      <c r="AT516" s="5" t="s">
        <v>1719</v>
      </c>
      <c r="AU516" s="5" t="s">
        <v>1703</v>
      </c>
      <c r="AV516" s="5" t="s">
        <v>1720</v>
      </c>
      <c r="AW516" s="5" t="s">
        <v>2193</v>
      </c>
      <c r="AX516" s="5" t="s">
        <v>2194</v>
      </c>
      <c r="AY516" s="5">
        <v>53.3</v>
      </c>
      <c r="AZ516" s="5">
        <v>-124.1</v>
      </c>
      <c r="BA516" s="5">
        <v>12.0</v>
      </c>
    </row>
    <row r="517" ht="14.25" customHeight="1">
      <c r="B517" s="8">
        <v>12.0</v>
      </c>
      <c r="C517" s="5" t="s">
        <v>1711</v>
      </c>
      <c r="D517" s="5">
        <v>175.0</v>
      </c>
      <c r="E517" s="5">
        <v>1738.0</v>
      </c>
      <c r="F517" s="5" t="s">
        <v>2195</v>
      </c>
      <c r="G517" s="5" t="s">
        <v>2196</v>
      </c>
      <c r="H517" s="5" t="s">
        <v>2197</v>
      </c>
      <c r="I517" s="5" t="s">
        <v>641</v>
      </c>
      <c r="J517" s="5" t="s">
        <v>1736</v>
      </c>
      <c r="K517" s="5">
        <v>1.0</v>
      </c>
      <c r="L517" s="5">
        <v>2141.0</v>
      </c>
      <c r="M517" s="11">
        <v>53.86539</v>
      </c>
      <c r="N517" s="11">
        <v>-123.32317</v>
      </c>
      <c r="O517" s="11" t="s">
        <v>1290</v>
      </c>
      <c r="P517" s="11">
        <v>175.0</v>
      </c>
      <c r="Q517" s="22">
        <v>2.0</v>
      </c>
      <c r="R517" s="11" t="s">
        <v>2195</v>
      </c>
      <c r="S517" s="11" t="s">
        <v>1737</v>
      </c>
      <c r="T517" s="11">
        <v>858.0</v>
      </c>
      <c r="U517" s="11"/>
      <c r="V517" s="11"/>
      <c r="W517" s="23">
        <v>33970.0</v>
      </c>
      <c r="X517" s="5" t="s">
        <v>1738</v>
      </c>
      <c r="Y517" s="9"/>
      <c r="AO517" s="5" t="s">
        <v>2195</v>
      </c>
      <c r="AP517" s="5">
        <v>175.0</v>
      </c>
      <c r="AQ517" s="5" t="s">
        <v>1700</v>
      </c>
      <c r="AR517" s="5" t="s">
        <v>1739</v>
      </c>
      <c r="AS517" s="5" t="s">
        <v>1740</v>
      </c>
      <c r="AT517" s="5" t="s">
        <v>1741</v>
      </c>
      <c r="AU517" s="5" t="s">
        <v>1959</v>
      </c>
      <c r="AV517" s="5" t="s">
        <v>1720</v>
      </c>
      <c r="AW517" s="5" t="s">
        <v>2003</v>
      </c>
      <c r="AX517" s="5" t="s">
        <v>2091</v>
      </c>
      <c r="AY517" s="5">
        <v>53.8654</v>
      </c>
      <c r="AZ517" s="5">
        <v>-123.3232</v>
      </c>
      <c r="BA517" s="5">
        <v>858.0</v>
      </c>
    </row>
    <row r="518" ht="14.25" customHeight="1">
      <c r="B518" s="8">
        <v>12.0</v>
      </c>
      <c r="C518" s="5" t="s">
        <v>1711</v>
      </c>
      <c r="D518" s="5">
        <v>176.0</v>
      </c>
      <c r="E518" s="5">
        <v>1739.0</v>
      </c>
      <c r="F518" s="18" t="s">
        <v>2198</v>
      </c>
      <c r="G518" s="5" t="s">
        <v>2199</v>
      </c>
      <c r="H518" s="5" t="s">
        <v>2200</v>
      </c>
      <c r="I518" s="5" t="s">
        <v>1664</v>
      </c>
      <c r="J518" s="5" t="s">
        <v>1746</v>
      </c>
      <c r="K518" s="5">
        <v>1.0</v>
      </c>
      <c r="L518" s="5">
        <v>2142.0</v>
      </c>
      <c r="Y518" s="9"/>
      <c r="AO518" s="5" t="s">
        <v>2198</v>
      </c>
      <c r="AP518" s="5">
        <v>176.0</v>
      </c>
      <c r="AQ518" s="5" t="s">
        <v>1716</v>
      </c>
      <c r="AR518" s="5" t="s">
        <v>1717</v>
      </c>
      <c r="AS518" s="5" t="s">
        <v>1718</v>
      </c>
      <c r="AT518" s="5" t="s">
        <v>1719</v>
      </c>
      <c r="AU518" s="5" t="s">
        <v>1703</v>
      </c>
      <c r="AV518" s="5" t="s">
        <v>1720</v>
      </c>
      <c r="AW518" s="5" t="s">
        <v>2003</v>
      </c>
      <c r="AX518" s="5" t="s">
        <v>2139</v>
      </c>
      <c r="AY518" s="5">
        <v>53.8</v>
      </c>
      <c r="AZ518" s="5">
        <v>-125.0</v>
      </c>
      <c r="BA518" s="5">
        <v>11.0</v>
      </c>
    </row>
    <row r="519" ht="14.25" customHeight="1">
      <c r="B519" s="8">
        <v>12.0</v>
      </c>
      <c r="C519" s="5" t="s">
        <v>1711</v>
      </c>
      <c r="D519" s="5">
        <v>177.0</v>
      </c>
      <c r="E519" s="5">
        <v>1740.0</v>
      </c>
      <c r="F519" s="18" t="s">
        <v>2201</v>
      </c>
      <c r="G519" s="5" t="s">
        <v>2202</v>
      </c>
      <c r="H519" s="5" t="s">
        <v>2203</v>
      </c>
      <c r="I519" s="5" t="s">
        <v>1664</v>
      </c>
      <c r="J519" s="5" t="s">
        <v>1715</v>
      </c>
      <c r="K519" s="5">
        <v>1.0</v>
      </c>
      <c r="L519" s="5">
        <v>2143.0</v>
      </c>
      <c r="Y519" s="9"/>
      <c r="AO519" s="5" t="s">
        <v>2201</v>
      </c>
      <c r="AP519" s="5">
        <v>177.0</v>
      </c>
      <c r="AQ519" s="5" t="s">
        <v>1716</v>
      </c>
      <c r="AR519" s="5" t="s">
        <v>1717</v>
      </c>
      <c r="AS519" s="5" t="s">
        <v>1718</v>
      </c>
      <c r="AT519" s="5" t="s">
        <v>1719</v>
      </c>
      <c r="AU519" s="5" t="s">
        <v>1703</v>
      </c>
      <c r="AV519" s="5" t="s">
        <v>1720</v>
      </c>
      <c r="AW519" s="5" t="s">
        <v>2003</v>
      </c>
      <c r="AX519" s="5" t="s">
        <v>2139</v>
      </c>
      <c r="AY519" s="5">
        <v>54.2</v>
      </c>
      <c r="AZ519" s="5">
        <v>-124.5</v>
      </c>
      <c r="BA519" s="5">
        <v>9.0</v>
      </c>
    </row>
    <row r="520" ht="14.25" customHeight="1">
      <c r="A520" s="5" t="s">
        <v>88</v>
      </c>
      <c r="B520" s="8">
        <v>12.0</v>
      </c>
      <c r="C520" s="5" t="s">
        <v>1711</v>
      </c>
      <c r="D520" s="5">
        <v>178.0</v>
      </c>
      <c r="E520" s="5">
        <v>1741.0</v>
      </c>
      <c r="F520" s="5" t="s">
        <v>2204</v>
      </c>
      <c r="G520" s="10" t="s">
        <v>2205</v>
      </c>
      <c r="H520" s="5" t="s">
        <v>2206</v>
      </c>
      <c r="I520" s="5" t="s">
        <v>641</v>
      </c>
      <c r="J520" s="5" t="s">
        <v>1865</v>
      </c>
      <c r="K520" s="5">
        <v>1.0</v>
      </c>
      <c r="L520" s="5">
        <v>2144.0</v>
      </c>
      <c r="M520" s="11">
        <v>53.98667</v>
      </c>
      <c r="N520" s="11">
        <v>-126.52167</v>
      </c>
      <c r="O520" s="11" t="s">
        <v>148</v>
      </c>
      <c r="P520" s="11">
        <v>178.0</v>
      </c>
      <c r="Q520" s="22">
        <v>1.0</v>
      </c>
      <c r="R520" s="11" t="s">
        <v>2204</v>
      </c>
      <c r="S520" s="11" t="s">
        <v>1737</v>
      </c>
      <c r="T520" s="11">
        <v>747.0</v>
      </c>
      <c r="U520" s="11"/>
      <c r="V520" s="11" t="s">
        <v>2207</v>
      </c>
      <c r="W520" s="23">
        <v>30682.0</v>
      </c>
      <c r="X520" s="5" t="s">
        <v>1738</v>
      </c>
      <c r="Y520" s="9"/>
      <c r="AO520" s="5" t="s">
        <v>2204</v>
      </c>
      <c r="AP520" s="5">
        <v>178.0</v>
      </c>
      <c r="AQ520" s="5" t="s">
        <v>1716</v>
      </c>
      <c r="AR520" s="5" t="s">
        <v>1739</v>
      </c>
      <c r="AS520" s="5" t="s">
        <v>1740</v>
      </c>
      <c r="AT520" s="5" t="s">
        <v>1741</v>
      </c>
      <c r="AU520" s="5" t="s">
        <v>1959</v>
      </c>
      <c r="AV520" s="5" t="s">
        <v>1720</v>
      </c>
      <c r="AW520" s="5" t="s">
        <v>1947</v>
      </c>
      <c r="AX520" s="5" t="s">
        <v>2153</v>
      </c>
      <c r="AY520" s="5">
        <v>53.9868</v>
      </c>
      <c r="AZ520" s="5">
        <v>-126.5174</v>
      </c>
      <c r="BA520" s="5">
        <v>747.0</v>
      </c>
    </row>
    <row r="521" ht="14.25" customHeight="1">
      <c r="B521" s="8">
        <v>12.0</v>
      </c>
      <c r="C521" s="5" t="s">
        <v>1711</v>
      </c>
      <c r="D521" s="5">
        <v>179.0</v>
      </c>
      <c r="E521" s="5">
        <v>1742.0</v>
      </c>
      <c r="F521" s="5" t="s">
        <v>2208</v>
      </c>
      <c r="G521" s="5" t="s">
        <v>2209</v>
      </c>
      <c r="H521" s="5" t="s">
        <v>2210</v>
      </c>
      <c r="I521" s="5" t="s">
        <v>641</v>
      </c>
      <c r="J521" s="5" t="s">
        <v>1865</v>
      </c>
      <c r="K521" s="5">
        <v>1.0</v>
      </c>
      <c r="L521" s="5">
        <v>2145.0</v>
      </c>
      <c r="M521" s="11">
        <v>53.94252</v>
      </c>
      <c r="N521" s="11">
        <v>-126.9278</v>
      </c>
      <c r="O521" s="11" t="s">
        <v>148</v>
      </c>
      <c r="P521" s="11">
        <v>179.0</v>
      </c>
      <c r="Q521" s="22">
        <v>3.0</v>
      </c>
      <c r="R521" s="11" t="s">
        <v>2208</v>
      </c>
      <c r="S521" s="11" t="s">
        <v>1737</v>
      </c>
      <c r="T521" s="11">
        <v>954.0</v>
      </c>
      <c r="U521" s="11" t="s">
        <v>645</v>
      </c>
      <c r="V521" s="11" t="s">
        <v>2147</v>
      </c>
      <c r="W521" s="23">
        <v>31048.0</v>
      </c>
      <c r="X521" s="5" t="s">
        <v>1738</v>
      </c>
      <c r="Y521" s="9"/>
      <c r="AO521" s="5" t="s">
        <v>2208</v>
      </c>
      <c r="AP521" s="5">
        <v>179.0</v>
      </c>
      <c r="AQ521" s="5" t="s">
        <v>1716</v>
      </c>
      <c r="AR521" s="5" t="s">
        <v>1739</v>
      </c>
      <c r="AS521" s="5" t="s">
        <v>1740</v>
      </c>
      <c r="AT521" s="5" t="s">
        <v>1741</v>
      </c>
      <c r="AU521" s="5" t="s">
        <v>1959</v>
      </c>
      <c r="AV521" s="5" t="s">
        <v>1720</v>
      </c>
      <c r="AW521" s="5" t="s">
        <v>1947</v>
      </c>
      <c r="AX521" s="5" t="s">
        <v>2153</v>
      </c>
      <c r="AY521" s="5">
        <v>53.9425</v>
      </c>
      <c r="AZ521" s="5">
        <v>-126.9278</v>
      </c>
      <c r="BA521" s="5">
        <v>954.0</v>
      </c>
    </row>
    <row r="522" ht="14.25" customHeight="1">
      <c r="A522" s="5" t="s">
        <v>88</v>
      </c>
      <c r="B522" s="8">
        <v>12.0</v>
      </c>
      <c r="C522" s="5" t="s">
        <v>1711</v>
      </c>
      <c r="D522" s="5">
        <v>180.0</v>
      </c>
      <c r="E522" s="5">
        <v>1743.0</v>
      </c>
      <c r="F522" s="5" t="s">
        <v>2211</v>
      </c>
      <c r="G522" s="10" t="s">
        <v>2212</v>
      </c>
      <c r="H522" s="5" t="s">
        <v>2213</v>
      </c>
      <c r="I522" s="5" t="s">
        <v>641</v>
      </c>
      <c r="J522" s="5" t="s">
        <v>1736</v>
      </c>
      <c r="K522" s="5">
        <v>1.0</v>
      </c>
      <c r="L522" s="5">
        <v>2146.0</v>
      </c>
      <c r="M522" s="11">
        <v>54.07472</v>
      </c>
      <c r="N522" s="11">
        <v>-127.39942</v>
      </c>
      <c r="O522" s="11" t="s">
        <v>148</v>
      </c>
      <c r="P522" s="11">
        <v>180.0</v>
      </c>
      <c r="Q522" s="22">
        <v>1.0</v>
      </c>
      <c r="R522" s="11" t="s">
        <v>2211</v>
      </c>
      <c r="S522" s="11" t="s">
        <v>1737</v>
      </c>
      <c r="T522" s="11">
        <v>810.0</v>
      </c>
      <c r="U522" s="11"/>
      <c r="V522" s="11"/>
      <c r="W522" s="23">
        <v>32874.0</v>
      </c>
      <c r="X522" s="5" t="s">
        <v>1738</v>
      </c>
      <c r="Y522" s="9"/>
      <c r="AO522" s="5" t="s">
        <v>2211</v>
      </c>
      <c r="AP522" s="5">
        <v>180.0</v>
      </c>
      <c r="AQ522" s="5" t="s">
        <v>1716</v>
      </c>
      <c r="AR522" s="5" t="s">
        <v>1739</v>
      </c>
      <c r="AS522" s="5" t="s">
        <v>1740</v>
      </c>
      <c r="AT522" s="5" t="s">
        <v>1741</v>
      </c>
      <c r="AU522" s="5" t="s">
        <v>1742</v>
      </c>
      <c r="AV522" s="5" t="s">
        <v>1720</v>
      </c>
      <c r="AW522" s="5" t="s">
        <v>1947</v>
      </c>
      <c r="AX522" s="5" t="s">
        <v>2153</v>
      </c>
      <c r="AY522" s="5">
        <v>54.0747</v>
      </c>
      <c r="AZ522" s="5">
        <v>-127.3994</v>
      </c>
      <c r="BA522" s="5">
        <v>810.0</v>
      </c>
    </row>
    <row r="523" ht="14.25" customHeight="1">
      <c r="A523" s="5" t="s">
        <v>88</v>
      </c>
      <c r="B523" s="8">
        <v>12.0</v>
      </c>
      <c r="C523" s="5" t="s">
        <v>1711</v>
      </c>
      <c r="D523" s="5">
        <v>181.0</v>
      </c>
      <c r="E523" s="5">
        <v>1744.0</v>
      </c>
      <c r="F523" s="5" t="s">
        <v>2214</v>
      </c>
      <c r="G523" s="10" t="s">
        <v>2215</v>
      </c>
      <c r="H523" s="5" t="s">
        <v>2216</v>
      </c>
      <c r="I523" s="5" t="s">
        <v>641</v>
      </c>
      <c r="J523" s="5" t="s">
        <v>1865</v>
      </c>
      <c r="K523" s="5">
        <v>1.0</v>
      </c>
      <c r="L523" s="5">
        <v>2147.0</v>
      </c>
      <c r="M523" s="11">
        <v>54.2591</v>
      </c>
      <c r="N523" s="11">
        <v>-125.7598</v>
      </c>
      <c r="O523" s="11" t="s">
        <v>148</v>
      </c>
      <c r="P523" s="11">
        <v>181.0</v>
      </c>
      <c r="Q523" s="22">
        <v>1.0</v>
      </c>
      <c r="R523" s="11" t="s">
        <v>2214</v>
      </c>
      <c r="S523" s="11" t="s">
        <v>1737</v>
      </c>
      <c r="T523" s="11">
        <v>830.0</v>
      </c>
      <c r="U523" s="11"/>
      <c r="V523" s="11"/>
      <c r="W523" s="23">
        <v>33970.0</v>
      </c>
      <c r="X523" s="5" t="s">
        <v>1738</v>
      </c>
      <c r="Y523" s="9"/>
      <c r="AO523" s="5" t="s">
        <v>2214</v>
      </c>
      <c r="AP523" s="5">
        <v>181.0</v>
      </c>
      <c r="AQ523" s="5" t="s">
        <v>1700</v>
      </c>
      <c r="AR523" s="5" t="s">
        <v>1739</v>
      </c>
      <c r="AS523" s="5" t="s">
        <v>1740</v>
      </c>
      <c r="AT523" s="5" t="s">
        <v>1741</v>
      </c>
      <c r="AU523" s="5" t="s">
        <v>1772</v>
      </c>
      <c r="AV523" s="5" t="s">
        <v>1720</v>
      </c>
      <c r="AW523" s="5" t="s">
        <v>1947</v>
      </c>
      <c r="AX523" s="5" t="s">
        <v>2148</v>
      </c>
      <c r="AY523" s="5">
        <v>54.2591</v>
      </c>
      <c r="AZ523" s="5">
        <v>-125.7598</v>
      </c>
      <c r="BA523" s="5">
        <v>824.0</v>
      </c>
    </row>
    <row r="524" ht="14.25" customHeight="1">
      <c r="A524" s="5" t="s">
        <v>88</v>
      </c>
      <c r="B524" s="8">
        <v>12.0</v>
      </c>
      <c r="C524" s="5" t="s">
        <v>1711</v>
      </c>
      <c r="D524" s="5">
        <v>182.0</v>
      </c>
      <c r="E524" s="5">
        <v>1745.0</v>
      </c>
      <c r="F524" s="5" t="s">
        <v>2217</v>
      </c>
      <c r="G524" s="10" t="s">
        <v>2218</v>
      </c>
      <c r="H524" s="5" t="s">
        <v>2219</v>
      </c>
      <c r="I524" s="5" t="s">
        <v>641</v>
      </c>
      <c r="J524" s="5" t="s">
        <v>1736</v>
      </c>
      <c r="K524" s="5">
        <v>1.0</v>
      </c>
      <c r="L524" s="5">
        <v>2148.0</v>
      </c>
      <c r="M524" s="11">
        <v>54.801</v>
      </c>
      <c r="N524" s="11">
        <v>-126.94833</v>
      </c>
      <c r="O524" s="11" t="s">
        <v>148</v>
      </c>
      <c r="P524" s="11">
        <v>182.0</v>
      </c>
      <c r="Q524" s="22">
        <v>1.0</v>
      </c>
      <c r="R524" s="11" t="s">
        <v>2217</v>
      </c>
      <c r="S524" s="11" t="s">
        <v>1737</v>
      </c>
      <c r="T524" s="11">
        <v>844.0</v>
      </c>
      <c r="U524" s="11"/>
      <c r="V524" s="11"/>
      <c r="W524" s="23">
        <v>33970.0</v>
      </c>
      <c r="X524" s="5" t="s">
        <v>1738</v>
      </c>
      <c r="Y524" s="9"/>
      <c r="AO524" s="5" t="s">
        <v>2217</v>
      </c>
      <c r="AP524" s="5">
        <v>182.0</v>
      </c>
      <c r="AQ524" s="5" t="s">
        <v>1716</v>
      </c>
      <c r="AR524" s="5" t="s">
        <v>1739</v>
      </c>
      <c r="AS524" s="5" t="s">
        <v>1740</v>
      </c>
      <c r="AT524" s="5" t="s">
        <v>1741</v>
      </c>
      <c r="AU524" s="5" t="s">
        <v>1742</v>
      </c>
      <c r="AV524" s="5" t="s">
        <v>1720</v>
      </c>
      <c r="AW524" s="5" t="s">
        <v>1947</v>
      </c>
      <c r="AX524" s="5" t="s">
        <v>2133</v>
      </c>
      <c r="AY524" s="5">
        <v>54.8013</v>
      </c>
      <c r="AZ524" s="5">
        <v>-126.9484</v>
      </c>
      <c r="BA524" s="5">
        <v>855.0</v>
      </c>
    </row>
    <row r="525" ht="14.25" customHeight="1">
      <c r="A525" s="5" t="s">
        <v>1908</v>
      </c>
      <c r="B525" s="8">
        <v>12.0</v>
      </c>
      <c r="C525" s="5" t="s">
        <v>1711</v>
      </c>
      <c r="D525" s="5">
        <v>183.0</v>
      </c>
      <c r="E525" s="5">
        <v>1746.0</v>
      </c>
      <c r="F525" s="10" t="s">
        <v>2220</v>
      </c>
      <c r="G525" s="10" t="s">
        <v>2221</v>
      </c>
      <c r="H525" s="5" t="s">
        <v>2222</v>
      </c>
      <c r="I525" s="5" t="s">
        <v>641</v>
      </c>
      <c r="J525" s="5" t="s">
        <v>1736</v>
      </c>
      <c r="K525" s="5">
        <v>1.0</v>
      </c>
      <c r="L525" s="5">
        <v>2149.0</v>
      </c>
      <c r="M525" s="11">
        <v>54.01867</v>
      </c>
      <c r="N525" s="11">
        <v>-126.38889</v>
      </c>
      <c r="O525" s="11" t="s">
        <v>148</v>
      </c>
      <c r="P525" s="11">
        <v>183.0</v>
      </c>
      <c r="Q525" s="22">
        <v>6.0</v>
      </c>
      <c r="R525" s="11" t="s">
        <v>2223</v>
      </c>
      <c r="S525" s="11" t="s">
        <v>1737</v>
      </c>
      <c r="T525" s="11">
        <v>1259.0</v>
      </c>
      <c r="U525" s="11"/>
      <c r="V525" s="11"/>
      <c r="W525" s="23">
        <v>34700.0</v>
      </c>
      <c r="X525" s="5" t="s">
        <v>1738</v>
      </c>
      <c r="Y525" s="9"/>
      <c r="AO525" s="5" t="s">
        <v>2223</v>
      </c>
      <c r="AP525" s="5">
        <v>183.0</v>
      </c>
      <c r="AQ525" s="5" t="s">
        <v>1716</v>
      </c>
      <c r="AR525" s="5" t="s">
        <v>1739</v>
      </c>
      <c r="AS525" s="5" t="s">
        <v>1740</v>
      </c>
      <c r="AT525" s="5" t="s">
        <v>1741</v>
      </c>
      <c r="AU525" s="5" t="s">
        <v>1772</v>
      </c>
      <c r="AV525" s="5" t="s">
        <v>1720</v>
      </c>
      <c r="AW525" s="5" t="s">
        <v>1947</v>
      </c>
      <c r="AX525" s="5" t="s">
        <v>2153</v>
      </c>
      <c r="AY525" s="5">
        <v>54.0186</v>
      </c>
      <c r="AZ525" s="5">
        <v>-126.389</v>
      </c>
      <c r="BA525" s="5">
        <v>1259.0</v>
      </c>
    </row>
    <row r="526" ht="14.25" customHeight="1">
      <c r="B526" s="8">
        <v>12.0</v>
      </c>
      <c r="C526" s="5" t="s">
        <v>1711</v>
      </c>
      <c r="D526" s="5">
        <v>185.0</v>
      </c>
      <c r="E526" s="5">
        <v>1747.0</v>
      </c>
      <c r="F526" s="18" t="s">
        <v>2224</v>
      </c>
      <c r="G526" s="5" t="s">
        <v>2225</v>
      </c>
      <c r="H526" s="5" t="s">
        <v>2226</v>
      </c>
      <c r="I526" s="5" t="s">
        <v>1664</v>
      </c>
      <c r="J526" s="5" t="s">
        <v>1715</v>
      </c>
      <c r="K526" s="5">
        <v>1.0</v>
      </c>
      <c r="L526" s="5">
        <v>2150.0</v>
      </c>
      <c r="Y526" s="9"/>
      <c r="AO526" s="5" t="s">
        <v>2224</v>
      </c>
      <c r="AP526" s="5">
        <v>185.0</v>
      </c>
      <c r="AQ526" s="5" t="s">
        <v>1716</v>
      </c>
      <c r="AR526" s="5" t="s">
        <v>1717</v>
      </c>
      <c r="AS526" s="5" t="s">
        <v>1718</v>
      </c>
      <c r="AT526" s="5" t="s">
        <v>1719</v>
      </c>
      <c r="AU526" s="5" t="s">
        <v>1703</v>
      </c>
      <c r="AV526" s="5" t="s">
        <v>1720</v>
      </c>
      <c r="AW526" s="5" t="s">
        <v>2003</v>
      </c>
      <c r="AX526" s="5" t="s">
        <v>2091</v>
      </c>
      <c r="AY526" s="5">
        <v>53.6</v>
      </c>
      <c r="AZ526" s="5">
        <v>-123.0</v>
      </c>
      <c r="BA526" s="5">
        <v>7.0</v>
      </c>
    </row>
    <row r="527" ht="14.25" customHeight="1">
      <c r="A527" s="5" t="s">
        <v>422</v>
      </c>
      <c r="B527" s="8">
        <v>12.0</v>
      </c>
      <c r="C527" s="5" t="s">
        <v>2129</v>
      </c>
      <c r="D527" s="5">
        <v>186.0</v>
      </c>
      <c r="E527" s="5">
        <v>12969.0</v>
      </c>
      <c r="F527" s="51" t="s">
        <v>2227</v>
      </c>
      <c r="G527" s="5" t="s">
        <v>127</v>
      </c>
      <c r="H527" s="5" t="s">
        <v>1697</v>
      </c>
      <c r="I527" s="5" t="s">
        <v>49</v>
      </c>
      <c r="J527" s="5" t="s">
        <v>1746</v>
      </c>
      <c r="K527" s="5">
        <v>1.0</v>
      </c>
      <c r="L527" s="5">
        <v>14901.0</v>
      </c>
      <c r="Y527" s="9"/>
      <c r="AO527" s="50" t="s">
        <v>2228</v>
      </c>
      <c r="AP527" s="50">
        <v>186.0</v>
      </c>
      <c r="AQ527" s="50" t="s">
        <v>1700</v>
      </c>
      <c r="AR527" s="50" t="s">
        <v>1701</v>
      </c>
      <c r="AS527" s="50" t="s">
        <v>1702</v>
      </c>
      <c r="AT527" s="50" t="s">
        <v>1703</v>
      </c>
      <c r="AU527" s="50" t="s">
        <v>1704</v>
      </c>
      <c r="AV527" s="50" t="s">
        <v>1702</v>
      </c>
      <c r="AW527" s="50" t="s">
        <v>2003</v>
      </c>
      <c r="AX527" s="50" t="s">
        <v>2091</v>
      </c>
      <c r="AY527" s="50">
        <v>53.9</v>
      </c>
      <c r="AZ527" s="50">
        <v>-122.7</v>
      </c>
      <c r="BA527" s="50">
        <v>691.0</v>
      </c>
    </row>
    <row r="528" ht="14.25" customHeight="1">
      <c r="A528" s="5" t="s">
        <v>88</v>
      </c>
      <c r="B528" s="8">
        <v>12.0</v>
      </c>
      <c r="C528" s="5" t="s">
        <v>1711</v>
      </c>
      <c r="D528" s="5">
        <v>187.0</v>
      </c>
      <c r="E528" s="5">
        <v>1748.0</v>
      </c>
      <c r="F528" s="5" t="s">
        <v>2229</v>
      </c>
      <c r="G528" s="10" t="s">
        <v>2230</v>
      </c>
      <c r="H528" s="5" t="s">
        <v>2231</v>
      </c>
      <c r="I528" s="5" t="s">
        <v>641</v>
      </c>
      <c r="J528" s="5" t="s">
        <v>1736</v>
      </c>
      <c r="K528" s="5">
        <v>1.0</v>
      </c>
      <c r="L528" s="5">
        <v>2151.0</v>
      </c>
      <c r="M528" s="11">
        <v>53.41128</v>
      </c>
      <c r="N528" s="11">
        <v>-122.59575</v>
      </c>
      <c r="O528" s="11" t="s">
        <v>148</v>
      </c>
      <c r="P528" s="11">
        <v>187.0</v>
      </c>
      <c r="Q528" s="22">
        <v>1.0</v>
      </c>
      <c r="R528" s="11" t="s">
        <v>2229</v>
      </c>
      <c r="S528" s="11" t="s">
        <v>1737</v>
      </c>
      <c r="T528" s="11">
        <v>615.0</v>
      </c>
      <c r="U528" s="11"/>
      <c r="V528" s="11"/>
      <c r="W528" s="23">
        <v>27760.0</v>
      </c>
      <c r="X528" s="11" t="s">
        <v>1738</v>
      </c>
      <c r="Y528" s="9"/>
      <c r="AO528" s="5" t="s">
        <v>2229</v>
      </c>
      <c r="AP528" s="5">
        <v>187.0</v>
      </c>
      <c r="AQ528" s="5" t="s">
        <v>1700</v>
      </c>
      <c r="AR528" s="5" t="s">
        <v>1739</v>
      </c>
      <c r="AS528" s="5" t="s">
        <v>1740</v>
      </c>
      <c r="AT528" s="5" t="s">
        <v>1741</v>
      </c>
      <c r="AU528" s="5" t="s">
        <v>1772</v>
      </c>
      <c r="AV528" s="5" t="s">
        <v>1720</v>
      </c>
      <c r="AW528" s="5" t="s">
        <v>2003</v>
      </c>
      <c r="AX528" s="5" t="s">
        <v>2091</v>
      </c>
      <c r="AY528" s="5">
        <v>53.4114</v>
      </c>
      <c r="AZ528" s="5">
        <v>-122.5961</v>
      </c>
      <c r="BA528" s="5">
        <v>640.0</v>
      </c>
    </row>
    <row r="529" ht="14.25" customHeight="1">
      <c r="B529" s="8">
        <v>12.0</v>
      </c>
      <c r="C529" s="5" t="s">
        <v>1711</v>
      </c>
      <c r="D529" s="5">
        <v>188.0</v>
      </c>
      <c r="E529" s="5">
        <v>1749.0</v>
      </c>
      <c r="F529" s="18" t="s">
        <v>2232</v>
      </c>
      <c r="G529" s="5" t="s">
        <v>2233</v>
      </c>
      <c r="H529" s="5" t="s">
        <v>2234</v>
      </c>
      <c r="I529" s="5" t="s">
        <v>1664</v>
      </c>
      <c r="J529" s="5" t="s">
        <v>1715</v>
      </c>
      <c r="K529" s="5">
        <v>1.0</v>
      </c>
      <c r="L529" s="5">
        <v>2152.0</v>
      </c>
      <c r="Y529" s="9"/>
      <c r="AO529" s="5" t="s">
        <v>2232</v>
      </c>
      <c r="AP529" s="5">
        <v>188.0</v>
      </c>
      <c r="AQ529" s="5" t="s">
        <v>1716</v>
      </c>
      <c r="AR529" s="5" t="s">
        <v>1717</v>
      </c>
      <c r="AS529" s="5" t="s">
        <v>1718</v>
      </c>
      <c r="AT529" s="5" t="s">
        <v>1719</v>
      </c>
      <c r="AU529" s="5" t="s">
        <v>1703</v>
      </c>
      <c r="AV529" s="5" t="s">
        <v>1720</v>
      </c>
      <c r="AW529" s="5" t="s">
        <v>2193</v>
      </c>
      <c r="AX529" s="5" t="s">
        <v>2194</v>
      </c>
      <c r="AY529" s="5">
        <v>53.0</v>
      </c>
      <c r="AZ529" s="5">
        <v>-122.2</v>
      </c>
      <c r="BA529" s="5">
        <v>10.0</v>
      </c>
    </row>
    <row r="530" ht="14.25" customHeight="1">
      <c r="A530" s="5" t="s">
        <v>88</v>
      </c>
      <c r="B530" s="8">
        <v>12.0</v>
      </c>
      <c r="C530" s="5" t="s">
        <v>1711</v>
      </c>
      <c r="D530" s="5">
        <v>189.0</v>
      </c>
      <c r="E530" s="5">
        <v>1750.0</v>
      </c>
      <c r="F530" s="5" t="s">
        <v>2235</v>
      </c>
      <c r="G530" s="10" t="s">
        <v>2236</v>
      </c>
      <c r="H530" s="5" t="s">
        <v>2237</v>
      </c>
      <c r="I530" s="5" t="s">
        <v>641</v>
      </c>
      <c r="J530" s="5" t="s">
        <v>1865</v>
      </c>
      <c r="K530" s="5">
        <v>1.0</v>
      </c>
      <c r="L530" s="5">
        <v>2153.0</v>
      </c>
      <c r="M530" s="11">
        <v>53.49378</v>
      </c>
      <c r="N530" s="11">
        <v>-123.60878</v>
      </c>
      <c r="O530" s="11" t="s">
        <v>148</v>
      </c>
      <c r="P530" s="11">
        <v>189.0</v>
      </c>
      <c r="Q530" s="22">
        <v>1.0</v>
      </c>
      <c r="R530" s="11" t="s">
        <v>2235</v>
      </c>
      <c r="S530" s="11" t="s">
        <v>1737</v>
      </c>
      <c r="T530" s="11">
        <v>814.0</v>
      </c>
      <c r="U530" s="11"/>
      <c r="V530" s="11"/>
      <c r="W530" s="23">
        <v>31413.0</v>
      </c>
      <c r="X530" s="11" t="s">
        <v>1738</v>
      </c>
      <c r="Y530" s="9"/>
      <c r="AO530" s="5" t="s">
        <v>2235</v>
      </c>
      <c r="AP530" s="5">
        <v>189.0</v>
      </c>
      <c r="AQ530" s="5" t="s">
        <v>1700</v>
      </c>
      <c r="AR530" s="5" t="s">
        <v>1739</v>
      </c>
      <c r="AS530" s="5" t="s">
        <v>1740</v>
      </c>
      <c r="AT530" s="5" t="s">
        <v>1741</v>
      </c>
      <c r="AU530" s="5" t="s">
        <v>1959</v>
      </c>
      <c r="AV530" s="5" t="s">
        <v>1720</v>
      </c>
      <c r="AW530" s="5" t="s">
        <v>2003</v>
      </c>
      <c r="AX530" s="5" t="s">
        <v>2091</v>
      </c>
      <c r="AY530" s="5">
        <v>53.4937</v>
      </c>
      <c r="AZ530" s="5">
        <v>-123.6088</v>
      </c>
      <c r="BA530" s="5">
        <v>807.0</v>
      </c>
    </row>
    <row r="531" ht="14.25" customHeight="1">
      <c r="A531" s="5" t="s">
        <v>88</v>
      </c>
      <c r="B531" s="8">
        <v>12.0</v>
      </c>
      <c r="C531" s="5" t="s">
        <v>1711</v>
      </c>
      <c r="D531" s="5">
        <v>190.0</v>
      </c>
      <c r="E531" s="5">
        <v>1751.0</v>
      </c>
      <c r="F531" s="5" t="s">
        <v>2238</v>
      </c>
      <c r="G531" s="10" t="s">
        <v>2239</v>
      </c>
      <c r="H531" s="5" t="s">
        <v>2240</v>
      </c>
      <c r="I531" s="5" t="s">
        <v>641</v>
      </c>
      <c r="J531" s="5" t="s">
        <v>1865</v>
      </c>
      <c r="K531" s="5">
        <v>1.0</v>
      </c>
      <c r="L531" s="5">
        <v>2154.0</v>
      </c>
      <c r="M531" s="11">
        <v>53.52594</v>
      </c>
      <c r="N531" s="11">
        <v>-122.1055</v>
      </c>
      <c r="O531" s="11" t="s">
        <v>170</v>
      </c>
      <c r="P531" s="11">
        <v>190.0</v>
      </c>
      <c r="Q531" s="22">
        <v>2.0</v>
      </c>
      <c r="R531" s="11" t="s">
        <v>2238</v>
      </c>
      <c r="S531" s="11" t="s">
        <v>1737</v>
      </c>
      <c r="T531" s="11">
        <v>997.0</v>
      </c>
      <c r="U531" s="11"/>
      <c r="V531" s="11"/>
      <c r="W531" s="23">
        <v>32143.0</v>
      </c>
      <c r="X531" s="11" t="s">
        <v>1738</v>
      </c>
      <c r="Y531" s="9"/>
      <c r="AO531" s="5" t="s">
        <v>2238</v>
      </c>
      <c r="AP531" s="5">
        <v>190.0</v>
      </c>
      <c r="AQ531" s="5" t="s">
        <v>1700</v>
      </c>
      <c r="AR531" s="5" t="s">
        <v>1739</v>
      </c>
      <c r="AS531" s="5" t="s">
        <v>1740</v>
      </c>
      <c r="AT531" s="5" t="s">
        <v>1741</v>
      </c>
      <c r="AU531" s="5" t="s">
        <v>1959</v>
      </c>
      <c r="AV531" s="5" t="s">
        <v>1720</v>
      </c>
      <c r="AW531" s="5" t="s">
        <v>2003</v>
      </c>
      <c r="AX531" s="5" t="s">
        <v>2091</v>
      </c>
      <c r="AY531" s="5">
        <v>53.5264</v>
      </c>
      <c r="AZ531" s="5">
        <v>-122.1064</v>
      </c>
      <c r="BA531" s="5">
        <v>979.0</v>
      </c>
    </row>
    <row r="532" ht="14.25" customHeight="1">
      <c r="B532" s="8">
        <v>12.0</v>
      </c>
      <c r="C532" s="5" t="s">
        <v>1711</v>
      </c>
      <c r="D532" s="5">
        <v>191.0</v>
      </c>
      <c r="E532" s="5">
        <v>1752.0</v>
      </c>
      <c r="F532" s="5" t="s">
        <v>2241</v>
      </c>
      <c r="G532" s="5" t="s">
        <v>2242</v>
      </c>
      <c r="H532" s="5" t="s">
        <v>2243</v>
      </c>
      <c r="I532" s="5" t="s">
        <v>641</v>
      </c>
      <c r="J532" s="5" t="s">
        <v>1715</v>
      </c>
      <c r="K532" s="5">
        <v>1.0</v>
      </c>
      <c r="L532" s="5">
        <v>2155.0</v>
      </c>
      <c r="Y532" s="9"/>
      <c r="AO532" s="5" t="s">
        <v>2244</v>
      </c>
      <c r="AP532" s="5">
        <v>191.0</v>
      </c>
      <c r="AQ532" s="5" t="s">
        <v>1716</v>
      </c>
      <c r="AR532" s="5" t="s">
        <v>1717</v>
      </c>
      <c r="AS532" s="5" t="s">
        <v>1718</v>
      </c>
      <c r="AT532" s="5" t="s">
        <v>1835</v>
      </c>
      <c r="AU532" s="5" t="s">
        <v>1959</v>
      </c>
      <c r="AV532" s="5" t="s">
        <v>1720</v>
      </c>
      <c r="AW532" s="5" t="s">
        <v>2003</v>
      </c>
      <c r="AX532" s="5" t="s">
        <v>2091</v>
      </c>
      <c r="AY532" s="5">
        <v>54.0778</v>
      </c>
      <c r="AZ532" s="5">
        <v>-121.8263</v>
      </c>
      <c r="BA532" s="5">
        <v>638.0</v>
      </c>
    </row>
    <row r="533" ht="14.25" customHeight="1">
      <c r="B533" s="8">
        <v>12.0</v>
      </c>
      <c r="C533" s="5" t="s">
        <v>1711</v>
      </c>
      <c r="D533" s="5">
        <v>192.0</v>
      </c>
      <c r="E533" s="5">
        <v>1753.0</v>
      </c>
      <c r="F533" s="5" t="s">
        <v>2245</v>
      </c>
      <c r="G533" s="5" t="s">
        <v>2246</v>
      </c>
      <c r="H533" s="5" t="s">
        <v>2247</v>
      </c>
      <c r="I533" s="5" t="s">
        <v>641</v>
      </c>
      <c r="J533" s="5" t="s">
        <v>1736</v>
      </c>
      <c r="K533" s="5">
        <v>1.0</v>
      </c>
      <c r="L533" s="5">
        <v>2156.0</v>
      </c>
      <c r="M533" s="11">
        <v>53.92889</v>
      </c>
      <c r="N533" s="11">
        <v>-120.63569</v>
      </c>
      <c r="O533" s="11" t="s">
        <v>1290</v>
      </c>
      <c r="P533" s="11">
        <v>192.0</v>
      </c>
      <c r="Q533" s="22">
        <v>3.0</v>
      </c>
      <c r="R533" s="11" t="s">
        <v>2245</v>
      </c>
      <c r="S533" s="11" t="s">
        <v>1737</v>
      </c>
      <c r="T533" s="11">
        <v>975.0</v>
      </c>
      <c r="U533" s="11"/>
      <c r="V533" s="11"/>
      <c r="W533" s="23">
        <v>31413.0</v>
      </c>
      <c r="X533" s="11" t="s">
        <v>1738</v>
      </c>
      <c r="Y533" s="9"/>
      <c r="AO533" s="5" t="s">
        <v>2245</v>
      </c>
      <c r="AP533" s="5">
        <v>192.0</v>
      </c>
      <c r="AQ533" s="5" t="s">
        <v>1716</v>
      </c>
      <c r="AR533" s="5" t="s">
        <v>1739</v>
      </c>
      <c r="AS533" s="5" t="s">
        <v>1740</v>
      </c>
      <c r="AT533" s="5" t="s">
        <v>1741</v>
      </c>
      <c r="AU533" s="5" t="s">
        <v>1742</v>
      </c>
      <c r="AV533" s="5" t="s">
        <v>1720</v>
      </c>
      <c r="AW533" s="5" t="s">
        <v>2003</v>
      </c>
      <c r="AX533" s="5" t="s">
        <v>2091</v>
      </c>
      <c r="AY533" s="5">
        <v>53.9289</v>
      </c>
      <c r="AZ533" s="5">
        <v>-120.6355</v>
      </c>
      <c r="BA533" s="5">
        <v>979.0</v>
      </c>
    </row>
    <row r="534" ht="14.25" customHeight="1">
      <c r="A534" s="5" t="s">
        <v>88</v>
      </c>
      <c r="B534" s="8">
        <v>12.0</v>
      </c>
      <c r="C534" s="5" t="s">
        <v>1711</v>
      </c>
      <c r="D534" s="5">
        <v>193.0</v>
      </c>
      <c r="E534" s="5">
        <v>1754.0</v>
      </c>
      <c r="F534" s="5" t="s">
        <v>2248</v>
      </c>
      <c r="G534" s="10" t="s">
        <v>2249</v>
      </c>
      <c r="H534" s="5" t="s">
        <v>2250</v>
      </c>
      <c r="I534" s="5" t="s">
        <v>641</v>
      </c>
      <c r="J534" s="5" t="s">
        <v>1865</v>
      </c>
      <c r="K534" s="5">
        <v>1.0</v>
      </c>
      <c r="L534" s="5">
        <v>2157.0</v>
      </c>
      <c r="M534" s="11">
        <v>53.46314</v>
      </c>
      <c r="N534" s="11">
        <v>-121.56033</v>
      </c>
      <c r="O534" s="11" t="s">
        <v>170</v>
      </c>
      <c r="P534" s="11">
        <v>193.0</v>
      </c>
      <c r="Q534" s="22">
        <v>2.0</v>
      </c>
      <c r="R534" s="11" t="s">
        <v>2248</v>
      </c>
      <c r="S534" s="11" t="s">
        <v>1737</v>
      </c>
      <c r="T534" s="11">
        <v>945.0</v>
      </c>
      <c r="U534" s="11"/>
      <c r="V534" s="11"/>
      <c r="W534" s="23">
        <v>31413.0</v>
      </c>
      <c r="X534" s="11" t="s">
        <v>1738</v>
      </c>
      <c r="Y534" s="9"/>
      <c r="AO534" s="5" t="s">
        <v>2248</v>
      </c>
      <c r="AP534" s="5">
        <v>193.0</v>
      </c>
      <c r="AQ534" s="5" t="s">
        <v>1700</v>
      </c>
      <c r="AR534" s="5" t="s">
        <v>1739</v>
      </c>
      <c r="AS534" s="5" t="s">
        <v>1740</v>
      </c>
      <c r="AT534" s="5" t="s">
        <v>1741</v>
      </c>
      <c r="AU534" s="5" t="s">
        <v>1959</v>
      </c>
      <c r="AV534" s="5" t="s">
        <v>1720</v>
      </c>
      <c r="AW534" s="5" t="s">
        <v>2003</v>
      </c>
      <c r="AX534" s="5" t="s">
        <v>2091</v>
      </c>
      <c r="AY534" s="5">
        <v>53.463</v>
      </c>
      <c r="AZ534" s="5">
        <v>-121.5603</v>
      </c>
      <c r="BA534" s="5">
        <v>927.0</v>
      </c>
    </row>
    <row r="535" ht="14.25" customHeight="1">
      <c r="A535" s="5" t="s">
        <v>2251</v>
      </c>
      <c r="B535" s="8">
        <v>12.0</v>
      </c>
      <c r="C535" s="5" t="s">
        <v>1711</v>
      </c>
      <c r="D535" s="5">
        <v>194.0</v>
      </c>
      <c r="E535" s="5">
        <v>1755.0</v>
      </c>
      <c r="F535" s="10" t="s">
        <v>2252</v>
      </c>
      <c r="G535" s="10" t="s">
        <v>2253</v>
      </c>
      <c r="H535" s="5" t="s">
        <v>2254</v>
      </c>
      <c r="I535" s="5" t="s">
        <v>641</v>
      </c>
      <c r="J535" s="5" t="s">
        <v>1865</v>
      </c>
      <c r="K535" s="5">
        <v>1.0</v>
      </c>
      <c r="L535" s="5">
        <v>2158.0</v>
      </c>
      <c r="M535" s="56">
        <v>52.86983</v>
      </c>
      <c r="N535" s="56">
        <v>-119.29908</v>
      </c>
      <c r="O535" s="56" t="s">
        <v>170</v>
      </c>
      <c r="P535" s="56">
        <v>194.0</v>
      </c>
      <c r="Q535" s="57">
        <v>1.0</v>
      </c>
      <c r="R535" s="56" t="s">
        <v>2255</v>
      </c>
      <c r="S535" s="56" t="s">
        <v>1737</v>
      </c>
      <c r="T535" s="56">
        <v>797.0</v>
      </c>
      <c r="U535" s="56" t="s">
        <v>645</v>
      </c>
      <c r="V535" s="56"/>
      <c r="W535" s="58">
        <v>25569.0</v>
      </c>
      <c r="X535" s="56" t="s">
        <v>1738</v>
      </c>
      <c r="Y535" s="59"/>
      <c r="AO535" s="55" t="s">
        <v>2256</v>
      </c>
      <c r="AP535" s="5">
        <v>194.0</v>
      </c>
      <c r="AQ535" s="5" t="s">
        <v>1716</v>
      </c>
      <c r="AR535" s="5" t="s">
        <v>1717</v>
      </c>
      <c r="AS535" s="5" t="s">
        <v>2257</v>
      </c>
      <c r="AT535" s="5" t="s">
        <v>1835</v>
      </c>
      <c r="AU535" s="5" t="s">
        <v>2043</v>
      </c>
      <c r="AV535" s="5" t="s">
        <v>1720</v>
      </c>
      <c r="AW535" s="5" t="s">
        <v>2003</v>
      </c>
      <c r="AX535" s="5" t="s">
        <v>2258</v>
      </c>
      <c r="AY535" s="5">
        <v>52.8698</v>
      </c>
      <c r="AZ535" s="5">
        <v>-119.2991</v>
      </c>
      <c r="BA535" s="5">
        <v>797.0</v>
      </c>
    </row>
    <row r="536" ht="14.25" customHeight="1">
      <c r="A536" s="5" t="s">
        <v>88</v>
      </c>
      <c r="B536" s="8">
        <v>12.0</v>
      </c>
      <c r="C536" s="5" t="s">
        <v>1711</v>
      </c>
      <c r="D536" s="5">
        <v>195.0</v>
      </c>
      <c r="E536" s="5">
        <v>1756.0</v>
      </c>
      <c r="F536" s="5" t="s">
        <v>2259</v>
      </c>
      <c r="G536" s="10" t="s">
        <v>2260</v>
      </c>
      <c r="H536" s="5" t="s">
        <v>2261</v>
      </c>
      <c r="I536" s="5" t="s">
        <v>641</v>
      </c>
      <c r="J536" s="5" t="s">
        <v>1865</v>
      </c>
      <c r="K536" s="5">
        <v>1.0</v>
      </c>
      <c r="L536" s="5">
        <v>2159.0</v>
      </c>
      <c r="M536" s="11">
        <v>53.29483</v>
      </c>
      <c r="N536" s="11">
        <v>-120.15278</v>
      </c>
      <c r="O536" s="11" t="s">
        <v>170</v>
      </c>
      <c r="P536" s="11">
        <v>195.0</v>
      </c>
      <c r="Q536" s="22">
        <v>1.0</v>
      </c>
      <c r="R536" s="11" t="s">
        <v>2262</v>
      </c>
      <c r="S536" s="11" t="s">
        <v>1737</v>
      </c>
      <c r="T536" s="11">
        <v>716.0</v>
      </c>
      <c r="U536" s="11" t="s">
        <v>645</v>
      </c>
      <c r="V536" s="11" t="s">
        <v>1813</v>
      </c>
      <c r="W536" s="23">
        <v>29221.0</v>
      </c>
      <c r="X536" s="11" t="s">
        <v>1738</v>
      </c>
      <c r="Y536" s="9"/>
      <c r="AO536" s="5" t="s">
        <v>2259</v>
      </c>
      <c r="AP536" s="5">
        <v>195.0</v>
      </c>
      <c r="AQ536" s="5" t="s">
        <v>1700</v>
      </c>
      <c r="AR536" s="5" t="s">
        <v>1739</v>
      </c>
      <c r="AS536" s="5" t="s">
        <v>1740</v>
      </c>
      <c r="AT536" s="5" t="s">
        <v>1741</v>
      </c>
      <c r="AU536" s="5" t="s">
        <v>1772</v>
      </c>
      <c r="AV536" s="5" t="s">
        <v>1720</v>
      </c>
      <c r="AW536" s="5" t="s">
        <v>2003</v>
      </c>
      <c r="AX536" s="5" t="s">
        <v>2258</v>
      </c>
      <c r="AY536" s="5">
        <v>53.2948</v>
      </c>
      <c r="AZ536" s="5">
        <v>-120.153</v>
      </c>
      <c r="BA536" s="5">
        <v>714.0</v>
      </c>
    </row>
    <row r="537" ht="14.25" customHeight="1">
      <c r="B537" s="8">
        <v>12.0</v>
      </c>
      <c r="C537" s="5" t="s">
        <v>1711</v>
      </c>
      <c r="D537" s="5">
        <v>196.0</v>
      </c>
      <c r="E537" s="5">
        <v>1757.0</v>
      </c>
      <c r="F537" s="18" t="s">
        <v>2263</v>
      </c>
      <c r="G537" s="5" t="s">
        <v>2264</v>
      </c>
      <c r="H537" s="5" t="s">
        <v>1900</v>
      </c>
      <c r="I537" s="5" t="s">
        <v>1664</v>
      </c>
      <c r="J537" s="5" t="s">
        <v>1715</v>
      </c>
      <c r="K537" s="5">
        <v>1.0</v>
      </c>
      <c r="L537" s="5">
        <v>2160.0</v>
      </c>
      <c r="Y537" s="9"/>
      <c r="AO537" s="5" t="s">
        <v>2263</v>
      </c>
      <c r="AP537" s="5">
        <v>196.0</v>
      </c>
      <c r="AQ537" s="5" t="s">
        <v>1716</v>
      </c>
      <c r="AR537" s="5" t="s">
        <v>1717</v>
      </c>
      <c r="AS537" s="5" t="s">
        <v>1718</v>
      </c>
      <c r="AT537" s="5" t="s">
        <v>1719</v>
      </c>
      <c r="AU537" s="5" t="s">
        <v>1703</v>
      </c>
      <c r="AV537" s="5" t="s">
        <v>1720</v>
      </c>
      <c r="AW537" s="5" t="s">
        <v>2003</v>
      </c>
      <c r="AX537" s="5" t="s">
        <v>2258</v>
      </c>
      <c r="AY537" s="5">
        <v>53.0</v>
      </c>
      <c r="AZ537" s="5">
        <v>-119.6</v>
      </c>
      <c r="BA537" s="5">
        <v>8.0</v>
      </c>
    </row>
    <row r="538" ht="14.25" customHeight="1">
      <c r="B538" s="8">
        <v>12.0</v>
      </c>
      <c r="C538" s="5" t="s">
        <v>1711</v>
      </c>
      <c r="D538" s="5">
        <v>197.0</v>
      </c>
      <c r="E538" s="5">
        <v>1758.0</v>
      </c>
      <c r="F538" s="18" t="s">
        <v>2265</v>
      </c>
      <c r="G538" s="5" t="s">
        <v>2266</v>
      </c>
      <c r="H538" s="5" t="s">
        <v>1900</v>
      </c>
      <c r="I538" s="5" t="s">
        <v>1664</v>
      </c>
      <c r="J538" s="5" t="s">
        <v>1715</v>
      </c>
      <c r="K538" s="5">
        <v>1.0</v>
      </c>
      <c r="L538" s="5">
        <v>2161.0</v>
      </c>
      <c r="Y538" s="9"/>
      <c r="AO538" s="5" t="s">
        <v>2265</v>
      </c>
      <c r="AP538" s="5">
        <v>197.0</v>
      </c>
      <c r="AQ538" s="5" t="s">
        <v>1716</v>
      </c>
      <c r="AR538" s="5" t="s">
        <v>1717</v>
      </c>
      <c r="AS538" s="5" t="s">
        <v>1718</v>
      </c>
      <c r="AT538" s="5" t="s">
        <v>1719</v>
      </c>
      <c r="AU538" s="5" t="s">
        <v>1703</v>
      </c>
      <c r="AV538" s="5" t="s">
        <v>1720</v>
      </c>
      <c r="AW538" s="5" t="s">
        <v>2003</v>
      </c>
      <c r="AX538" s="5" t="s">
        <v>2258</v>
      </c>
      <c r="AY538" s="5">
        <v>53.4</v>
      </c>
      <c r="AZ538" s="5">
        <v>-120.4</v>
      </c>
      <c r="BA538" s="5">
        <v>0.0</v>
      </c>
    </row>
    <row r="539" ht="14.25" customHeight="1">
      <c r="A539" s="5" t="s">
        <v>88</v>
      </c>
      <c r="B539" s="8">
        <v>12.0</v>
      </c>
      <c r="C539" s="5" t="s">
        <v>1711</v>
      </c>
      <c r="D539" s="5">
        <v>199.0</v>
      </c>
      <c r="E539" s="5">
        <v>1759.0</v>
      </c>
      <c r="F539" s="5" t="s">
        <v>2267</v>
      </c>
      <c r="G539" s="10" t="s">
        <v>2268</v>
      </c>
      <c r="H539" s="5" t="s">
        <v>2269</v>
      </c>
      <c r="I539" s="5" t="s">
        <v>641</v>
      </c>
      <c r="J539" s="5" t="s">
        <v>1736</v>
      </c>
      <c r="K539" s="5">
        <v>1.0</v>
      </c>
      <c r="L539" s="5">
        <v>2162.0</v>
      </c>
      <c r="M539" s="11">
        <v>53.57644</v>
      </c>
      <c r="N539" s="11">
        <v>-120.85844</v>
      </c>
      <c r="O539" s="11" t="s">
        <v>170</v>
      </c>
      <c r="P539" s="11">
        <v>199.0</v>
      </c>
      <c r="Q539" s="22">
        <v>1.0</v>
      </c>
      <c r="R539" s="11" t="s">
        <v>2267</v>
      </c>
      <c r="S539" s="11" t="s">
        <v>1737</v>
      </c>
      <c r="T539" s="11">
        <v>866.0</v>
      </c>
      <c r="U539" s="11"/>
      <c r="V539" s="11"/>
      <c r="W539" s="23">
        <v>31413.0</v>
      </c>
      <c r="X539" s="11" t="s">
        <v>1738</v>
      </c>
      <c r="Y539" s="9"/>
      <c r="AO539" s="5" t="s">
        <v>2267</v>
      </c>
      <c r="AP539" s="5">
        <v>199.0</v>
      </c>
      <c r="AQ539" s="5" t="s">
        <v>1716</v>
      </c>
      <c r="AR539" s="5" t="s">
        <v>1739</v>
      </c>
      <c r="AS539" s="5" t="s">
        <v>1740</v>
      </c>
      <c r="AT539" s="5" t="s">
        <v>1741</v>
      </c>
      <c r="AU539" s="5" t="s">
        <v>1742</v>
      </c>
      <c r="AV539" s="5" t="s">
        <v>1720</v>
      </c>
      <c r="AW539" s="5" t="s">
        <v>2003</v>
      </c>
      <c r="AX539" s="5" t="s">
        <v>2091</v>
      </c>
      <c r="AY539" s="5">
        <v>53.5764</v>
      </c>
      <c r="AZ539" s="5">
        <v>-120.8585</v>
      </c>
      <c r="BA539" s="5">
        <v>871.0</v>
      </c>
    </row>
    <row r="540" ht="14.25" customHeight="1">
      <c r="A540" s="5" t="s">
        <v>88</v>
      </c>
      <c r="B540" s="8">
        <v>12.0</v>
      </c>
      <c r="C540" s="5" t="s">
        <v>1711</v>
      </c>
      <c r="D540" s="5">
        <v>200.0</v>
      </c>
      <c r="E540" s="5">
        <v>1760.0</v>
      </c>
      <c r="F540" s="5" t="s">
        <v>2270</v>
      </c>
      <c r="G540" s="10" t="s">
        <v>2271</v>
      </c>
      <c r="H540" s="5" t="s">
        <v>2272</v>
      </c>
      <c r="I540" s="5" t="s">
        <v>641</v>
      </c>
      <c r="J540" s="5" t="s">
        <v>1865</v>
      </c>
      <c r="K540" s="5">
        <v>1.0</v>
      </c>
      <c r="L540" s="5">
        <v>2163.0</v>
      </c>
      <c r="M540" s="11">
        <v>52.78805</v>
      </c>
      <c r="N540" s="11">
        <v>-119.31481</v>
      </c>
      <c r="O540" s="11" t="s">
        <v>170</v>
      </c>
      <c r="P540" s="11">
        <v>200.0</v>
      </c>
      <c r="Q540" s="22">
        <v>3.0</v>
      </c>
      <c r="R540" s="11" t="s">
        <v>2270</v>
      </c>
      <c r="S540" s="11" t="s">
        <v>1737</v>
      </c>
      <c r="T540" s="11">
        <v>1195.0</v>
      </c>
      <c r="U540" s="11"/>
      <c r="V540" s="11"/>
      <c r="W540" s="23">
        <v>31413.0</v>
      </c>
      <c r="X540" s="11" t="s">
        <v>1738</v>
      </c>
      <c r="Y540" s="9"/>
      <c r="AO540" s="5" t="s">
        <v>2270</v>
      </c>
      <c r="AP540" s="5">
        <v>200.0</v>
      </c>
      <c r="AQ540" s="5" t="s">
        <v>1700</v>
      </c>
      <c r="AR540" s="5" t="s">
        <v>1739</v>
      </c>
      <c r="AS540" s="5" t="s">
        <v>1740</v>
      </c>
      <c r="AT540" s="5" t="s">
        <v>1741</v>
      </c>
      <c r="AU540" s="5" t="s">
        <v>1959</v>
      </c>
      <c r="AV540" s="5" t="s">
        <v>1720</v>
      </c>
      <c r="AW540" s="5" t="s">
        <v>2003</v>
      </c>
      <c r="AX540" s="5" t="s">
        <v>2258</v>
      </c>
      <c r="AY540" s="5">
        <v>52.7883</v>
      </c>
      <c r="AZ540" s="5">
        <v>-119.3147</v>
      </c>
      <c r="BA540" s="5">
        <v>1163.0</v>
      </c>
    </row>
    <row r="541" ht="14.25" customHeight="1">
      <c r="B541" s="8">
        <v>12.0</v>
      </c>
      <c r="C541" s="5" t="s">
        <v>1711</v>
      </c>
      <c r="D541" s="5">
        <v>201.0</v>
      </c>
      <c r="E541" s="5">
        <v>1761.0</v>
      </c>
      <c r="F541" s="5" t="s">
        <v>2273</v>
      </c>
      <c r="G541" s="5" t="s">
        <v>2274</v>
      </c>
      <c r="H541" s="5" t="s">
        <v>2275</v>
      </c>
      <c r="I541" s="5" t="s">
        <v>641</v>
      </c>
      <c r="J541" s="5" t="s">
        <v>1736</v>
      </c>
      <c r="K541" s="5">
        <v>1.0</v>
      </c>
      <c r="L541" s="5">
        <v>2164.0</v>
      </c>
      <c r="M541" s="11">
        <v>53.93597</v>
      </c>
      <c r="N541" s="11">
        <v>-124.77672</v>
      </c>
      <c r="O541" s="11" t="s">
        <v>148</v>
      </c>
      <c r="P541" s="11">
        <v>654.0</v>
      </c>
      <c r="Q541" s="22">
        <v>3.0</v>
      </c>
      <c r="R541" s="11" t="s">
        <v>2276</v>
      </c>
      <c r="S541" s="11" t="s">
        <v>1737</v>
      </c>
      <c r="T541" s="11">
        <v>961.0</v>
      </c>
      <c r="U541" s="11"/>
      <c r="V541" s="11" t="s">
        <v>2147</v>
      </c>
      <c r="W541" s="23">
        <v>35796.0</v>
      </c>
      <c r="X541" s="11" t="s">
        <v>1738</v>
      </c>
      <c r="Y541" s="9"/>
      <c r="AO541" s="5" t="s">
        <v>2273</v>
      </c>
      <c r="AP541" s="5">
        <v>201.0</v>
      </c>
      <c r="AQ541" s="5" t="s">
        <v>1716</v>
      </c>
      <c r="AR541" s="5" t="s">
        <v>1717</v>
      </c>
      <c r="AS541" s="5" t="s">
        <v>1740</v>
      </c>
      <c r="AT541" s="5" t="s">
        <v>1835</v>
      </c>
      <c r="AU541" s="5" t="s">
        <v>1742</v>
      </c>
      <c r="AV541" s="5" t="s">
        <v>1720</v>
      </c>
      <c r="AW541" s="5" t="s">
        <v>2003</v>
      </c>
      <c r="AX541" s="5" t="s">
        <v>2258</v>
      </c>
      <c r="AY541" s="5">
        <v>53.3454</v>
      </c>
      <c r="AZ541" s="5">
        <v>-119.7132</v>
      </c>
      <c r="BA541" s="5">
        <v>1179.0</v>
      </c>
    </row>
    <row r="542" ht="14.25" customHeight="1">
      <c r="B542" s="8">
        <v>12.0</v>
      </c>
      <c r="C542" s="5" t="s">
        <v>1711</v>
      </c>
      <c r="D542" s="5">
        <v>202.0</v>
      </c>
      <c r="E542" s="5">
        <v>1762.0</v>
      </c>
      <c r="F542" s="5" t="s">
        <v>2277</v>
      </c>
      <c r="G542" s="5" t="s">
        <v>2278</v>
      </c>
      <c r="H542" s="5" t="s">
        <v>2279</v>
      </c>
      <c r="I542" s="5" t="s">
        <v>641</v>
      </c>
      <c r="J542" s="5" t="s">
        <v>1715</v>
      </c>
      <c r="K542" s="5">
        <v>1.0</v>
      </c>
      <c r="L542" s="5">
        <v>2165.0</v>
      </c>
      <c r="Y542" s="9"/>
      <c r="AO542" s="5" t="s">
        <v>2280</v>
      </c>
      <c r="AP542" s="5">
        <v>202.0</v>
      </c>
      <c r="AQ542" s="5" t="s">
        <v>1716</v>
      </c>
      <c r="AR542" s="5" t="s">
        <v>1717</v>
      </c>
      <c r="AS542" s="5" t="s">
        <v>1718</v>
      </c>
      <c r="AT542" s="5" t="s">
        <v>2161</v>
      </c>
      <c r="AU542" s="5" t="s">
        <v>2162</v>
      </c>
      <c r="AV542" s="5" t="s">
        <v>1720</v>
      </c>
      <c r="AW542" s="5" t="s">
        <v>2003</v>
      </c>
      <c r="AX542" s="5" t="s">
        <v>2258</v>
      </c>
      <c r="AY542" s="5">
        <v>52.7027</v>
      </c>
      <c r="AZ542" s="5">
        <v>-118.4701</v>
      </c>
      <c r="BA542" s="5">
        <v>1667.0</v>
      </c>
    </row>
    <row r="543" ht="14.25" customHeight="1">
      <c r="A543" s="5" t="s">
        <v>422</v>
      </c>
      <c r="B543" s="8">
        <v>12.0</v>
      </c>
      <c r="C543" s="5" t="s">
        <v>1707</v>
      </c>
      <c r="D543" s="5">
        <v>203.0</v>
      </c>
      <c r="E543" s="5">
        <v>12970.0</v>
      </c>
      <c r="F543" s="51" t="s">
        <v>2281</v>
      </c>
      <c r="G543" s="5" t="s">
        <v>127</v>
      </c>
      <c r="H543" s="5" t="s">
        <v>1697</v>
      </c>
      <c r="I543" s="5" t="s">
        <v>49</v>
      </c>
      <c r="J543" s="5" t="s">
        <v>1746</v>
      </c>
      <c r="K543" s="5">
        <v>1.0</v>
      </c>
      <c r="L543" s="5">
        <v>14902.0</v>
      </c>
      <c r="Y543" s="9"/>
      <c r="AO543" s="50" t="s">
        <v>2282</v>
      </c>
      <c r="AP543" s="50">
        <v>203.0</v>
      </c>
      <c r="AQ543" s="50" t="s">
        <v>1700</v>
      </c>
      <c r="AR543" s="50" t="s">
        <v>1701</v>
      </c>
      <c r="AS543" s="50" t="s">
        <v>1702</v>
      </c>
      <c r="AT543" s="50" t="s">
        <v>1703</v>
      </c>
      <c r="AU543" s="50" t="s">
        <v>1704</v>
      </c>
      <c r="AV543" s="50" t="s">
        <v>1702</v>
      </c>
      <c r="AW543" s="50" t="s">
        <v>2193</v>
      </c>
      <c r="AX543" s="50" t="s">
        <v>2283</v>
      </c>
      <c r="AY543" s="50">
        <v>52.1</v>
      </c>
      <c r="AZ543" s="50">
        <v>-124.2</v>
      </c>
      <c r="BA543" s="50">
        <v>910.0</v>
      </c>
    </row>
    <row r="544" ht="14.25" customHeight="1">
      <c r="B544" s="8">
        <v>12.0</v>
      </c>
      <c r="C544" s="5" t="s">
        <v>1711</v>
      </c>
      <c r="D544" s="5">
        <v>204.0</v>
      </c>
      <c r="E544" s="5">
        <v>1763.0</v>
      </c>
      <c r="F544" s="18" t="s">
        <v>2284</v>
      </c>
      <c r="G544" s="5" t="s">
        <v>2285</v>
      </c>
      <c r="H544" s="5" t="s">
        <v>2286</v>
      </c>
      <c r="I544" s="5" t="s">
        <v>1664</v>
      </c>
      <c r="J544" s="5" t="s">
        <v>1715</v>
      </c>
      <c r="K544" s="5">
        <v>1.0</v>
      </c>
      <c r="L544" s="5">
        <v>2166.0</v>
      </c>
      <c r="Y544" s="9"/>
      <c r="AO544" s="5" t="s">
        <v>2284</v>
      </c>
      <c r="AP544" s="5">
        <v>204.0</v>
      </c>
      <c r="AQ544" s="5" t="s">
        <v>1716</v>
      </c>
      <c r="AR544" s="5" t="s">
        <v>1717</v>
      </c>
      <c r="AS544" s="5" t="s">
        <v>1718</v>
      </c>
      <c r="AT544" s="5" t="s">
        <v>1719</v>
      </c>
      <c r="AU544" s="5" t="s">
        <v>1703</v>
      </c>
      <c r="AV544" s="5" t="s">
        <v>1720</v>
      </c>
      <c r="AW544" s="5" t="s">
        <v>2193</v>
      </c>
      <c r="AX544" s="5" t="s">
        <v>2287</v>
      </c>
      <c r="AY544" s="5">
        <v>51.4</v>
      </c>
      <c r="AZ544" s="5">
        <v>-121.7</v>
      </c>
      <c r="BA544" s="5">
        <v>11.0</v>
      </c>
    </row>
    <row r="545" ht="14.25" customHeight="1">
      <c r="A545" s="5" t="s">
        <v>422</v>
      </c>
      <c r="B545" s="8">
        <v>12.0</v>
      </c>
      <c r="C545" s="5" t="s">
        <v>2129</v>
      </c>
      <c r="D545" s="5">
        <v>205.0</v>
      </c>
      <c r="E545" s="5">
        <v>12985.0</v>
      </c>
      <c r="F545" s="51" t="s">
        <v>2288</v>
      </c>
      <c r="G545" s="5" t="s">
        <v>127</v>
      </c>
      <c r="H545" s="5" t="s">
        <v>2289</v>
      </c>
      <c r="I545" s="5" t="s">
        <v>49</v>
      </c>
      <c r="J545" s="5" t="s">
        <v>1698</v>
      </c>
      <c r="K545" s="5">
        <v>1.0</v>
      </c>
      <c r="L545" s="5">
        <v>14917.0</v>
      </c>
      <c r="Y545" s="9"/>
      <c r="AO545" s="50" t="s">
        <v>2290</v>
      </c>
      <c r="AP545" s="50">
        <v>205.0</v>
      </c>
      <c r="AQ545" s="50" t="s">
        <v>1700</v>
      </c>
      <c r="AR545" s="50" t="s">
        <v>1701</v>
      </c>
      <c r="AS545" s="50" t="s">
        <v>1702</v>
      </c>
      <c r="AT545" s="50" t="s">
        <v>1703</v>
      </c>
      <c r="AU545" s="50" t="s">
        <v>1704</v>
      </c>
      <c r="AV545" s="50" t="s">
        <v>1702</v>
      </c>
      <c r="AW545" s="50" t="s">
        <v>2193</v>
      </c>
      <c r="AX545" s="50" t="s">
        <v>2291</v>
      </c>
      <c r="AY545" s="50">
        <v>52.2</v>
      </c>
      <c r="AZ545" s="50">
        <v>-122.1</v>
      </c>
      <c r="BA545" s="50">
        <v>940.0</v>
      </c>
    </row>
    <row r="546" ht="14.25" customHeight="1">
      <c r="B546" s="8">
        <v>12.0</v>
      </c>
      <c r="C546" s="5" t="s">
        <v>1711</v>
      </c>
      <c r="D546" s="5">
        <v>206.0</v>
      </c>
      <c r="E546" s="5">
        <v>1764.0</v>
      </c>
      <c r="F546" s="5" t="s">
        <v>2292</v>
      </c>
      <c r="G546" s="5" t="s">
        <v>2293</v>
      </c>
      <c r="H546" s="5" t="s">
        <v>2294</v>
      </c>
      <c r="I546" s="5" t="s">
        <v>641</v>
      </c>
      <c r="J546" s="5" t="s">
        <v>1865</v>
      </c>
      <c r="K546" s="5">
        <v>1.0</v>
      </c>
      <c r="L546" s="5">
        <v>2167.0</v>
      </c>
      <c r="M546" s="11">
        <v>52.535</v>
      </c>
      <c r="N546" s="11">
        <v>-123.25</v>
      </c>
      <c r="O546" s="11" t="s">
        <v>148</v>
      </c>
      <c r="P546" s="11">
        <v>206.0</v>
      </c>
      <c r="Q546" s="22">
        <v>4.0</v>
      </c>
      <c r="R546" s="11" t="s">
        <v>2292</v>
      </c>
      <c r="S546" s="11" t="s">
        <v>1737</v>
      </c>
      <c r="T546" s="5">
        <v>1085.0</v>
      </c>
      <c r="W546" s="5">
        <v>25569.0</v>
      </c>
      <c r="X546" s="5" t="s">
        <v>1738</v>
      </c>
      <c r="Y546" s="9"/>
      <c r="AO546" s="5" t="s">
        <v>2292</v>
      </c>
      <c r="AP546" s="5">
        <v>206.0</v>
      </c>
      <c r="AQ546" s="5" t="s">
        <v>1716</v>
      </c>
      <c r="AR546" s="5" t="s">
        <v>1739</v>
      </c>
      <c r="AS546" s="5" t="s">
        <v>1740</v>
      </c>
      <c r="AT546" s="5" t="s">
        <v>1741</v>
      </c>
      <c r="AU546" s="5" t="s">
        <v>1742</v>
      </c>
      <c r="AV546" s="5" t="s">
        <v>1720</v>
      </c>
      <c r="AW546" s="5" t="s">
        <v>2193</v>
      </c>
      <c r="AX546" s="5" t="s">
        <v>2291</v>
      </c>
      <c r="AY546" s="5">
        <v>52.5422</v>
      </c>
      <c r="AZ546" s="5">
        <v>-123.35</v>
      </c>
      <c r="BA546" s="5">
        <v>1085.0</v>
      </c>
    </row>
    <row r="547" ht="14.25" customHeight="1">
      <c r="B547" s="8">
        <v>12.0</v>
      </c>
      <c r="C547" s="5" t="s">
        <v>1711</v>
      </c>
      <c r="D547" s="5">
        <v>208.0</v>
      </c>
      <c r="E547" s="5">
        <v>1765.0</v>
      </c>
      <c r="F547" s="5" t="s">
        <v>2295</v>
      </c>
      <c r="G547" s="5" t="s">
        <v>2296</v>
      </c>
      <c r="H547" s="5" t="s">
        <v>2297</v>
      </c>
      <c r="I547" s="5" t="s">
        <v>641</v>
      </c>
      <c r="J547" s="5" t="s">
        <v>1736</v>
      </c>
      <c r="K547" s="5">
        <v>1.0</v>
      </c>
      <c r="L547" s="5">
        <v>2168.0</v>
      </c>
      <c r="M547" s="11">
        <v>51.90667</v>
      </c>
      <c r="N547" s="11">
        <v>-124.605</v>
      </c>
      <c r="O547" s="11" t="s">
        <v>148</v>
      </c>
      <c r="P547" s="11">
        <v>208.0</v>
      </c>
      <c r="Q547" s="22">
        <v>2.0</v>
      </c>
      <c r="R547" s="11" t="s">
        <v>2298</v>
      </c>
      <c r="S547" s="11" t="s">
        <v>1737</v>
      </c>
      <c r="T547" s="5">
        <v>945.0</v>
      </c>
      <c r="U547" s="5" t="s">
        <v>645</v>
      </c>
      <c r="W547" s="5">
        <v>29221.0</v>
      </c>
      <c r="X547" s="5" t="s">
        <v>1738</v>
      </c>
      <c r="Y547" s="9"/>
      <c r="AO547" s="5" t="s">
        <v>2295</v>
      </c>
      <c r="AP547" s="5">
        <v>208.0</v>
      </c>
      <c r="AQ547" s="5" t="s">
        <v>1700</v>
      </c>
      <c r="AR547" s="5" t="s">
        <v>1739</v>
      </c>
      <c r="AS547" s="5" t="s">
        <v>1740</v>
      </c>
      <c r="AT547" s="5" t="s">
        <v>1741</v>
      </c>
      <c r="AU547" s="5" t="s">
        <v>1959</v>
      </c>
      <c r="AV547" s="5" t="s">
        <v>1720</v>
      </c>
      <c r="AW547" s="5" t="s">
        <v>2193</v>
      </c>
      <c r="AX547" s="5" t="s">
        <v>2283</v>
      </c>
      <c r="AY547" s="5">
        <v>51.9067</v>
      </c>
      <c r="AZ547" s="5">
        <v>-124.605</v>
      </c>
      <c r="BA547" s="5">
        <v>945.0</v>
      </c>
    </row>
    <row r="548" ht="14.25" customHeight="1">
      <c r="A548" s="5" t="s">
        <v>88</v>
      </c>
      <c r="B548" s="8">
        <v>12.0</v>
      </c>
      <c r="C548" s="5" t="s">
        <v>1711</v>
      </c>
      <c r="D548" s="5">
        <v>209.0</v>
      </c>
      <c r="E548" s="5">
        <v>1766.0</v>
      </c>
      <c r="F548" s="5" t="s">
        <v>2299</v>
      </c>
      <c r="G548" s="10" t="s">
        <v>2300</v>
      </c>
      <c r="H548" s="5" t="s">
        <v>2301</v>
      </c>
      <c r="I548" s="5" t="s">
        <v>641</v>
      </c>
      <c r="J548" s="5" t="s">
        <v>1736</v>
      </c>
      <c r="K548" s="5">
        <v>1.0</v>
      </c>
      <c r="L548" s="5">
        <v>2169.0</v>
      </c>
      <c r="M548" s="11">
        <v>52.08377</v>
      </c>
      <c r="N548" s="11">
        <v>-123.27327</v>
      </c>
      <c r="O548" s="11" t="s">
        <v>148</v>
      </c>
      <c r="P548" s="11">
        <v>209.0</v>
      </c>
      <c r="Q548" s="22">
        <v>1.0</v>
      </c>
      <c r="R548" s="11" t="s">
        <v>2299</v>
      </c>
      <c r="S548" s="11" t="s">
        <v>1737</v>
      </c>
      <c r="T548" s="5">
        <v>791.0</v>
      </c>
      <c r="U548" s="5" t="s">
        <v>645</v>
      </c>
      <c r="V548" s="5" t="s">
        <v>1830</v>
      </c>
      <c r="W548" s="5">
        <v>29221.0</v>
      </c>
      <c r="X548" s="5" t="s">
        <v>1738</v>
      </c>
      <c r="Y548" s="9"/>
      <c r="AO548" s="5" t="s">
        <v>2299</v>
      </c>
      <c r="AP548" s="5">
        <v>209.0</v>
      </c>
      <c r="AQ548" s="5" t="s">
        <v>1716</v>
      </c>
      <c r="AR548" s="5" t="s">
        <v>1739</v>
      </c>
      <c r="AS548" s="5" t="s">
        <v>1740</v>
      </c>
      <c r="AT548" s="5" t="s">
        <v>1741</v>
      </c>
      <c r="AU548" s="5" t="s">
        <v>1742</v>
      </c>
      <c r="AV548" s="5" t="s">
        <v>1720</v>
      </c>
      <c r="AW548" s="5" t="s">
        <v>2193</v>
      </c>
      <c r="AX548" s="5" t="s">
        <v>2283</v>
      </c>
      <c r="AY548" s="5">
        <v>52.0838</v>
      </c>
      <c r="AZ548" s="5">
        <v>-123.2733</v>
      </c>
      <c r="BA548" s="5">
        <v>791.0</v>
      </c>
    </row>
    <row r="549" ht="14.25" customHeight="1">
      <c r="A549" s="5" t="s">
        <v>88</v>
      </c>
      <c r="B549" s="8">
        <v>12.0</v>
      </c>
      <c r="C549" s="5" t="s">
        <v>1711</v>
      </c>
      <c r="D549" s="5">
        <v>210.0</v>
      </c>
      <c r="E549" s="5">
        <v>1767.0</v>
      </c>
      <c r="F549" s="5" t="s">
        <v>2302</v>
      </c>
      <c r="G549" s="10" t="s">
        <v>2303</v>
      </c>
      <c r="H549" s="5" t="s">
        <v>2304</v>
      </c>
      <c r="I549" s="5" t="s">
        <v>641</v>
      </c>
      <c r="J549" s="5" t="s">
        <v>1865</v>
      </c>
      <c r="K549" s="5">
        <v>1.0</v>
      </c>
      <c r="L549" s="5">
        <v>2170.0</v>
      </c>
      <c r="M549" s="11">
        <v>51.96</v>
      </c>
      <c r="N549" s="11">
        <v>-122.51</v>
      </c>
      <c r="O549" s="11" t="s">
        <v>148</v>
      </c>
      <c r="P549" s="11">
        <v>210.0</v>
      </c>
      <c r="Q549" s="22">
        <v>2.0</v>
      </c>
      <c r="R549" s="11" t="s">
        <v>2302</v>
      </c>
      <c r="S549" s="11" t="s">
        <v>1737</v>
      </c>
      <c r="T549" s="5">
        <v>884.0</v>
      </c>
      <c r="W549" s="5">
        <v>29221.0</v>
      </c>
      <c r="X549" s="5" t="s">
        <v>1738</v>
      </c>
      <c r="Y549" s="9"/>
      <c r="AO549" s="5" t="s">
        <v>2302</v>
      </c>
      <c r="AP549" s="5">
        <v>210.0</v>
      </c>
      <c r="AQ549" s="5" t="s">
        <v>1700</v>
      </c>
      <c r="AR549" s="5" t="s">
        <v>1739</v>
      </c>
      <c r="AS549" s="5" t="s">
        <v>1740</v>
      </c>
      <c r="AT549" s="5" t="s">
        <v>1741</v>
      </c>
      <c r="AU549" s="5" t="s">
        <v>1959</v>
      </c>
      <c r="AV549" s="5" t="s">
        <v>1720</v>
      </c>
      <c r="AW549" s="5" t="s">
        <v>2193</v>
      </c>
      <c r="AX549" s="5" t="s">
        <v>2291</v>
      </c>
      <c r="AY549" s="5">
        <v>51.9594</v>
      </c>
      <c r="AZ549" s="5">
        <v>-122.5042</v>
      </c>
      <c r="BA549" s="5">
        <v>929.0</v>
      </c>
    </row>
    <row r="550" ht="14.25" customHeight="1">
      <c r="B550" s="8">
        <v>12.0</v>
      </c>
      <c r="C550" s="5" t="s">
        <v>1711</v>
      </c>
      <c r="D550" s="5">
        <v>211.0</v>
      </c>
      <c r="E550" s="5">
        <v>1768.0</v>
      </c>
      <c r="F550" s="5" t="s">
        <v>2305</v>
      </c>
      <c r="G550" s="5" t="s">
        <v>2306</v>
      </c>
      <c r="H550" s="5" t="s">
        <v>2307</v>
      </c>
      <c r="I550" s="5" t="s">
        <v>641</v>
      </c>
      <c r="J550" s="5" t="s">
        <v>1736</v>
      </c>
      <c r="K550" s="5">
        <v>1.0</v>
      </c>
      <c r="L550" s="5">
        <v>2171.0</v>
      </c>
      <c r="M550" s="11">
        <v>52.9575</v>
      </c>
      <c r="N550" s="11">
        <v>-123.5958</v>
      </c>
      <c r="O550" s="11" t="s">
        <v>148</v>
      </c>
      <c r="P550" s="11">
        <v>211.0</v>
      </c>
      <c r="Q550" s="22">
        <v>2.0</v>
      </c>
      <c r="R550" s="11" t="s">
        <v>2305</v>
      </c>
      <c r="S550" s="11" t="s">
        <v>1737</v>
      </c>
      <c r="T550" s="5">
        <v>910.0</v>
      </c>
      <c r="U550" s="5" t="s">
        <v>645</v>
      </c>
      <c r="V550" s="5" t="s">
        <v>1830</v>
      </c>
      <c r="W550" s="5">
        <v>29587.0</v>
      </c>
      <c r="X550" s="5" t="s">
        <v>1738</v>
      </c>
      <c r="Y550" s="9"/>
      <c r="AO550" s="5" t="s">
        <v>2305</v>
      </c>
      <c r="AP550" s="5">
        <v>211.0</v>
      </c>
      <c r="AQ550" s="5" t="s">
        <v>1716</v>
      </c>
      <c r="AR550" s="5" t="s">
        <v>1739</v>
      </c>
      <c r="AS550" s="5" t="s">
        <v>1740</v>
      </c>
      <c r="AT550" s="5" t="s">
        <v>1741</v>
      </c>
      <c r="AU550" s="5" t="s">
        <v>1742</v>
      </c>
      <c r="AV550" s="5" t="s">
        <v>1720</v>
      </c>
      <c r="AW550" s="5" t="s">
        <v>2193</v>
      </c>
      <c r="AX550" s="5" t="s">
        <v>2194</v>
      </c>
      <c r="AY550" s="5">
        <v>52.9575</v>
      </c>
      <c r="AZ550" s="5">
        <v>-123.5958</v>
      </c>
      <c r="BA550" s="5">
        <v>910.0</v>
      </c>
    </row>
    <row r="551" ht="14.25" customHeight="1">
      <c r="A551" s="5" t="s">
        <v>2037</v>
      </c>
      <c r="B551" s="8">
        <v>12.0</v>
      </c>
      <c r="C551" s="5" t="s">
        <v>1711</v>
      </c>
      <c r="D551" s="5">
        <v>212.0</v>
      </c>
      <c r="E551" s="5">
        <v>1769.0</v>
      </c>
      <c r="F551" s="10" t="s">
        <v>2308</v>
      </c>
      <c r="G551" s="5" t="s">
        <v>2309</v>
      </c>
      <c r="H551" s="5" t="s">
        <v>2310</v>
      </c>
      <c r="I551" s="5" t="s">
        <v>641</v>
      </c>
      <c r="J551" s="5" t="s">
        <v>1736</v>
      </c>
      <c r="K551" s="5">
        <v>1.0</v>
      </c>
      <c r="L551" s="5">
        <v>2172.0</v>
      </c>
      <c r="M551" s="11">
        <v>51.81667</v>
      </c>
      <c r="N551" s="11">
        <v>-122.0</v>
      </c>
      <c r="O551" s="11" t="s">
        <v>148</v>
      </c>
      <c r="P551" s="11">
        <v>212.0</v>
      </c>
      <c r="Q551" s="22">
        <v>4.0</v>
      </c>
      <c r="R551" s="11" t="s">
        <v>2311</v>
      </c>
      <c r="S551" s="11" t="s">
        <v>1737</v>
      </c>
      <c r="T551" s="5">
        <v>1065.0</v>
      </c>
      <c r="W551" s="5">
        <v>29587.0</v>
      </c>
      <c r="X551" s="5" t="s">
        <v>1738</v>
      </c>
      <c r="Y551" s="9"/>
      <c r="AO551" s="5" t="s">
        <v>2311</v>
      </c>
      <c r="AP551" s="5">
        <v>212.0</v>
      </c>
      <c r="AQ551" s="5" t="s">
        <v>1700</v>
      </c>
      <c r="AR551" s="5" t="s">
        <v>1739</v>
      </c>
      <c r="AS551" s="5" t="s">
        <v>1740</v>
      </c>
      <c r="AT551" s="5" t="s">
        <v>1741</v>
      </c>
      <c r="AU551" s="5" t="s">
        <v>1959</v>
      </c>
      <c r="AV551" s="5" t="s">
        <v>1720</v>
      </c>
      <c r="AW551" s="5" t="s">
        <v>2193</v>
      </c>
      <c r="AX551" s="5" t="s">
        <v>2291</v>
      </c>
      <c r="AY551" s="5">
        <v>51.8167</v>
      </c>
      <c r="AZ551" s="5">
        <v>-122.0</v>
      </c>
      <c r="BA551" s="5">
        <v>1065.0</v>
      </c>
    </row>
    <row r="552" ht="14.25" customHeight="1">
      <c r="B552" s="8">
        <v>12.0</v>
      </c>
      <c r="C552" s="5" t="s">
        <v>1711</v>
      </c>
      <c r="D552" s="5">
        <v>213.0</v>
      </c>
      <c r="E552" s="5">
        <v>1770.0</v>
      </c>
      <c r="F552" s="5" t="s">
        <v>2312</v>
      </c>
      <c r="G552" s="5" t="s">
        <v>2313</v>
      </c>
      <c r="H552" s="5" t="s">
        <v>2314</v>
      </c>
      <c r="I552" s="5" t="s">
        <v>641</v>
      </c>
      <c r="J552" s="5" t="s">
        <v>1736</v>
      </c>
      <c r="K552" s="5">
        <v>1.0</v>
      </c>
      <c r="L552" s="5">
        <v>2173.0</v>
      </c>
      <c r="M552" s="11">
        <v>52.45667</v>
      </c>
      <c r="N552" s="11">
        <v>-125.30333</v>
      </c>
      <c r="O552" s="11" t="s">
        <v>148</v>
      </c>
      <c r="P552" s="16">
        <v>213.0</v>
      </c>
      <c r="Q552" s="22">
        <v>4.0</v>
      </c>
      <c r="R552" s="11" t="s">
        <v>2315</v>
      </c>
      <c r="S552" s="11" t="s">
        <v>1737</v>
      </c>
      <c r="T552" s="5">
        <v>1096.0</v>
      </c>
      <c r="U552" s="5" t="s">
        <v>645</v>
      </c>
      <c r="V552" s="5" t="s">
        <v>1830</v>
      </c>
      <c r="W552" s="5">
        <v>29587.0</v>
      </c>
      <c r="X552" s="5" t="s">
        <v>1738</v>
      </c>
      <c r="Y552" s="9"/>
      <c r="AO552" s="5" t="s">
        <v>2312</v>
      </c>
      <c r="AP552" s="5">
        <v>213.0</v>
      </c>
      <c r="AQ552" s="5" t="s">
        <v>1700</v>
      </c>
      <c r="AR552" s="5" t="s">
        <v>1739</v>
      </c>
      <c r="AS552" s="5" t="s">
        <v>1740</v>
      </c>
      <c r="AT552" s="5" t="s">
        <v>1741</v>
      </c>
      <c r="AU552" s="5" t="s">
        <v>1959</v>
      </c>
      <c r="AV552" s="5" t="s">
        <v>1720</v>
      </c>
      <c r="AW552" s="5" t="s">
        <v>2193</v>
      </c>
      <c r="AX552" s="5" t="s">
        <v>2283</v>
      </c>
      <c r="AY552" s="5">
        <v>52.4606</v>
      </c>
      <c r="AZ552" s="5">
        <v>-125.307</v>
      </c>
      <c r="BA552" s="5">
        <v>1097.0</v>
      </c>
    </row>
    <row r="553" ht="14.25" customHeight="1">
      <c r="B553" s="8">
        <v>12.0</v>
      </c>
      <c r="C553" s="5" t="s">
        <v>1711</v>
      </c>
      <c r="D553" s="5">
        <v>214.0</v>
      </c>
      <c r="E553" s="5">
        <v>1771.0</v>
      </c>
      <c r="F553" s="18" t="s">
        <v>2316</v>
      </c>
      <c r="G553" s="5" t="s">
        <v>2317</v>
      </c>
      <c r="H553" s="5" t="s">
        <v>1900</v>
      </c>
      <c r="I553" s="5" t="s">
        <v>1664</v>
      </c>
      <c r="J553" s="5" t="s">
        <v>1715</v>
      </c>
      <c r="K553" s="5">
        <v>1.0</v>
      </c>
      <c r="L553" s="5">
        <v>2174.0</v>
      </c>
      <c r="Y553" s="9"/>
      <c r="AO553" s="5" t="s">
        <v>2316</v>
      </c>
      <c r="AP553" s="5">
        <v>214.0</v>
      </c>
      <c r="AQ553" s="5" t="s">
        <v>1716</v>
      </c>
      <c r="AR553" s="5" t="s">
        <v>1717</v>
      </c>
      <c r="AS553" s="5" t="s">
        <v>1718</v>
      </c>
      <c r="AT553" s="5" t="s">
        <v>1719</v>
      </c>
      <c r="AU553" s="5" t="s">
        <v>1703</v>
      </c>
      <c r="AV553" s="5" t="s">
        <v>1720</v>
      </c>
      <c r="AW553" s="5" t="s">
        <v>2193</v>
      </c>
      <c r="AX553" s="5" t="s">
        <v>2283</v>
      </c>
      <c r="AY553" s="5">
        <v>52.0</v>
      </c>
      <c r="AZ553" s="5">
        <v>-125.0</v>
      </c>
      <c r="BA553" s="5">
        <v>9.0</v>
      </c>
    </row>
    <row r="554" ht="14.25" customHeight="1">
      <c r="B554" s="8">
        <v>12.0</v>
      </c>
      <c r="C554" s="5" t="s">
        <v>1711</v>
      </c>
      <c r="D554" s="5">
        <v>215.0</v>
      </c>
      <c r="E554" s="5">
        <v>1772.0</v>
      </c>
      <c r="F554" s="18" t="s">
        <v>2318</v>
      </c>
      <c r="G554" s="5" t="s">
        <v>2319</v>
      </c>
      <c r="H554" s="5" t="s">
        <v>2320</v>
      </c>
      <c r="I554" s="5" t="s">
        <v>1664</v>
      </c>
      <c r="J554" s="5" t="s">
        <v>1746</v>
      </c>
      <c r="K554" s="5">
        <v>1.0</v>
      </c>
      <c r="L554" s="5">
        <v>2175.0</v>
      </c>
      <c r="Y554" s="9"/>
      <c r="AO554" s="5" t="s">
        <v>2318</v>
      </c>
      <c r="AP554" s="5">
        <v>215.0</v>
      </c>
      <c r="AQ554" s="5" t="s">
        <v>1716</v>
      </c>
      <c r="AR554" s="5" t="s">
        <v>1717</v>
      </c>
      <c r="AS554" s="5" t="s">
        <v>1718</v>
      </c>
      <c r="AT554" s="5" t="s">
        <v>1719</v>
      </c>
      <c r="AU554" s="5" t="s">
        <v>1703</v>
      </c>
      <c r="AV554" s="5" t="s">
        <v>1720</v>
      </c>
      <c r="AW554" s="5" t="s">
        <v>2193</v>
      </c>
      <c r="AX554" s="5" t="s">
        <v>2283</v>
      </c>
      <c r="AY554" s="5">
        <v>51.6</v>
      </c>
      <c r="AZ554" s="5">
        <v>-124.4</v>
      </c>
      <c r="BA554" s="5">
        <v>12.0</v>
      </c>
    </row>
    <row r="555" ht="14.25" customHeight="1">
      <c r="B555" s="8">
        <v>12.0</v>
      </c>
      <c r="C555" s="5" t="s">
        <v>1711</v>
      </c>
      <c r="D555" s="5">
        <v>216.0</v>
      </c>
      <c r="E555" s="5">
        <v>1773.0</v>
      </c>
      <c r="F555" s="5" t="s">
        <v>2321</v>
      </c>
      <c r="G555" s="5" t="s">
        <v>2322</v>
      </c>
      <c r="H555" s="5" t="s">
        <v>2323</v>
      </c>
      <c r="I555" s="5" t="s">
        <v>641</v>
      </c>
      <c r="J555" s="5" t="s">
        <v>1865</v>
      </c>
      <c r="K555" s="5">
        <v>1.0</v>
      </c>
      <c r="L555" s="5">
        <v>2176.0</v>
      </c>
      <c r="M555" s="11">
        <v>51.48</v>
      </c>
      <c r="N555" s="11">
        <v>-123.81833</v>
      </c>
      <c r="O555" s="11" t="s">
        <v>148</v>
      </c>
      <c r="P555" s="11">
        <v>216.0</v>
      </c>
      <c r="Q555" s="22">
        <v>6.0</v>
      </c>
      <c r="R555" s="11" t="s">
        <v>2321</v>
      </c>
      <c r="S555" s="11" t="s">
        <v>1737</v>
      </c>
      <c r="T555" s="11">
        <v>1220.0</v>
      </c>
      <c r="U555" s="11"/>
      <c r="V555" s="11"/>
      <c r="W555" s="23">
        <v>29952.0</v>
      </c>
      <c r="X555" s="11" t="s">
        <v>1738</v>
      </c>
      <c r="Y555" s="9"/>
      <c r="AO555" s="5" t="s">
        <v>2321</v>
      </c>
      <c r="AP555" s="5">
        <v>216.0</v>
      </c>
      <c r="AQ555" s="5" t="s">
        <v>1716</v>
      </c>
      <c r="AR555" s="5" t="s">
        <v>1739</v>
      </c>
      <c r="AS555" s="5" t="s">
        <v>1740</v>
      </c>
      <c r="AT555" s="5" t="s">
        <v>1741</v>
      </c>
      <c r="AU555" s="5" t="s">
        <v>1742</v>
      </c>
      <c r="AV555" s="5" t="s">
        <v>1720</v>
      </c>
      <c r="AW555" s="5" t="s">
        <v>2193</v>
      </c>
      <c r="AX555" s="5" t="s">
        <v>2283</v>
      </c>
      <c r="AY555" s="5">
        <v>51.48</v>
      </c>
      <c r="AZ555" s="5">
        <v>-123.8183</v>
      </c>
      <c r="BA555" s="5">
        <v>1220.0</v>
      </c>
    </row>
    <row r="556" ht="14.25" customHeight="1">
      <c r="A556" s="5" t="s">
        <v>422</v>
      </c>
      <c r="B556" s="8">
        <v>12.0</v>
      </c>
      <c r="C556" s="5" t="s">
        <v>1711</v>
      </c>
      <c r="D556" s="5">
        <v>217.0</v>
      </c>
      <c r="E556" s="5">
        <v>1774.0</v>
      </c>
      <c r="F556" s="18" t="s">
        <v>2324</v>
      </c>
      <c r="G556" s="5" t="s">
        <v>2325</v>
      </c>
      <c r="H556" s="5" t="s">
        <v>2326</v>
      </c>
      <c r="I556" s="5" t="s">
        <v>1664</v>
      </c>
      <c r="J556" s="5" t="s">
        <v>1746</v>
      </c>
      <c r="K556" s="5">
        <v>1.0</v>
      </c>
      <c r="L556" s="5">
        <v>2177.0</v>
      </c>
      <c r="Y556" s="9"/>
      <c r="AO556" s="5" t="s">
        <v>2324</v>
      </c>
      <c r="AP556" s="5">
        <v>217.0</v>
      </c>
      <c r="AQ556" s="5" t="s">
        <v>1716</v>
      </c>
      <c r="AR556" s="5" t="s">
        <v>1717</v>
      </c>
      <c r="AS556" s="5" t="s">
        <v>1718</v>
      </c>
      <c r="AT556" s="5" t="s">
        <v>1719</v>
      </c>
      <c r="AU556" s="5" t="s">
        <v>1703</v>
      </c>
      <c r="AV556" s="5" t="s">
        <v>1720</v>
      </c>
      <c r="AW556" s="5" t="s">
        <v>2193</v>
      </c>
      <c r="AX556" s="5" t="s">
        <v>2194</v>
      </c>
      <c r="AY556" s="5">
        <v>53.0</v>
      </c>
      <c r="AZ556" s="5">
        <v>-125.0</v>
      </c>
      <c r="BA556" s="5">
        <v>0.0</v>
      </c>
    </row>
    <row r="557" ht="14.25" customHeight="1">
      <c r="B557" s="8">
        <v>12.0</v>
      </c>
      <c r="C557" s="5" t="s">
        <v>1711</v>
      </c>
      <c r="D557" s="5">
        <v>218.0</v>
      </c>
      <c r="E557" s="5">
        <v>1775.0</v>
      </c>
      <c r="F557" s="5" t="s">
        <v>2327</v>
      </c>
      <c r="G557" s="5" t="s">
        <v>2328</v>
      </c>
      <c r="H557" s="5" t="s">
        <v>2329</v>
      </c>
      <c r="I557" s="5" t="s">
        <v>641</v>
      </c>
      <c r="J557" s="5" t="s">
        <v>1865</v>
      </c>
      <c r="K557" s="5">
        <v>1.0</v>
      </c>
      <c r="L557" s="5">
        <v>2178.0</v>
      </c>
      <c r="M557" s="11">
        <v>51.507</v>
      </c>
      <c r="N557" s="11">
        <v>-121.162</v>
      </c>
      <c r="O557" s="11" t="s">
        <v>148</v>
      </c>
      <c r="P557" s="11">
        <v>218.0</v>
      </c>
      <c r="Q557" s="22">
        <v>5.0</v>
      </c>
      <c r="R557" s="11" t="s">
        <v>2327</v>
      </c>
      <c r="S557" s="11" t="s">
        <v>1737</v>
      </c>
      <c r="T557" s="11">
        <v>1158.0</v>
      </c>
      <c r="U557" s="11"/>
      <c r="V557" s="11"/>
      <c r="W557" s="23">
        <v>31778.0</v>
      </c>
      <c r="X557" s="11" t="s">
        <v>1738</v>
      </c>
      <c r="Y557" s="9"/>
      <c r="AO557" s="5" t="s">
        <v>2327</v>
      </c>
      <c r="AP557" s="5">
        <v>218.0</v>
      </c>
      <c r="AQ557" s="5" t="s">
        <v>1700</v>
      </c>
      <c r="AR557" s="5" t="s">
        <v>1739</v>
      </c>
      <c r="AS557" s="5" t="s">
        <v>1740</v>
      </c>
      <c r="AT557" s="5" t="s">
        <v>1741</v>
      </c>
      <c r="AU557" s="5" t="s">
        <v>1959</v>
      </c>
      <c r="AV557" s="5" t="s">
        <v>1720</v>
      </c>
      <c r="AW557" s="5" t="s">
        <v>2193</v>
      </c>
      <c r="AX557" s="5" t="s">
        <v>2287</v>
      </c>
      <c r="AY557" s="5">
        <v>51.507</v>
      </c>
      <c r="AZ557" s="5">
        <v>-121.162</v>
      </c>
      <c r="BA557" s="5">
        <v>1158.0</v>
      </c>
    </row>
    <row r="558" ht="14.25" customHeight="1">
      <c r="B558" s="8">
        <v>12.0</v>
      </c>
      <c r="C558" s="5" t="s">
        <v>1711</v>
      </c>
      <c r="D558" s="5">
        <v>219.0</v>
      </c>
      <c r="E558" s="5">
        <v>1776.0</v>
      </c>
      <c r="F558" s="18" t="s">
        <v>2330</v>
      </c>
      <c r="G558" s="5" t="s">
        <v>2331</v>
      </c>
      <c r="H558" s="5" t="s">
        <v>2332</v>
      </c>
      <c r="I558" s="5" t="s">
        <v>641</v>
      </c>
      <c r="J558" s="5" t="s">
        <v>1715</v>
      </c>
      <c r="K558" s="5">
        <v>1.0</v>
      </c>
      <c r="L558" s="5">
        <v>2179.0</v>
      </c>
      <c r="Y558" s="9"/>
      <c r="AO558" s="5" t="s">
        <v>2330</v>
      </c>
      <c r="AP558" s="5">
        <v>219.0</v>
      </c>
      <c r="AQ558" s="5" t="s">
        <v>1716</v>
      </c>
      <c r="AR558" s="5" t="s">
        <v>1717</v>
      </c>
      <c r="AS558" s="5" t="s">
        <v>1718</v>
      </c>
      <c r="AT558" s="5" t="s">
        <v>1703</v>
      </c>
      <c r="AU558" s="5" t="s">
        <v>1703</v>
      </c>
      <c r="AV558" s="5" t="s">
        <v>1720</v>
      </c>
      <c r="AW558" s="5" t="s">
        <v>2193</v>
      </c>
      <c r="AX558" s="5" t="s">
        <v>2194</v>
      </c>
      <c r="AY558" s="5">
        <v>52.9533</v>
      </c>
      <c r="AZ558" s="5">
        <v>-124.0083</v>
      </c>
      <c r="BA558" s="5">
        <v>862.0</v>
      </c>
    </row>
    <row r="559" ht="14.25" customHeight="1">
      <c r="B559" s="8">
        <v>12.0</v>
      </c>
      <c r="C559" s="5" t="s">
        <v>1711</v>
      </c>
      <c r="D559" s="5">
        <v>220.0</v>
      </c>
      <c r="E559" s="5">
        <v>1777.0</v>
      </c>
      <c r="F559" s="18" t="s">
        <v>2333</v>
      </c>
      <c r="G559" s="5" t="s">
        <v>2334</v>
      </c>
      <c r="H559" s="5" t="s">
        <v>2335</v>
      </c>
      <c r="I559" s="5" t="s">
        <v>641</v>
      </c>
      <c r="J559" s="5" t="s">
        <v>1746</v>
      </c>
      <c r="K559" s="5">
        <v>1.0</v>
      </c>
      <c r="L559" s="5">
        <v>2180.0</v>
      </c>
      <c r="Y559" s="9"/>
      <c r="AO559" s="5" t="s">
        <v>2333</v>
      </c>
      <c r="AP559" s="5">
        <v>220.0</v>
      </c>
      <c r="AQ559" s="5" t="s">
        <v>1716</v>
      </c>
      <c r="AR559" s="5" t="s">
        <v>1717</v>
      </c>
      <c r="AS559" s="5" t="s">
        <v>1718</v>
      </c>
      <c r="AT559" s="5" t="s">
        <v>1703</v>
      </c>
      <c r="AU559" s="5" t="s">
        <v>1703</v>
      </c>
      <c r="AV559" s="5" t="s">
        <v>1720</v>
      </c>
      <c r="AW559" s="5" t="s">
        <v>2193</v>
      </c>
      <c r="AX559" s="5" t="s">
        <v>2291</v>
      </c>
      <c r="AY559" s="5">
        <v>51.7</v>
      </c>
      <c r="AZ559" s="5">
        <v>-123.2</v>
      </c>
      <c r="BA559" s="5">
        <v>11.0</v>
      </c>
    </row>
    <row r="560" ht="14.25" customHeight="1">
      <c r="B560" s="8">
        <v>12.0</v>
      </c>
      <c r="C560" s="5" t="s">
        <v>1711</v>
      </c>
      <c r="D560" s="5">
        <v>221.0</v>
      </c>
      <c r="E560" s="5">
        <v>1778.0</v>
      </c>
      <c r="F560" s="5" t="s">
        <v>2336</v>
      </c>
      <c r="G560" s="5" t="s">
        <v>2337</v>
      </c>
      <c r="H560" s="5" t="s">
        <v>2338</v>
      </c>
      <c r="I560" s="5" t="s">
        <v>641</v>
      </c>
      <c r="J560" s="5" t="s">
        <v>1736</v>
      </c>
      <c r="K560" s="5">
        <v>1.0</v>
      </c>
      <c r="L560" s="5">
        <v>2181.0</v>
      </c>
      <c r="M560" s="11">
        <v>52.7101</v>
      </c>
      <c r="N560" s="11">
        <v>-124.48225</v>
      </c>
      <c r="O560" s="11" t="s">
        <v>148</v>
      </c>
      <c r="P560" s="16">
        <v>221.0</v>
      </c>
      <c r="Q560" s="22">
        <v>8.0</v>
      </c>
      <c r="R560" s="11" t="s">
        <v>2336</v>
      </c>
      <c r="S560" s="11" t="s">
        <v>1737</v>
      </c>
      <c r="T560" s="11">
        <v>1666.0</v>
      </c>
      <c r="U560" s="11"/>
      <c r="V560" s="11"/>
      <c r="W560" s="23">
        <v>33604.0</v>
      </c>
      <c r="X560" s="11" t="s">
        <v>1738</v>
      </c>
      <c r="Y560" s="9"/>
      <c r="AO560" s="5" t="s">
        <v>2336</v>
      </c>
      <c r="AP560" s="5">
        <v>221.0</v>
      </c>
      <c r="AQ560" s="5" t="s">
        <v>1700</v>
      </c>
      <c r="AR560" s="5" t="s">
        <v>1739</v>
      </c>
      <c r="AS560" s="5" t="s">
        <v>1740</v>
      </c>
      <c r="AT560" s="5" t="s">
        <v>1741</v>
      </c>
      <c r="AU560" s="5" t="s">
        <v>1959</v>
      </c>
      <c r="AV560" s="5" t="s">
        <v>1720</v>
      </c>
      <c r="AW560" s="5" t="s">
        <v>2193</v>
      </c>
      <c r="AX560" s="5" t="s">
        <v>2283</v>
      </c>
      <c r="AY560" s="5">
        <v>52.7101</v>
      </c>
      <c r="AZ560" s="5">
        <v>-124.4822</v>
      </c>
      <c r="BA560" s="5">
        <v>1666.0</v>
      </c>
    </row>
    <row r="561" ht="14.25" customHeight="1">
      <c r="B561" s="8">
        <v>12.0</v>
      </c>
      <c r="C561" s="5" t="s">
        <v>1711</v>
      </c>
      <c r="D561" s="5">
        <v>222.0</v>
      </c>
      <c r="E561" s="5">
        <v>1779.0</v>
      </c>
      <c r="F561" s="5" t="s">
        <v>2339</v>
      </c>
      <c r="G561" s="5" t="s">
        <v>2340</v>
      </c>
      <c r="H561" s="5" t="s">
        <v>2341</v>
      </c>
      <c r="I561" s="5" t="s">
        <v>641</v>
      </c>
      <c r="J561" s="5" t="s">
        <v>1865</v>
      </c>
      <c r="K561" s="5">
        <v>1.0</v>
      </c>
      <c r="L561" s="5">
        <v>2182.0</v>
      </c>
      <c r="M561" s="11">
        <v>51.45167</v>
      </c>
      <c r="N561" s="11">
        <v>-122.66167</v>
      </c>
      <c r="O561" s="11" t="s">
        <v>148</v>
      </c>
      <c r="P561" s="11">
        <v>222.0</v>
      </c>
      <c r="Q561" s="22">
        <v>8.0</v>
      </c>
      <c r="R561" s="11" t="s">
        <v>2339</v>
      </c>
      <c r="S561" s="11" t="s">
        <v>1737</v>
      </c>
      <c r="T561" s="11">
        <v>1675.0</v>
      </c>
      <c r="U561" s="11"/>
      <c r="V561" s="11"/>
      <c r="W561" s="23">
        <v>33604.0</v>
      </c>
      <c r="X561" s="11" t="s">
        <v>1738</v>
      </c>
      <c r="Y561" s="9"/>
      <c r="AO561" s="5" t="s">
        <v>2339</v>
      </c>
      <c r="AP561" s="5">
        <v>222.0</v>
      </c>
      <c r="AQ561" s="5" t="s">
        <v>1700</v>
      </c>
      <c r="AR561" s="5" t="s">
        <v>1739</v>
      </c>
      <c r="AS561" s="5" t="s">
        <v>1740</v>
      </c>
      <c r="AT561" s="5" t="s">
        <v>1741</v>
      </c>
      <c r="AU561" s="5" t="s">
        <v>1959</v>
      </c>
      <c r="AV561" s="5" t="s">
        <v>1720</v>
      </c>
      <c r="AW561" s="5" t="s">
        <v>2193</v>
      </c>
      <c r="AX561" s="5" t="s">
        <v>2291</v>
      </c>
      <c r="AY561" s="5">
        <v>51.4517</v>
      </c>
      <c r="AZ561" s="5">
        <v>-122.6617</v>
      </c>
      <c r="BA561" s="5">
        <v>1675.0</v>
      </c>
    </row>
    <row r="562" ht="14.25" customHeight="1">
      <c r="B562" s="8">
        <v>12.0</v>
      </c>
      <c r="C562" s="5" t="s">
        <v>1711</v>
      </c>
      <c r="D562" s="5">
        <v>223.0</v>
      </c>
      <c r="E562" s="5">
        <v>1780.0</v>
      </c>
      <c r="F562" s="18" t="s">
        <v>2342</v>
      </c>
      <c r="G562" s="5" t="s">
        <v>2343</v>
      </c>
      <c r="H562" s="5" t="s">
        <v>2344</v>
      </c>
      <c r="I562" s="5" t="s">
        <v>641</v>
      </c>
      <c r="J562" s="5" t="s">
        <v>1746</v>
      </c>
      <c r="K562" s="5">
        <v>1.0</v>
      </c>
      <c r="L562" s="5">
        <v>2183.0</v>
      </c>
      <c r="Y562" s="9"/>
      <c r="AO562" s="5" t="s">
        <v>2342</v>
      </c>
      <c r="AP562" s="5">
        <v>223.0</v>
      </c>
      <c r="AQ562" s="5" t="s">
        <v>1716</v>
      </c>
      <c r="AR562" s="5" t="s">
        <v>1717</v>
      </c>
      <c r="AS562" s="5" t="s">
        <v>1718</v>
      </c>
      <c r="AT562" s="5" t="s">
        <v>1703</v>
      </c>
      <c r="AU562" s="5" t="s">
        <v>1703</v>
      </c>
      <c r="AV562" s="5" t="s">
        <v>1720</v>
      </c>
      <c r="AW562" s="5" t="s">
        <v>2193</v>
      </c>
      <c r="AX562" s="5" t="s">
        <v>2291</v>
      </c>
      <c r="AY562" s="5">
        <v>52.3</v>
      </c>
      <c r="AZ562" s="5">
        <v>-122.4</v>
      </c>
      <c r="BA562" s="5">
        <v>0.0</v>
      </c>
    </row>
    <row r="563" ht="14.25" customHeight="1">
      <c r="B563" s="8">
        <v>12.0</v>
      </c>
      <c r="C563" s="5" t="s">
        <v>1711</v>
      </c>
      <c r="D563" s="5">
        <v>224.0</v>
      </c>
      <c r="E563" s="5">
        <v>1781.0</v>
      </c>
      <c r="F563" s="18" t="s">
        <v>2345</v>
      </c>
      <c r="G563" s="5" t="s">
        <v>2346</v>
      </c>
      <c r="H563" s="5" t="s">
        <v>2347</v>
      </c>
      <c r="I563" s="5" t="s">
        <v>641</v>
      </c>
      <c r="J563" s="5" t="s">
        <v>1715</v>
      </c>
      <c r="K563" s="5">
        <v>1.0</v>
      </c>
      <c r="L563" s="5">
        <v>2184.0</v>
      </c>
      <c r="Y563" s="9"/>
      <c r="AO563" s="5" t="s">
        <v>2345</v>
      </c>
      <c r="AP563" s="5">
        <v>224.0</v>
      </c>
      <c r="AQ563" s="5" t="s">
        <v>1716</v>
      </c>
      <c r="AR563" s="5" t="s">
        <v>1717</v>
      </c>
      <c r="AS563" s="5" t="s">
        <v>1718</v>
      </c>
      <c r="AT563" s="5" t="s">
        <v>1703</v>
      </c>
      <c r="AU563" s="5" t="s">
        <v>1703</v>
      </c>
      <c r="AV563" s="5" t="s">
        <v>1720</v>
      </c>
      <c r="AW563" s="5" t="s">
        <v>2193</v>
      </c>
      <c r="AX563" s="5" t="s">
        <v>2291</v>
      </c>
      <c r="AY563" s="5">
        <v>52.6083</v>
      </c>
      <c r="AZ563" s="5">
        <v>-122.1217</v>
      </c>
      <c r="BA563" s="5">
        <v>853.0</v>
      </c>
    </row>
    <row r="564" ht="14.25" customHeight="1">
      <c r="A564" s="5" t="s">
        <v>88</v>
      </c>
      <c r="B564" s="8">
        <v>12.0</v>
      </c>
      <c r="C564" s="5" t="s">
        <v>1711</v>
      </c>
      <c r="D564" s="5">
        <v>225.0</v>
      </c>
      <c r="E564" s="5">
        <v>1782.0</v>
      </c>
      <c r="F564" s="5" t="s">
        <v>2348</v>
      </c>
      <c r="G564" s="10" t="s">
        <v>2349</v>
      </c>
      <c r="H564" s="5" t="s">
        <v>2350</v>
      </c>
      <c r="I564" s="5" t="s">
        <v>641</v>
      </c>
      <c r="J564" s="5" t="s">
        <v>1736</v>
      </c>
      <c r="K564" s="5">
        <v>1.0</v>
      </c>
      <c r="L564" s="5">
        <v>2185.0</v>
      </c>
      <c r="M564" s="11">
        <v>52.04972</v>
      </c>
      <c r="N564" s="11">
        <v>-121.87383</v>
      </c>
      <c r="O564" s="11" t="s">
        <v>148</v>
      </c>
      <c r="P564" s="11">
        <v>225.0</v>
      </c>
      <c r="Q564" s="22">
        <v>1.0</v>
      </c>
      <c r="R564" s="11" t="s">
        <v>2348</v>
      </c>
      <c r="S564" s="11" t="s">
        <v>1737</v>
      </c>
      <c r="T564" s="11">
        <v>821.0</v>
      </c>
      <c r="U564" s="11"/>
      <c r="V564" s="11"/>
      <c r="W564" s="23">
        <v>33239.0</v>
      </c>
      <c r="X564" s="11" t="s">
        <v>1738</v>
      </c>
      <c r="Y564" s="9"/>
      <c r="AO564" s="5" t="s">
        <v>2348</v>
      </c>
      <c r="AP564" s="5">
        <v>225.0</v>
      </c>
      <c r="AQ564" s="5" t="s">
        <v>1700</v>
      </c>
      <c r="AR564" s="5" t="s">
        <v>1739</v>
      </c>
      <c r="AS564" s="5" t="s">
        <v>1740</v>
      </c>
      <c r="AT564" s="5" t="s">
        <v>1741</v>
      </c>
      <c r="AU564" s="5" t="s">
        <v>1959</v>
      </c>
      <c r="AV564" s="5" t="s">
        <v>1720</v>
      </c>
      <c r="AW564" s="5" t="s">
        <v>2193</v>
      </c>
      <c r="AX564" s="5" t="s">
        <v>2291</v>
      </c>
      <c r="AY564" s="5">
        <v>52.0497</v>
      </c>
      <c r="AZ564" s="5">
        <v>-121.8738</v>
      </c>
      <c r="BA564" s="5">
        <v>821.0</v>
      </c>
    </row>
    <row r="565" ht="14.25" customHeight="1">
      <c r="B565" s="8">
        <v>12.0</v>
      </c>
      <c r="C565" s="5" t="s">
        <v>1711</v>
      </c>
      <c r="D565" s="5">
        <v>226.0</v>
      </c>
      <c r="E565" s="5">
        <v>1783.0</v>
      </c>
      <c r="F565" s="5" t="s">
        <v>2351</v>
      </c>
      <c r="G565" s="5" t="s">
        <v>2352</v>
      </c>
      <c r="H565" s="5" t="s">
        <v>2353</v>
      </c>
      <c r="I565" s="5" t="s">
        <v>641</v>
      </c>
      <c r="J565" s="5" t="s">
        <v>1736</v>
      </c>
      <c r="K565" s="5">
        <v>1.0</v>
      </c>
      <c r="L565" s="5">
        <v>2186.0</v>
      </c>
      <c r="M565" s="11">
        <v>51.70167</v>
      </c>
      <c r="N565" s="11">
        <v>-124.875</v>
      </c>
      <c r="O565" s="11" t="s">
        <v>148</v>
      </c>
      <c r="P565" s="11">
        <v>226.0</v>
      </c>
      <c r="Q565" s="22">
        <v>2.0</v>
      </c>
      <c r="R565" s="11" t="s">
        <v>2351</v>
      </c>
      <c r="S565" s="11" t="s">
        <v>1737</v>
      </c>
      <c r="T565" s="11">
        <v>915.0</v>
      </c>
      <c r="U565" s="11"/>
      <c r="V565" s="11"/>
      <c r="W565" s="23">
        <v>32509.0</v>
      </c>
      <c r="X565" s="11" t="s">
        <v>1738</v>
      </c>
      <c r="Y565" s="9"/>
      <c r="AO565" s="5" t="s">
        <v>2351</v>
      </c>
      <c r="AP565" s="5">
        <v>226.0</v>
      </c>
      <c r="AQ565" s="5" t="s">
        <v>1716</v>
      </c>
      <c r="AR565" s="5" t="s">
        <v>1739</v>
      </c>
      <c r="AS565" s="5" t="s">
        <v>1740</v>
      </c>
      <c r="AT565" s="5" t="s">
        <v>1741</v>
      </c>
      <c r="AU565" s="5" t="s">
        <v>1742</v>
      </c>
      <c r="AV565" s="5" t="s">
        <v>1720</v>
      </c>
      <c r="AW565" s="5" t="s">
        <v>2193</v>
      </c>
      <c r="AX565" s="5" t="s">
        <v>2283</v>
      </c>
      <c r="AY565" s="5">
        <v>51.7017</v>
      </c>
      <c r="AZ565" s="5">
        <v>-124.875</v>
      </c>
      <c r="BA565" s="5">
        <v>915.0</v>
      </c>
    </row>
    <row r="566" ht="14.25" customHeight="1">
      <c r="B566" s="8">
        <v>12.0</v>
      </c>
      <c r="C566" s="5" t="s">
        <v>1711</v>
      </c>
      <c r="D566" s="5">
        <v>227.0</v>
      </c>
      <c r="E566" s="5">
        <v>1784.0</v>
      </c>
      <c r="F566" s="5" t="s">
        <v>2354</v>
      </c>
      <c r="G566" s="5" t="s">
        <v>2355</v>
      </c>
      <c r="H566" s="5" t="s">
        <v>2350</v>
      </c>
      <c r="I566" s="5" t="s">
        <v>641</v>
      </c>
      <c r="J566" s="5" t="s">
        <v>1736</v>
      </c>
      <c r="K566" s="5">
        <v>1.0</v>
      </c>
      <c r="L566" s="5">
        <v>2187.0</v>
      </c>
      <c r="M566" s="11">
        <v>52.47</v>
      </c>
      <c r="N566" s="11">
        <v>-121.74167</v>
      </c>
      <c r="O566" s="11" t="s">
        <v>170</v>
      </c>
      <c r="P566" s="11">
        <v>227.0</v>
      </c>
      <c r="Q566" s="22">
        <v>2.0</v>
      </c>
      <c r="R566" s="11" t="s">
        <v>2354</v>
      </c>
      <c r="S566" s="11" t="s">
        <v>1737</v>
      </c>
      <c r="T566" s="11">
        <v>1081.0</v>
      </c>
      <c r="U566" s="11" t="s">
        <v>645</v>
      </c>
      <c r="V566" s="11"/>
      <c r="W566" s="23">
        <v>29587.0</v>
      </c>
      <c r="X566" s="11" t="s">
        <v>1738</v>
      </c>
      <c r="Y566" s="9"/>
      <c r="AO566" s="5" t="s">
        <v>2354</v>
      </c>
      <c r="AP566" s="5">
        <v>227.0</v>
      </c>
      <c r="AQ566" s="5" t="s">
        <v>1700</v>
      </c>
      <c r="AR566" s="5" t="s">
        <v>1739</v>
      </c>
      <c r="AS566" s="5" t="s">
        <v>1740</v>
      </c>
      <c r="AT566" s="5" t="s">
        <v>1741</v>
      </c>
      <c r="AU566" s="5" t="s">
        <v>1959</v>
      </c>
      <c r="AV566" s="5" t="s">
        <v>1720</v>
      </c>
      <c r="AW566" s="5" t="s">
        <v>2193</v>
      </c>
      <c r="AX566" s="5" t="s">
        <v>2356</v>
      </c>
      <c r="AY566" s="5">
        <v>52.47</v>
      </c>
      <c r="AZ566" s="5">
        <v>-121.7417</v>
      </c>
      <c r="BA566" s="5">
        <v>1081.0</v>
      </c>
    </row>
    <row r="567" ht="14.25" customHeight="1">
      <c r="B567" s="8">
        <v>12.0</v>
      </c>
      <c r="C567" s="5" t="s">
        <v>1711</v>
      </c>
      <c r="D567" s="5">
        <v>228.0</v>
      </c>
      <c r="E567" s="5">
        <v>1785.0</v>
      </c>
      <c r="F567" s="5" t="s">
        <v>2357</v>
      </c>
      <c r="G567" s="5" t="s">
        <v>2358</v>
      </c>
      <c r="H567" s="5" t="s">
        <v>2359</v>
      </c>
      <c r="I567" s="5" t="s">
        <v>641</v>
      </c>
      <c r="J567" s="5" t="s">
        <v>1865</v>
      </c>
      <c r="K567" s="5">
        <v>1.0</v>
      </c>
      <c r="L567" s="5">
        <v>2188.0</v>
      </c>
      <c r="M567" s="5">
        <v>52.91</v>
      </c>
      <c r="N567" s="5">
        <v>-122.065</v>
      </c>
      <c r="O567" s="5" t="s">
        <v>148</v>
      </c>
      <c r="P567" s="5">
        <v>228.0</v>
      </c>
      <c r="Q567" s="5">
        <v>3.0</v>
      </c>
      <c r="R567" s="5" t="s">
        <v>2357</v>
      </c>
      <c r="S567" s="5" t="s">
        <v>1737</v>
      </c>
      <c r="T567" s="5">
        <v>1006.0</v>
      </c>
      <c r="W567" s="5">
        <v>31778.0</v>
      </c>
      <c r="X567" s="5" t="s">
        <v>1738</v>
      </c>
      <c r="Y567" s="9"/>
      <c r="AO567" s="5" t="s">
        <v>2357</v>
      </c>
      <c r="AP567" s="5">
        <v>228.0</v>
      </c>
      <c r="AQ567" s="5" t="s">
        <v>1700</v>
      </c>
      <c r="AR567" s="5" t="s">
        <v>1739</v>
      </c>
      <c r="AS567" s="5" t="s">
        <v>1740</v>
      </c>
      <c r="AT567" s="5" t="s">
        <v>1741</v>
      </c>
      <c r="AU567" s="5" t="s">
        <v>1959</v>
      </c>
      <c r="AV567" s="5" t="s">
        <v>1720</v>
      </c>
      <c r="AW567" s="5" t="s">
        <v>2193</v>
      </c>
      <c r="AX567" s="5" t="s">
        <v>2194</v>
      </c>
      <c r="AY567" s="5">
        <v>52.91</v>
      </c>
      <c r="AZ567" s="5">
        <v>-122.065</v>
      </c>
      <c r="BA567" s="5">
        <v>1006.0</v>
      </c>
    </row>
    <row r="568" ht="14.25" customHeight="1">
      <c r="A568" s="5" t="s">
        <v>422</v>
      </c>
      <c r="B568" s="8">
        <v>12.0</v>
      </c>
      <c r="C568" s="5" t="s">
        <v>1707</v>
      </c>
      <c r="D568" s="5">
        <v>229.0</v>
      </c>
      <c r="E568" s="5">
        <v>12971.0</v>
      </c>
      <c r="F568" s="51" t="s">
        <v>2360</v>
      </c>
      <c r="G568" s="5" t="s">
        <v>127</v>
      </c>
      <c r="H568" s="5" t="s">
        <v>1697</v>
      </c>
      <c r="I568" s="5" t="s">
        <v>49</v>
      </c>
      <c r="J568" s="5" t="s">
        <v>1746</v>
      </c>
      <c r="K568" s="5">
        <v>1.0</v>
      </c>
      <c r="L568" s="5">
        <v>14903.0</v>
      </c>
      <c r="Y568" s="9"/>
      <c r="AO568" s="50" t="s">
        <v>2361</v>
      </c>
      <c r="AP568" s="50">
        <v>229.0</v>
      </c>
      <c r="AQ568" s="50" t="s">
        <v>1700</v>
      </c>
      <c r="AR568" s="50" t="s">
        <v>1701</v>
      </c>
      <c r="AS568" s="50" t="s">
        <v>1702</v>
      </c>
      <c r="AT568" s="50" t="s">
        <v>1703</v>
      </c>
      <c r="AU568" s="50" t="s">
        <v>1704</v>
      </c>
      <c r="AV568" s="50" t="s">
        <v>1702</v>
      </c>
      <c r="AW568" s="50" t="s">
        <v>2193</v>
      </c>
      <c r="AX568" s="50" t="s">
        <v>2194</v>
      </c>
      <c r="AY568" s="50">
        <v>53.0</v>
      </c>
      <c r="AZ568" s="50">
        <v>-122.4</v>
      </c>
      <c r="BA568" s="50">
        <v>545.0</v>
      </c>
    </row>
    <row r="569" ht="14.25" customHeight="1">
      <c r="A569" s="5" t="s">
        <v>88</v>
      </c>
      <c r="B569" s="8">
        <v>12.0</v>
      </c>
      <c r="C569" s="5" t="s">
        <v>1711</v>
      </c>
      <c r="D569" s="5">
        <v>230.0</v>
      </c>
      <c r="E569" s="5">
        <v>1786.0</v>
      </c>
      <c r="F569" s="5" t="s">
        <v>2362</v>
      </c>
      <c r="G569" s="10" t="s">
        <v>2363</v>
      </c>
      <c r="H569" s="5" t="s">
        <v>2364</v>
      </c>
      <c r="I569" s="5" t="s">
        <v>641</v>
      </c>
      <c r="J569" s="5" t="s">
        <v>1736</v>
      </c>
      <c r="K569" s="5">
        <v>1.0</v>
      </c>
      <c r="L569" s="5">
        <v>2189.0</v>
      </c>
      <c r="M569" s="5">
        <v>52.33</v>
      </c>
      <c r="N569" s="5">
        <v>-121.39667</v>
      </c>
      <c r="O569" s="5" t="s">
        <v>148</v>
      </c>
      <c r="P569" s="5">
        <v>230.0</v>
      </c>
      <c r="Q569" s="5">
        <v>1.0</v>
      </c>
      <c r="R569" s="5" t="s">
        <v>2362</v>
      </c>
      <c r="S569" s="5" t="s">
        <v>1737</v>
      </c>
      <c r="T569" s="5">
        <v>701.0</v>
      </c>
      <c r="U569" s="5" t="s">
        <v>645</v>
      </c>
      <c r="V569" s="5" t="s">
        <v>1830</v>
      </c>
      <c r="W569" s="5">
        <v>25934.0</v>
      </c>
      <c r="X569" s="5" t="s">
        <v>1738</v>
      </c>
      <c r="Y569" s="9"/>
      <c r="AO569" s="5" t="s">
        <v>2362</v>
      </c>
      <c r="AP569" s="5">
        <v>230.0</v>
      </c>
      <c r="AQ569" s="5" t="s">
        <v>1716</v>
      </c>
      <c r="AR569" s="5" t="s">
        <v>1739</v>
      </c>
      <c r="AS569" s="5" t="s">
        <v>1740</v>
      </c>
      <c r="AT569" s="5" t="s">
        <v>1741</v>
      </c>
      <c r="AU569" s="5" t="s">
        <v>1742</v>
      </c>
      <c r="AV569" s="5" t="s">
        <v>1720</v>
      </c>
      <c r="AW569" s="5" t="s">
        <v>2193</v>
      </c>
      <c r="AX569" s="5" t="s">
        <v>2356</v>
      </c>
      <c r="AY569" s="5">
        <v>52.3278</v>
      </c>
      <c r="AZ569" s="5">
        <v>-121.3983</v>
      </c>
      <c r="BA569" s="5">
        <v>701.0</v>
      </c>
    </row>
    <row r="570" ht="14.25" customHeight="1">
      <c r="B570" s="8">
        <v>12.0</v>
      </c>
      <c r="C570" s="5" t="s">
        <v>1711</v>
      </c>
      <c r="D570" s="5">
        <v>231.0</v>
      </c>
      <c r="E570" s="5">
        <v>1787.0</v>
      </c>
      <c r="F570" s="18" t="s">
        <v>2365</v>
      </c>
      <c r="G570" s="5" t="s">
        <v>2366</v>
      </c>
      <c r="H570" s="5" t="s">
        <v>2367</v>
      </c>
      <c r="I570" s="5" t="s">
        <v>641</v>
      </c>
      <c r="J570" s="5" t="s">
        <v>1715</v>
      </c>
      <c r="K570" s="5">
        <v>1.0</v>
      </c>
      <c r="L570" s="5">
        <v>2190.0</v>
      </c>
      <c r="Y570" s="9"/>
      <c r="AO570" s="5" t="s">
        <v>2365</v>
      </c>
      <c r="AP570" s="5">
        <v>231.0</v>
      </c>
      <c r="AQ570" s="5" t="s">
        <v>1716</v>
      </c>
      <c r="AR570" s="5" t="s">
        <v>1717</v>
      </c>
      <c r="AS570" s="5" t="s">
        <v>1718</v>
      </c>
      <c r="AT570" s="5" t="s">
        <v>1703</v>
      </c>
      <c r="AU570" s="5" t="s">
        <v>1703</v>
      </c>
      <c r="AV570" s="5" t="s">
        <v>1720</v>
      </c>
      <c r="AW570" s="5" t="s">
        <v>2368</v>
      </c>
      <c r="AX570" s="5" t="s">
        <v>2369</v>
      </c>
      <c r="AY570" s="5">
        <v>51.4117</v>
      </c>
      <c r="AZ570" s="5">
        <v>-120.34</v>
      </c>
      <c r="BA570" s="5">
        <v>1432.0</v>
      </c>
    </row>
    <row r="571" ht="14.25" customHeight="1">
      <c r="A571" s="5" t="s">
        <v>88</v>
      </c>
      <c r="B571" s="8">
        <v>12.0</v>
      </c>
      <c r="C571" s="5" t="s">
        <v>1711</v>
      </c>
      <c r="D571" s="5">
        <v>232.0</v>
      </c>
      <c r="E571" s="5">
        <v>1788.0</v>
      </c>
      <c r="F571" s="5" t="s">
        <v>2370</v>
      </c>
      <c r="G571" s="10" t="s">
        <v>2371</v>
      </c>
      <c r="H571" s="5" t="s">
        <v>2372</v>
      </c>
      <c r="I571" s="5" t="s">
        <v>641</v>
      </c>
      <c r="J571" s="5" t="s">
        <v>1865</v>
      </c>
      <c r="K571" s="5">
        <v>1.0</v>
      </c>
      <c r="L571" s="5">
        <v>2191.0</v>
      </c>
      <c r="M571" s="5">
        <v>51.72378</v>
      </c>
      <c r="N571" s="5">
        <v>-120.38993</v>
      </c>
      <c r="O571" s="5" t="s">
        <v>148</v>
      </c>
      <c r="P571" s="5">
        <v>232.0</v>
      </c>
      <c r="Q571" s="5">
        <v>5.0</v>
      </c>
      <c r="R571" s="5" t="s">
        <v>2370</v>
      </c>
      <c r="S571" s="5" t="s">
        <v>1737</v>
      </c>
      <c r="T571" s="5">
        <v>1124.0</v>
      </c>
      <c r="W571" s="5">
        <v>28856.0</v>
      </c>
      <c r="X571" s="5" t="s">
        <v>1738</v>
      </c>
      <c r="Y571" s="9"/>
      <c r="AO571" s="5" t="s">
        <v>2370</v>
      </c>
      <c r="AP571" s="5">
        <v>232.0</v>
      </c>
      <c r="AQ571" s="5" t="s">
        <v>1700</v>
      </c>
      <c r="AR571" s="5" t="s">
        <v>1739</v>
      </c>
      <c r="AS571" s="5" t="s">
        <v>1740</v>
      </c>
      <c r="AT571" s="5" t="s">
        <v>1835</v>
      </c>
      <c r="AU571" s="5" t="s">
        <v>1959</v>
      </c>
      <c r="AV571" s="5" t="s">
        <v>1720</v>
      </c>
      <c r="AW571" s="5" t="s">
        <v>2368</v>
      </c>
      <c r="AX571" s="5" t="s">
        <v>2369</v>
      </c>
      <c r="AY571" s="5">
        <v>51.7238</v>
      </c>
      <c r="AZ571" s="5">
        <v>-120.3899</v>
      </c>
      <c r="BA571" s="5">
        <v>1122.0</v>
      </c>
    </row>
    <row r="572" ht="14.25" customHeight="1">
      <c r="A572" s="5" t="s">
        <v>1908</v>
      </c>
      <c r="B572" s="8">
        <v>12.0</v>
      </c>
      <c r="C572" s="5" t="s">
        <v>1711</v>
      </c>
      <c r="D572" s="5">
        <v>233.0</v>
      </c>
      <c r="E572" s="5">
        <v>1789.0</v>
      </c>
      <c r="F572" s="10" t="s">
        <v>2373</v>
      </c>
      <c r="G572" s="10" t="s">
        <v>2374</v>
      </c>
      <c r="H572" s="5" t="s">
        <v>2375</v>
      </c>
      <c r="I572" s="5" t="s">
        <v>641</v>
      </c>
      <c r="J572" s="5" t="s">
        <v>1736</v>
      </c>
      <c r="K572" s="5">
        <v>1.0</v>
      </c>
      <c r="L572" s="5">
        <v>2192.0</v>
      </c>
      <c r="M572" s="5">
        <v>52.25135</v>
      </c>
      <c r="N572" s="5">
        <v>-126.02837</v>
      </c>
      <c r="O572" s="5" t="s">
        <v>51</v>
      </c>
      <c r="P572" s="5">
        <v>233.0</v>
      </c>
      <c r="Q572" s="5">
        <v>2.0</v>
      </c>
      <c r="R572" s="5" t="s">
        <v>2376</v>
      </c>
      <c r="S572" s="5" t="s">
        <v>1737</v>
      </c>
      <c r="T572" s="5">
        <v>270.0</v>
      </c>
      <c r="W572" s="5">
        <v>32874.0</v>
      </c>
      <c r="X572" s="5" t="s">
        <v>1738</v>
      </c>
      <c r="Y572" s="9"/>
      <c r="AO572" s="5" t="s">
        <v>2376</v>
      </c>
      <c r="AP572" s="5">
        <v>233.0</v>
      </c>
      <c r="AQ572" s="5" t="s">
        <v>1716</v>
      </c>
      <c r="AR572" s="5" t="s">
        <v>1739</v>
      </c>
      <c r="AS572" s="5" t="s">
        <v>1740</v>
      </c>
      <c r="AT572" s="5" t="s">
        <v>1741</v>
      </c>
      <c r="AU572" s="5" t="s">
        <v>1742</v>
      </c>
      <c r="AV572" s="5" t="s">
        <v>1720</v>
      </c>
      <c r="AW572" s="5" t="s">
        <v>1705</v>
      </c>
      <c r="AX572" s="5" t="s">
        <v>1965</v>
      </c>
      <c r="AY572" s="5">
        <v>52.2514</v>
      </c>
      <c r="AZ572" s="5">
        <v>-126.0284</v>
      </c>
      <c r="BA572" s="5">
        <v>306.0</v>
      </c>
    </row>
    <row r="573" ht="14.25" customHeight="1">
      <c r="B573" s="8">
        <v>12.0</v>
      </c>
      <c r="C573" s="5" t="s">
        <v>1711</v>
      </c>
      <c r="D573" s="5">
        <v>234.0</v>
      </c>
      <c r="E573" s="5">
        <v>1790.0</v>
      </c>
      <c r="F573" s="5" t="s">
        <v>2377</v>
      </c>
      <c r="G573" s="5" t="s">
        <v>2378</v>
      </c>
      <c r="H573" s="5" t="s">
        <v>2379</v>
      </c>
      <c r="I573" s="5" t="s">
        <v>641</v>
      </c>
      <c r="J573" s="5" t="s">
        <v>1736</v>
      </c>
      <c r="K573" s="5">
        <v>1.0</v>
      </c>
      <c r="L573" s="5">
        <v>2193.0</v>
      </c>
      <c r="M573" s="5">
        <v>51.913</v>
      </c>
      <c r="N573" s="5">
        <v>-121.389</v>
      </c>
      <c r="O573" s="5" t="s">
        <v>148</v>
      </c>
      <c r="P573" s="5">
        <v>234.0</v>
      </c>
      <c r="Q573" s="5">
        <v>5.0</v>
      </c>
      <c r="R573" s="5" t="s">
        <v>2377</v>
      </c>
      <c r="S573" s="5" t="s">
        <v>1737</v>
      </c>
      <c r="T573" s="5">
        <v>1161.0</v>
      </c>
      <c r="W573" s="5">
        <v>32874.0</v>
      </c>
      <c r="X573" s="5" t="s">
        <v>1738</v>
      </c>
      <c r="Y573" s="9"/>
      <c r="AO573" s="5" t="s">
        <v>2377</v>
      </c>
      <c r="AP573" s="5">
        <v>234.0</v>
      </c>
      <c r="AQ573" s="5" t="s">
        <v>1700</v>
      </c>
      <c r="AR573" s="5" t="s">
        <v>1739</v>
      </c>
      <c r="AS573" s="5" t="s">
        <v>1740</v>
      </c>
      <c r="AT573" s="5" t="s">
        <v>1741</v>
      </c>
      <c r="AU573" s="5" t="s">
        <v>1959</v>
      </c>
      <c r="AV573" s="5" t="s">
        <v>1720</v>
      </c>
      <c r="AW573" s="5" t="s">
        <v>2193</v>
      </c>
      <c r="AX573" s="5" t="s">
        <v>2287</v>
      </c>
      <c r="AY573" s="5">
        <v>51.913</v>
      </c>
      <c r="AZ573" s="5">
        <v>-121.389</v>
      </c>
      <c r="BA573" s="5">
        <v>1161.0</v>
      </c>
    </row>
    <row r="574" ht="14.25" customHeight="1">
      <c r="B574" s="8">
        <v>12.0</v>
      </c>
      <c r="C574" s="5" t="s">
        <v>1711</v>
      </c>
      <c r="D574" s="5">
        <v>235.0</v>
      </c>
      <c r="E574" s="5">
        <v>1791.0</v>
      </c>
      <c r="F574" s="5" t="s">
        <v>2380</v>
      </c>
      <c r="G574" s="5" t="s">
        <v>2381</v>
      </c>
      <c r="H574" s="5" t="s">
        <v>2382</v>
      </c>
      <c r="I574" s="5" t="s">
        <v>641</v>
      </c>
      <c r="J574" s="5" t="s">
        <v>1891</v>
      </c>
      <c r="K574" s="5">
        <v>1.0</v>
      </c>
      <c r="L574" s="5">
        <v>2194.0</v>
      </c>
      <c r="M574" s="5">
        <v>51.23777</v>
      </c>
      <c r="N574" s="5">
        <v>-120.99762</v>
      </c>
      <c r="O574" s="5" t="s">
        <v>148</v>
      </c>
      <c r="P574" s="5">
        <v>235.0</v>
      </c>
      <c r="Q574" s="5">
        <v>5.0</v>
      </c>
      <c r="R574" s="5" t="s">
        <v>2380</v>
      </c>
      <c r="S574" s="5" t="s">
        <v>1737</v>
      </c>
      <c r="T574" s="5">
        <v>1170.0</v>
      </c>
      <c r="W574" s="5">
        <v>36892.0</v>
      </c>
      <c r="X574" s="5" t="s">
        <v>1738</v>
      </c>
      <c r="Y574" s="9"/>
      <c r="AO574" s="5" t="s">
        <v>2380</v>
      </c>
      <c r="AP574" s="5">
        <v>235.0</v>
      </c>
      <c r="AQ574" s="5" t="s">
        <v>1700</v>
      </c>
      <c r="AR574" s="5" t="s">
        <v>1739</v>
      </c>
      <c r="AS574" s="5" t="s">
        <v>1740</v>
      </c>
      <c r="AT574" s="5" t="s">
        <v>1741</v>
      </c>
      <c r="AU574" s="5" t="s">
        <v>1959</v>
      </c>
      <c r="AV574" s="5" t="s">
        <v>1720</v>
      </c>
      <c r="AW574" s="5" t="s">
        <v>2193</v>
      </c>
      <c r="AX574" s="5" t="s">
        <v>2287</v>
      </c>
      <c r="AY574" s="5">
        <v>51.2378</v>
      </c>
      <c r="AZ574" s="5">
        <v>-120.9976</v>
      </c>
      <c r="BA574" s="5">
        <v>1170.0</v>
      </c>
    </row>
    <row r="575" ht="14.25" customHeight="1">
      <c r="B575" s="8">
        <v>12.0</v>
      </c>
      <c r="C575" s="5" t="s">
        <v>1711</v>
      </c>
      <c r="D575" s="5">
        <v>236.0</v>
      </c>
      <c r="E575" s="5">
        <v>1792.0</v>
      </c>
      <c r="F575" s="5" t="s">
        <v>2383</v>
      </c>
      <c r="G575" s="5" t="s">
        <v>2384</v>
      </c>
      <c r="H575" s="5" t="s">
        <v>2385</v>
      </c>
      <c r="I575" s="5" t="s">
        <v>641</v>
      </c>
      <c r="J575" s="5" t="s">
        <v>1736</v>
      </c>
      <c r="K575" s="5">
        <v>1.0</v>
      </c>
      <c r="L575" s="5">
        <v>2195.0</v>
      </c>
      <c r="M575" s="5">
        <v>51.375</v>
      </c>
      <c r="N575" s="5">
        <v>-121.71667</v>
      </c>
      <c r="O575" s="5" t="s">
        <v>148</v>
      </c>
      <c r="P575" s="5">
        <v>236.0</v>
      </c>
      <c r="Q575" s="5">
        <v>4.0</v>
      </c>
      <c r="R575" s="5" t="s">
        <v>2383</v>
      </c>
      <c r="S575" s="5" t="s">
        <v>1737</v>
      </c>
      <c r="T575" s="5">
        <v>1070.0</v>
      </c>
      <c r="W575" s="5">
        <v>33239.0</v>
      </c>
      <c r="X575" s="5" t="s">
        <v>1738</v>
      </c>
      <c r="Y575" s="9"/>
      <c r="AO575" s="5" t="s">
        <v>2383</v>
      </c>
      <c r="AP575" s="5">
        <v>236.0</v>
      </c>
      <c r="AQ575" s="5" t="s">
        <v>1700</v>
      </c>
      <c r="AR575" s="5" t="s">
        <v>1739</v>
      </c>
      <c r="AS575" s="5" t="s">
        <v>1740</v>
      </c>
      <c r="AT575" s="5" t="s">
        <v>1741</v>
      </c>
      <c r="AU575" s="5" t="s">
        <v>1959</v>
      </c>
      <c r="AV575" s="5" t="s">
        <v>1720</v>
      </c>
      <c r="AW575" s="5" t="s">
        <v>2193</v>
      </c>
      <c r="AX575" s="5" t="s">
        <v>2287</v>
      </c>
      <c r="AY575" s="5">
        <v>51.375</v>
      </c>
      <c r="AZ575" s="5">
        <v>-121.7167</v>
      </c>
      <c r="BA575" s="5">
        <v>1070.0</v>
      </c>
    </row>
    <row r="576" ht="14.25" customHeight="1">
      <c r="B576" s="8">
        <v>12.0</v>
      </c>
      <c r="C576" s="5" t="s">
        <v>1711</v>
      </c>
      <c r="D576" s="5">
        <v>237.0</v>
      </c>
      <c r="E576" s="5">
        <v>1793.0</v>
      </c>
      <c r="F576" s="18" t="s">
        <v>2386</v>
      </c>
      <c r="G576" s="5" t="s">
        <v>2387</v>
      </c>
      <c r="H576" s="5" t="s">
        <v>2388</v>
      </c>
      <c r="I576" s="5" t="s">
        <v>1664</v>
      </c>
      <c r="J576" s="5" t="s">
        <v>1715</v>
      </c>
      <c r="K576" s="5">
        <v>1.0</v>
      </c>
      <c r="L576" s="5">
        <v>2196.0</v>
      </c>
      <c r="Y576" s="9"/>
      <c r="AO576" s="5" t="s">
        <v>2386</v>
      </c>
      <c r="AP576" s="5">
        <v>237.0</v>
      </c>
      <c r="AQ576" s="5" t="s">
        <v>1716</v>
      </c>
      <c r="AR576" s="5" t="s">
        <v>1717</v>
      </c>
      <c r="AS576" s="5" t="s">
        <v>1718</v>
      </c>
      <c r="AT576" s="5" t="s">
        <v>1703</v>
      </c>
      <c r="AU576" s="5" t="s">
        <v>1703</v>
      </c>
      <c r="AV576" s="5" t="s">
        <v>1720</v>
      </c>
      <c r="AW576" s="5" t="s">
        <v>2193</v>
      </c>
      <c r="AX576" s="5" t="s">
        <v>2356</v>
      </c>
      <c r="AY576" s="5">
        <v>52.2</v>
      </c>
      <c r="AZ576" s="5">
        <v>-121.2</v>
      </c>
      <c r="BA576" s="5">
        <v>8.0</v>
      </c>
    </row>
    <row r="577" ht="14.25" customHeight="1">
      <c r="A577" s="5" t="s">
        <v>1908</v>
      </c>
      <c r="B577" s="8">
        <v>12.0</v>
      </c>
      <c r="C577" s="5" t="s">
        <v>1711</v>
      </c>
      <c r="D577" s="5">
        <v>239.0</v>
      </c>
      <c r="E577" s="5">
        <v>1794.0</v>
      </c>
      <c r="F577" s="10" t="s">
        <v>2389</v>
      </c>
      <c r="G577" s="10" t="s">
        <v>2390</v>
      </c>
      <c r="H577" s="5" t="s">
        <v>2391</v>
      </c>
      <c r="I577" s="5" t="s">
        <v>641</v>
      </c>
      <c r="J577" s="5" t="s">
        <v>1736</v>
      </c>
      <c r="K577" s="5">
        <v>1.0</v>
      </c>
      <c r="L577" s="5">
        <v>2197.0</v>
      </c>
      <c r="M577" s="5">
        <v>51.6289</v>
      </c>
      <c r="N577" s="5">
        <v>-120.09457</v>
      </c>
      <c r="O577" s="5" t="s">
        <v>142</v>
      </c>
      <c r="P577" s="5">
        <v>239.0</v>
      </c>
      <c r="Q577" s="5">
        <v>1.0</v>
      </c>
      <c r="R577" s="5" t="s">
        <v>2392</v>
      </c>
      <c r="S577" s="5" t="s">
        <v>1737</v>
      </c>
      <c r="T577" s="5">
        <v>453.0</v>
      </c>
      <c r="U577" s="5" t="s">
        <v>645</v>
      </c>
      <c r="W577" s="5">
        <v>27760.0</v>
      </c>
      <c r="X577" s="5" t="s">
        <v>1738</v>
      </c>
      <c r="Y577" s="9"/>
      <c r="AO577" s="55" t="s">
        <v>2392</v>
      </c>
      <c r="AP577" s="5">
        <v>239.0</v>
      </c>
      <c r="AQ577" s="5" t="s">
        <v>1700</v>
      </c>
      <c r="AR577" s="5" t="s">
        <v>1739</v>
      </c>
      <c r="AS577" s="5" t="s">
        <v>1740</v>
      </c>
      <c r="AT577" s="5" t="s">
        <v>1741</v>
      </c>
      <c r="AU577" s="5" t="s">
        <v>2043</v>
      </c>
      <c r="AV577" s="5" t="s">
        <v>1720</v>
      </c>
      <c r="AW577" s="5" t="s">
        <v>2368</v>
      </c>
      <c r="AX577" s="5" t="s">
        <v>2369</v>
      </c>
      <c r="AY577" s="5">
        <v>51.6289</v>
      </c>
      <c r="AZ577" s="5">
        <v>-120.0946</v>
      </c>
      <c r="BA577" s="5">
        <v>440.0</v>
      </c>
    </row>
    <row r="578" ht="14.25" customHeight="1">
      <c r="B578" s="8">
        <v>12.0</v>
      </c>
      <c r="C578" s="5" t="s">
        <v>1711</v>
      </c>
      <c r="D578" s="5">
        <v>240.0</v>
      </c>
      <c r="E578" s="5">
        <v>1795.0</v>
      </c>
      <c r="F578" s="18" t="s">
        <v>2393</v>
      </c>
      <c r="G578" s="5" t="s">
        <v>2394</v>
      </c>
      <c r="H578" s="5" t="s">
        <v>2027</v>
      </c>
      <c r="I578" s="5" t="s">
        <v>1664</v>
      </c>
      <c r="J578" s="5" t="s">
        <v>1715</v>
      </c>
      <c r="K578" s="5">
        <v>1.0</v>
      </c>
      <c r="L578" s="5">
        <v>2198.0</v>
      </c>
      <c r="Y578" s="9"/>
      <c r="AO578" s="5" t="s">
        <v>2393</v>
      </c>
      <c r="AP578" s="5">
        <v>240.0</v>
      </c>
      <c r="AQ578" s="5" t="s">
        <v>1716</v>
      </c>
      <c r="AR578" s="5" t="s">
        <v>1717</v>
      </c>
      <c r="AS578" s="5" t="s">
        <v>1718</v>
      </c>
      <c r="AT578" s="5" t="s">
        <v>1719</v>
      </c>
      <c r="AU578" s="5" t="s">
        <v>1703</v>
      </c>
      <c r="AV578" s="5" t="s">
        <v>1720</v>
      </c>
      <c r="AW578" s="5" t="s">
        <v>2368</v>
      </c>
      <c r="AX578" s="5" t="s">
        <v>2369</v>
      </c>
      <c r="AY578" s="5">
        <v>51.2</v>
      </c>
      <c r="AZ578" s="5">
        <v>-120.1</v>
      </c>
      <c r="BA578" s="5">
        <v>4.0</v>
      </c>
    </row>
    <row r="579" ht="14.25" customHeight="1">
      <c r="B579" s="8">
        <v>12.0</v>
      </c>
      <c r="C579" s="5" t="s">
        <v>1711</v>
      </c>
      <c r="D579" s="5">
        <v>241.0</v>
      </c>
      <c r="E579" s="5">
        <v>1796.0</v>
      </c>
      <c r="F579" s="18" t="s">
        <v>2395</v>
      </c>
      <c r="G579" s="5" t="s">
        <v>2396</v>
      </c>
      <c r="H579" s="5" t="s">
        <v>2397</v>
      </c>
      <c r="I579" s="5" t="s">
        <v>1664</v>
      </c>
      <c r="J579" s="5" t="s">
        <v>1715</v>
      </c>
      <c r="K579" s="5">
        <v>1.0</v>
      </c>
      <c r="L579" s="5">
        <v>2199.0</v>
      </c>
      <c r="Y579" s="9"/>
      <c r="AO579" s="5" t="s">
        <v>2395</v>
      </c>
      <c r="AP579" s="5">
        <v>241.0</v>
      </c>
      <c r="AQ579" s="5" t="s">
        <v>1716</v>
      </c>
      <c r="AR579" s="5" t="s">
        <v>1717</v>
      </c>
      <c r="AS579" s="5" t="s">
        <v>1718</v>
      </c>
      <c r="AT579" s="5" t="s">
        <v>1703</v>
      </c>
      <c r="AU579" s="5" t="s">
        <v>1703</v>
      </c>
      <c r="AV579" s="5" t="s">
        <v>1720</v>
      </c>
      <c r="AW579" s="5" t="s">
        <v>2193</v>
      </c>
      <c r="AX579" s="5" t="s">
        <v>2194</v>
      </c>
      <c r="AY579" s="5">
        <v>52.9</v>
      </c>
      <c r="AZ579" s="5">
        <v>-122.1</v>
      </c>
      <c r="BA579" s="5">
        <v>10.0</v>
      </c>
    </row>
    <row r="580" ht="14.25" customHeight="1">
      <c r="B580" s="8">
        <v>12.0</v>
      </c>
      <c r="C580" s="5" t="s">
        <v>1711</v>
      </c>
      <c r="D580" s="5">
        <v>242.0</v>
      </c>
      <c r="E580" s="5">
        <v>1797.0</v>
      </c>
      <c r="F580" s="18" t="s">
        <v>2398</v>
      </c>
      <c r="G580" s="5" t="s">
        <v>2399</v>
      </c>
      <c r="H580" s="5" t="s">
        <v>2400</v>
      </c>
      <c r="I580" s="5" t="s">
        <v>641</v>
      </c>
      <c r="J580" s="5" t="s">
        <v>1715</v>
      </c>
      <c r="K580" s="5">
        <v>1.0</v>
      </c>
      <c r="L580" s="5">
        <v>2200.0</v>
      </c>
      <c r="Y580" s="9"/>
      <c r="AO580" s="5" t="s">
        <v>2398</v>
      </c>
      <c r="AP580" s="5">
        <v>242.0</v>
      </c>
      <c r="AQ580" s="5" t="s">
        <v>1716</v>
      </c>
      <c r="AR580" s="5" t="s">
        <v>1717</v>
      </c>
      <c r="AS580" s="5" t="s">
        <v>1718</v>
      </c>
      <c r="AT580" s="5" t="s">
        <v>1703</v>
      </c>
      <c r="AU580" s="5" t="s">
        <v>1703</v>
      </c>
      <c r="AV580" s="5" t="s">
        <v>1720</v>
      </c>
      <c r="AW580" s="5" t="s">
        <v>2368</v>
      </c>
      <c r="AX580" s="5" t="s">
        <v>2401</v>
      </c>
      <c r="AY580" s="5">
        <v>51.925</v>
      </c>
      <c r="AZ580" s="5">
        <v>-120.03</v>
      </c>
      <c r="BA580" s="5">
        <v>762.0</v>
      </c>
    </row>
    <row r="581" ht="14.25" customHeight="1">
      <c r="A581" s="5" t="s">
        <v>88</v>
      </c>
      <c r="B581" s="8">
        <v>12.0</v>
      </c>
      <c r="C581" s="5" t="s">
        <v>1711</v>
      </c>
      <c r="D581" s="5">
        <v>243.0</v>
      </c>
      <c r="E581" s="5">
        <v>1798.0</v>
      </c>
      <c r="F581" s="5" t="s">
        <v>2402</v>
      </c>
      <c r="G581" s="10" t="s">
        <v>2403</v>
      </c>
      <c r="H581" s="5" t="s">
        <v>2404</v>
      </c>
      <c r="I581" s="5" t="s">
        <v>641</v>
      </c>
      <c r="J581" s="5" t="s">
        <v>1865</v>
      </c>
      <c r="K581" s="5">
        <v>1.0</v>
      </c>
      <c r="L581" s="5">
        <v>2201.0</v>
      </c>
      <c r="M581" s="5">
        <v>51.25313</v>
      </c>
      <c r="N581" s="5">
        <v>-119.88168</v>
      </c>
      <c r="O581" s="5" t="s">
        <v>170</v>
      </c>
      <c r="P581" s="5">
        <v>243.0</v>
      </c>
      <c r="Q581" s="5">
        <v>1.0</v>
      </c>
      <c r="R581" s="5" t="s">
        <v>2402</v>
      </c>
      <c r="S581" s="5" t="s">
        <v>1737</v>
      </c>
      <c r="T581" s="5">
        <v>631.0</v>
      </c>
      <c r="U581" s="5" t="s">
        <v>645</v>
      </c>
      <c r="W581" s="5">
        <v>28491.0</v>
      </c>
      <c r="X581" s="5" t="s">
        <v>1738</v>
      </c>
      <c r="Y581" s="9"/>
      <c r="AO581" s="5" t="s">
        <v>2402</v>
      </c>
      <c r="AP581" s="5">
        <v>243.0</v>
      </c>
      <c r="AQ581" s="5" t="s">
        <v>1716</v>
      </c>
      <c r="AR581" s="5" t="s">
        <v>1739</v>
      </c>
      <c r="AS581" s="5" t="s">
        <v>1740</v>
      </c>
      <c r="AT581" s="5" t="s">
        <v>1741</v>
      </c>
      <c r="AU581" s="5" t="s">
        <v>1742</v>
      </c>
      <c r="AV581" s="5" t="s">
        <v>1720</v>
      </c>
      <c r="AW581" s="5" t="s">
        <v>2368</v>
      </c>
      <c r="AX581" s="5" t="s">
        <v>2369</v>
      </c>
      <c r="AY581" s="5">
        <v>51.2531</v>
      </c>
      <c r="AZ581" s="5">
        <v>-119.8817</v>
      </c>
      <c r="BA581" s="5">
        <v>631.0</v>
      </c>
    </row>
    <row r="582" ht="14.25" customHeight="1">
      <c r="A582" s="5" t="s">
        <v>88</v>
      </c>
      <c r="B582" s="8">
        <v>12.0</v>
      </c>
      <c r="C582" s="5" t="s">
        <v>1711</v>
      </c>
      <c r="D582" s="5">
        <v>244.0</v>
      </c>
      <c r="E582" s="5">
        <v>1799.0</v>
      </c>
      <c r="F582" s="5" t="s">
        <v>2405</v>
      </c>
      <c r="G582" s="10" t="s">
        <v>2406</v>
      </c>
      <c r="H582" s="5" t="s">
        <v>2407</v>
      </c>
      <c r="I582" s="5" t="s">
        <v>641</v>
      </c>
      <c r="J582" s="5" t="s">
        <v>1865</v>
      </c>
      <c r="K582" s="5">
        <v>1.0</v>
      </c>
      <c r="L582" s="5">
        <v>2202.0</v>
      </c>
      <c r="M582" s="5">
        <v>51.67</v>
      </c>
      <c r="N582" s="5">
        <v>-120.65</v>
      </c>
      <c r="O582" s="5" t="s">
        <v>148</v>
      </c>
      <c r="P582" s="5">
        <v>244.0</v>
      </c>
      <c r="Q582" s="5">
        <v>8.0</v>
      </c>
      <c r="R582" s="5" t="s">
        <v>2405</v>
      </c>
      <c r="S582" s="5" t="s">
        <v>1737</v>
      </c>
      <c r="T582" s="5">
        <v>1580.0</v>
      </c>
      <c r="W582" s="5">
        <v>33604.0</v>
      </c>
      <c r="X582" s="5" t="s">
        <v>1738</v>
      </c>
      <c r="Y582" s="9"/>
      <c r="AO582" s="5" t="s">
        <v>2405</v>
      </c>
      <c r="AP582" s="5">
        <v>244.0</v>
      </c>
      <c r="AQ582" s="5" t="s">
        <v>1716</v>
      </c>
      <c r="AR582" s="5" t="s">
        <v>1739</v>
      </c>
      <c r="AS582" s="5" t="s">
        <v>1740</v>
      </c>
      <c r="AT582" s="5" t="s">
        <v>1741</v>
      </c>
      <c r="AU582" s="5" t="s">
        <v>1742</v>
      </c>
      <c r="AV582" s="5" t="s">
        <v>1720</v>
      </c>
      <c r="AW582" s="5" t="s">
        <v>2193</v>
      </c>
      <c r="AX582" s="5" t="s">
        <v>2287</v>
      </c>
      <c r="AY582" s="5">
        <v>51.6639</v>
      </c>
      <c r="AZ582" s="5">
        <v>-120.6579</v>
      </c>
      <c r="BA582" s="5">
        <v>1377.0</v>
      </c>
    </row>
    <row r="583" ht="14.25" customHeight="1">
      <c r="B583" s="8">
        <v>12.0</v>
      </c>
      <c r="C583" s="5" t="s">
        <v>1711</v>
      </c>
      <c r="D583" s="5">
        <v>245.0</v>
      </c>
      <c r="E583" s="5">
        <v>1800.0</v>
      </c>
      <c r="F583" s="18" t="s">
        <v>2408</v>
      </c>
      <c r="G583" s="5" t="s">
        <v>2409</v>
      </c>
      <c r="H583" s="5" t="s">
        <v>2410</v>
      </c>
      <c r="I583" s="5" t="s">
        <v>1664</v>
      </c>
      <c r="J583" s="5" t="s">
        <v>1715</v>
      </c>
      <c r="K583" s="5">
        <v>1.0</v>
      </c>
      <c r="L583" s="5">
        <v>2203.0</v>
      </c>
      <c r="Y583" s="9"/>
      <c r="AO583" s="5" t="s">
        <v>2408</v>
      </c>
      <c r="AP583" s="5">
        <v>245.0</v>
      </c>
      <c r="AQ583" s="5" t="s">
        <v>1716</v>
      </c>
      <c r="AR583" s="5" t="s">
        <v>1717</v>
      </c>
      <c r="AS583" s="5" t="s">
        <v>1718</v>
      </c>
      <c r="AT583" s="5" t="s">
        <v>1703</v>
      </c>
      <c r="AU583" s="5" t="s">
        <v>1703</v>
      </c>
      <c r="AV583" s="5" t="s">
        <v>1720</v>
      </c>
      <c r="AW583" s="5" t="s">
        <v>2368</v>
      </c>
      <c r="AX583" s="5" t="s">
        <v>2401</v>
      </c>
      <c r="AY583" s="5">
        <v>51.7</v>
      </c>
      <c r="AZ583" s="5">
        <v>-120.4</v>
      </c>
      <c r="BA583" s="5">
        <v>11.0</v>
      </c>
    </row>
    <row r="584" ht="14.25" customHeight="1">
      <c r="B584" s="8">
        <v>12.0</v>
      </c>
      <c r="C584" s="5" t="s">
        <v>1711</v>
      </c>
      <c r="D584" s="5">
        <v>246.0</v>
      </c>
      <c r="E584" s="5">
        <v>1801.0</v>
      </c>
      <c r="F584" s="18" t="s">
        <v>2411</v>
      </c>
      <c r="G584" s="5" t="s">
        <v>2412</v>
      </c>
      <c r="H584" s="5" t="s">
        <v>2413</v>
      </c>
      <c r="I584" s="5" t="s">
        <v>1664</v>
      </c>
      <c r="J584" s="5" t="s">
        <v>1715</v>
      </c>
      <c r="K584" s="5">
        <v>1.0</v>
      </c>
      <c r="L584" s="5">
        <v>2204.0</v>
      </c>
      <c r="Y584" s="9"/>
      <c r="AO584" s="5" t="s">
        <v>2411</v>
      </c>
      <c r="AP584" s="5">
        <v>246.0</v>
      </c>
      <c r="AQ584" s="5" t="s">
        <v>1716</v>
      </c>
      <c r="AR584" s="5" t="s">
        <v>1717</v>
      </c>
      <c r="AS584" s="5" t="s">
        <v>1718</v>
      </c>
      <c r="AT584" s="5" t="s">
        <v>1719</v>
      </c>
      <c r="AU584" s="5" t="s">
        <v>1703</v>
      </c>
      <c r="AV584" s="5" t="s">
        <v>1720</v>
      </c>
      <c r="AW584" s="5" t="s">
        <v>2193</v>
      </c>
      <c r="AX584" s="5" t="s">
        <v>2287</v>
      </c>
      <c r="AY584" s="5">
        <v>51.9</v>
      </c>
      <c r="AZ584" s="5">
        <v>-120.9</v>
      </c>
      <c r="BA584" s="5">
        <v>11.0</v>
      </c>
    </row>
    <row r="585" ht="14.25" customHeight="1">
      <c r="B585" s="8">
        <v>12.0</v>
      </c>
      <c r="C585" s="5" t="s">
        <v>1711</v>
      </c>
      <c r="D585" s="5">
        <v>248.0</v>
      </c>
      <c r="E585" s="5">
        <v>1802.0</v>
      </c>
      <c r="F585" s="18" t="s">
        <v>2414</v>
      </c>
      <c r="G585" s="5" t="s">
        <v>2415</v>
      </c>
      <c r="H585" s="5" t="s">
        <v>1859</v>
      </c>
      <c r="I585" s="5" t="s">
        <v>1664</v>
      </c>
      <c r="J585" s="5" t="s">
        <v>1715</v>
      </c>
      <c r="K585" s="5">
        <v>1.0</v>
      </c>
      <c r="L585" s="5">
        <v>2205.0</v>
      </c>
      <c r="Y585" s="9"/>
      <c r="AO585" s="5" t="s">
        <v>2414</v>
      </c>
      <c r="AP585" s="5">
        <v>248.0</v>
      </c>
      <c r="AQ585" s="5" t="s">
        <v>1716</v>
      </c>
      <c r="AR585" s="5" t="s">
        <v>1717</v>
      </c>
      <c r="AS585" s="5" t="s">
        <v>1718</v>
      </c>
      <c r="AT585" s="5" t="s">
        <v>1703</v>
      </c>
      <c r="AU585" s="5" t="s">
        <v>1703</v>
      </c>
      <c r="AV585" s="5" t="s">
        <v>1720</v>
      </c>
      <c r="AW585" s="5" t="s">
        <v>2368</v>
      </c>
      <c r="AX585" s="5" t="s">
        <v>2369</v>
      </c>
      <c r="AY585" s="5">
        <v>51.4</v>
      </c>
      <c r="AZ585" s="5">
        <v>-120.4</v>
      </c>
      <c r="BA585" s="5">
        <v>13.0</v>
      </c>
    </row>
    <row r="586" ht="14.25" customHeight="1">
      <c r="B586" s="8">
        <v>12.0</v>
      </c>
      <c r="C586" s="5" t="s">
        <v>1711</v>
      </c>
      <c r="D586" s="5">
        <v>249.0</v>
      </c>
      <c r="E586" s="5">
        <v>1803.0</v>
      </c>
      <c r="F586" s="18" t="s">
        <v>2416</v>
      </c>
      <c r="G586" s="5" t="s">
        <v>2417</v>
      </c>
      <c r="H586" s="5" t="s">
        <v>2418</v>
      </c>
      <c r="I586" s="5" t="s">
        <v>641</v>
      </c>
      <c r="J586" s="5" t="s">
        <v>1715</v>
      </c>
      <c r="K586" s="5">
        <v>1.0</v>
      </c>
      <c r="L586" s="5">
        <v>2206.0</v>
      </c>
      <c r="Y586" s="9"/>
      <c r="AO586" s="5" t="s">
        <v>2416</v>
      </c>
      <c r="AP586" s="5">
        <v>249.0</v>
      </c>
      <c r="AQ586" s="5" t="s">
        <v>1716</v>
      </c>
      <c r="AR586" s="5" t="s">
        <v>1717</v>
      </c>
      <c r="AS586" s="5" t="s">
        <v>1718</v>
      </c>
      <c r="AT586" s="5" t="s">
        <v>1703</v>
      </c>
      <c r="AU586" s="5" t="s">
        <v>1703</v>
      </c>
      <c r="AV586" s="5" t="s">
        <v>1720</v>
      </c>
      <c r="AW586" s="5" t="s">
        <v>2368</v>
      </c>
      <c r="AX586" s="5" t="s">
        <v>2401</v>
      </c>
      <c r="AY586" s="5">
        <v>51.585</v>
      </c>
      <c r="AZ586" s="5">
        <v>-119.6733</v>
      </c>
      <c r="BA586" s="5">
        <v>792.0</v>
      </c>
    </row>
    <row r="587" ht="14.25" customHeight="1">
      <c r="A587" s="5" t="s">
        <v>1908</v>
      </c>
      <c r="B587" s="8">
        <v>12.0</v>
      </c>
      <c r="C587" s="5" t="s">
        <v>1711</v>
      </c>
      <c r="D587" s="5">
        <v>250.0</v>
      </c>
      <c r="E587" s="5">
        <v>1804.0</v>
      </c>
      <c r="F587" s="10" t="s">
        <v>2419</v>
      </c>
      <c r="G587" s="10" t="s">
        <v>2420</v>
      </c>
      <c r="H587" s="5" t="s">
        <v>2421</v>
      </c>
      <c r="I587" s="5" t="s">
        <v>641</v>
      </c>
      <c r="J587" s="5" t="s">
        <v>1736</v>
      </c>
      <c r="K587" s="5">
        <v>1.0</v>
      </c>
      <c r="L587" s="5">
        <v>2207.0</v>
      </c>
      <c r="M587" s="5">
        <v>51.52267</v>
      </c>
      <c r="N587" s="5">
        <v>-119.11335</v>
      </c>
      <c r="O587" s="5" t="s">
        <v>170</v>
      </c>
      <c r="P587" s="5">
        <v>250.0</v>
      </c>
      <c r="Q587" s="5">
        <v>4.0</v>
      </c>
      <c r="R587" s="5" t="s">
        <v>2422</v>
      </c>
      <c r="S587" s="5" t="s">
        <v>1737</v>
      </c>
      <c r="T587" s="5">
        <v>1525.0</v>
      </c>
      <c r="W587" s="5">
        <v>32509.0</v>
      </c>
      <c r="X587" s="5" t="s">
        <v>1738</v>
      </c>
      <c r="Y587" s="9"/>
      <c r="AO587" s="5" t="s">
        <v>2422</v>
      </c>
      <c r="AP587" s="5">
        <v>250.0</v>
      </c>
      <c r="AQ587" s="5" t="s">
        <v>1716</v>
      </c>
      <c r="AR587" s="5" t="s">
        <v>1739</v>
      </c>
      <c r="AS587" s="5" t="s">
        <v>1740</v>
      </c>
      <c r="AT587" s="5" t="s">
        <v>1741</v>
      </c>
      <c r="AU587" s="5" t="s">
        <v>1742</v>
      </c>
      <c r="AV587" s="5" t="s">
        <v>1720</v>
      </c>
      <c r="AW587" s="5" t="s">
        <v>2368</v>
      </c>
      <c r="AX587" s="5" t="s">
        <v>2369</v>
      </c>
      <c r="AY587" s="5">
        <v>51.5227</v>
      </c>
      <c r="AZ587" s="5">
        <v>-119.1133</v>
      </c>
      <c r="BA587" s="5">
        <v>1516.0</v>
      </c>
    </row>
    <row r="588" ht="14.25" customHeight="1">
      <c r="B588" s="8">
        <v>12.0</v>
      </c>
      <c r="C588" s="5" t="s">
        <v>1711</v>
      </c>
      <c r="D588" s="5">
        <v>251.0</v>
      </c>
      <c r="E588" s="5">
        <v>1805.0</v>
      </c>
      <c r="F588" s="5" t="s">
        <v>2423</v>
      </c>
      <c r="G588" s="5" t="s">
        <v>2424</v>
      </c>
      <c r="H588" s="5" t="s">
        <v>2379</v>
      </c>
      <c r="I588" s="5" t="s">
        <v>641</v>
      </c>
      <c r="J588" s="5" t="s">
        <v>1865</v>
      </c>
      <c r="K588" s="5">
        <v>1.0</v>
      </c>
      <c r="L588" s="5">
        <v>2208.0</v>
      </c>
      <c r="M588" s="5">
        <v>51.967</v>
      </c>
      <c r="N588" s="5">
        <v>-120.608</v>
      </c>
      <c r="O588" s="5" t="s">
        <v>170</v>
      </c>
      <c r="P588" s="5">
        <v>251.0</v>
      </c>
      <c r="Q588" s="5">
        <v>3.0</v>
      </c>
      <c r="R588" s="5" t="s">
        <v>2423</v>
      </c>
      <c r="S588" s="5" t="s">
        <v>1737</v>
      </c>
      <c r="T588" s="5">
        <v>1170.0</v>
      </c>
      <c r="W588" s="5">
        <v>32509.0</v>
      </c>
      <c r="X588" s="5" t="s">
        <v>1738</v>
      </c>
      <c r="Y588" s="9"/>
      <c r="AO588" s="5" t="s">
        <v>2423</v>
      </c>
      <c r="AP588" s="5">
        <v>251.0</v>
      </c>
      <c r="AQ588" s="5" t="s">
        <v>1716</v>
      </c>
      <c r="AR588" s="5" t="s">
        <v>1739</v>
      </c>
      <c r="AS588" s="5" t="s">
        <v>1740</v>
      </c>
      <c r="AT588" s="5" t="s">
        <v>1741</v>
      </c>
      <c r="AU588" s="5" t="s">
        <v>1742</v>
      </c>
      <c r="AV588" s="5" t="s">
        <v>1720</v>
      </c>
      <c r="AW588" s="5" t="s">
        <v>2193</v>
      </c>
      <c r="AX588" s="5" t="s">
        <v>2287</v>
      </c>
      <c r="AY588" s="5">
        <v>51.967</v>
      </c>
      <c r="AZ588" s="5">
        <v>-120.608</v>
      </c>
      <c r="BA588" s="5">
        <v>1170.0</v>
      </c>
    </row>
    <row r="589" ht="14.25" customHeight="1">
      <c r="B589" s="8">
        <v>12.0</v>
      </c>
      <c r="C589" s="5" t="s">
        <v>1711</v>
      </c>
      <c r="D589" s="5">
        <v>252.0</v>
      </c>
      <c r="E589" s="5">
        <v>1806.0</v>
      </c>
      <c r="F589" s="18" t="s">
        <v>2425</v>
      </c>
      <c r="G589" s="5" t="s">
        <v>2426</v>
      </c>
      <c r="H589" s="5" t="s">
        <v>2427</v>
      </c>
      <c r="I589" s="5" t="s">
        <v>641</v>
      </c>
      <c r="J589" s="5" t="s">
        <v>1746</v>
      </c>
      <c r="K589" s="5">
        <v>1.0</v>
      </c>
      <c r="L589" s="5">
        <v>2209.0</v>
      </c>
      <c r="Y589" s="9"/>
      <c r="AO589" s="5" t="s">
        <v>2425</v>
      </c>
      <c r="AP589" s="5">
        <v>252.0</v>
      </c>
      <c r="AQ589" s="5" t="s">
        <v>1716</v>
      </c>
      <c r="AR589" s="5" t="s">
        <v>1717</v>
      </c>
      <c r="AS589" s="5" t="s">
        <v>1718</v>
      </c>
      <c r="AT589" s="5" t="s">
        <v>1703</v>
      </c>
      <c r="AU589" s="5" t="s">
        <v>1703</v>
      </c>
      <c r="AV589" s="5" t="s">
        <v>1720</v>
      </c>
      <c r="AW589" s="5" t="s">
        <v>2193</v>
      </c>
      <c r="AX589" s="5" t="s">
        <v>2287</v>
      </c>
      <c r="AY589" s="5">
        <v>51.061</v>
      </c>
      <c r="AZ589" s="5">
        <v>-121.182</v>
      </c>
      <c r="BA589" s="5">
        <v>1600.0</v>
      </c>
    </row>
    <row r="590" ht="14.25" customHeight="1">
      <c r="A590" s="5" t="s">
        <v>88</v>
      </c>
      <c r="B590" s="8">
        <v>12.0</v>
      </c>
      <c r="C590" s="5" t="s">
        <v>1711</v>
      </c>
      <c r="D590" s="5">
        <v>253.0</v>
      </c>
      <c r="E590" s="5">
        <v>1807.0</v>
      </c>
      <c r="F590" s="5" t="s">
        <v>2428</v>
      </c>
      <c r="G590" s="10" t="s">
        <v>2429</v>
      </c>
      <c r="H590" s="5" t="s">
        <v>2430</v>
      </c>
      <c r="I590" s="5" t="s">
        <v>641</v>
      </c>
      <c r="J590" s="5" t="s">
        <v>1865</v>
      </c>
      <c r="K590" s="5">
        <v>1.0</v>
      </c>
      <c r="L590" s="5">
        <v>2210.0</v>
      </c>
      <c r="M590" s="5">
        <v>50.88788</v>
      </c>
      <c r="N590" s="5">
        <v>-119.83832</v>
      </c>
      <c r="O590" s="5" t="s">
        <v>142</v>
      </c>
      <c r="P590" s="5">
        <v>253.0</v>
      </c>
      <c r="Q590" s="5">
        <v>6.0</v>
      </c>
      <c r="R590" s="5" t="s">
        <v>2428</v>
      </c>
      <c r="S590" s="5" t="s">
        <v>1737</v>
      </c>
      <c r="T590" s="5">
        <v>1543.0</v>
      </c>
      <c r="W590" s="5">
        <v>31778.0</v>
      </c>
      <c r="X590" s="5" t="s">
        <v>1738</v>
      </c>
      <c r="Y590" s="9"/>
      <c r="AO590" s="5" t="s">
        <v>2428</v>
      </c>
      <c r="AP590" s="5">
        <v>253.0</v>
      </c>
      <c r="AQ590" s="5" t="s">
        <v>1716</v>
      </c>
      <c r="AR590" s="5" t="s">
        <v>1739</v>
      </c>
      <c r="AS590" s="5" t="s">
        <v>1740</v>
      </c>
      <c r="AT590" s="5" t="s">
        <v>1741</v>
      </c>
      <c r="AU590" s="5" t="s">
        <v>1742</v>
      </c>
      <c r="AV590" s="5" t="s">
        <v>1720</v>
      </c>
      <c r="AW590" s="5" t="s">
        <v>2368</v>
      </c>
      <c r="AX590" s="5" t="s">
        <v>2369</v>
      </c>
      <c r="AY590" s="5">
        <v>50.8879</v>
      </c>
      <c r="AZ590" s="5">
        <v>-119.8383</v>
      </c>
      <c r="BA590" s="5">
        <v>1543.0</v>
      </c>
    </row>
    <row r="591" ht="14.25" customHeight="1">
      <c r="B591" s="8">
        <v>12.0</v>
      </c>
      <c r="C591" s="5" t="s">
        <v>1711</v>
      </c>
      <c r="D591" s="5">
        <v>255.0</v>
      </c>
      <c r="E591" s="5">
        <v>1808.0</v>
      </c>
      <c r="F591" s="5" t="s">
        <v>2431</v>
      </c>
      <c r="G591" s="5" t="s">
        <v>2432</v>
      </c>
      <c r="H591" s="5" t="s">
        <v>2433</v>
      </c>
      <c r="I591" s="5" t="s">
        <v>641</v>
      </c>
      <c r="J591" s="5" t="s">
        <v>1865</v>
      </c>
      <c r="K591" s="5">
        <v>1.0</v>
      </c>
      <c r="L591" s="5">
        <v>2211.0</v>
      </c>
      <c r="M591" s="5">
        <v>52.615</v>
      </c>
      <c r="N591" s="5">
        <v>-121.51333</v>
      </c>
      <c r="O591" s="5" t="s">
        <v>170</v>
      </c>
      <c r="P591" s="5">
        <v>255.0</v>
      </c>
      <c r="Q591" s="5">
        <v>2.0</v>
      </c>
      <c r="R591" s="5" t="s">
        <v>2431</v>
      </c>
      <c r="S591" s="5" t="s">
        <v>1737</v>
      </c>
      <c r="T591" s="5">
        <v>1046.0</v>
      </c>
      <c r="U591" s="5" t="s">
        <v>645</v>
      </c>
      <c r="V591" s="5" t="s">
        <v>1813</v>
      </c>
      <c r="W591" s="5">
        <v>25569.0</v>
      </c>
      <c r="X591" s="5" t="s">
        <v>1738</v>
      </c>
      <c r="Y591" s="9"/>
      <c r="AO591" s="5" t="s">
        <v>2431</v>
      </c>
      <c r="AP591" s="5">
        <v>255.0</v>
      </c>
      <c r="AQ591" s="5" t="s">
        <v>1716</v>
      </c>
      <c r="AR591" s="5" t="s">
        <v>1739</v>
      </c>
      <c r="AS591" s="5" t="s">
        <v>1740</v>
      </c>
      <c r="AT591" s="5" t="s">
        <v>1741</v>
      </c>
      <c r="AU591" s="5" t="s">
        <v>1742</v>
      </c>
      <c r="AV591" s="5" t="s">
        <v>1720</v>
      </c>
      <c r="AW591" s="5" t="s">
        <v>2193</v>
      </c>
      <c r="AX591" s="5" t="s">
        <v>2356</v>
      </c>
      <c r="AY591" s="5">
        <v>52.615</v>
      </c>
      <c r="AZ591" s="5">
        <v>-121.5133</v>
      </c>
      <c r="BA591" s="5">
        <v>1046.0</v>
      </c>
    </row>
    <row r="592" ht="14.25" customHeight="1">
      <c r="B592" s="8">
        <v>12.0</v>
      </c>
      <c r="C592" s="5" t="s">
        <v>1711</v>
      </c>
      <c r="D592" s="5">
        <v>256.0</v>
      </c>
      <c r="E592" s="5">
        <v>1809.0</v>
      </c>
      <c r="F592" s="18" t="s">
        <v>2434</v>
      </c>
      <c r="G592" s="5" t="s">
        <v>2435</v>
      </c>
      <c r="H592" s="5" t="s">
        <v>2436</v>
      </c>
      <c r="I592" s="5" t="s">
        <v>641</v>
      </c>
      <c r="J592" s="5" t="s">
        <v>1715</v>
      </c>
      <c r="K592" s="5">
        <v>1.0</v>
      </c>
      <c r="L592" s="5">
        <v>2212.0</v>
      </c>
      <c r="Y592" s="9"/>
      <c r="AO592" s="5" t="s">
        <v>2434</v>
      </c>
      <c r="AP592" s="5">
        <v>256.0</v>
      </c>
      <c r="AQ592" s="5" t="s">
        <v>1716</v>
      </c>
      <c r="AR592" s="5" t="s">
        <v>1717</v>
      </c>
      <c r="AS592" s="5" t="s">
        <v>1718</v>
      </c>
      <c r="AT592" s="5" t="s">
        <v>1703</v>
      </c>
      <c r="AU592" s="5" t="s">
        <v>1703</v>
      </c>
      <c r="AV592" s="5" t="s">
        <v>1720</v>
      </c>
      <c r="AW592" s="5" t="s">
        <v>2368</v>
      </c>
      <c r="AX592" s="5" t="s">
        <v>2401</v>
      </c>
      <c r="AY592" s="5">
        <v>52.5</v>
      </c>
      <c r="AZ592" s="5">
        <v>-120.3</v>
      </c>
      <c r="BA592" s="5">
        <v>9.0</v>
      </c>
    </row>
    <row r="593" ht="14.25" customHeight="1">
      <c r="A593" s="5" t="s">
        <v>88</v>
      </c>
      <c r="B593" s="8">
        <v>12.0</v>
      </c>
      <c r="C593" s="5" t="s">
        <v>1711</v>
      </c>
      <c r="D593" s="5">
        <v>257.0</v>
      </c>
      <c r="E593" s="5">
        <v>1810.0</v>
      </c>
      <c r="F593" s="5" t="s">
        <v>2437</v>
      </c>
      <c r="G593" s="10" t="s">
        <v>2438</v>
      </c>
      <c r="H593" s="5" t="s">
        <v>2439</v>
      </c>
      <c r="I593" s="5" t="s">
        <v>641</v>
      </c>
      <c r="J593" s="5" t="s">
        <v>1715</v>
      </c>
      <c r="K593" s="5">
        <v>1.0</v>
      </c>
      <c r="L593" s="5">
        <v>2213.0</v>
      </c>
      <c r="M593" s="11"/>
      <c r="N593" s="11"/>
      <c r="O593" s="11"/>
      <c r="P593" s="11"/>
      <c r="Q593" s="22"/>
      <c r="R593" s="11"/>
      <c r="S593" s="11"/>
      <c r="T593" s="11"/>
      <c r="U593" s="11"/>
      <c r="V593" s="11"/>
      <c r="W593" s="23"/>
      <c r="X593" s="11"/>
      <c r="Y593" s="9"/>
      <c r="AO593" s="5" t="s">
        <v>2440</v>
      </c>
      <c r="AP593" s="5">
        <v>257.0</v>
      </c>
      <c r="AQ593" s="5" t="s">
        <v>1716</v>
      </c>
      <c r="AR593" s="5" t="s">
        <v>2441</v>
      </c>
      <c r="AS593" s="5" t="s">
        <v>2257</v>
      </c>
      <c r="AT593" s="5" t="s">
        <v>2442</v>
      </c>
      <c r="AU593" s="5" t="s">
        <v>2443</v>
      </c>
      <c r="AV593" s="5" t="s">
        <v>1720</v>
      </c>
      <c r="AW593" s="5" t="s">
        <v>2368</v>
      </c>
      <c r="AY593" s="5">
        <v>52.1205</v>
      </c>
      <c r="AZ593" s="5">
        <v>-119.2981</v>
      </c>
      <c r="BA593" s="5">
        <v>696.0</v>
      </c>
    </row>
    <row r="594" ht="14.25" customHeight="1">
      <c r="B594" s="8">
        <v>12.0</v>
      </c>
      <c r="C594" s="5" t="s">
        <v>1711</v>
      </c>
      <c r="D594" s="5">
        <v>258.0</v>
      </c>
      <c r="E594" s="5">
        <v>1811.0</v>
      </c>
      <c r="F594" s="18" t="s">
        <v>2444</v>
      </c>
      <c r="G594" s="5" t="s">
        <v>2445</v>
      </c>
      <c r="H594" s="5" t="s">
        <v>2446</v>
      </c>
      <c r="I594" s="5" t="s">
        <v>641</v>
      </c>
      <c r="J594" s="5" t="s">
        <v>1715</v>
      </c>
      <c r="K594" s="5">
        <v>1.0</v>
      </c>
      <c r="L594" s="5">
        <v>2214.0</v>
      </c>
      <c r="M594" s="11"/>
      <c r="N594" s="11"/>
      <c r="O594" s="11"/>
      <c r="P594" s="11"/>
      <c r="Q594" s="22"/>
      <c r="R594" s="11"/>
      <c r="S594" s="11"/>
      <c r="T594" s="11"/>
      <c r="U594" s="11"/>
      <c r="V594" s="11"/>
      <c r="W594" s="60"/>
      <c r="X594" s="11"/>
      <c r="Y594" s="9"/>
      <c r="AO594" s="5" t="s">
        <v>2444</v>
      </c>
      <c r="AP594" s="5">
        <v>258.0</v>
      </c>
      <c r="AQ594" s="5" t="s">
        <v>1716</v>
      </c>
      <c r="AR594" s="5" t="s">
        <v>1717</v>
      </c>
      <c r="AS594" s="5" t="s">
        <v>1718</v>
      </c>
      <c r="AT594" s="5" t="s">
        <v>1703</v>
      </c>
      <c r="AU594" s="5" t="s">
        <v>1703</v>
      </c>
      <c r="AV594" s="5" t="s">
        <v>1720</v>
      </c>
      <c r="AW594" s="5" t="s">
        <v>2368</v>
      </c>
      <c r="AX594" s="5" t="s">
        <v>2401</v>
      </c>
      <c r="AY594" s="5">
        <v>51.7817</v>
      </c>
      <c r="AZ594" s="5">
        <v>-119.3267</v>
      </c>
      <c r="BA594" s="5">
        <v>518.0</v>
      </c>
    </row>
    <row r="595" ht="14.25" customHeight="1">
      <c r="B595" s="8">
        <v>12.0</v>
      </c>
      <c r="C595" s="5" t="s">
        <v>1711</v>
      </c>
      <c r="D595" s="5">
        <v>259.0</v>
      </c>
      <c r="E595" s="5">
        <v>1812.0</v>
      </c>
      <c r="F595" s="18" t="s">
        <v>2447</v>
      </c>
      <c r="G595" s="5" t="s">
        <v>2448</v>
      </c>
      <c r="H595" s="5" t="s">
        <v>2449</v>
      </c>
      <c r="I595" s="5" t="s">
        <v>1664</v>
      </c>
      <c r="J595" s="5" t="s">
        <v>1746</v>
      </c>
      <c r="K595" s="5">
        <v>1.0</v>
      </c>
      <c r="L595" s="5">
        <v>2215.0</v>
      </c>
      <c r="Y595" s="9"/>
      <c r="AO595" s="5" t="s">
        <v>2447</v>
      </c>
      <c r="AP595" s="5">
        <v>259.0</v>
      </c>
      <c r="AQ595" s="5" t="s">
        <v>1716</v>
      </c>
      <c r="AR595" s="5" t="s">
        <v>1717</v>
      </c>
      <c r="AS595" s="5" t="s">
        <v>1718</v>
      </c>
      <c r="AT595" s="5" t="s">
        <v>1719</v>
      </c>
      <c r="AU595" s="5" t="s">
        <v>1703</v>
      </c>
      <c r="AV595" s="5" t="s">
        <v>1720</v>
      </c>
      <c r="AW595" s="5" t="s">
        <v>2193</v>
      </c>
      <c r="AX595" s="5" t="s">
        <v>2356</v>
      </c>
      <c r="AY595" s="5">
        <v>52.1</v>
      </c>
      <c r="AZ595" s="5">
        <v>-120.9</v>
      </c>
      <c r="BA595" s="5">
        <v>15.0</v>
      </c>
    </row>
    <row r="596" ht="14.25" customHeight="1">
      <c r="B596" s="8">
        <v>12.0</v>
      </c>
      <c r="C596" s="5" t="s">
        <v>1711</v>
      </c>
      <c r="D596" s="5">
        <v>260.0</v>
      </c>
      <c r="E596" s="5">
        <v>1813.0</v>
      </c>
      <c r="F596" s="18" t="s">
        <v>2450</v>
      </c>
      <c r="G596" s="5" t="s">
        <v>2451</v>
      </c>
      <c r="H596" s="5" t="s">
        <v>2452</v>
      </c>
      <c r="I596" s="5" t="s">
        <v>1664</v>
      </c>
      <c r="J596" s="5" t="s">
        <v>1715</v>
      </c>
      <c r="K596" s="5">
        <v>1.0</v>
      </c>
      <c r="L596" s="5">
        <v>2216.0</v>
      </c>
      <c r="Y596" s="9"/>
      <c r="AO596" s="5" t="s">
        <v>2450</v>
      </c>
      <c r="AP596" s="5">
        <v>260.0</v>
      </c>
      <c r="AQ596" s="5" t="s">
        <v>1716</v>
      </c>
      <c r="AR596" s="5" t="s">
        <v>1717</v>
      </c>
      <c r="AS596" s="5" t="s">
        <v>1718</v>
      </c>
      <c r="AT596" s="5" t="s">
        <v>1703</v>
      </c>
      <c r="AU596" s="5" t="s">
        <v>1703</v>
      </c>
      <c r="AV596" s="5" t="s">
        <v>1720</v>
      </c>
      <c r="AW596" s="5" t="s">
        <v>2193</v>
      </c>
      <c r="AX596" s="5" t="s">
        <v>2194</v>
      </c>
      <c r="AY596" s="5">
        <v>53.3</v>
      </c>
      <c r="AZ596" s="5">
        <v>-121.4</v>
      </c>
      <c r="BA596" s="5">
        <v>9.0</v>
      </c>
    </row>
    <row r="597" ht="14.25" customHeight="1">
      <c r="B597" s="8">
        <v>12.0</v>
      </c>
      <c r="C597" s="5" t="s">
        <v>1711</v>
      </c>
      <c r="D597" s="5">
        <v>261.0</v>
      </c>
      <c r="E597" s="5">
        <v>1814.0</v>
      </c>
      <c r="F597" s="18" t="s">
        <v>2453</v>
      </c>
      <c r="G597" s="5" t="s">
        <v>2454</v>
      </c>
      <c r="H597" s="5" t="s">
        <v>2455</v>
      </c>
      <c r="I597" s="5" t="s">
        <v>641</v>
      </c>
      <c r="J597" s="5" t="s">
        <v>1715</v>
      </c>
      <c r="K597" s="5">
        <v>1.0</v>
      </c>
      <c r="L597" s="5">
        <v>2217.0</v>
      </c>
      <c r="M597" s="11"/>
      <c r="N597" s="11"/>
      <c r="O597" s="11"/>
      <c r="P597" s="11"/>
      <c r="Q597" s="22"/>
      <c r="R597" s="11"/>
      <c r="S597" s="11"/>
      <c r="T597" s="11"/>
      <c r="U597" s="11"/>
      <c r="V597" s="11"/>
      <c r="W597" s="60"/>
      <c r="X597" s="11"/>
      <c r="Y597" s="9"/>
      <c r="AO597" s="5" t="s">
        <v>2453</v>
      </c>
      <c r="AP597" s="5">
        <v>261.0</v>
      </c>
      <c r="AQ597" s="5" t="s">
        <v>1716</v>
      </c>
      <c r="AR597" s="5" t="s">
        <v>1717</v>
      </c>
      <c r="AS597" s="5" t="s">
        <v>1718</v>
      </c>
      <c r="AT597" s="5" t="s">
        <v>1703</v>
      </c>
      <c r="AU597" s="5" t="s">
        <v>1703</v>
      </c>
      <c r="AV597" s="5" t="s">
        <v>1720</v>
      </c>
      <c r="AW597" s="5" t="s">
        <v>2368</v>
      </c>
      <c r="AX597" s="5" t="s">
        <v>2258</v>
      </c>
      <c r="AY597" s="5">
        <v>52.6</v>
      </c>
      <c r="AZ597" s="5">
        <v>-119.2</v>
      </c>
      <c r="BA597" s="5">
        <v>10.0</v>
      </c>
    </row>
    <row r="598" ht="14.25" customHeight="1">
      <c r="B598" s="8">
        <v>12.0</v>
      </c>
      <c r="C598" s="5" t="s">
        <v>1711</v>
      </c>
      <c r="D598" s="5">
        <v>262.0</v>
      </c>
      <c r="E598" s="5">
        <v>1815.0</v>
      </c>
      <c r="F598" s="5" t="s">
        <v>2456</v>
      </c>
      <c r="G598" s="5" t="s">
        <v>2457</v>
      </c>
      <c r="H598" s="5" t="s">
        <v>2458</v>
      </c>
      <c r="I598" s="5" t="s">
        <v>641</v>
      </c>
      <c r="J598" s="5" t="s">
        <v>1736</v>
      </c>
      <c r="K598" s="5">
        <v>1.0</v>
      </c>
      <c r="L598" s="5">
        <v>2218.0</v>
      </c>
      <c r="M598" s="11">
        <v>53.26167</v>
      </c>
      <c r="N598" s="11">
        <v>-121.76167</v>
      </c>
      <c r="O598" s="11" t="s">
        <v>170</v>
      </c>
      <c r="P598" s="11">
        <v>262.0</v>
      </c>
      <c r="Q598" s="22">
        <v>4.0</v>
      </c>
      <c r="R598" s="11" t="s">
        <v>2456</v>
      </c>
      <c r="S598" s="11" t="s">
        <v>1737</v>
      </c>
      <c r="T598" s="11">
        <v>1355.0</v>
      </c>
      <c r="U598" s="11" t="s">
        <v>645</v>
      </c>
      <c r="V598" s="11"/>
      <c r="W598" s="23">
        <v>31778.0</v>
      </c>
      <c r="X598" s="11" t="s">
        <v>1738</v>
      </c>
      <c r="Y598" s="9"/>
      <c r="AO598" s="5" t="s">
        <v>2456</v>
      </c>
      <c r="AP598" s="5">
        <v>262.0</v>
      </c>
      <c r="AQ598" s="5" t="s">
        <v>1716</v>
      </c>
      <c r="AR598" s="5" t="s">
        <v>1739</v>
      </c>
      <c r="AS598" s="5" t="s">
        <v>1740</v>
      </c>
      <c r="AT598" s="5" t="s">
        <v>1741</v>
      </c>
      <c r="AU598" s="5" t="s">
        <v>1742</v>
      </c>
      <c r="AV598" s="5" t="s">
        <v>1720</v>
      </c>
      <c r="AW598" s="5" t="s">
        <v>2193</v>
      </c>
      <c r="AX598" s="5" t="s">
        <v>2194</v>
      </c>
      <c r="AY598" s="5">
        <v>53.2617</v>
      </c>
      <c r="AZ598" s="5">
        <v>-121.7617</v>
      </c>
      <c r="BA598" s="5">
        <v>1355.0</v>
      </c>
    </row>
    <row r="599" ht="14.25" customHeight="1">
      <c r="B599" s="8">
        <v>12.0</v>
      </c>
      <c r="C599" s="5" t="s">
        <v>1711</v>
      </c>
      <c r="D599" s="5">
        <v>263.0</v>
      </c>
      <c r="E599" s="5">
        <v>1816.0</v>
      </c>
      <c r="F599" s="5" t="s">
        <v>2459</v>
      </c>
      <c r="G599" s="5" t="s">
        <v>2460</v>
      </c>
      <c r="H599" s="5" t="s">
        <v>2250</v>
      </c>
      <c r="I599" s="5" t="s">
        <v>641</v>
      </c>
      <c r="J599" s="5" t="s">
        <v>1736</v>
      </c>
      <c r="K599" s="5">
        <v>1.0</v>
      </c>
      <c r="L599" s="5">
        <v>2219.0</v>
      </c>
      <c r="M599" s="11">
        <v>52.91</v>
      </c>
      <c r="N599" s="11">
        <v>-120.91167</v>
      </c>
      <c r="O599" s="11" t="s">
        <v>170</v>
      </c>
      <c r="P599" s="11">
        <v>263.0</v>
      </c>
      <c r="Q599" s="22">
        <v>2.0</v>
      </c>
      <c r="R599" s="11" t="s">
        <v>2459</v>
      </c>
      <c r="S599" s="11" t="s">
        <v>1737</v>
      </c>
      <c r="T599" s="11">
        <v>1108.0</v>
      </c>
      <c r="U599" s="11"/>
      <c r="V599" s="11"/>
      <c r="W599" s="23">
        <v>31778.0</v>
      </c>
      <c r="X599" s="11" t="s">
        <v>1738</v>
      </c>
      <c r="Y599" s="9"/>
      <c r="AO599" s="5" t="s">
        <v>2459</v>
      </c>
      <c r="AP599" s="5">
        <v>263.0</v>
      </c>
      <c r="AQ599" s="5" t="s">
        <v>1716</v>
      </c>
      <c r="AR599" s="5" t="s">
        <v>1739</v>
      </c>
      <c r="AS599" s="5" t="s">
        <v>1740</v>
      </c>
      <c r="AT599" s="5" t="s">
        <v>1741</v>
      </c>
      <c r="AU599" s="5" t="s">
        <v>1742</v>
      </c>
      <c r="AV599" s="5" t="s">
        <v>1720</v>
      </c>
      <c r="AW599" s="5" t="s">
        <v>2193</v>
      </c>
      <c r="AX599" s="5" t="s">
        <v>2194</v>
      </c>
      <c r="AY599" s="5">
        <v>52.91</v>
      </c>
      <c r="AZ599" s="5">
        <v>-120.9117</v>
      </c>
      <c r="BA599" s="5">
        <v>1108.0</v>
      </c>
    </row>
    <row r="600" ht="14.25" customHeight="1">
      <c r="B600" s="8">
        <v>12.0</v>
      </c>
      <c r="C600" s="5" t="s">
        <v>1711</v>
      </c>
      <c r="D600" s="5">
        <v>264.0</v>
      </c>
      <c r="E600" s="5">
        <v>1817.0</v>
      </c>
      <c r="F600" s="5" t="s">
        <v>2461</v>
      </c>
      <c r="G600" s="5" t="s">
        <v>2462</v>
      </c>
      <c r="H600" s="5" t="s">
        <v>2463</v>
      </c>
      <c r="I600" s="5" t="s">
        <v>641</v>
      </c>
      <c r="J600" s="5" t="s">
        <v>1736</v>
      </c>
      <c r="K600" s="5">
        <v>1.0</v>
      </c>
      <c r="L600" s="5">
        <v>2220.0</v>
      </c>
      <c r="M600" s="11">
        <v>52.39127</v>
      </c>
      <c r="N600" s="11">
        <v>-120.985</v>
      </c>
      <c r="O600" s="11" t="s">
        <v>170</v>
      </c>
      <c r="P600" s="11">
        <v>264.0</v>
      </c>
      <c r="Q600" s="22">
        <v>2.0</v>
      </c>
      <c r="R600" s="11" t="s">
        <v>2461</v>
      </c>
      <c r="S600" s="11" t="s">
        <v>1737</v>
      </c>
      <c r="T600" s="11">
        <v>1015.0</v>
      </c>
      <c r="U600" s="11"/>
      <c r="V600" s="11"/>
      <c r="W600" s="23">
        <v>32143.0</v>
      </c>
      <c r="X600" s="11" t="s">
        <v>1738</v>
      </c>
      <c r="Y600" s="9"/>
      <c r="AO600" s="5" t="s">
        <v>2461</v>
      </c>
      <c r="AP600" s="5">
        <v>264.0</v>
      </c>
      <c r="AQ600" s="5" t="s">
        <v>1716</v>
      </c>
      <c r="AR600" s="5" t="s">
        <v>1739</v>
      </c>
      <c r="AS600" s="5" t="s">
        <v>1740</v>
      </c>
      <c r="AT600" s="5" t="s">
        <v>1741</v>
      </c>
      <c r="AU600" s="5" t="s">
        <v>1742</v>
      </c>
      <c r="AV600" s="5" t="s">
        <v>1720</v>
      </c>
      <c r="AW600" s="5" t="s">
        <v>2193</v>
      </c>
      <c r="AX600" s="5" t="s">
        <v>2356</v>
      </c>
      <c r="AY600" s="5">
        <v>52.3917</v>
      </c>
      <c r="AZ600" s="5">
        <v>-120.985</v>
      </c>
      <c r="BA600" s="5">
        <v>1015.0</v>
      </c>
    </row>
    <row r="601" ht="14.25" customHeight="1">
      <c r="B601" s="61">
        <v>12.0</v>
      </c>
      <c r="C601" s="62" t="s">
        <v>1711</v>
      </c>
      <c r="D601" s="62">
        <v>265.0</v>
      </c>
      <c r="E601" s="62">
        <v>1818.0</v>
      </c>
      <c r="F601" s="63" t="s">
        <v>2464</v>
      </c>
      <c r="G601" s="62" t="s">
        <v>2465</v>
      </c>
      <c r="H601" s="62" t="s">
        <v>2466</v>
      </c>
      <c r="I601" s="62" t="s">
        <v>641</v>
      </c>
      <c r="J601" s="62" t="s">
        <v>1715</v>
      </c>
      <c r="K601" s="62">
        <v>1.0</v>
      </c>
      <c r="L601" s="5">
        <v>2221.0</v>
      </c>
      <c r="N601" s="62"/>
      <c r="O601" s="62"/>
      <c r="P601" s="62"/>
      <c r="Q601" s="62"/>
      <c r="R601" s="62"/>
      <c r="S601" s="62"/>
      <c r="T601" s="62"/>
      <c r="U601" s="62"/>
      <c r="V601" s="62"/>
      <c r="W601" s="62"/>
      <c r="X601" s="62"/>
      <c r="Y601" s="9"/>
      <c r="AO601" s="5" t="s">
        <v>2464</v>
      </c>
      <c r="AP601" s="5">
        <v>265.0</v>
      </c>
      <c r="AQ601" s="5" t="s">
        <v>1716</v>
      </c>
      <c r="AR601" s="5" t="s">
        <v>1717</v>
      </c>
      <c r="AS601" s="5" t="s">
        <v>1718</v>
      </c>
      <c r="AT601" s="5" t="s">
        <v>1703</v>
      </c>
      <c r="AU601" s="5" t="s">
        <v>1703</v>
      </c>
      <c r="AV601" s="5" t="s">
        <v>1720</v>
      </c>
      <c r="AW601" s="5" t="s">
        <v>2368</v>
      </c>
      <c r="AX601" s="5" t="s">
        <v>2258</v>
      </c>
      <c r="AY601" s="5">
        <v>52.5467</v>
      </c>
      <c r="AZ601" s="5">
        <v>-119.495</v>
      </c>
      <c r="BA601" s="5">
        <v>914.0</v>
      </c>
    </row>
    <row r="602" ht="14.25" customHeight="1">
      <c r="A602" s="5" t="s">
        <v>88</v>
      </c>
      <c r="B602" s="5">
        <v>12.0</v>
      </c>
      <c r="C602" s="5" t="s">
        <v>1711</v>
      </c>
      <c r="D602" s="5">
        <v>266.0</v>
      </c>
      <c r="E602" s="5">
        <v>1819.0</v>
      </c>
      <c r="F602" s="5" t="s">
        <v>2467</v>
      </c>
      <c r="G602" s="10" t="s">
        <v>2468</v>
      </c>
      <c r="H602" s="5" t="s">
        <v>2469</v>
      </c>
      <c r="I602" s="5" t="s">
        <v>641</v>
      </c>
      <c r="J602" s="5" t="s">
        <v>1865</v>
      </c>
      <c r="K602" s="5">
        <v>1.0</v>
      </c>
      <c r="L602" s="5">
        <v>2222.0</v>
      </c>
      <c r="M602" s="5">
        <v>52.34263</v>
      </c>
      <c r="N602" s="5">
        <v>-120.24375</v>
      </c>
      <c r="O602" s="5" t="s">
        <v>170</v>
      </c>
      <c r="P602" s="5">
        <v>266.0</v>
      </c>
      <c r="Q602" s="5">
        <v>2.0</v>
      </c>
      <c r="R602" s="5" t="s">
        <v>2467</v>
      </c>
      <c r="S602" s="5" t="s">
        <v>1737</v>
      </c>
      <c r="T602" s="5">
        <v>959.0</v>
      </c>
      <c r="W602" s="5">
        <v>34335.0</v>
      </c>
      <c r="X602" s="5" t="s">
        <v>1738</v>
      </c>
      <c r="AO602" s="5" t="s">
        <v>2467</v>
      </c>
      <c r="AP602" s="5">
        <v>266.0</v>
      </c>
      <c r="AQ602" s="5" t="s">
        <v>1716</v>
      </c>
      <c r="AR602" s="5" t="s">
        <v>1739</v>
      </c>
      <c r="AS602" s="5" t="s">
        <v>1740</v>
      </c>
      <c r="AT602" s="5" t="s">
        <v>1741</v>
      </c>
      <c r="AU602" s="5" t="s">
        <v>1742</v>
      </c>
      <c r="AV602" s="5" t="s">
        <v>1720</v>
      </c>
      <c r="AW602" s="5" t="s">
        <v>2368</v>
      </c>
      <c r="AX602" s="5" t="s">
        <v>2369</v>
      </c>
      <c r="AY602" s="5">
        <v>52.3425</v>
      </c>
      <c r="AZ602" s="5">
        <v>-120.2434</v>
      </c>
      <c r="BA602" s="5">
        <v>958.0</v>
      </c>
    </row>
    <row r="603" ht="14.25" customHeight="1">
      <c r="A603" s="5" t="s">
        <v>88</v>
      </c>
      <c r="B603" s="5">
        <v>12.0</v>
      </c>
      <c r="C603" s="5" t="s">
        <v>1711</v>
      </c>
      <c r="D603" s="5">
        <v>267.0</v>
      </c>
      <c r="E603" s="5">
        <v>1820.0</v>
      </c>
      <c r="F603" s="5" t="s">
        <v>2470</v>
      </c>
      <c r="G603" s="10" t="s">
        <v>2471</v>
      </c>
      <c r="H603" s="5" t="s">
        <v>2472</v>
      </c>
      <c r="I603" s="5" t="s">
        <v>641</v>
      </c>
      <c r="J603" s="5" t="s">
        <v>1865</v>
      </c>
      <c r="K603" s="5">
        <v>1.0</v>
      </c>
      <c r="L603" s="5">
        <v>2223.0</v>
      </c>
      <c r="M603" s="5">
        <v>51.97877</v>
      </c>
      <c r="N603" s="5">
        <v>-119.41338</v>
      </c>
      <c r="O603" s="5" t="s">
        <v>170</v>
      </c>
      <c r="P603" s="5">
        <v>267.0</v>
      </c>
      <c r="Q603" s="5">
        <v>4.0</v>
      </c>
      <c r="R603" s="5" t="s">
        <v>2470</v>
      </c>
      <c r="S603" s="5" t="s">
        <v>1737</v>
      </c>
      <c r="T603" s="5">
        <v>1478.0</v>
      </c>
      <c r="W603" s="5">
        <v>33239.0</v>
      </c>
      <c r="X603" s="5" t="s">
        <v>1738</v>
      </c>
      <c r="AO603" s="5" t="s">
        <v>2470</v>
      </c>
      <c r="AP603" s="5">
        <v>267.0</v>
      </c>
      <c r="AQ603" s="5" t="s">
        <v>1716</v>
      </c>
      <c r="AR603" s="5" t="s">
        <v>1739</v>
      </c>
      <c r="AS603" s="5" t="s">
        <v>1740</v>
      </c>
      <c r="AT603" s="5" t="s">
        <v>1741</v>
      </c>
      <c r="AU603" s="5" t="s">
        <v>1742</v>
      </c>
      <c r="AV603" s="5" t="s">
        <v>1720</v>
      </c>
      <c r="AW603" s="5" t="s">
        <v>2368</v>
      </c>
      <c r="AX603" s="5" t="s">
        <v>2369</v>
      </c>
      <c r="AY603" s="5">
        <v>51.9788</v>
      </c>
      <c r="AZ603" s="5">
        <v>-119.4134</v>
      </c>
      <c r="BA603" s="5">
        <v>1469.0</v>
      </c>
    </row>
    <row r="604" ht="14.25" customHeight="1">
      <c r="B604" s="5">
        <v>12.0</v>
      </c>
      <c r="C604" s="5" t="s">
        <v>1711</v>
      </c>
      <c r="D604" s="5">
        <v>268.0</v>
      </c>
      <c r="E604" s="5">
        <v>1821.0</v>
      </c>
      <c r="F604" s="18" t="s">
        <v>2473</v>
      </c>
      <c r="G604" s="5" t="s">
        <v>2474</v>
      </c>
      <c r="H604" s="5" t="s">
        <v>2475</v>
      </c>
      <c r="I604" s="5" t="s">
        <v>641</v>
      </c>
      <c r="J604" s="5" t="s">
        <v>1715</v>
      </c>
      <c r="K604" s="5">
        <v>1.0</v>
      </c>
      <c r="L604" s="5">
        <v>2224.0</v>
      </c>
      <c r="AO604" s="5" t="s">
        <v>2473</v>
      </c>
      <c r="AP604" s="5">
        <v>268.0</v>
      </c>
      <c r="AQ604" s="5" t="s">
        <v>1716</v>
      </c>
      <c r="AR604" s="5" t="s">
        <v>1717</v>
      </c>
      <c r="AS604" s="5" t="s">
        <v>1718</v>
      </c>
      <c r="AT604" s="5" t="s">
        <v>1703</v>
      </c>
      <c r="AU604" s="5" t="s">
        <v>1703</v>
      </c>
      <c r="AV604" s="5" t="s">
        <v>1720</v>
      </c>
      <c r="AW604" s="5" t="s">
        <v>2368</v>
      </c>
      <c r="AX604" s="5" t="s">
        <v>2401</v>
      </c>
      <c r="AY604" s="5">
        <v>51.8333</v>
      </c>
      <c r="AZ604" s="5">
        <v>-119.1367</v>
      </c>
      <c r="BA604" s="5">
        <v>975.0</v>
      </c>
    </row>
    <row r="605" ht="14.25" customHeight="1">
      <c r="B605" s="5">
        <v>12.0</v>
      </c>
      <c r="C605" s="5" t="s">
        <v>1711</v>
      </c>
      <c r="D605" s="5">
        <v>269.0</v>
      </c>
      <c r="E605" s="5">
        <v>1822.0</v>
      </c>
      <c r="F605" s="18" t="s">
        <v>2476</v>
      </c>
      <c r="G605" s="5" t="s">
        <v>2477</v>
      </c>
      <c r="H605" s="5" t="s">
        <v>2478</v>
      </c>
      <c r="I605" s="5" t="s">
        <v>641</v>
      </c>
      <c r="J605" s="5" t="s">
        <v>1715</v>
      </c>
      <c r="K605" s="5">
        <v>1.0</v>
      </c>
      <c r="L605" s="5">
        <v>2225.0</v>
      </c>
      <c r="AO605" s="5" t="s">
        <v>2476</v>
      </c>
      <c r="AP605" s="5">
        <v>269.0</v>
      </c>
      <c r="AQ605" s="5" t="s">
        <v>1716</v>
      </c>
      <c r="AR605" s="5" t="s">
        <v>1717</v>
      </c>
      <c r="AS605" s="5" t="s">
        <v>1718</v>
      </c>
      <c r="AT605" s="5" t="s">
        <v>1703</v>
      </c>
      <c r="AU605" s="5" t="s">
        <v>1703</v>
      </c>
      <c r="AV605" s="5" t="s">
        <v>1720</v>
      </c>
      <c r="AW605" s="5" t="s">
        <v>2368</v>
      </c>
      <c r="AX605" s="5" t="s">
        <v>2401</v>
      </c>
      <c r="AY605" s="5">
        <v>51.8167</v>
      </c>
      <c r="AZ605" s="5">
        <v>-119.6567</v>
      </c>
      <c r="BA605" s="5">
        <v>701.0</v>
      </c>
    </row>
    <row r="606" ht="14.25" customHeight="1">
      <c r="A606" s="5" t="s">
        <v>88</v>
      </c>
      <c r="B606" s="5">
        <v>12.0</v>
      </c>
      <c r="C606" s="5" t="s">
        <v>1711</v>
      </c>
      <c r="D606" s="5">
        <v>270.0</v>
      </c>
      <c r="E606" s="5">
        <v>1823.0</v>
      </c>
      <c r="F606" s="5" t="s">
        <v>2479</v>
      </c>
      <c r="G606" s="10" t="s">
        <v>2480</v>
      </c>
      <c r="H606" s="5" t="s">
        <v>2481</v>
      </c>
      <c r="I606" s="5" t="s">
        <v>641</v>
      </c>
      <c r="J606" s="5" t="s">
        <v>1865</v>
      </c>
      <c r="K606" s="5">
        <v>1.0</v>
      </c>
      <c r="L606" s="5">
        <v>2226.0</v>
      </c>
      <c r="M606" s="5">
        <v>52.4526</v>
      </c>
      <c r="N606" s="5">
        <v>-119.17533</v>
      </c>
      <c r="O606" s="5" t="s">
        <v>170</v>
      </c>
      <c r="P606" s="5">
        <v>270.0</v>
      </c>
      <c r="Q606" s="5">
        <v>6.0</v>
      </c>
      <c r="R606" s="5" t="s">
        <v>2479</v>
      </c>
      <c r="S606" s="5" t="s">
        <v>1737</v>
      </c>
      <c r="T606" s="5">
        <v>1873.0</v>
      </c>
      <c r="U606" s="5" t="s">
        <v>645</v>
      </c>
      <c r="W606" s="5">
        <v>35065.0</v>
      </c>
      <c r="X606" s="5" t="s">
        <v>1738</v>
      </c>
      <c r="AO606" s="5" t="s">
        <v>2479</v>
      </c>
      <c r="AP606" s="5">
        <v>270.0</v>
      </c>
      <c r="AQ606" s="5" t="s">
        <v>1716</v>
      </c>
      <c r="AR606" s="5" t="s">
        <v>1739</v>
      </c>
      <c r="AS606" s="5" t="s">
        <v>1740</v>
      </c>
      <c r="AT606" s="5" t="s">
        <v>1835</v>
      </c>
      <c r="AU606" s="5" t="s">
        <v>1959</v>
      </c>
      <c r="AV606" s="5" t="s">
        <v>1720</v>
      </c>
      <c r="AW606" s="5" t="s">
        <v>2003</v>
      </c>
      <c r="AX606" s="5" t="s">
        <v>2258</v>
      </c>
      <c r="AY606" s="5">
        <v>52.4526</v>
      </c>
      <c r="AZ606" s="5">
        <v>-119.1753</v>
      </c>
      <c r="BA606" s="5">
        <v>1873.0</v>
      </c>
    </row>
    <row r="607" ht="14.25" customHeight="1">
      <c r="B607" s="5">
        <v>12.0</v>
      </c>
      <c r="C607" s="5" t="s">
        <v>1711</v>
      </c>
      <c r="D607" s="5">
        <v>271.0</v>
      </c>
      <c r="E607" s="5">
        <v>1824.0</v>
      </c>
      <c r="F607" s="5" t="s">
        <v>2482</v>
      </c>
      <c r="G607" s="5" t="s">
        <v>2483</v>
      </c>
      <c r="H607" s="5" t="s">
        <v>2484</v>
      </c>
      <c r="I607" s="5" t="s">
        <v>641</v>
      </c>
      <c r="J607" s="5" t="s">
        <v>1715</v>
      </c>
      <c r="K607" s="5">
        <v>1.0</v>
      </c>
      <c r="L607" s="5">
        <v>2227.0</v>
      </c>
      <c r="AO607" s="5" t="s">
        <v>2485</v>
      </c>
      <c r="AP607" s="5">
        <v>271.0</v>
      </c>
      <c r="AQ607" s="5" t="s">
        <v>1716</v>
      </c>
      <c r="AR607" s="5" t="s">
        <v>1717</v>
      </c>
      <c r="AS607" s="5" t="s">
        <v>1718</v>
      </c>
      <c r="AT607" s="5" t="s">
        <v>1835</v>
      </c>
      <c r="AU607" s="5" t="s">
        <v>2162</v>
      </c>
      <c r="AV607" s="5" t="s">
        <v>1720</v>
      </c>
      <c r="AW607" s="5" t="s">
        <v>2193</v>
      </c>
      <c r="AX607" s="5" t="s">
        <v>2356</v>
      </c>
      <c r="AY607" s="5">
        <v>52.625</v>
      </c>
      <c r="AZ607" s="5">
        <v>-120.3583</v>
      </c>
      <c r="BA607" s="5">
        <v>910.0</v>
      </c>
    </row>
    <row r="608" ht="14.25" customHeight="1">
      <c r="B608" s="5">
        <v>12.0</v>
      </c>
      <c r="C608" s="5" t="s">
        <v>1711</v>
      </c>
      <c r="D608" s="5">
        <v>272.0</v>
      </c>
      <c r="E608" s="5">
        <v>1825.0</v>
      </c>
      <c r="F608" s="18" t="s">
        <v>2486</v>
      </c>
      <c r="G608" s="5" t="s">
        <v>2487</v>
      </c>
      <c r="H608" s="5" t="s">
        <v>2488</v>
      </c>
      <c r="I608" s="5" t="s">
        <v>641</v>
      </c>
      <c r="J608" s="5" t="s">
        <v>1715</v>
      </c>
      <c r="K608" s="5">
        <v>1.0</v>
      </c>
      <c r="L608" s="5">
        <v>2228.0</v>
      </c>
      <c r="M608" s="8"/>
      <c r="AK608" s="9"/>
      <c r="AO608" s="5" t="s">
        <v>2486</v>
      </c>
      <c r="AP608" s="5">
        <v>272.0</v>
      </c>
      <c r="AQ608" s="5" t="s">
        <v>1716</v>
      </c>
      <c r="AR608" s="5" t="s">
        <v>1717</v>
      </c>
      <c r="AS608" s="5" t="s">
        <v>1718</v>
      </c>
      <c r="AT608" s="5" t="s">
        <v>1719</v>
      </c>
      <c r="AU608" s="5" t="s">
        <v>2489</v>
      </c>
      <c r="AV608" s="5" t="s">
        <v>1720</v>
      </c>
      <c r="AW608" s="5" t="s">
        <v>2368</v>
      </c>
      <c r="AX608" s="5" t="s">
        <v>2401</v>
      </c>
      <c r="AY608" s="5">
        <v>51.875</v>
      </c>
      <c r="AZ608" s="5">
        <v>-119.2167</v>
      </c>
      <c r="BA608" s="5">
        <v>2133.0</v>
      </c>
    </row>
    <row r="609" ht="14.25" customHeight="1">
      <c r="B609" s="5">
        <v>12.0</v>
      </c>
      <c r="C609" s="5" t="s">
        <v>1711</v>
      </c>
      <c r="D609" s="5">
        <v>273.0</v>
      </c>
      <c r="E609" s="5">
        <v>1826.0</v>
      </c>
      <c r="F609" s="18" t="s">
        <v>2490</v>
      </c>
      <c r="G609" s="5" t="s">
        <v>2491</v>
      </c>
      <c r="H609" s="5" t="s">
        <v>1714</v>
      </c>
      <c r="I609" s="5" t="s">
        <v>1664</v>
      </c>
      <c r="J609" s="5" t="s">
        <v>1715</v>
      </c>
      <c r="K609" s="5">
        <v>1.0</v>
      </c>
      <c r="L609" s="5">
        <v>2229.0</v>
      </c>
      <c r="M609" s="8"/>
      <c r="AK609" s="9"/>
      <c r="AO609" s="5" t="s">
        <v>2490</v>
      </c>
      <c r="AP609" s="5">
        <v>273.0</v>
      </c>
      <c r="AQ609" s="5" t="s">
        <v>1716</v>
      </c>
      <c r="AR609" s="5" t="s">
        <v>1717</v>
      </c>
      <c r="AS609" s="5" t="s">
        <v>1718</v>
      </c>
      <c r="AT609" s="5" t="s">
        <v>1719</v>
      </c>
      <c r="AU609" s="5" t="s">
        <v>1703</v>
      </c>
      <c r="AV609" s="5" t="s">
        <v>1720</v>
      </c>
      <c r="AW609" s="5" t="s">
        <v>2368</v>
      </c>
      <c r="AX609" s="5" t="s">
        <v>2492</v>
      </c>
      <c r="AY609" s="5">
        <v>50.1</v>
      </c>
      <c r="AZ609" s="5">
        <v>-120.4</v>
      </c>
      <c r="BA609" s="5">
        <v>15.0</v>
      </c>
    </row>
    <row r="610" ht="14.25" customHeight="1">
      <c r="B610" s="5">
        <v>12.0</v>
      </c>
      <c r="C610" s="5" t="s">
        <v>1711</v>
      </c>
      <c r="D610" s="5">
        <v>275.0</v>
      </c>
      <c r="E610" s="5">
        <v>1827.0</v>
      </c>
      <c r="F610" s="18" t="s">
        <v>2493</v>
      </c>
      <c r="G610" s="5" t="s">
        <v>2494</v>
      </c>
      <c r="H610" s="5" t="s">
        <v>2495</v>
      </c>
      <c r="I610" s="5" t="s">
        <v>1664</v>
      </c>
      <c r="J610" s="5" t="s">
        <v>1715</v>
      </c>
      <c r="K610" s="5">
        <v>1.0</v>
      </c>
      <c r="L610" s="5">
        <v>2230.0</v>
      </c>
      <c r="M610" s="8"/>
      <c r="AK610" s="9"/>
      <c r="AO610" s="5" t="s">
        <v>2493</v>
      </c>
      <c r="AP610" s="5">
        <v>275.0</v>
      </c>
      <c r="AQ610" s="5" t="s">
        <v>1716</v>
      </c>
      <c r="AR610" s="5" t="s">
        <v>1717</v>
      </c>
      <c r="AS610" s="5" t="s">
        <v>1718</v>
      </c>
      <c r="AT610" s="5" t="s">
        <v>1719</v>
      </c>
      <c r="AU610" s="5" t="s">
        <v>1703</v>
      </c>
      <c r="AV610" s="5" t="s">
        <v>1720</v>
      </c>
      <c r="AW610" s="5" t="s">
        <v>2368</v>
      </c>
      <c r="AX610" s="5" t="s">
        <v>2369</v>
      </c>
      <c r="AY610" s="5">
        <v>50.7</v>
      </c>
      <c r="AZ610" s="5">
        <v>-120.3</v>
      </c>
      <c r="BA610" s="5">
        <v>3.0</v>
      </c>
    </row>
    <row r="611" ht="14.25" customHeight="1">
      <c r="B611" s="5">
        <v>12.0</v>
      </c>
      <c r="C611" s="5" t="s">
        <v>1711</v>
      </c>
      <c r="D611" s="5">
        <v>278.0</v>
      </c>
      <c r="E611" s="5">
        <v>1828.0</v>
      </c>
      <c r="F611" s="18" t="s">
        <v>2496</v>
      </c>
      <c r="G611" s="5" t="s">
        <v>2497</v>
      </c>
      <c r="H611" s="5" t="s">
        <v>2498</v>
      </c>
      <c r="I611" s="5" t="s">
        <v>641</v>
      </c>
      <c r="J611" s="5" t="s">
        <v>1715</v>
      </c>
      <c r="K611" s="5">
        <v>1.0</v>
      </c>
      <c r="L611" s="5">
        <v>2231.0</v>
      </c>
      <c r="M611" s="8"/>
      <c r="AK611" s="9"/>
      <c r="AO611" s="5" t="s">
        <v>2496</v>
      </c>
      <c r="AP611" s="5">
        <v>278.0</v>
      </c>
      <c r="AQ611" s="5" t="s">
        <v>1716</v>
      </c>
      <c r="AR611" s="5" t="s">
        <v>1717</v>
      </c>
      <c r="AS611" s="5" t="s">
        <v>1718</v>
      </c>
      <c r="AT611" s="5" t="s">
        <v>1703</v>
      </c>
      <c r="AU611" s="5" t="s">
        <v>1703</v>
      </c>
      <c r="AV611" s="5" t="s">
        <v>1720</v>
      </c>
      <c r="AW611" s="5" t="s">
        <v>2368</v>
      </c>
      <c r="AX611" s="5" t="s">
        <v>2492</v>
      </c>
      <c r="AY611" s="5">
        <v>49.3233</v>
      </c>
      <c r="AZ611" s="5">
        <v>-120.795</v>
      </c>
      <c r="BA611" s="5">
        <v>1615.0</v>
      </c>
    </row>
    <row r="612" ht="14.25" customHeight="1">
      <c r="A612" s="5" t="s">
        <v>88</v>
      </c>
      <c r="B612" s="5">
        <v>12.0</v>
      </c>
      <c r="C612" s="5" t="s">
        <v>1711</v>
      </c>
      <c r="D612" s="5">
        <v>279.0</v>
      </c>
      <c r="E612" s="5">
        <v>1829.0</v>
      </c>
      <c r="F612" s="5" t="s">
        <v>2499</v>
      </c>
      <c r="G612" s="10" t="s">
        <v>2500</v>
      </c>
      <c r="H612" s="5" t="s">
        <v>2501</v>
      </c>
      <c r="I612" s="5" t="s">
        <v>641</v>
      </c>
      <c r="J612" s="5" t="s">
        <v>1736</v>
      </c>
      <c r="K612" s="5">
        <v>1.0</v>
      </c>
      <c r="L612" s="5">
        <v>2232.0</v>
      </c>
      <c r="M612" s="8">
        <v>49.71515</v>
      </c>
      <c r="N612" s="5">
        <v>-120.86605</v>
      </c>
      <c r="O612" s="5" t="s">
        <v>142</v>
      </c>
      <c r="P612" s="5">
        <v>279.0</v>
      </c>
      <c r="Q612" s="5">
        <v>5.0</v>
      </c>
      <c r="R612" s="5" t="s">
        <v>2499</v>
      </c>
      <c r="S612" s="5" t="s">
        <v>1737</v>
      </c>
      <c r="T612" s="5">
        <v>1407.0</v>
      </c>
      <c r="W612" s="5">
        <v>28126.0</v>
      </c>
      <c r="X612" s="5" t="s">
        <v>1738</v>
      </c>
      <c r="AK612" s="9"/>
      <c r="AO612" s="5" t="s">
        <v>2499</v>
      </c>
      <c r="AP612" s="5">
        <v>279.0</v>
      </c>
      <c r="AQ612" s="5" t="s">
        <v>1700</v>
      </c>
      <c r="AR612" s="5" t="s">
        <v>1739</v>
      </c>
      <c r="AS612" s="5" t="s">
        <v>1740</v>
      </c>
      <c r="AT612" s="5" t="s">
        <v>1741</v>
      </c>
      <c r="AU612" s="5" t="s">
        <v>1959</v>
      </c>
      <c r="AV612" s="5" t="s">
        <v>1720</v>
      </c>
      <c r="AW612" s="5" t="s">
        <v>2368</v>
      </c>
      <c r="AX612" s="5" t="s">
        <v>2492</v>
      </c>
      <c r="AY612" s="5">
        <v>49.7152</v>
      </c>
      <c r="AZ612" s="5">
        <v>-120.866</v>
      </c>
      <c r="BA612" s="5">
        <v>1407.0</v>
      </c>
    </row>
    <row r="613" ht="14.25" customHeight="1">
      <c r="A613" s="5" t="s">
        <v>88</v>
      </c>
      <c r="B613" s="5">
        <v>12.0</v>
      </c>
      <c r="C613" s="5" t="s">
        <v>1711</v>
      </c>
      <c r="D613" s="5">
        <v>280.0</v>
      </c>
      <c r="E613" s="5">
        <v>1830.0</v>
      </c>
      <c r="F613" s="5" t="s">
        <v>2502</v>
      </c>
      <c r="G613" s="10" t="s">
        <v>2503</v>
      </c>
      <c r="H613" s="5" t="s">
        <v>2504</v>
      </c>
      <c r="I613" s="5" t="s">
        <v>641</v>
      </c>
      <c r="J613" s="5" t="s">
        <v>1736</v>
      </c>
      <c r="K613" s="5">
        <v>1.0</v>
      </c>
      <c r="L613" s="5">
        <v>2233.0</v>
      </c>
      <c r="M613" s="8">
        <v>50.67202</v>
      </c>
      <c r="N613" s="5">
        <v>-121.88818</v>
      </c>
      <c r="O613" s="5" t="s">
        <v>142</v>
      </c>
      <c r="P613" s="5">
        <v>280.0</v>
      </c>
      <c r="Q613" s="5">
        <v>1.0</v>
      </c>
      <c r="R613" s="5" t="s">
        <v>2502</v>
      </c>
      <c r="S613" s="5" t="s">
        <v>1737</v>
      </c>
      <c r="T613" s="5">
        <v>408.0</v>
      </c>
      <c r="U613" s="5" t="s">
        <v>645</v>
      </c>
      <c r="V613" s="5" t="s">
        <v>1830</v>
      </c>
      <c r="W613" s="5">
        <v>28126.0</v>
      </c>
      <c r="X613" s="5" t="s">
        <v>1738</v>
      </c>
      <c r="AK613" s="9"/>
      <c r="AO613" s="5" t="s">
        <v>2502</v>
      </c>
      <c r="AP613" s="5">
        <v>280.0</v>
      </c>
      <c r="AQ613" s="5" t="s">
        <v>1700</v>
      </c>
      <c r="AR613" s="5" t="s">
        <v>1739</v>
      </c>
      <c r="AS613" s="5" t="s">
        <v>1740</v>
      </c>
      <c r="AT613" s="5" t="s">
        <v>1741</v>
      </c>
      <c r="AU613" s="5" t="s">
        <v>1772</v>
      </c>
      <c r="AV613" s="5" t="s">
        <v>1720</v>
      </c>
      <c r="AW613" s="5" t="s">
        <v>2368</v>
      </c>
      <c r="AX613" s="5" t="s">
        <v>2505</v>
      </c>
      <c r="AY613" s="5">
        <v>50.672</v>
      </c>
      <c r="AZ613" s="5">
        <v>-121.8882</v>
      </c>
      <c r="BA613" s="5">
        <v>408.0</v>
      </c>
    </row>
    <row r="614" ht="14.25" customHeight="1">
      <c r="A614" s="5" t="s">
        <v>88</v>
      </c>
      <c r="B614" s="5">
        <v>12.0</v>
      </c>
      <c r="C614" s="5" t="s">
        <v>1711</v>
      </c>
      <c r="D614" s="5">
        <v>281.0</v>
      </c>
      <c r="E614" s="5">
        <v>1831.0</v>
      </c>
      <c r="F614" s="5" t="s">
        <v>2506</v>
      </c>
      <c r="G614" s="10" t="s">
        <v>2507</v>
      </c>
      <c r="H614" s="5" t="s">
        <v>2508</v>
      </c>
      <c r="I614" s="5" t="s">
        <v>641</v>
      </c>
      <c r="J614" s="5" t="s">
        <v>1715</v>
      </c>
      <c r="K614" s="5">
        <v>1.0</v>
      </c>
      <c r="L614" s="5">
        <v>2234.0</v>
      </c>
      <c r="M614" s="8"/>
      <c r="AK614" s="9"/>
      <c r="AO614" s="5" t="s">
        <v>2509</v>
      </c>
      <c r="AP614" s="5">
        <v>281.0</v>
      </c>
      <c r="AQ614" s="5" t="s">
        <v>1716</v>
      </c>
      <c r="AR614" s="5" t="s">
        <v>1717</v>
      </c>
      <c r="AS614" s="5" t="s">
        <v>1718</v>
      </c>
      <c r="AT614" s="5" t="s">
        <v>1841</v>
      </c>
      <c r="AU614" s="5" t="s">
        <v>1959</v>
      </c>
      <c r="AV614" s="5" t="s">
        <v>1720</v>
      </c>
      <c r="AW614" s="5" t="s">
        <v>2368</v>
      </c>
      <c r="AX614" s="5" t="s">
        <v>2505</v>
      </c>
      <c r="AY614" s="5">
        <v>50.4</v>
      </c>
      <c r="AZ614" s="5">
        <v>-121.5698</v>
      </c>
      <c r="BA614" s="5">
        <v>1586.0</v>
      </c>
    </row>
    <row r="615" ht="14.25" customHeight="1">
      <c r="B615" s="5">
        <v>12.0</v>
      </c>
      <c r="C615" s="5" t="s">
        <v>1711</v>
      </c>
      <c r="D615" s="5">
        <v>282.0</v>
      </c>
      <c r="E615" s="5">
        <v>1832.0</v>
      </c>
      <c r="F615" s="18" t="s">
        <v>2510</v>
      </c>
      <c r="G615" s="5" t="s">
        <v>2511</v>
      </c>
      <c r="H615" s="5" t="s">
        <v>2512</v>
      </c>
      <c r="I615" s="5" t="s">
        <v>641</v>
      </c>
      <c r="J615" s="5" t="s">
        <v>1715</v>
      </c>
      <c r="K615" s="5">
        <v>1.0</v>
      </c>
      <c r="L615" s="5">
        <v>2235.0</v>
      </c>
      <c r="M615" s="8"/>
      <c r="AK615" s="9"/>
      <c r="AO615" s="5" t="s">
        <v>2510</v>
      </c>
      <c r="AP615" s="5">
        <v>282.0</v>
      </c>
      <c r="AQ615" s="5" t="s">
        <v>1716</v>
      </c>
      <c r="AR615" s="5" t="s">
        <v>1717</v>
      </c>
      <c r="AS615" s="5" t="s">
        <v>1718</v>
      </c>
      <c r="AT615" s="5" t="s">
        <v>1703</v>
      </c>
      <c r="AU615" s="5" t="s">
        <v>1703</v>
      </c>
      <c r="AV615" s="5" t="s">
        <v>1720</v>
      </c>
      <c r="AW615" s="5" t="s">
        <v>2368</v>
      </c>
      <c r="AX615" s="5" t="s">
        <v>2492</v>
      </c>
      <c r="AY615" s="5">
        <v>49.7667</v>
      </c>
      <c r="AZ615" s="5">
        <v>-120.4217</v>
      </c>
      <c r="BA615" s="5">
        <v>1341.0</v>
      </c>
    </row>
    <row r="616" ht="14.25" customHeight="1">
      <c r="A616" s="5" t="s">
        <v>88</v>
      </c>
      <c r="B616" s="5">
        <v>12.0</v>
      </c>
      <c r="C616" s="5" t="s">
        <v>1711</v>
      </c>
      <c r="D616" s="5">
        <v>283.0</v>
      </c>
      <c r="E616" s="5">
        <v>1833.0</v>
      </c>
      <c r="F616" s="5" t="s">
        <v>2513</v>
      </c>
      <c r="G616" s="10" t="s">
        <v>2514</v>
      </c>
      <c r="H616" s="5" t="s">
        <v>2515</v>
      </c>
      <c r="I616" s="5" t="s">
        <v>641</v>
      </c>
      <c r="J616" s="5" t="s">
        <v>1865</v>
      </c>
      <c r="K616" s="5">
        <v>1.0</v>
      </c>
      <c r="L616" s="5">
        <v>2236.0</v>
      </c>
      <c r="M616" s="8">
        <v>49.86842</v>
      </c>
      <c r="N616" s="5">
        <v>-119.99252</v>
      </c>
      <c r="O616" s="5" t="s">
        <v>142</v>
      </c>
      <c r="P616" s="5">
        <v>283.0</v>
      </c>
      <c r="Q616" s="5">
        <v>6.0</v>
      </c>
      <c r="R616" s="5" t="s">
        <v>2513</v>
      </c>
      <c r="S616" s="5" t="s">
        <v>1737</v>
      </c>
      <c r="T616" s="5">
        <v>1476.0</v>
      </c>
      <c r="W616" s="5">
        <v>28126.0</v>
      </c>
      <c r="X616" s="5" t="s">
        <v>1738</v>
      </c>
      <c r="AK616" s="9"/>
      <c r="AO616" s="5" t="s">
        <v>2513</v>
      </c>
      <c r="AP616" s="5">
        <v>283.0</v>
      </c>
      <c r="AQ616" s="5" t="s">
        <v>1700</v>
      </c>
      <c r="AR616" s="5" t="s">
        <v>1739</v>
      </c>
      <c r="AS616" s="5" t="s">
        <v>1740</v>
      </c>
      <c r="AT616" s="5" t="s">
        <v>1835</v>
      </c>
      <c r="AU616" s="5" t="s">
        <v>1959</v>
      </c>
      <c r="AV616" s="5" t="s">
        <v>1720</v>
      </c>
      <c r="AW616" s="5" t="s">
        <v>2368</v>
      </c>
      <c r="AX616" s="5" t="s">
        <v>2516</v>
      </c>
      <c r="AY616" s="5">
        <v>49.8684</v>
      </c>
      <c r="AZ616" s="5">
        <v>-119.9925</v>
      </c>
      <c r="BA616" s="5">
        <v>1463.0</v>
      </c>
    </row>
    <row r="617" ht="14.25" customHeight="1">
      <c r="B617" s="5">
        <v>12.0</v>
      </c>
      <c r="C617" s="5" t="s">
        <v>1711</v>
      </c>
      <c r="D617" s="5">
        <v>284.0</v>
      </c>
      <c r="E617" s="5">
        <v>1834.0</v>
      </c>
      <c r="F617" s="18" t="s">
        <v>2517</v>
      </c>
      <c r="G617" s="5" t="s">
        <v>2518</v>
      </c>
      <c r="H617" s="5" t="s">
        <v>2519</v>
      </c>
      <c r="I617" s="5" t="s">
        <v>641</v>
      </c>
      <c r="J617" s="5" t="s">
        <v>1715</v>
      </c>
      <c r="K617" s="5">
        <v>1.0</v>
      </c>
      <c r="L617" s="5">
        <v>2237.0</v>
      </c>
      <c r="M617" s="8"/>
      <c r="AK617" s="9"/>
      <c r="AO617" s="5" t="s">
        <v>2517</v>
      </c>
      <c r="AP617" s="5">
        <v>284.0</v>
      </c>
      <c r="AQ617" s="5" t="s">
        <v>1716</v>
      </c>
      <c r="AR617" s="5" t="s">
        <v>1717</v>
      </c>
      <c r="AS617" s="5" t="s">
        <v>1718</v>
      </c>
      <c r="AT617" s="5" t="s">
        <v>1703</v>
      </c>
      <c r="AU617" s="5" t="s">
        <v>1703</v>
      </c>
      <c r="AV617" s="5" t="s">
        <v>1720</v>
      </c>
      <c r="AW617" s="5" t="s">
        <v>2368</v>
      </c>
      <c r="AX617" s="5" t="s">
        <v>2492</v>
      </c>
      <c r="AY617" s="5">
        <v>49.9317</v>
      </c>
      <c r="AZ617" s="5">
        <v>-121.1183</v>
      </c>
      <c r="BA617" s="5">
        <v>1036.0</v>
      </c>
    </row>
    <row r="618" ht="14.25" customHeight="1">
      <c r="B618" s="5">
        <v>12.0</v>
      </c>
      <c r="C618" s="5" t="s">
        <v>1711</v>
      </c>
      <c r="D618" s="5">
        <v>285.0</v>
      </c>
      <c r="E618" s="5">
        <v>1835.0</v>
      </c>
      <c r="F618" s="18" t="s">
        <v>2520</v>
      </c>
      <c r="G618" s="5" t="s">
        <v>2521</v>
      </c>
      <c r="H618" s="5" t="s">
        <v>2027</v>
      </c>
      <c r="I618" s="5" t="s">
        <v>1664</v>
      </c>
      <c r="J618" s="5" t="s">
        <v>1715</v>
      </c>
      <c r="K618" s="5">
        <v>1.0</v>
      </c>
      <c r="L618" s="5">
        <v>2238.0</v>
      </c>
      <c r="M618" s="8"/>
      <c r="AK618" s="9"/>
      <c r="AO618" s="5" t="s">
        <v>2520</v>
      </c>
      <c r="AP618" s="5">
        <v>285.0</v>
      </c>
      <c r="AQ618" s="5" t="s">
        <v>1716</v>
      </c>
      <c r="AR618" s="5" t="s">
        <v>1717</v>
      </c>
      <c r="AS618" s="5" t="s">
        <v>1718</v>
      </c>
      <c r="AT618" s="5" t="s">
        <v>1719</v>
      </c>
      <c r="AU618" s="5" t="s">
        <v>1703</v>
      </c>
      <c r="AV618" s="5" t="s">
        <v>1720</v>
      </c>
      <c r="AW618" s="5" t="s">
        <v>2368</v>
      </c>
      <c r="AX618" s="5" t="s">
        <v>2522</v>
      </c>
      <c r="AY618" s="5">
        <v>50.2</v>
      </c>
      <c r="AZ618" s="5">
        <v>-119.0</v>
      </c>
      <c r="BA618" s="5">
        <v>0.0</v>
      </c>
    </row>
    <row r="619" ht="14.25" customHeight="1">
      <c r="A619" s="5" t="s">
        <v>88</v>
      </c>
      <c r="B619" s="5">
        <v>12.0</v>
      </c>
      <c r="C619" s="5" t="s">
        <v>1711</v>
      </c>
      <c r="D619" s="5">
        <v>286.0</v>
      </c>
      <c r="E619" s="5">
        <v>1836.0</v>
      </c>
      <c r="F619" s="5" t="s">
        <v>2523</v>
      </c>
      <c r="G619" s="10" t="s">
        <v>2524</v>
      </c>
      <c r="H619" s="5" t="s">
        <v>2525</v>
      </c>
      <c r="I619" s="5" t="s">
        <v>641</v>
      </c>
      <c r="J619" s="5" t="s">
        <v>1736</v>
      </c>
      <c r="K619" s="5">
        <v>1.0</v>
      </c>
      <c r="L619" s="5">
        <v>2239.0</v>
      </c>
      <c r="M619" s="8">
        <v>50.80333</v>
      </c>
      <c r="N619" s="5">
        <v>-119.63</v>
      </c>
      <c r="O619" s="5" t="s">
        <v>142</v>
      </c>
      <c r="P619" s="5">
        <v>286.0</v>
      </c>
      <c r="Q619" s="5">
        <v>1.0</v>
      </c>
      <c r="R619" s="5" t="s">
        <v>2523</v>
      </c>
      <c r="S619" s="5" t="s">
        <v>1737</v>
      </c>
      <c r="T619" s="5">
        <v>640.0</v>
      </c>
      <c r="U619" s="5" t="s">
        <v>645</v>
      </c>
      <c r="W619" s="5">
        <v>28126.0</v>
      </c>
      <c r="X619" s="5" t="s">
        <v>1738</v>
      </c>
      <c r="AK619" s="9"/>
      <c r="AO619" s="5" t="s">
        <v>2523</v>
      </c>
      <c r="AP619" s="5">
        <v>286.0</v>
      </c>
      <c r="AQ619" s="5" t="s">
        <v>1700</v>
      </c>
      <c r="AR619" s="5" t="s">
        <v>1739</v>
      </c>
      <c r="AS619" s="5" t="s">
        <v>1740</v>
      </c>
      <c r="AT619" s="5" t="s">
        <v>1741</v>
      </c>
      <c r="AU619" s="5" t="s">
        <v>1772</v>
      </c>
      <c r="AV619" s="5" t="s">
        <v>1720</v>
      </c>
      <c r="AW619" s="5" t="s">
        <v>2368</v>
      </c>
      <c r="AX619" s="5" t="s">
        <v>2522</v>
      </c>
      <c r="AY619" s="5">
        <v>50.8036</v>
      </c>
      <c r="AZ619" s="5">
        <v>-119.6307</v>
      </c>
      <c r="BA619" s="5">
        <v>660.0</v>
      </c>
    </row>
    <row r="620" ht="14.25" customHeight="1">
      <c r="B620" s="5">
        <v>12.0</v>
      </c>
      <c r="C620" s="5" t="s">
        <v>1711</v>
      </c>
      <c r="D620" s="5">
        <v>287.0</v>
      </c>
      <c r="E620" s="5">
        <v>1837.0</v>
      </c>
      <c r="F620" s="18" t="s">
        <v>2526</v>
      </c>
      <c r="G620" s="5" t="s">
        <v>2527</v>
      </c>
      <c r="H620" s="5" t="s">
        <v>2528</v>
      </c>
      <c r="I620" s="5" t="s">
        <v>1664</v>
      </c>
      <c r="J620" s="5" t="s">
        <v>1715</v>
      </c>
      <c r="K620" s="5">
        <v>1.0</v>
      </c>
      <c r="L620" s="5">
        <v>2240.0</v>
      </c>
      <c r="M620" s="8"/>
      <c r="AK620" s="9"/>
      <c r="AO620" s="5" t="s">
        <v>2529</v>
      </c>
      <c r="AP620" s="5">
        <v>287.0</v>
      </c>
      <c r="AQ620" s="5" t="s">
        <v>1716</v>
      </c>
      <c r="AR620" s="5" t="s">
        <v>1717</v>
      </c>
      <c r="AS620" s="5" t="s">
        <v>1718</v>
      </c>
      <c r="AT620" s="5" t="s">
        <v>1703</v>
      </c>
      <c r="AU620" s="5" t="s">
        <v>1703</v>
      </c>
      <c r="AV620" s="5" t="s">
        <v>1720</v>
      </c>
      <c r="AW620" s="5" t="s">
        <v>2368</v>
      </c>
      <c r="AX620" s="5" t="s">
        <v>2505</v>
      </c>
      <c r="AY620" s="5">
        <v>50.8</v>
      </c>
      <c r="AZ620" s="5">
        <v>-122.8</v>
      </c>
      <c r="BA620" s="5">
        <v>0.0</v>
      </c>
    </row>
    <row r="621" ht="14.25" customHeight="1">
      <c r="B621" s="5">
        <v>12.0</v>
      </c>
      <c r="C621" s="5" t="s">
        <v>1711</v>
      </c>
      <c r="D621" s="5">
        <v>288.0</v>
      </c>
      <c r="E621" s="5">
        <v>1838.0</v>
      </c>
      <c r="F621" s="18" t="s">
        <v>2530</v>
      </c>
      <c r="G621" s="5" t="s">
        <v>2531</v>
      </c>
      <c r="H621" s="5" t="s">
        <v>1787</v>
      </c>
      <c r="I621" s="5" t="s">
        <v>1664</v>
      </c>
      <c r="J621" s="5" t="s">
        <v>1715</v>
      </c>
      <c r="K621" s="5">
        <v>1.0</v>
      </c>
      <c r="L621" s="5">
        <v>2241.0</v>
      </c>
      <c r="M621" s="8"/>
      <c r="AK621" s="9"/>
      <c r="AO621" s="5" t="s">
        <v>2530</v>
      </c>
      <c r="AP621" s="5">
        <v>288.0</v>
      </c>
      <c r="AQ621" s="5" t="s">
        <v>1716</v>
      </c>
      <c r="AR621" s="5" t="s">
        <v>1717</v>
      </c>
      <c r="AS621" s="5" t="s">
        <v>1718</v>
      </c>
      <c r="AT621" s="5" t="s">
        <v>1719</v>
      </c>
      <c r="AU621" s="5" t="s">
        <v>1703</v>
      </c>
      <c r="AV621" s="5" t="s">
        <v>1720</v>
      </c>
      <c r="AW621" s="5" t="s">
        <v>2368</v>
      </c>
      <c r="AX621" s="5" t="s">
        <v>2522</v>
      </c>
      <c r="AY621" s="5">
        <v>50.3</v>
      </c>
      <c r="AZ621" s="5">
        <v>-119.3</v>
      </c>
      <c r="BA621" s="5">
        <v>0.0</v>
      </c>
    </row>
    <row r="622" ht="14.25" customHeight="1">
      <c r="B622" s="5">
        <v>12.0</v>
      </c>
      <c r="C622" s="5" t="s">
        <v>1711</v>
      </c>
      <c r="D622" s="5">
        <v>289.0</v>
      </c>
      <c r="E622" s="5">
        <v>1839.0</v>
      </c>
      <c r="F622" s="18" t="s">
        <v>2532</v>
      </c>
      <c r="G622" s="5" t="s">
        <v>2533</v>
      </c>
      <c r="H622" s="5" t="s">
        <v>2534</v>
      </c>
      <c r="I622" s="5" t="s">
        <v>1664</v>
      </c>
      <c r="J622" s="5" t="s">
        <v>1746</v>
      </c>
      <c r="K622" s="5">
        <v>1.0</v>
      </c>
      <c r="L622" s="5">
        <v>2242.0</v>
      </c>
      <c r="M622" s="8"/>
      <c r="AO622" s="5" t="s">
        <v>2532</v>
      </c>
      <c r="AP622" s="5">
        <v>289.0</v>
      </c>
      <c r="AQ622" s="5" t="s">
        <v>1716</v>
      </c>
      <c r="AR622" s="5" t="s">
        <v>1717</v>
      </c>
      <c r="AS622" s="5" t="s">
        <v>1718</v>
      </c>
      <c r="AT622" s="5" t="s">
        <v>1719</v>
      </c>
      <c r="AU622" s="5" t="s">
        <v>1703</v>
      </c>
      <c r="AV622" s="5" t="s">
        <v>1720</v>
      </c>
      <c r="AW622" s="5" t="s">
        <v>2368</v>
      </c>
      <c r="AX622" s="5" t="s">
        <v>2522</v>
      </c>
      <c r="AY622" s="5">
        <v>50.2</v>
      </c>
      <c r="AZ622" s="5">
        <v>-119.3</v>
      </c>
      <c r="BA622" s="5">
        <v>4.0</v>
      </c>
    </row>
    <row r="623" ht="14.25" customHeight="1">
      <c r="B623" s="5">
        <v>12.0</v>
      </c>
      <c r="C623" s="5" t="s">
        <v>1711</v>
      </c>
      <c r="D623" s="5">
        <v>290.0</v>
      </c>
      <c r="E623" s="5">
        <v>1840.0</v>
      </c>
      <c r="F623" s="18" t="s">
        <v>2535</v>
      </c>
      <c r="G623" s="5" t="s">
        <v>2536</v>
      </c>
      <c r="H623" s="5" t="s">
        <v>2537</v>
      </c>
      <c r="I623" s="5" t="s">
        <v>641</v>
      </c>
      <c r="J623" s="5" t="s">
        <v>1715</v>
      </c>
      <c r="K623" s="5">
        <v>1.0</v>
      </c>
      <c r="L623" s="5">
        <v>2243.0</v>
      </c>
      <c r="M623" s="8"/>
      <c r="AO623" s="5" t="s">
        <v>2535</v>
      </c>
      <c r="AP623" s="5">
        <v>290.0</v>
      </c>
      <c r="AQ623" s="5" t="s">
        <v>1716</v>
      </c>
      <c r="AR623" s="5" t="s">
        <v>1717</v>
      </c>
      <c r="AS623" s="5" t="s">
        <v>1718</v>
      </c>
      <c r="AT623" s="5" t="s">
        <v>1703</v>
      </c>
      <c r="AU623" s="5" t="s">
        <v>1703</v>
      </c>
      <c r="AV623" s="5" t="s">
        <v>1720</v>
      </c>
      <c r="AW623" s="5" t="s">
        <v>2368</v>
      </c>
      <c r="AX623" s="5" t="s">
        <v>2522</v>
      </c>
      <c r="AY623" s="5">
        <v>50.4133</v>
      </c>
      <c r="AZ623" s="5">
        <v>-119.9967</v>
      </c>
      <c r="BA623" s="5">
        <v>1462.0</v>
      </c>
    </row>
    <row r="624" ht="14.25" customHeight="1">
      <c r="A624" s="5" t="s">
        <v>88</v>
      </c>
      <c r="B624" s="5">
        <v>12.0</v>
      </c>
      <c r="C624" s="5" t="s">
        <v>1711</v>
      </c>
      <c r="D624" s="5">
        <v>291.0</v>
      </c>
      <c r="E624" s="5">
        <v>1841.0</v>
      </c>
      <c r="F624" s="5" t="s">
        <v>2538</v>
      </c>
      <c r="G624" s="10" t="s">
        <v>2539</v>
      </c>
      <c r="H624" s="5" t="s">
        <v>2540</v>
      </c>
      <c r="I624" s="5" t="s">
        <v>641</v>
      </c>
      <c r="J624" s="5" t="s">
        <v>1736</v>
      </c>
      <c r="K624" s="5">
        <v>1.0</v>
      </c>
      <c r="L624" s="5">
        <v>2244.0</v>
      </c>
      <c r="M624" s="8">
        <v>50.27045</v>
      </c>
      <c r="N624" s="5">
        <v>-120.2883</v>
      </c>
      <c r="O624" s="5" t="s">
        <v>142</v>
      </c>
      <c r="P624" s="5">
        <v>291.0</v>
      </c>
      <c r="Q624" s="5">
        <v>5.0</v>
      </c>
      <c r="R624" s="5" t="s">
        <v>2538</v>
      </c>
      <c r="S624" s="5" t="s">
        <v>1737</v>
      </c>
      <c r="T624" s="5">
        <v>1381.0</v>
      </c>
      <c r="W624" s="5">
        <v>28491.0</v>
      </c>
      <c r="X624" s="5" t="s">
        <v>1738</v>
      </c>
      <c r="AO624" s="5" t="s">
        <v>2538</v>
      </c>
      <c r="AP624" s="5">
        <v>291.0</v>
      </c>
      <c r="AQ624" s="5" t="s">
        <v>1700</v>
      </c>
      <c r="AR624" s="5" t="s">
        <v>1739</v>
      </c>
      <c r="AS624" s="5" t="s">
        <v>1740</v>
      </c>
      <c r="AT624" s="5" t="s">
        <v>1741</v>
      </c>
      <c r="AU624" s="5" t="s">
        <v>1959</v>
      </c>
      <c r="AV624" s="5" t="s">
        <v>1720</v>
      </c>
      <c r="AW624" s="5" t="s">
        <v>2368</v>
      </c>
      <c r="AX624" s="5" t="s">
        <v>2492</v>
      </c>
      <c r="AY624" s="5">
        <v>50.2704</v>
      </c>
      <c r="AZ624" s="5">
        <v>-120.2883</v>
      </c>
      <c r="BA624" s="5">
        <v>1372.0</v>
      </c>
    </row>
    <row r="625" ht="14.25" customHeight="1">
      <c r="A625" s="5" t="s">
        <v>1908</v>
      </c>
      <c r="B625" s="5">
        <v>12.0</v>
      </c>
      <c r="C625" s="5" t="s">
        <v>1711</v>
      </c>
      <c r="D625" s="5">
        <v>292.0</v>
      </c>
      <c r="E625" s="5">
        <v>1842.0</v>
      </c>
      <c r="F625" s="10" t="s">
        <v>2541</v>
      </c>
      <c r="G625" s="10" t="s">
        <v>2542</v>
      </c>
      <c r="H625" s="5" t="s">
        <v>2543</v>
      </c>
      <c r="I625" s="5" t="s">
        <v>641</v>
      </c>
      <c r="J625" s="5" t="s">
        <v>1736</v>
      </c>
      <c r="K625" s="5">
        <v>1.0</v>
      </c>
      <c r="L625" s="5">
        <v>2245.0</v>
      </c>
      <c r="M625" s="8">
        <v>50.52167</v>
      </c>
      <c r="N625" s="11">
        <v>-122.49806</v>
      </c>
      <c r="O625" s="11" t="s">
        <v>142</v>
      </c>
      <c r="P625" s="11">
        <v>292.0</v>
      </c>
      <c r="Q625" s="22">
        <v>1.0</v>
      </c>
      <c r="R625" s="11" t="s">
        <v>2544</v>
      </c>
      <c r="S625" s="11" t="s">
        <v>1737</v>
      </c>
      <c r="T625" s="11">
        <v>346.0</v>
      </c>
      <c r="U625" s="11"/>
      <c r="V625" s="11" t="s">
        <v>1830</v>
      </c>
      <c r="W625" s="23">
        <v>28491.0</v>
      </c>
      <c r="X625" s="11" t="s">
        <v>1738</v>
      </c>
      <c r="AO625" s="5" t="s">
        <v>2545</v>
      </c>
      <c r="AP625" s="5">
        <v>292.0</v>
      </c>
      <c r="AQ625" s="5" t="s">
        <v>1716</v>
      </c>
      <c r="AR625" s="5" t="s">
        <v>1739</v>
      </c>
      <c r="AS625" s="5" t="s">
        <v>1740</v>
      </c>
      <c r="AT625" s="5" t="s">
        <v>1741</v>
      </c>
      <c r="AU625" s="5" t="s">
        <v>1742</v>
      </c>
      <c r="AV625" s="5" t="s">
        <v>1720</v>
      </c>
      <c r="AW625" s="5" t="s">
        <v>1705</v>
      </c>
      <c r="AX625" s="5" t="s">
        <v>1879</v>
      </c>
      <c r="AY625" s="5">
        <v>50.5217</v>
      </c>
      <c r="AZ625" s="5">
        <v>-122.4978</v>
      </c>
      <c r="BA625" s="5">
        <v>334.0</v>
      </c>
    </row>
    <row r="626" ht="14.25" customHeight="1">
      <c r="B626" s="5">
        <v>12.0</v>
      </c>
      <c r="C626" s="5" t="s">
        <v>1711</v>
      </c>
      <c r="D626" s="5">
        <v>293.0</v>
      </c>
      <c r="E626" s="5">
        <v>1843.0</v>
      </c>
      <c r="F626" s="18" t="s">
        <v>2546</v>
      </c>
      <c r="G626" s="5" t="s">
        <v>2547</v>
      </c>
      <c r="H626" s="5" t="s">
        <v>2548</v>
      </c>
      <c r="I626" s="5" t="s">
        <v>1664</v>
      </c>
      <c r="J626" s="5" t="s">
        <v>1715</v>
      </c>
      <c r="K626" s="5">
        <v>1.0</v>
      </c>
      <c r="L626" s="5">
        <v>2246.0</v>
      </c>
      <c r="M626" s="8"/>
      <c r="AO626" s="5" t="s">
        <v>2546</v>
      </c>
      <c r="AP626" s="5">
        <v>293.0</v>
      </c>
      <c r="AQ626" s="5" t="s">
        <v>1716</v>
      </c>
      <c r="AR626" s="5" t="s">
        <v>1717</v>
      </c>
      <c r="AS626" s="5" t="s">
        <v>1718</v>
      </c>
      <c r="AT626" s="5" t="s">
        <v>1719</v>
      </c>
      <c r="AU626" s="5" t="s">
        <v>1703</v>
      </c>
      <c r="AV626" s="5" t="s">
        <v>1720</v>
      </c>
      <c r="AW626" s="5" t="s">
        <v>1705</v>
      </c>
      <c r="AY626" s="5">
        <v>49.0</v>
      </c>
      <c r="AZ626" s="5">
        <v>-120.8</v>
      </c>
      <c r="BA626" s="5">
        <v>0.0</v>
      </c>
    </row>
    <row r="627" ht="14.25" customHeight="1">
      <c r="A627" s="5" t="s">
        <v>88</v>
      </c>
      <c r="B627" s="5">
        <v>12.0</v>
      </c>
      <c r="C627" s="5" t="s">
        <v>1711</v>
      </c>
      <c r="D627" s="5">
        <v>294.0</v>
      </c>
      <c r="E627" s="5">
        <v>1844.0</v>
      </c>
      <c r="F627" s="5" t="s">
        <v>2549</v>
      </c>
      <c r="G627" s="10" t="s">
        <v>2550</v>
      </c>
      <c r="H627" s="5" t="s">
        <v>2551</v>
      </c>
      <c r="I627" s="5" t="s">
        <v>641</v>
      </c>
      <c r="J627" s="5" t="s">
        <v>1736</v>
      </c>
      <c r="K627" s="5">
        <v>1.0</v>
      </c>
      <c r="L627" s="5">
        <v>2247.0</v>
      </c>
      <c r="M627" s="8"/>
      <c r="N627" s="11"/>
      <c r="O627" s="11"/>
      <c r="P627" s="11"/>
      <c r="Q627" s="22"/>
      <c r="R627" s="11"/>
      <c r="S627" s="11"/>
      <c r="T627" s="11"/>
      <c r="U627" s="11"/>
      <c r="V627" s="11"/>
      <c r="W627" s="23"/>
      <c r="X627" s="11"/>
      <c r="AO627" s="55" t="s">
        <v>2552</v>
      </c>
      <c r="AP627" s="5">
        <v>294.0</v>
      </c>
      <c r="AQ627" s="5" t="s">
        <v>1716</v>
      </c>
      <c r="AR627" s="5" t="s">
        <v>1717</v>
      </c>
      <c r="AS627" s="5" t="s">
        <v>2257</v>
      </c>
      <c r="AT627" s="5" t="s">
        <v>1835</v>
      </c>
      <c r="AU627" s="5" t="s">
        <v>2043</v>
      </c>
      <c r="AV627" s="5" t="s">
        <v>1720</v>
      </c>
      <c r="AW627" s="5" t="s">
        <v>2368</v>
      </c>
      <c r="AX627" s="5" t="s">
        <v>2492</v>
      </c>
      <c r="AY627" s="5">
        <v>50.0874</v>
      </c>
      <c r="AZ627" s="5">
        <v>-120.7457</v>
      </c>
      <c r="BA627" s="5">
        <v>640.0</v>
      </c>
    </row>
    <row r="628" ht="14.25" customHeight="1">
      <c r="B628" s="5">
        <v>12.0</v>
      </c>
      <c r="C628" s="5" t="s">
        <v>1711</v>
      </c>
      <c r="D628" s="5">
        <v>295.0</v>
      </c>
      <c r="E628" s="5">
        <v>1845.0</v>
      </c>
      <c r="F628" s="18" t="s">
        <v>2553</v>
      </c>
      <c r="G628" s="5" t="s">
        <v>2554</v>
      </c>
      <c r="H628" s="5" t="s">
        <v>2555</v>
      </c>
      <c r="I628" s="5" t="s">
        <v>1664</v>
      </c>
      <c r="J628" s="5" t="s">
        <v>1715</v>
      </c>
      <c r="K628" s="5">
        <v>1.0</v>
      </c>
      <c r="L628" s="5">
        <v>2248.0</v>
      </c>
      <c r="M628" s="64"/>
      <c r="N628" s="36"/>
      <c r="P628" s="36"/>
      <c r="R628" s="36"/>
      <c r="T628" s="37"/>
      <c r="AO628" s="5" t="s">
        <v>2553</v>
      </c>
      <c r="AP628" s="5">
        <v>295.0</v>
      </c>
      <c r="AQ628" s="5" t="s">
        <v>1716</v>
      </c>
      <c r="AR628" s="5" t="s">
        <v>1717</v>
      </c>
      <c r="AS628" s="5" t="s">
        <v>1718</v>
      </c>
      <c r="AT628" s="5" t="s">
        <v>1719</v>
      </c>
      <c r="AU628" s="5" t="s">
        <v>1703</v>
      </c>
      <c r="AV628" s="5" t="s">
        <v>1720</v>
      </c>
      <c r="AW628" s="5" t="s">
        <v>2368</v>
      </c>
      <c r="AX628" s="5" t="s">
        <v>2369</v>
      </c>
      <c r="AY628" s="5">
        <v>50.7</v>
      </c>
      <c r="AZ628" s="5">
        <v>-121.4</v>
      </c>
      <c r="BA628" s="5">
        <v>20.0</v>
      </c>
    </row>
    <row r="629" ht="14.25" customHeight="1">
      <c r="B629" s="5">
        <v>12.0</v>
      </c>
      <c r="C629" s="5" t="s">
        <v>1711</v>
      </c>
      <c r="D629" s="5">
        <v>296.0</v>
      </c>
      <c r="E629" s="5">
        <v>1846.0</v>
      </c>
      <c r="F629" s="18" t="s">
        <v>2556</v>
      </c>
      <c r="G629" s="5" t="s">
        <v>2557</v>
      </c>
      <c r="H629" s="5" t="s">
        <v>2558</v>
      </c>
      <c r="I629" s="5" t="s">
        <v>1664</v>
      </c>
      <c r="J629" s="5" t="s">
        <v>1746</v>
      </c>
      <c r="K629" s="5">
        <v>1.0</v>
      </c>
      <c r="L629" s="5">
        <v>2249.0</v>
      </c>
      <c r="M629" s="8"/>
      <c r="AO629" s="5" t="s">
        <v>2556</v>
      </c>
      <c r="AP629" s="5">
        <v>296.0</v>
      </c>
      <c r="AQ629" s="5" t="s">
        <v>1716</v>
      </c>
      <c r="AR629" s="5" t="s">
        <v>1717</v>
      </c>
      <c r="AS629" s="5" t="s">
        <v>1718</v>
      </c>
      <c r="AT629" s="5" t="s">
        <v>1719</v>
      </c>
      <c r="AU629" s="5" t="s">
        <v>1703</v>
      </c>
      <c r="AV629" s="5" t="s">
        <v>1720</v>
      </c>
      <c r="AW629" s="5" t="s">
        <v>2368</v>
      </c>
      <c r="AX629" s="5" t="s">
        <v>2369</v>
      </c>
      <c r="AY629" s="5">
        <v>50.9</v>
      </c>
      <c r="AZ629" s="5">
        <v>-119.8</v>
      </c>
      <c r="BA629" s="5">
        <v>14.0</v>
      </c>
    </row>
    <row r="630" ht="14.25" customHeight="1">
      <c r="A630" s="5" t="s">
        <v>88</v>
      </c>
      <c r="B630" s="5">
        <v>12.0</v>
      </c>
      <c r="C630" s="5" t="s">
        <v>1711</v>
      </c>
      <c r="D630" s="5">
        <v>297.0</v>
      </c>
      <c r="E630" s="5">
        <v>1847.0</v>
      </c>
      <c r="F630" s="5" t="s">
        <v>2559</v>
      </c>
      <c r="G630" s="10" t="s">
        <v>2560</v>
      </c>
      <c r="H630" s="5" t="s">
        <v>2561</v>
      </c>
      <c r="I630" s="5" t="s">
        <v>641</v>
      </c>
      <c r="J630" s="5" t="s">
        <v>1715</v>
      </c>
      <c r="K630" s="5">
        <v>1.0</v>
      </c>
      <c r="L630" s="5">
        <v>2250.0</v>
      </c>
      <c r="M630" s="8"/>
      <c r="N630" s="11"/>
      <c r="O630" s="11"/>
      <c r="P630" s="11"/>
      <c r="Q630" s="22"/>
      <c r="R630" s="11"/>
      <c r="S630" s="11"/>
      <c r="T630" s="11"/>
      <c r="U630" s="11"/>
      <c r="V630" s="11"/>
      <c r="W630" s="60"/>
      <c r="X630" s="11"/>
      <c r="AO630" s="5" t="s">
        <v>2562</v>
      </c>
      <c r="AP630" s="5">
        <v>297.0</v>
      </c>
      <c r="AQ630" s="5" t="s">
        <v>1716</v>
      </c>
      <c r="AR630" s="5" t="s">
        <v>1717</v>
      </c>
      <c r="AS630" s="5" t="s">
        <v>1718</v>
      </c>
      <c r="AT630" s="5" t="s">
        <v>1841</v>
      </c>
      <c r="AU630" s="5" t="s">
        <v>1959</v>
      </c>
      <c r="AV630" s="5" t="s">
        <v>1720</v>
      </c>
      <c r="AW630" s="5" t="s">
        <v>2368</v>
      </c>
      <c r="AX630" s="5" t="s">
        <v>2505</v>
      </c>
      <c r="AY630" s="5">
        <v>50.2475</v>
      </c>
      <c r="AZ630" s="5">
        <v>-121.5648</v>
      </c>
      <c r="BA630" s="5">
        <v>290.0</v>
      </c>
    </row>
    <row r="631" ht="14.25" customHeight="1">
      <c r="A631" s="5" t="s">
        <v>88</v>
      </c>
      <c r="B631" s="5">
        <v>12.0</v>
      </c>
      <c r="C631" s="5" t="s">
        <v>1711</v>
      </c>
      <c r="D631" s="5">
        <v>298.0</v>
      </c>
      <c r="E631" s="5">
        <v>1848.0</v>
      </c>
      <c r="F631" s="5" t="s">
        <v>2563</v>
      </c>
      <c r="G631" s="10" t="s">
        <v>2564</v>
      </c>
      <c r="H631" s="5" t="s">
        <v>2565</v>
      </c>
      <c r="I631" s="5" t="s">
        <v>641</v>
      </c>
      <c r="J631" s="5" t="s">
        <v>1865</v>
      </c>
      <c r="K631" s="5">
        <v>1.0</v>
      </c>
      <c r="L631" s="5">
        <v>2251.0</v>
      </c>
      <c r="M631" s="8">
        <v>50.20667</v>
      </c>
      <c r="N631" s="11">
        <v>-119.48</v>
      </c>
      <c r="O631" s="11" t="s">
        <v>142</v>
      </c>
      <c r="P631" s="11">
        <v>298.0</v>
      </c>
      <c r="Q631" s="22">
        <v>1.0</v>
      </c>
      <c r="R631" s="11" t="s">
        <v>2563</v>
      </c>
      <c r="S631" s="11" t="s">
        <v>1737</v>
      </c>
      <c r="T631" s="11">
        <v>670.0</v>
      </c>
      <c r="U631" s="11"/>
      <c r="V631" s="11"/>
      <c r="W631" s="23">
        <v>32509.0</v>
      </c>
      <c r="X631" s="11" t="s">
        <v>1738</v>
      </c>
      <c r="AO631" s="5" t="s">
        <v>2563</v>
      </c>
      <c r="AP631" s="5">
        <v>298.0</v>
      </c>
      <c r="AQ631" s="5" t="s">
        <v>1700</v>
      </c>
      <c r="AR631" s="5" t="s">
        <v>1739</v>
      </c>
      <c r="AS631" s="5" t="s">
        <v>1740</v>
      </c>
      <c r="AT631" s="5" t="s">
        <v>1741</v>
      </c>
      <c r="AU631" s="5" t="s">
        <v>1959</v>
      </c>
      <c r="AV631" s="5" t="s">
        <v>1720</v>
      </c>
      <c r="AW631" s="5" t="s">
        <v>2368</v>
      </c>
      <c r="AX631" s="5" t="s">
        <v>2522</v>
      </c>
      <c r="AY631" s="5">
        <v>50.2062</v>
      </c>
      <c r="AZ631" s="5">
        <v>-119.4804</v>
      </c>
      <c r="BA631" s="5">
        <v>526.0</v>
      </c>
    </row>
    <row r="632" ht="14.25" customHeight="1">
      <c r="B632" s="5">
        <v>12.0</v>
      </c>
      <c r="C632" s="5" t="s">
        <v>1711</v>
      </c>
      <c r="D632" s="5">
        <v>299.0</v>
      </c>
      <c r="E632" s="5">
        <v>1849.0</v>
      </c>
      <c r="F632" s="18" t="s">
        <v>2566</v>
      </c>
      <c r="G632" s="5" t="s">
        <v>2567</v>
      </c>
      <c r="H632" s="5" t="s">
        <v>2568</v>
      </c>
      <c r="I632" s="5" t="s">
        <v>641</v>
      </c>
      <c r="J632" s="5" t="s">
        <v>1715</v>
      </c>
      <c r="K632" s="5">
        <v>1.0</v>
      </c>
      <c r="L632" s="5">
        <v>2252.0</v>
      </c>
      <c r="M632" s="64"/>
      <c r="N632" s="36"/>
      <c r="R632" s="36"/>
      <c r="T632" s="37"/>
      <c r="AO632" s="5" t="s">
        <v>2566</v>
      </c>
      <c r="AP632" s="5">
        <v>299.0</v>
      </c>
      <c r="AQ632" s="5" t="s">
        <v>1716</v>
      </c>
      <c r="AR632" s="5" t="s">
        <v>1717</v>
      </c>
      <c r="AS632" s="5" t="s">
        <v>1718</v>
      </c>
      <c r="AT632" s="5" t="s">
        <v>1703</v>
      </c>
      <c r="AU632" s="5" t="s">
        <v>1703</v>
      </c>
      <c r="AV632" s="5" t="s">
        <v>1720</v>
      </c>
      <c r="AW632" s="5" t="s">
        <v>2368</v>
      </c>
      <c r="AX632" s="5" t="s">
        <v>2369</v>
      </c>
      <c r="AY632" s="5">
        <v>50.6</v>
      </c>
      <c r="AZ632" s="5">
        <v>-120.3</v>
      </c>
      <c r="BA632" s="5">
        <v>5.0</v>
      </c>
    </row>
    <row r="633" ht="14.25" customHeight="1">
      <c r="A633" s="5" t="s">
        <v>1908</v>
      </c>
      <c r="B633" s="5">
        <v>12.0</v>
      </c>
      <c r="C633" s="5" t="s">
        <v>1711</v>
      </c>
      <c r="D633" s="5">
        <v>300.0</v>
      </c>
      <c r="E633" s="5">
        <v>1850.0</v>
      </c>
      <c r="F633" s="5" t="s">
        <v>898</v>
      </c>
      <c r="G633" s="10" t="s">
        <v>2569</v>
      </c>
      <c r="H633" s="5" t="s">
        <v>2570</v>
      </c>
      <c r="I633" s="5" t="s">
        <v>641</v>
      </c>
      <c r="J633" s="5" t="s">
        <v>1715</v>
      </c>
      <c r="K633" s="5">
        <v>1.0</v>
      </c>
      <c r="L633" s="5">
        <v>2253.0</v>
      </c>
      <c r="M633" s="8"/>
      <c r="N633" s="11"/>
      <c r="O633" s="11"/>
      <c r="P633" s="11"/>
      <c r="Q633" s="22"/>
      <c r="R633" s="11"/>
      <c r="S633" s="11"/>
      <c r="T633" s="11"/>
      <c r="U633" s="11"/>
      <c r="V633" s="11"/>
      <c r="W633" s="23"/>
      <c r="X633" s="11"/>
      <c r="AO633" s="5" t="s">
        <v>2526</v>
      </c>
      <c r="AP633" s="5">
        <v>300.0</v>
      </c>
      <c r="AQ633" s="5" t="s">
        <v>1716</v>
      </c>
      <c r="AR633" s="5" t="s">
        <v>1717</v>
      </c>
      <c r="AS633" s="5" t="s">
        <v>1718</v>
      </c>
      <c r="AT633" s="5" t="s">
        <v>1719</v>
      </c>
      <c r="AU633" s="5" t="s">
        <v>2043</v>
      </c>
      <c r="AV633" s="5" t="s">
        <v>1720</v>
      </c>
      <c r="AW633" s="5" t="s">
        <v>2368</v>
      </c>
      <c r="AX633" s="5" t="s">
        <v>2505</v>
      </c>
      <c r="AY633" s="5">
        <v>50.8535</v>
      </c>
      <c r="AZ633" s="5">
        <v>-122.8358</v>
      </c>
      <c r="BA633" s="5">
        <v>704.0</v>
      </c>
    </row>
    <row r="634" ht="14.25" customHeight="1">
      <c r="A634" s="5" t="s">
        <v>88</v>
      </c>
      <c r="B634" s="5">
        <v>12.0</v>
      </c>
      <c r="C634" s="5" t="s">
        <v>1711</v>
      </c>
      <c r="D634" s="5">
        <v>301.0</v>
      </c>
      <c r="E634" s="5">
        <v>1851.0</v>
      </c>
      <c r="F634" s="5" t="s">
        <v>2571</v>
      </c>
      <c r="G634" s="10" t="s">
        <v>2572</v>
      </c>
      <c r="H634" s="5" t="s">
        <v>2573</v>
      </c>
      <c r="I634" s="5" t="s">
        <v>641</v>
      </c>
      <c r="J634" s="5" t="s">
        <v>1891</v>
      </c>
      <c r="K634" s="5">
        <v>1.0</v>
      </c>
      <c r="L634" s="5">
        <v>2254.0</v>
      </c>
      <c r="M634" s="8">
        <v>50.30593</v>
      </c>
      <c r="N634" s="11">
        <v>-122.72878</v>
      </c>
      <c r="O634" s="11" t="s">
        <v>51</v>
      </c>
      <c r="P634" s="11">
        <v>301.0</v>
      </c>
      <c r="Q634" s="22">
        <v>2.0</v>
      </c>
      <c r="R634" s="11" t="s">
        <v>2571</v>
      </c>
      <c r="S634" s="11" t="s">
        <v>1737</v>
      </c>
      <c r="T634" s="11">
        <v>204.0</v>
      </c>
      <c r="U634" s="11"/>
      <c r="V634" s="11"/>
      <c r="W634" s="23">
        <v>36892.0</v>
      </c>
      <c r="X634" s="11" t="s">
        <v>1738</v>
      </c>
      <c r="AO634" s="5" t="s">
        <v>2571</v>
      </c>
      <c r="AP634" s="5">
        <v>301.0</v>
      </c>
      <c r="AQ634" s="5" t="s">
        <v>1700</v>
      </c>
      <c r="AR634" s="5" t="s">
        <v>1739</v>
      </c>
      <c r="AS634" s="5" t="s">
        <v>1740</v>
      </c>
      <c r="AT634" s="5" t="s">
        <v>1741</v>
      </c>
      <c r="AU634" s="5" t="s">
        <v>1772</v>
      </c>
      <c r="AV634" s="5" t="s">
        <v>1720</v>
      </c>
      <c r="AW634" s="5" t="s">
        <v>1705</v>
      </c>
      <c r="AX634" s="5" t="s">
        <v>1879</v>
      </c>
      <c r="AY634" s="5">
        <v>50.3059</v>
      </c>
      <c r="AZ634" s="5">
        <v>-122.7287</v>
      </c>
      <c r="BA634" s="5">
        <v>203.0</v>
      </c>
    </row>
    <row r="635" ht="14.25" customHeight="1">
      <c r="A635" s="5" t="s">
        <v>88</v>
      </c>
      <c r="B635" s="5">
        <v>12.0</v>
      </c>
      <c r="C635" s="5" t="s">
        <v>1711</v>
      </c>
      <c r="D635" s="5">
        <v>302.0</v>
      </c>
      <c r="E635" s="5">
        <v>1852.0</v>
      </c>
      <c r="F635" s="5" t="s">
        <v>2574</v>
      </c>
      <c r="G635" s="10" t="s">
        <v>2575</v>
      </c>
      <c r="H635" s="5" t="s">
        <v>2576</v>
      </c>
      <c r="I635" s="5" t="s">
        <v>641</v>
      </c>
      <c r="J635" s="5" t="s">
        <v>1736</v>
      </c>
      <c r="K635" s="5">
        <v>1.0</v>
      </c>
      <c r="L635" s="5">
        <v>2255.0</v>
      </c>
      <c r="M635" s="64">
        <v>49.94811</v>
      </c>
      <c r="N635" s="36">
        <v>-120.62107</v>
      </c>
      <c r="O635" s="11" t="s">
        <v>142</v>
      </c>
      <c r="P635" s="65">
        <v>302.0</v>
      </c>
      <c r="Q635" s="22">
        <v>3.0</v>
      </c>
      <c r="R635" s="36" t="s">
        <v>2574</v>
      </c>
      <c r="S635" s="11" t="s">
        <v>1737</v>
      </c>
      <c r="T635" s="37">
        <v>1065.0</v>
      </c>
      <c r="U635" s="11"/>
      <c r="V635" s="11"/>
      <c r="W635" s="23">
        <v>35796.0</v>
      </c>
      <c r="X635" s="11" t="s">
        <v>1738</v>
      </c>
      <c r="AO635" s="5" t="s">
        <v>2574</v>
      </c>
      <c r="AP635" s="5">
        <v>302.0</v>
      </c>
      <c r="AQ635" s="5" t="s">
        <v>1700</v>
      </c>
      <c r="AR635" s="5" t="s">
        <v>1739</v>
      </c>
      <c r="AS635" s="5" t="s">
        <v>1740</v>
      </c>
      <c r="AT635" s="5" t="s">
        <v>1835</v>
      </c>
      <c r="AU635" s="5" t="s">
        <v>1772</v>
      </c>
      <c r="AV635" s="5" t="s">
        <v>1720</v>
      </c>
      <c r="AW635" s="5" t="s">
        <v>2368</v>
      </c>
      <c r="AX635" s="5" t="s">
        <v>2492</v>
      </c>
      <c r="AY635" s="5">
        <v>49.9481</v>
      </c>
      <c r="AZ635" s="5">
        <v>-120.6211</v>
      </c>
      <c r="BA635" s="5">
        <v>1065.0</v>
      </c>
    </row>
    <row r="636" ht="14.25" customHeight="1">
      <c r="B636" s="5">
        <v>12.0</v>
      </c>
      <c r="C636" s="5" t="s">
        <v>1711</v>
      </c>
      <c r="D636" s="5">
        <v>303.0</v>
      </c>
      <c r="E636" s="5">
        <v>1853.0</v>
      </c>
      <c r="F636" s="18" t="s">
        <v>2577</v>
      </c>
      <c r="G636" s="5" t="s">
        <v>2578</v>
      </c>
      <c r="H636" s="5" t="s">
        <v>2579</v>
      </c>
      <c r="I636" s="5" t="s">
        <v>641</v>
      </c>
      <c r="J636" s="5" t="s">
        <v>1715</v>
      </c>
      <c r="K636" s="5">
        <v>1.0</v>
      </c>
      <c r="L636" s="5">
        <v>2256.0</v>
      </c>
      <c r="M636" s="64"/>
      <c r="N636" s="36"/>
      <c r="P636" s="36"/>
      <c r="R636" s="36"/>
      <c r="T636" s="37"/>
      <c r="AO636" s="5" t="s">
        <v>2577</v>
      </c>
      <c r="AP636" s="5">
        <v>303.0</v>
      </c>
      <c r="AQ636" s="5" t="s">
        <v>1716</v>
      </c>
      <c r="AR636" s="5" t="s">
        <v>1717</v>
      </c>
      <c r="AS636" s="5" t="s">
        <v>1718</v>
      </c>
      <c r="AT636" s="5" t="s">
        <v>1703</v>
      </c>
      <c r="AU636" s="5" t="s">
        <v>1703</v>
      </c>
      <c r="AV636" s="5" t="s">
        <v>1720</v>
      </c>
      <c r="AW636" s="5" t="s">
        <v>2368</v>
      </c>
      <c r="AX636" s="5" t="s">
        <v>2369</v>
      </c>
      <c r="AY636" s="5">
        <v>50.7</v>
      </c>
      <c r="AZ636" s="5">
        <v>-120.6</v>
      </c>
      <c r="BA636" s="5">
        <v>7.0</v>
      </c>
    </row>
    <row r="637" ht="14.25" customHeight="1">
      <c r="B637" s="5">
        <v>12.0</v>
      </c>
      <c r="C637" s="5" t="s">
        <v>1711</v>
      </c>
      <c r="D637" s="5">
        <v>304.0</v>
      </c>
      <c r="E637" s="5">
        <v>1854.0</v>
      </c>
      <c r="F637" s="18" t="s">
        <v>2580</v>
      </c>
      <c r="G637" s="5" t="s">
        <v>2581</v>
      </c>
      <c r="H637" s="5" t="s">
        <v>2579</v>
      </c>
      <c r="I637" s="5" t="s">
        <v>641</v>
      </c>
      <c r="J637" s="5" t="s">
        <v>1715</v>
      </c>
      <c r="K637" s="5">
        <v>1.0</v>
      </c>
      <c r="L637" s="5">
        <v>2257.0</v>
      </c>
      <c r="M637" s="8"/>
      <c r="AO637" s="5" t="s">
        <v>2580</v>
      </c>
      <c r="AP637" s="5">
        <v>304.0</v>
      </c>
      <c r="AQ637" s="5" t="s">
        <v>1716</v>
      </c>
      <c r="AR637" s="5" t="s">
        <v>1717</v>
      </c>
      <c r="AS637" s="5" t="s">
        <v>1718</v>
      </c>
      <c r="AT637" s="5" t="s">
        <v>1703</v>
      </c>
      <c r="AU637" s="5" t="s">
        <v>1703</v>
      </c>
      <c r="AV637" s="5" t="s">
        <v>1720</v>
      </c>
      <c r="AW637" s="5" t="s">
        <v>2368</v>
      </c>
      <c r="AX637" s="5" t="s">
        <v>2369</v>
      </c>
      <c r="AY637" s="5">
        <v>50.8</v>
      </c>
      <c r="AZ637" s="5">
        <v>-120.6</v>
      </c>
      <c r="BA637" s="5">
        <v>12.0</v>
      </c>
    </row>
    <row r="638" ht="14.25" customHeight="1">
      <c r="A638" s="5" t="s">
        <v>1908</v>
      </c>
      <c r="B638" s="5">
        <v>12.0</v>
      </c>
      <c r="C638" s="5" t="s">
        <v>1711</v>
      </c>
      <c r="D638" s="5">
        <v>305.0</v>
      </c>
      <c r="E638" s="5">
        <v>1855.0</v>
      </c>
      <c r="F638" s="10" t="s">
        <v>2582</v>
      </c>
      <c r="G638" s="10" t="s">
        <v>2583</v>
      </c>
      <c r="H638" s="5" t="s">
        <v>2584</v>
      </c>
      <c r="I638" s="5" t="s">
        <v>641</v>
      </c>
      <c r="J638" s="5" t="s">
        <v>1736</v>
      </c>
      <c r="K638" s="5">
        <v>1.0</v>
      </c>
      <c r="L638" s="5">
        <v>2258.0</v>
      </c>
      <c r="M638" s="8">
        <v>50.9237</v>
      </c>
      <c r="N638" s="11">
        <v>-120.86715</v>
      </c>
      <c r="O638" s="11" t="s">
        <v>142</v>
      </c>
      <c r="P638" s="11">
        <v>305.0</v>
      </c>
      <c r="Q638" s="22">
        <v>2.0</v>
      </c>
      <c r="R638" s="11" t="s">
        <v>2585</v>
      </c>
      <c r="S638" s="11" t="s">
        <v>1737</v>
      </c>
      <c r="T638" s="11">
        <v>972.0</v>
      </c>
      <c r="U638" s="11"/>
      <c r="V638" s="11"/>
      <c r="W638" s="23">
        <v>33239.0</v>
      </c>
      <c r="X638" s="11" t="s">
        <v>1738</v>
      </c>
      <c r="AO638" s="5" t="s">
        <v>2585</v>
      </c>
      <c r="AP638" s="5">
        <v>305.0</v>
      </c>
      <c r="AQ638" s="5" t="s">
        <v>1716</v>
      </c>
      <c r="AR638" s="5" t="s">
        <v>1739</v>
      </c>
      <c r="AS638" s="5" t="s">
        <v>1740</v>
      </c>
      <c r="AT638" s="5" t="s">
        <v>1741</v>
      </c>
      <c r="AU638" s="5" t="s">
        <v>1742</v>
      </c>
      <c r="AV638" s="5" t="s">
        <v>1720</v>
      </c>
      <c r="AW638" s="5" t="s">
        <v>2368</v>
      </c>
      <c r="AX638" s="5" t="s">
        <v>2369</v>
      </c>
      <c r="AY638" s="5">
        <v>50.9237</v>
      </c>
      <c r="AZ638" s="5">
        <v>-120.8671</v>
      </c>
      <c r="BA638" s="5">
        <v>960.0</v>
      </c>
    </row>
    <row r="639" ht="14.25" customHeight="1">
      <c r="A639" s="5" t="s">
        <v>1908</v>
      </c>
      <c r="B639" s="5">
        <v>12.0</v>
      </c>
      <c r="C639" s="5" t="s">
        <v>1711</v>
      </c>
      <c r="D639" s="5">
        <v>306.0</v>
      </c>
      <c r="E639" s="5">
        <v>1856.0</v>
      </c>
      <c r="F639" s="10" t="s">
        <v>2586</v>
      </c>
      <c r="G639" s="10" t="s">
        <v>2587</v>
      </c>
      <c r="H639" s="5" t="s">
        <v>2341</v>
      </c>
      <c r="I639" s="5" t="s">
        <v>641</v>
      </c>
      <c r="J639" s="5" t="s">
        <v>1865</v>
      </c>
      <c r="K639" s="5">
        <v>1.0</v>
      </c>
      <c r="L639" s="5">
        <v>2259.0</v>
      </c>
      <c r="M639" s="8">
        <v>51.17747</v>
      </c>
      <c r="N639" s="11">
        <v>-122.24893</v>
      </c>
      <c r="O639" s="11" t="s">
        <v>148</v>
      </c>
      <c r="P639" s="11">
        <v>306.0</v>
      </c>
      <c r="Q639" s="22">
        <v>7.0</v>
      </c>
      <c r="R639" s="11" t="s">
        <v>2588</v>
      </c>
      <c r="S639" s="11" t="s">
        <v>1737</v>
      </c>
      <c r="T639" s="11">
        <v>1320.0</v>
      </c>
      <c r="U639" s="11"/>
      <c r="V639" s="11"/>
      <c r="W639" s="23">
        <v>28856.0</v>
      </c>
      <c r="X639" s="11" t="s">
        <v>1738</v>
      </c>
      <c r="AO639" s="5" t="s">
        <v>2588</v>
      </c>
      <c r="AP639" s="5">
        <v>306.0</v>
      </c>
      <c r="AQ639" s="5" t="s">
        <v>1716</v>
      </c>
      <c r="AR639" s="5" t="s">
        <v>1739</v>
      </c>
      <c r="AS639" s="5" t="s">
        <v>1740</v>
      </c>
      <c r="AT639" s="5" t="s">
        <v>1741</v>
      </c>
      <c r="AU639" s="5" t="s">
        <v>1742</v>
      </c>
      <c r="AV639" s="5" t="s">
        <v>1720</v>
      </c>
      <c r="AW639" s="5" t="s">
        <v>2368</v>
      </c>
      <c r="AX639" s="5" t="s">
        <v>2505</v>
      </c>
      <c r="AY639" s="5">
        <v>51.1775</v>
      </c>
      <c r="AZ639" s="5">
        <v>-122.2489</v>
      </c>
      <c r="BA639" s="5">
        <v>1320.0</v>
      </c>
    </row>
    <row r="640" ht="14.25" customHeight="1">
      <c r="A640" s="5" t="s">
        <v>1908</v>
      </c>
      <c r="B640" s="5">
        <v>12.0</v>
      </c>
      <c r="C640" s="5" t="s">
        <v>1711</v>
      </c>
      <c r="D640" s="5">
        <v>307.0</v>
      </c>
      <c r="E640" s="5">
        <v>1857.0</v>
      </c>
      <c r="F640" s="10" t="s">
        <v>2589</v>
      </c>
      <c r="G640" s="10" t="s">
        <v>2590</v>
      </c>
      <c r="H640" s="5" t="s">
        <v>2591</v>
      </c>
      <c r="I640" s="5" t="s">
        <v>641</v>
      </c>
      <c r="J640" s="5" t="s">
        <v>1865</v>
      </c>
      <c r="K640" s="5">
        <v>1.0</v>
      </c>
      <c r="L640" s="5">
        <v>2260.0</v>
      </c>
      <c r="M640" s="64">
        <v>50.61525</v>
      </c>
      <c r="N640" s="36">
        <v>-120.8361</v>
      </c>
      <c r="O640" s="11" t="s">
        <v>142</v>
      </c>
      <c r="P640" s="11">
        <v>307.0</v>
      </c>
      <c r="Q640" s="22">
        <v>4.0</v>
      </c>
      <c r="R640" s="36" t="s">
        <v>2592</v>
      </c>
      <c r="S640" s="11" t="s">
        <v>1737</v>
      </c>
      <c r="T640" s="37">
        <v>1167.0</v>
      </c>
      <c r="U640" s="11"/>
      <c r="V640" s="11"/>
      <c r="W640" s="23">
        <v>29952.0</v>
      </c>
      <c r="X640" s="11" t="s">
        <v>1738</v>
      </c>
      <c r="AO640" s="5" t="s">
        <v>2592</v>
      </c>
      <c r="AP640" s="5">
        <v>307.0</v>
      </c>
      <c r="AQ640" s="5" t="s">
        <v>1700</v>
      </c>
      <c r="AR640" s="5" t="s">
        <v>1739</v>
      </c>
      <c r="AS640" s="5" t="s">
        <v>1740</v>
      </c>
      <c r="AT640" s="5" t="s">
        <v>1741</v>
      </c>
      <c r="AU640" s="5" t="s">
        <v>1959</v>
      </c>
      <c r="AV640" s="5" t="s">
        <v>1720</v>
      </c>
      <c r="AW640" s="5" t="s">
        <v>2368</v>
      </c>
      <c r="AX640" s="5" t="s">
        <v>2369</v>
      </c>
      <c r="AY640" s="5">
        <v>50.6153</v>
      </c>
      <c r="AZ640" s="5">
        <v>-120.8362</v>
      </c>
      <c r="BA640" s="5">
        <v>1153.0</v>
      </c>
    </row>
    <row r="641" ht="14.25" customHeight="1">
      <c r="B641" s="5">
        <v>12.0</v>
      </c>
      <c r="C641" s="5" t="s">
        <v>1711</v>
      </c>
      <c r="D641" s="5">
        <v>308.0</v>
      </c>
      <c r="E641" s="5">
        <v>1858.0</v>
      </c>
      <c r="F641" s="18" t="s">
        <v>2593</v>
      </c>
      <c r="G641" s="5" t="s">
        <v>2594</v>
      </c>
      <c r="H641" s="5" t="s">
        <v>2595</v>
      </c>
      <c r="I641" s="5" t="s">
        <v>641</v>
      </c>
      <c r="J641" s="5" t="s">
        <v>1715</v>
      </c>
      <c r="K641" s="5">
        <v>1.0</v>
      </c>
      <c r="L641" s="5">
        <v>2261.0</v>
      </c>
      <c r="M641" s="8"/>
      <c r="AO641" s="5" t="s">
        <v>2593</v>
      </c>
      <c r="AP641" s="5">
        <v>308.0</v>
      </c>
      <c r="AQ641" s="5" t="s">
        <v>1716</v>
      </c>
      <c r="AR641" s="5" t="s">
        <v>1717</v>
      </c>
      <c r="AS641" s="5" t="s">
        <v>1718</v>
      </c>
      <c r="AT641" s="5" t="s">
        <v>1703</v>
      </c>
      <c r="AU641" s="5" t="s">
        <v>1703</v>
      </c>
      <c r="AV641" s="5" t="s">
        <v>1720</v>
      </c>
      <c r="AW641" s="5" t="s">
        <v>2368</v>
      </c>
      <c r="AX641" s="5" t="s">
        <v>2505</v>
      </c>
      <c r="AY641" s="5">
        <v>51.0517</v>
      </c>
      <c r="AZ641" s="5">
        <v>-122.7683</v>
      </c>
      <c r="BA641" s="5">
        <v>1432.0</v>
      </c>
    </row>
    <row r="642" ht="14.25" customHeight="1">
      <c r="A642" s="5" t="s">
        <v>1908</v>
      </c>
      <c r="B642" s="5">
        <v>12.0</v>
      </c>
      <c r="C642" s="5" t="s">
        <v>1711</v>
      </c>
      <c r="D642" s="5">
        <v>309.0</v>
      </c>
      <c r="E642" s="5">
        <v>1859.0</v>
      </c>
      <c r="F642" s="10" t="s">
        <v>2596</v>
      </c>
      <c r="G642" s="10" t="s">
        <v>2597</v>
      </c>
      <c r="H642" s="5" t="s">
        <v>2598</v>
      </c>
      <c r="I642" s="5" t="s">
        <v>641</v>
      </c>
      <c r="J642" s="5" t="s">
        <v>1865</v>
      </c>
      <c r="K642" s="5">
        <v>1.0</v>
      </c>
      <c r="L642" s="5">
        <v>2262.0</v>
      </c>
      <c r="M642" s="64">
        <v>50.79633</v>
      </c>
      <c r="N642" s="36">
        <v>-122.88047</v>
      </c>
      <c r="O642" s="11" t="s">
        <v>142</v>
      </c>
      <c r="P642" s="11">
        <v>309.0</v>
      </c>
      <c r="Q642" s="22">
        <v>4.0</v>
      </c>
      <c r="R642" s="36" t="s">
        <v>2599</v>
      </c>
      <c r="S642" s="11" t="s">
        <v>1737</v>
      </c>
      <c r="T642" s="37">
        <v>1205.0</v>
      </c>
      <c r="U642" s="11"/>
      <c r="V642" s="11"/>
      <c r="W642" s="23">
        <v>31413.0</v>
      </c>
      <c r="X642" s="11" t="s">
        <v>1738</v>
      </c>
      <c r="AO642" s="5" t="s">
        <v>2599</v>
      </c>
      <c r="AP642" s="5">
        <v>309.0</v>
      </c>
      <c r="AQ642" s="5" t="s">
        <v>1716</v>
      </c>
      <c r="AR642" s="5" t="s">
        <v>1739</v>
      </c>
      <c r="AS642" s="5" t="s">
        <v>1740</v>
      </c>
      <c r="AT642" s="5" t="s">
        <v>1741</v>
      </c>
      <c r="AU642" s="5" t="s">
        <v>1742</v>
      </c>
      <c r="AV642" s="5" t="s">
        <v>1720</v>
      </c>
      <c r="AW642" s="5" t="s">
        <v>2368</v>
      </c>
      <c r="AX642" s="5" t="s">
        <v>2505</v>
      </c>
      <c r="AY642" s="5">
        <v>50.7963</v>
      </c>
      <c r="AZ642" s="5">
        <v>-122.8805</v>
      </c>
      <c r="BA642" s="5">
        <v>1191.0</v>
      </c>
    </row>
    <row r="643" ht="14.25" customHeight="1">
      <c r="B643" s="5">
        <v>12.0</v>
      </c>
      <c r="C643" s="5" t="s">
        <v>1711</v>
      </c>
      <c r="D643" s="5">
        <v>310.0</v>
      </c>
      <c r="E643" s="5">
        <v>1860.0</v>
      </c>
      <c r="F643" s="18" t="s">
        <v>2600</v>
      </c>
      <c r="G643" s="5" t="s">
        <v>2601</v>
      </c>
      <c r="H643" s="5" t="s">
        <v>2602</v>
      </c>
      <c r="I643" s="5" t="s">
        <v>641</v>
      </c>
      <c r="J643" s="5" t="s">
        <v>1715</v>
      </c>
      <c r="K643" s="5">
        <v>1.0</v>
      </c>
      <c r="L643" s="5">
        <v>2263.0</v>
      </c>
      <c r="M643" s="64"/>
      <c r="N643" s="36"/>
      <c r="R643" s="36"/>
      <c r="T643" s="37"/>
      <c r="AO643" s="5" t="s">
        <v>2600</v>
      </c>
      <c r="AP643" s="5">
        <v>310.0</v>
      </c>
      <c r="AQ643" s="5" t="s">
        <v>1716</v>
      </c>
      <c r="AR643" s="5" t="s">
        <v>1717</v>
      </c>
      <c r="AS643" s="5" t="s">
        <v>1718</v>
      </c>
      <c r="AT643" s="5" t="s">
        <v>1703</v>
      </c>
      <c r="AU643" s="5" t="s">
        <v>1703</v>
      </c>
      <c r="AV643" s="5" t="s">
        <v>1720</v>
      </c>
      <c r="AW643" s="5" t="s">
        <v>2368</v>
      </c>
      <c r="AX643" s="5" t="s">
        <v>2492</v>
      </c>
      <c r="AY643" s="5">
        <v>50.2633</v>
      </c>
      <c r="AZ643" s="5">
        <v>-121.1533</v>
      </c>
      <c r="BA643" s="5">
        <v>853.0</v>
      </c>
    </row>
    <row r="644" ht="14.25" customHeight="1">
      <c r="A644" s="5" t="s">
        <v>1908</v>
      </c>
      <c r="B644" s="5">
        <v>12.0</v>
      </c>
      <c r="C644" s="5" t="s">
        <v>1711</v>
      </c>
      <c r="D644" s="5">
        <v>311.0</v>
      </c>
      <c r="E644" s="5">
        <v>1861.0</v>
      </c>
      <c r="F644" s="10" t="s">
        <v>2603</v>
      </c>
      <c r="G644" s="10" t="s">
        <v>2604</v>
      </c>
      <c r="H644" s="5" t="s">
        <v>2605</v>
      </c>
      <c r="I644" s="5" t="s">
        <v>641</v>
      </c>
      <c r="J644" s="5" t="s">
        <v>1865</v>
      </c>
      <c r="K644" s="5">
        <v>1.0</v>
      </c>
      <c r="L644" s="5">
        <v>2264.0</v>
      </c>
      <c r="M644" s="8">
        <v>50.7923</v>
      </c>
      <c r="N644" s="5">
        <v>-121.35815</v>
      </c>
      <c r="O644" s="5" t="s">
        <v>142</v>
      </c>
      <c r="P644" s="5">
        <v>311.0</v>
      </c>
      <c r="Q644" s="5">
        <v>3.0</v>
      </c>
      <c r="R644" s="5" t="s">
        <v>2606</v>
      </c>
      <c r="S644" s="5" t="s">
        <v>1737</v>
      </c>
      <c r="T644" s="5">
        <v>1123.0</v>
      </c>
      <c r="U644" s="5" t="s">
        <v>645</v>
      </c>
      <c r="W644" s="5">
        <v>31778.0</v>
      </c>
      <c r="X644" s="5" t="s">
        <v>1738</v>
      </c>
      <c r="AO644" s="5" t="s">
        <v>2606</v>
      </c>
      <c r="AP644" s="5">
        <v>311.0</v>
      </c>
      <c r="AQ644" s="5" t="s">
        <v>1700</v>
      </c>
      <c r="AR644" s="5" t="s">
        <v>1739</v>
      </c>
      <c r="AS644" s="5" t="s">
        <v>1740</v>
      </c>
      <c r="AT644" s="5" t="s">
        <v>1741</v>
      </c>
      <c r="AU644" s="5" t="s">
        <v>1959</v>
      </c>
      <c r="AV644" s="5" t="s">
        <v>1720</v>
      </c>
      <c r="AW644" s="5" t="s">
        <v>2368</v>
      </c>
      <c r="AX644" s="5" t="s">
        <v>2369</v>
      </c>
      <c r="AY644" s="5">
        <v>50.7923</v>
      </c>
      <c r="AZ644" s="5">
        <v>-121.3581</v>
      </c>
      <c r="BA644" s="5">
        <v>1123.0</v>
      </c>
    </row>
    <row r="645" ht="14.25" customHeight="1">
      <c r="B645" s="5">
        <v>12.0</v>
      </c>
      <c r="C645" s="5" t="s">
        <v>1711</v>
      </c>
      <c r="D645" s="5">
        <v>312.0</v>
      </c>
      <c r="E645" s="5">
        <v>1862.0</v>
      </c>
      <c r="F645" s="18" t="s">
        <v>2607</v>
      </c>
      <c r="G645" s="5" t="s">
        <v>2608</v>
      </c>
      <c r="H645" s="5" t="s">
        <v>2609</v>
      </c>
      <c r="I645" s="5" t="s">
        <v>641</v>
      </c>
      <c r="J645" s="5" t="s">
        <v>1715</v>
      </c>
      <c r="K645" s="5">
        <v>1.0</v>
      </c>
      <c r="L645" s="5">
        <v>2265.0</v>
      </c>
      <c r="M645" s="8"/>
      <c r="AO645" s="5" t="s">
        <v>2607</v>
      </c>
      <c r="AP645" s="5">
        <v>312.0</v>
      </c>
      <c r="AQ645" s="5" t="s">
        <v>1716</v>
      </c>
      <c r="AR645" s="5" t="s">
        <v>1717</v>
      </c>
      <c r="AS645" s="5" t="s">
        <v>1718</v>
      </c>
      <c r="AT645" s="5" t="s">
        <v>1703</v>
      </c>
      <c r="AU645" s="5" t="s">
        <v>1703</v>
      </c>
      <c r="AV645" s="5" t="s">
        <v>1720</v>
      </c>
      <c r="AW645" s="5" t="s">
        <v>2368</v>
      </c>
      <c r="AX645" s="5" t="s">
        <v>2369</v>
      </c>
      <c r="AY645" s="5">
        <v>50.9683</v>
      </c>
      <c r="AZ645" s="5">
        <v>-120.4867</v>
      </c>
      <c r="BA645" s="5">
        <v>1646.0</v>
      </c>
    </row>
    <row r="646" ht="14.25" customHeight="1">
      <c r="B646" s="5">
        <v>12.0</v>
      </c>
      <c r="C646" s="5" t="s">
        <v>1711</v>
      </c>
      <c r="D646" s="5">
        <v>313.0</v>
      </c>
      <c r="E646" s="5">
        <v>1863.0</v>
      </c>
      <c r="F646" s="18" t="s">
        <v>2610</v>
      </c>
      <c r="G646" s="5" t="s">
        <v>2611</v>
      </c>
      <c r="H646" s="5" t="s">
        <v>2612</v>
      </c>
      <c r="I646" s="5" t="s">
        <v>1664</v>
      </c>
      <c r="J646" s="5" t="s">
        <v>1715</v>
      </c>
      <c r="K646" s="5">
        <v>1.0</v>
      </c>
      <c r="L646" s="5">
        <v>2266.0</v>
      </c>
      <c r="M646" s="64"/>
      <c r="N646" s="36"/>
      <c r="P646" s="36"/>
      <c r="R646" s="36"/>
      <c r="T646" s="37"/>
      <c r="AO646" s="5" t="s">
        <v>2610</v>
      </c>
      <c r="AP646" s="5">
        <v>313.0</v>
      </c>
      <c r="AQ646" s="5" t="s">
        <v>1716</v>
      </c>
      <c r="AR646" s="5" t="s">
        <v>1717</v>
      </c>
      <c r="AS646" s="5" t="s">
        <v>1718</v>
      </c>
      <c r="AT646" s="5" t="s">
        <v>1703</v>
      </c>
      <c r="AU646" s="5" t="s">
        <v>1703</v>
      </c>
      <c r="AV646" s="5" t="s">
        <v>1720</v>
      </c>
      <c r="AW646" s="5" t="s">
        <v>2368</v>
      </c>
      <c r="AX646" s="5" t="s">
        <v>2369</v>
      </c>
      <c r="AY646" s="5">
        <v>50.888</v>
      </c>
      <c r="AZ646" s="5">
        <v>-119.838</v>
      </c>
      <c r="BA646" s="5">
        <v>1615.0</v>
      </c>
    </row>
    <row r="647" ht="14.25" customHeight="1">
      <c r="B647" s="5">
        <v>12.0</v>
      </c>
      <c r="C647" s="5" t="s">
        <v>1711</v>
      </c>
      <c r="D647" s="5">
        <v>314.0</v>
      </c>
      <c r="E647" s="5">
        <v>1864.0</v>
      </c>
      <c r="F647" s="18" t="s">
        <v>2613</v>
      </c>
      <c r="G647" s="5" t="s">
        <v>2614</v>
      </c>
      <c r="H647" s="5" t="s">
        <v>2615</v>
      </c>
      <c r="I647" s="5" t="s">
        <v>641</v>
      </c>
      <c r="J647" s="5" t="s">
        <v>1715</v>
      </c>
      <c r="K647" s="5">
        <v>1.0</v>
      </c>
      <c r="L647" s="5">
        <v>2267.0</v>
      </c>
      <c r="M647" s="64"/>
      <c r="N647" s="36"/>
      <c r="P647" s="36"/>
      <c r="R647" s="36"/>
      <c r="T647" s="37"/>
      <c r="AO647" s="5" t="s">
        <v>2613</v>
      </c>
      <c r="AP647" s="5">
        <v>314.0</v>
      </c>
      <c r="AQ647" s="5" t="s">
        <v>1716</v>
      </c>
      <c r="AR647" s="5" t="s">
        <v>1717</v>
      </c>
      <c r="AS647" s="5" t="s">
        <v>1718</v>
      </c>
      <c r="AT647" s="5" t="s">
        <v>1703</v>
      </c>
      <c r="AU647" s="5" t="s">
        <v>1703</v>
      </c>
      <c r="AV647" s="5" t="s">
        <v>1720</v>
      </c>
      <c r="AW647" s="5" t="s">
        <v>2193</v>
      </c>
      <c r="AX647" s="5" t="s">
        <v>2283</v>
      </c>
      <c r="AY647" s="5">
        <v>51.3</v>
      </c>
      <c r="AZ647" s="5">
        <v>-124.7</v>
      </c>
      <c r="BA647" s="5">
        <v>10.0</v>
      </c>
    </row>
    <row r="648" ht="14.25" customHeight="1">
      <c r="B648" s="5">
        <v>12.0</v>
      </c>
      <c r="C648" s="5" t="s">
        <v>1711</v>
      </c>
      <c r="D648" s="5">
        <v>315.0</v>
      </c>
      <c r="E648" s="5">
        <v>1865.0</v>
      </c>
      <c r="F648" s="18" t="s">
        <v>2616</v>
      </c>
      <c r="G648" s="5" t="s">
        <v>2617</v>
      </c>
      <c r="H648" s="5" t="s">
        <v>2618</v>
      </c>
      <c r="I648" s="5" t="s">
        <v>641</v>
      </c>
      <c r="J648" s="5" t="s">
        <v>1746</v>
      </c>
      <c r="K648" s="5">
        <v>1.0</v>
      </c>
      <c r="L648" s="5">
        <v>2268.0</v>
      </c>
      <c r="M648" s="64"/>
      <c r="N648" s="36"/>
      <c r="P648" s="36"/>
      <c r="R648" s="36"/>
      <c r="T648" s="37"/>
      <c r="AO648" s="5" t="s">
        <v>2616</v>
      </c>
      <c r="AP648" s="5">
        <v>315.0</v>
      </c>
      <c r="AQ648" s="5" t="s">
        <v>1716</v>
      </c>
      <c r="AR648" s="5" t="s">
        <v>1717</v>
      </c>
      <c r="AS648" s="5" t="s">
        <v>1718</v>
      </c>
      <c r="AT648" s="5" t="s">
        <v>1703</v>
      </c>
      <c r="AU648" s="5" t="s">
        <v>1703</v>
      </c>
      <c r="AV648" s="5" t="s">
        <v>1720</v>
      </c>
      <c r="AW648" s="5" t="s">
        <v>1705</v>
      </c>
      <c r="AX648" s="5" t="s">
        <v>1879</v>
      </c>
      <c r="AY648" s="5">
        <v>50.3517</v>
      </c>
      <c r="AZ648" s="5">
        <v>-122.7967</v>
      </c>
      <c r="BA648" s="5">
        <v>774.0</v>
      </c>
    </row>
    <row r="649" ht="14.25" customHeight="1">
      <c r="A649" s="5" t="s">
        <v>88</v>
      </c>
      <c r="B649" s="5">
        <v>12.0</v>
      </c>
      <c r="C649" s="5" t="s">
        <v>1711</v>
      </c>
      <c r="D649" s="5">
        <v>316.0</v>
      </c>
      <c r="E649" s="5">
        <v>1866.0</v>
      </c>
      <c r="F649" s="5" t="s">
        <v>2619</v>
      </c>
      <c r="G649" s="10" t="s">
        <v>2620</v>
      </c>
      <c r="H649" s="5" t="s">
        <v>2621</v>
      </c>
      <c r="I649" s="5" t="s">
        <v>641</v>
      </c>
      <c r="J649" s="5" t="s">
        <v>1829</v>
      </c>
      <c r="K649" s="5">
        <v>1.0</v>
      </c>
      <c r="L649" s="5">
        <v>2269.0</v>
      </c>
      <c r="M649" s="64">
        <v>49.90178</v>
      </c>
      <c r="N649" s="36">
        <v>-122.0207</v>
      </c>
      <c r="O649" s="5" t="s">
        <v>51</v>
      </c>
      <c r="P649" s="5">
        <v>316.0</v>
      </c>
      <c r="Q649" s="5">
        <v>7.0</v>
      </c>
      <c r="R649" s="36" t="s">
        <v>2619</v>
      </c>
      <c r="S649" s="5" t="s">
        <v>1737</v>
      </c>
      <c r="T649" s="37">
        <v>1400.0</v>
      </c>
      <c r="W649" s="5">
        <v>36892.0</v>
      </c>
      <c r="X649" s="5" t="s">
        <v>1738</v>
      </c>
      <c r="AO649" s="5" t="s">
        <v>2619</v>
      </c>
      <c r="AP649" s="5">
        <v>316.0</v>
      </c>
      <c r="AQ649" s="5" t="s">
        <v>1716</v>
      </c>
      <c r="AR649" s="5" t="s">
        <v>1739</v>
      </c>
      <c r="AS649" s="5" t="s">
        <v>1740</v>
      </c>
      <c r="AT649" s="5" t="s">
        <v>1741</v>
      </c>
      <c r="AU649" s="5" t="s">
        <v>1742</v>
      </c>
      <c r="AV649" s="5" t="s">
        <v>1720</v>
      </c>
      <c r="AW649" s="5" t="s">
        <v>1705</v>
      </c>
      <c r="AX649" s="5" t="s">
        <v>1883</v>
      </c>
      <c r="AY649" s="5">
        <v>49.9018</v>
      </c>
      <c r="AZ649" s="5">
        <v>-122.0209</v>
      </c>
      <c r="BA649" s="5">
        <v>551.0</v>
      </c>
    </row>
    <row r="650" ht="14.25" customHeight="1">
      <c r="A650" s="5" t="s">
        <v>88</v>
      </c>
      <c r="B650" s="5">
        <v>12.0</v>
      </c>
      <c r="C650" s="5" t="s">
        <v>1711</v>
      </c>
      <c r="D650" s="5">
        <v>317.0</v>
      </c>
      <c r="E650" s="5">
        <v>1867.0</v>
      </c>
      <c r="F650" s="5" t="s">
        <v>770</v>
      </c>
      <c r="G650" s="10" t="s">
        <v>2622</v>
      </c>
      <c r="H650" s="5" t="s">
        <v>2623</v>
      </c>
      <c r="I650" s="5" t="s">
        <v>641</v>
      </c>
      <c r="J650" s="5" t="s">
        <v>1736</v>
      </c>
      <c r="K650" s="5">
        <v>1.0</v>
      </c>
      <c r="L650" s="5">
        <v>2270.0</v>
      </c>
      <c r="M650" s="64">
        <v>49.0623</v>
      </c>
      <c r="N650" s="36">
        <v>-120.7674</v>
      </c>
      <c r="O650" s="5" t="s">
        <v>142</v>
      </c>
      <c r="P650" s="36">
        <v>317.0</v>
      </c>
      <c r="Q650" s="5">
        <v>4.0</v>
      </c>
      <c r="R650" s="36" t="s">
        <v>770</v>
      </c>
      <c r="S650" s="5" t="s">
        <v>1737</v>
      </c>
      <c r="T650" s="37">
        <v>1215.0</v>
      </c>
      <c r="W650" s="5">
        <v>31778.0</v>
      </c>
      <c r="X650" s="5" t="s">
        <v>1738</v>
      </c>
      <c r="AO650" s="5" t="s">
        <v>770</v>
      </c>
      <c r="AP650" s="5">
        <v>317.0</v>
      </c>
      <c r="AQ650" s="5" t="s">
        <v>1716</v>
      </c>
      <c r="AR650" s="5" t="s">
        <v>1739</v>
      </c>
      <c r="AS650" s="5" t="s">
        <v>1740</v>
      </c>
      <c r="AT650" s="5" t="s">
        <v>1741</v>
      </c>
      <c r="AU650" s="5" t="s">
        <v>1742</v>
      </c>
      <c r="AV650" s="5" t="s">
        <v>1720</v>
      </c>
      <c r="AW650" s="5" t="s">
        <v>1705</v>
      </c>
      <c r="AX650" s="5" t="s">
        <v>1883</v>
      </c>
      <c r="AY650" s="5">
        <v>49.0625</v>
      </c>
      <c r="AZ650" s="5">
        <v>-120.7668</v>
      </c>
      <c r="BA650" s="5">
        <v>1174.0</v>
      </c>
    </row>
    <row r="651" ht="14.25" customHeight="1">
      <c r="B651" s="5">
        <v>12.0</v>
      </c>
      <c r="C651" s="5" t="s">
        <v>1711</v>
      </c>
      <c r="D651" s="5">
        <v>319.0</v>
      </c>
      <c r="E651" s="5">
        <v>1868.0</v>
      </c>
      <c r="F651" s="18" t="s">
        <v>2624</v>
      </c>
      <c r="G651" s="5" t="s">
        <v>2625</v>
      </c>
      <c r="H651" s="5" t="s">
        <v>2626</v>
      </c>
      <c r="I651" s="5" t="s">
        <v>641</v>
      </c>
      <c r="J651" s="5" t="s">
        <v>1715</v>
      </c>
      <c r="K651" s="5">
        <v>1.0</v>
      </c>
      <c r="L651" s="5">
        <v>2271.0</v>
      </c>
      <c r="M651" s="64"/>
      <c r="N651" s="36"/>
      <c r="P651" s="36"/>
      <c r="R651" s="36"/>
      <c r="T651" s="37"/>
      <c r="AO651" s="5" t="s">
        <v>2624</v>
      </c>
      <c r="AP651" s="5">
        <v>319.0</v>
      </c>
      <c r="AQ651" s="5" t="s">
        <v>1716</v>
      </c>
      <c r="AR651" s="5" t="s">
        <v>1717</v>
      </c>
      <c r="AS651" s="5" t="s">
        <v>1718</v>
      </c>
      <c r="AT651" s="5" t="s">
        <v>1703</v>
      </c>
      <c r="AU651" s="5" t="s">
        <v>1703</v>
      </c>
      <c r="AV651" s="5" t="s">
        <v>1720</v>
      </c>
      <c r="AW651" s="5" t="s">
        <v>2368</v>
      </c>
      <c r="AX651" s="5" t="s">
        <v>2492</v>
      </c>
      <c r="AY651" s="5">
        <v>49.3083</v>
      </c>
      <c r="AZ651" s="5">
        <v>-120.2183</v>
      </c>
      <c r="BA651" s="5">
        <v>1402.0</v>
      </c>
    </row>
    <row r="652" ht="14.25" customHeight="1">
      <c r="B652" s="5">
        <v>12.0</v>
      </c>
      <c r="C652" s="5" t="s">
        <v>1711</v>
      </c>
      <c r="D652" s="5">
        <v>320.0</v>
      </c>
      <c r="E652" s="5">
        <v>1869.0</v>
      </c>
      <c r="F652" s="18" t="s">
        <v>2627</v>
      </c>
      <c r="G652" s="5" t="s">
        <v>2628</v>
      </c>
      <c r="H652" s="5" t="s">
        <v>2629</v>
      </c>
      <c r="I652" s="5" t="s">
        <v>641</v>
      </c>
      <c r="J652" s="5" t="s">
        <v>1715</v>
      </c>
      <c r="K652" s="5">
        <v>1.0</v>
      </c>
      <c r="L652" s="5">
        <v>2272.0</v>
      </c>
      <c r="M652" s="64"/>
      <c r="N652" s="36"/>
      <c r="R652" s="36"/>
      <c r="T652" s="37"/>
      <c r="AO652" s="5" t="s">
        <v>2627</v>
      </c>
      <c r="AP652" s="5">
        <v>320.0</v>
      </c>
      <c r="AQ652" s="5" t="s">
        <v>1716</v>
      </c>
      <c r="AR652" s="5" t="s">
        <v>1717</v>
      </c>
      <c r="AS652" s="5" t="s">
        <v>1718</v>
      </c>
      <c r="AT652" s="5" t="s">
        <v>1703</v>
      </c>
      <c r="AU652" s="5" t="s">
        <v>1703</v>
      </c>
      <c r="AV652" s="5" t="s">
        <v>1720</v>
      </c>
      <c r="AW652" s="5" t="s">
        <v>2368</v>
      </c>
      <c r="AX652" s="5" t="s">
        <v>2492</v>
      </c>
      <c r="AY652" s="5">
        <v>50.3133</v>
      </c>
      <c r="AZ652" s="5">
        <v>-120.9267</v>
      </c>
      <c r="BA652" s="5">
        <v>1402.0</v>
      </c>
    </row>
    <row r="653" ht="14.25" customHeight="1">
      <c r="A653" s="5" t="s">
        <v>88</v>
      </c>
      <c r="B653" s="5">
        <v>12.0</v>
      </c>
      <c r="C653" s="5" t="s">
        <v>1711</v>
      </c>
      <c r="D653" s="5">
        <v>321.0</v>
      </c>
      <c r="E653" s="5">
        <v>1870.0</v>
      </c>
      <c r="F653" s="5" t="s">
        <v>2630</v>
      </c>
      <c r="G653" s="10" t="s">
        <v>2631</v>
      </c>
      <c r="H653" s="5" t="s">
        <v>2632</v>
      </c>
      <c r="I653" s="5" t="s">
        <v>641</v>
      </c>
      <c r="J653" s="5" t="s">
        <v>1865</v>
      </c>
      <c r="K653" s="5">
        <v>1.0</v>
      </c>
      <c r="L653" s="5">
        <v>2273.0</v>
      </c>
      <c r="M653" s="8">
        <v>50.61125</v>
      </c>
      <c r="N653" s="5">
        <v>-120.64155</v>
      </c>
      <c r="O653" s="5" t="s">
        <v>142</v>
      </c>
      <c r="P653" s="5">
        <v>321.0</v>
      </c>
      <c r="Q653" s="5">
        <v>8.0</v>
      </c>
      <c r="R653" s="5" t="s">
        <v>2633</v>
      </c>
      <c r="S653" s="5" t="s">
        <v>1737</v>
      </c>
      <c r="T653" s="5">
        <v>1780.0</v>
      </c>
      <c r="W653" s="5">
        <v>32509.0</v>
      </c>
      <c r="X653" s="5" t="s">
        <v>1738</v>
      </c>
      <c r="AO653" s="55" t="s">
        <v>2633</v>
      </c>
      <c r="AP653" s="5">
        <v>321.0</v>
      </c>
      <c r="AQ653" s="5" t="s">
        <v>1700</v>
      </c>
      <c r="AR653" s="5" t="s">
        <v>1701</v>
      </c>
      <c r="AS653" s="5" t="s">
        <v>1740</v>
      </c>
      <c r="AT653" s="5" t="s">
        <v>1741</v>
      </c>
      <c r="AU653" s="5" t="s">
        <v>2043</v>
      </c>
      <c r="AV653" s="5" t="s">
        <v>1720</v>
      </c>
      <c r="AW653" s="5" t="s">
        <v>2368</v>
      </c>
      <c r="AX653" s="5" t="s">
        <v>2369</v>
      </c>
      <c r="AY653" s="5">
        <v>50.6112</v>
      </c>
      <c r="AZ653" s="5">
        <v>-120.6415</v>
      </c>
      <c r="BA653" s="5">
        <v>1780.0</v>
      </c>
    </row>
    <row r="654" ht="14.25" customHeight="1">
      <c r="A654" s="5" t="s">
        <v>88</v>
      </c>
      <c r="B654" s="5">
        <v>12.0</v>
      </c>
      <c r="C654" s="5" t="s">
        <v>1711</v>
      </c>
      <c r="D654" s="5">
        <v>322.0</v>
      </c>
      <c r="E654" s="5">
        <v>1871.0</v>
      </c>
      <c r="F654" s="5" t="s">
        <v>2634</v>
      </c>
      <c r="G654" s="10" t="s">
        <v>2635</v>
      </c>
      <c r="H654" s="5" t="s">
        <v>2636</v>
      </c>
      <c r="I654" s="5" t="s">
        <v>641</v>
      </c>
      <c r="J654" s="5" t="s">
        <v>1736</v>
      </c>
      <c r="K654" s="5">
        <v>1.0</v>
      </c>
      <c r="L654" s="5">
        <v>2274.0</v>
      </c>
      <c r="M654" s="64">
        <v>50.67333</v>
      </c>
      <c r="N654" s="36">
        <v>-120.48167</v>
      </c>
      <c r="O654" s="5" t="s">
        <v>142</v>
      </c>
      <c r="P654" s="36">
        <v>322.0</v>
      </c>
      <c r="Q654" s="5">
        <v>2.0</v>
      </c>
      <c r="R654" s="36" t="s">
        <v>2634</v>
      </c>
      <c r="S654" s="5" t="s">
        <v>1737</v>
      </c>
      <c r="T654" s="37">
        <v>780.0</v>
      </c>
      <c r="U654" s="5" t="s">
        <v>645</v>
      </c>
      <c r="V654" s="5" t="s">
        <v>1830</v>
      </c>
      <c r="W654" s="5">
        <v>32143.0</v>
      </c>
      <c r="X654" s="5" t="s">
        <v>1738</v>
      </c>
      <c r="AO654" s="5" t="s">
        <v>2634</v>
      </c>
      <c r="AP654" s="5">
        <v>322.0</v>
      </c>
      <c r="AQ654" s="5" t="s">
        <v>1700</v>
      </c>
      <c r="AR654" s="5" t="s">
        <v>1739</v>
      </c>
      <c r="AS654" s="5" t="s">
        <v>1740</v>
      </c>
      <c r="AT654" s="5" t="s">
        <v>1741</v>
      </c>
      <c r="AU654" s="5" t="s">
        <v>1772</v>
      </c>
      <c r="AV654" s="5" t="s">
        <v>1720</v>
      </c>
      <c r="AW654" s="5" t="s">
        <v>2368</v>
      </c>
      <c r="AX654" s="5" t="s">
        <v>2369</v>
      </c>
      <c r="AY654" s="5">
        <v>50.6727</v>
      </c>
      <c r="AZ654" s="5">
        <v>-120.4822</v>
      </c>
      <c r="BA654" s="5">
        <v>693.0</v>
      </c>
    </row>
    <row r="655" ht="14.25" customHeight="1">
      <c r="B655" s="5">
        <v>12.0</v>
      </c>
      <c r="C655" s="5" t="s">
        <v>1711</v>
      </c>
      <c r="D655" s="5">
        <v>323.0</v>
      </c>
      <c r="E655" s="5">
        <v>1872.0</v>
      </c>
      <c r="F655" s="18" t="s">
        <v>2637</v>
      </c>
      <c r="G655" s="5" t="s">
        <v>2638</v>
      </c>
      <c r="H655" s="5" t="s">
        <v>2639</v>
      </c>
      <c r="I655" s="5" t="s">
        <v>641</v>
      </c>
      <c r="J655" s="5" t="s">
        <v>1715</v>
      </c>
      <c r="K655" s="5">
        <v>1.0</v>
      </c>
      <c r="L655" s="5">
        <v>2275.0</v>
      </c>
      <c r="M655" s="64"/>
      <c r="N655" s="36"/>
      <c r="R655" s="36"/>
      <c r="T655" s="37"/>
      <c r="AO655" s="5" t="s">
        <v>2637</v>
      </c>
      <c r="AP655" s="5">
        <v>323.0</v>
      </c>
      <c r="AQ655" s="5" t="s">
        <v>1716</v>
      </c>
      <c r="AR655" s="5" t="s">
        <v>1717</v>
      </c>
      <c r="AS655" s="5" t="s">
        <v>1718</v>
      </c>
      <c r="AT655" s="5" t="s">
        <v>1703</v>
      </c>
      <c r="AU655" s="5" t="s">
        <v>1703</v>
      </c>
      <c r="AV655" s="5" t="s">
        <v>1720</v>
      </c>
      <c r="AW655" s="5" t="s">
        <v>2368</v>
      </c>
      <c r="AX655" s="5" t="s">
        <v>2369</v>
      </c>
      <c r="AY655" s="5">
        <v>50.6</v>
      </c>
      <c r="AZ655" s="5">
        <v>-120.5</v>
      </c>
      <c r="BA655" s="5">
        <v>12.0</v>
      </c>
    </row>
    <row r="656" ht="14.25" customHeight="1">
      <c r="B656" s="5">
        <v>12.0</v>
      </c>
      <c r="C656" s="5" t="s">
        <v>1711</v>
      </c>
      <c r="D656" s="5">
        <v>324.0</v>
      </c>
      <c r="E656" s="5">
        <v>1873.0</v>
      </c>
      <c r="F656" s="18" t="s">
        <v>2640</v>
      </c>
      <c r="G656" s="5" t="s">
        <v>2641</v>
      </c>
      <c r="H656" s="5" t="s">
        <v>2642</v>
      </c>
      <c r="I656" s="5" t="s">
        <v>641</v>
      </c>
      <c r="J656" s="5" t="s">
        <v>1715</v>
      </c>
      <c r="K656" s="5">
        <v>1.0</v>
      </c>
      <c r="L656" s="5">
        <v>2276.0</v>
      </c>
      <c r="M656" s="64"/>
      <c r="N656" s="36"/>
      <c r="P656" s="36"/>
      <c r="R656" s="36"/>
      <c r="T656" s="37"/>
      <c r="AO656" s="5" t="s">
        <v>2640</v>
      </c>
      <c r="AP656" s="5">
        <v>324.0</v>
      </c>
      <c r="AQ656" s="5" t="s">
        <v>1716</v>
      </c>
      <c r="AR656" s="5" t="s">
        <v>1717</v>
      </c>
      <c r="AS656" s="5" t="s">
        <v>1718</v>
      </c>
      <c r="AT656" s="5" t="s">
        <v>1719</v>
      </c>
      <c r="AU656" s="5" t="s">
        <v>1836</v>
      </c>
      <c r="AV656" s="5" t="s">
        <v>1720</v>
      </c>
      <c r="AW656" s="5" t="s">
        <v>1705</v>
      </c>
      <c r="AX656" s="5" t="s">
        <v>1883</v>
      </c>
      <c r="AY656" s="5">
        <v>49.855</v>
      </c>
      <c r="AZ656" s="5">
        <v>-121.435</v>
      </c>
      <c r="BA656" s="5">
        <v>150.0</v>
      </c>
    </row>
    <row r="657" ht="14.25" customHeight="1">
      <c r="B657" s="5">
        <v>12.0</v>
      </c>
      <c r="C657" s="5" t="s">
        <v>1711</v>
      </c>
      <c r="D657" s="5">
        <v>325.0</v>
      </c>
      <c r="E657" s="5">
        <v>1874.0</v>
      </c>
      <c r="F657" s="5" t="s">
        <v>2643</v>
      </c>
      <c r="G657" s="5" t="s">
        <v>2644</v>
      </c>
      <c r="H657" s="5" t="s">
        <v>2645</v>
      </c>
      <c r="I657" s="5" t="s">
        <v>641</v>
      </c>
      <c r="J657" s="5" t="s">
        <v>1715</v>
      </c>
      <c r="K657" s="5">
        <v>1.0</v>
      </c>
      <c r="L657" s="5">
        <v>2277.0</v>
      </c>
      <c r="M657" s="64">
        <v>50.50025</v>
      </c>
      <c r="N657" s="36">
        <v>-119.7013889</v>
      </c>
      <c r="O657" s="5" t="s">
        <v>142</v>
      </c>
      <c r="P657" s="36">
        <v>1359.0</v>
      </c>
      <c r="Q657" s="5">
        <v>3.0</v>
      </c>
      <c r="R657" s="36" t="s">
        <v>2646</v>
      </c>
      <c r="S657" s="5" t="s">
        <v>1737</v>
      </c>
      <c r="T657" s="37">
        <v>1153.0</v>
      </c>
      <c r="W657" s="5">
        <v>43614.0</v>
      </c>
      <c r="X657" s="5" t="s">
        <v>1738</v>
      </c>
      <c r="AO657" s="5" t="s">
        <v>2647</v>
      </c>
      <c r="AP657" s="5">
        <v>325.0</v>
      </c>
      <c r="AQ657" s="5" t="s">
        <v>1716</v>
      </c>
      <c r="AR657" s="5" t="s">
        <v>1717</v>
      </c>
      <c r="AS657" s="5" t="s">
        <v>1718</v>
      </c>
      <c r="AT657" s="5" t="s">
        <v>1835</v>
      </c>
      <c r="AU657" s="5" t="s">
        <v>1836</v>
      </c>
      <c r="AV657" s="5" t="s">
        <v>1720</v>
      </c>
      <c r="AW657" s="5" t="s">
        <v>2368</v>
      </c>
      <c r="AX657" s="5" t="s">
        <v>2492</v>
      </c>
      <c r="AY657" s="5">
        <v>49.38</v>
      </c>
      <c r="AZ657" s="5">
        <v>-120.1533</v>
      </c>
      <c r="BA657" s="5">
        <v>579.0</v>
      </c>
    </row>
    <row r="658" ht="14.25" customHeight="1">
      <c r="A658" s="5" t="s">
        <v>88</v>
      </c>
      <c r="B658" s="5">
        <v>12.0</v>
      </c>
      <c r="C658" s="5" t="s">
        <v>1711</v>
      </c>
      <c r="D658" s="5">
        <v>326.0</v>
      </c>
      <c r="E658" s="5">
        <v>1875.0</v>
      </c>
      <c r="F658" s="5" t="s">
        <v>2648</v>
      </c>
      <c r="G658" s="10" t="s">
        <v>2649</v>
      </c>
      <c r="H658" s="5" t="s">
        <v>2650</v>
      </c>
      <c r="I658" s="5" t="s">
        <v>641</v>
      </c>
      <c r="J658" s="5" t="s">
        <v>1865</v>
      </c>
      <c r="K658" s="5">
        <v>1.0</v>
      </c>
      <c r="L658" s="5">
        <v>2278.0</v>
      </c>
      <c r="M658" s="64">
        <v>50.504</v>
      </c>
      <c r="N658" s="36">
        <v>-120.674</v>
      </c>
      <c r="O658" s="5" t="s">
        <v>142</v>
      </c>
      <c r="P658" s="36">
        <v>326.0</v>
      </c>
      <c r="Q658" s="5">
        <v>6.0</v>
      </c>
      <c r="R658" s="36" t="s">
        <v>2648</v>
      </c>
      <c r="S658" s="5" t="s">
        <v>1737</v>
      </c>
      <c r="T658" s="37">
        <v>1440.0</v>
      </c>
      <c r="U658" s="5" t="s">
        <v>645</v>
      </c>
      <c r="W658" s="5">
        <v>36161.0</v>
      </c>
      <c r="X658" s="5" t="s">
        <v>1738</v>
      </c>
      <c r="AO658" s="5" t="s">
        <v>2648</v>
      </c>
      <c r="AP658" s="5">
        <v>326.0</v>
      </c>
      <c r="AQ658" s="5" t="s">
        <v>1700</v>
      </c>
      <c r="AR658" s="5" t="s">
        <v>1739</v>
      </c>
      <c r="AS658" s="5" t="s">
        <v>1740</v>
      </c>
      <c r="AT658" s="5" t="s">
        <v>1835</v>
      </c>
      <c r="AU658" s="5" t="s">
        <v>1959</v>
      </c>
      <c r="AV658" s="5" t="s">
        <v>1720</v>
      </c>
      <c r="AW658" s="5" t="s">
        <v>2368</v>
      </c>
      <c r="AX658" s="5" t="s">
        <v>2369</v>
      </c>
      <c r="AY658" s="5">
        <v>50.504</v>
      </c>
      <c r="AZ658" s="5">
        <v>-120.674</v>
      </c>
      <c r="BA658" s="5">
        <v>1488.0</v>
      </c>
    </row>
    <row r="659" ht="14.25" customHeight="1">
      <c r="A659" s="5" t="s">
        <v>88</v>
      </c>
      <c r="B659" s="5">
        <v>12.0</v>
      </c>
      <c r="C659" s="5" t="s">
        <v>1711</v>
      </c>
      <c r="D659" s="5">
        <v>328.0</v>
      </c>
      <c r="E659" s="5">
        <v>1876.0</v>
      </c>
      <c r="F659" s="5" t="s">
        <v>2651</v>
      </c>
      <c r="G659" s="10" t="s">
        <v>2652</v>
      </c>
      <c r="H659" s="5" t="s">
        <v>2653</v>
      </c>
      <c r="I659" s="5" t="s">
        <v>641</v>
      </c>
      <c r="J659" s="5" t="s">
        <v>1736</v>
      </c>
      <c r="K659" s="5">
        <v>1.0</v>
      </c>
      <c r="L659" s="5">
        <v>2279.0</v>
      </c>
      <c r="M659" s="8">
        <v>49.51833</v>
      </c>
      <c r="N659" s="11">
        <v>-119.55333</v>
      </c>
      <c r="O659" s="11" t="s">
        <v>142</v>
      </c>
      <c r="P659" s="11">
        <v>328.0</v>
      </c>
      <c r="Q659" s="22">
        <v>1.0</v>
      </c>
      <c r="R659" s="11" t="s">
        <v>2651</v>
      </c>
      <c r="S659" s="11" t="s">
        <v>1737</v>
      </c>
      <c r="T659" s="11">
        <v>427.0</v>
      </c>
      <c r="U659" s="11" t="s">
        <v>645</v>
      </c>
      <c r="V659" s="11"/>
      <c r="W659" s="23">
        <v>25569.0</v>
      </c>
      <c r="X659" s="11" t="s">
        <v>1738</v>
      </c>
      <c r="AO659" s="5" t="s">
        <v>2651</v>
      </c>
      <c r="AP659" s="5">
        <v>328.0</v>
      </c>
      <c r="AQ659" s="5" t="s">
        <v>1700</v>
      </c>
      <c r="AR659" s="5" t="s">
        <v>1739</v>
      </c>
      <c r="AS659" s="5" t="s">
        <v>1740</v>
      </c>
      <c r="AT659" s="5" t="s">
        <v>1741</v>
      </c>
      <c r="AU659" s="5" t="s">
        <v>1772</v>
      </c>
      <c r="AV659" s="5" t="s">
        <v>1720</v>
      </c>
      <c r="AW659" s="5" t="s">
        <v>2368</v>
      </c>
      <c r="AX659" s="5" t="s">
        <v>2516</v>
      </c>
      <c r="AY659" s="5">
        <v>49.5177</v>
      </c>
      <c r="AZ659" s="5">
        <v>-119.5529</v>
      </c>
      <c r="BA659" s="5">
        <v>492.0</v>
      </c>
    </row>
    <row r="660" ht="14.25" customHeight="1">
      <c r="B660" s="5">
        <v>12.0</v>
      </c>
      <c r="C660" s="5" t="s">
        <v>1711</v>
      </c>
      <c r="D660" s="5">
        <v>329.0</v>
      </c>
      <c r="E660" s="5">
        <v>1877.0</v>
      </c>
      <c r="F660" s="18" t="s">
        <v>2654</v>
      </c>
      <c r="G660" s="5" t="s">
        <v>2655</v>
      </c>
      <c r="H660" s="5" t="s">
        <v>2656</v>
      </c>
      <c r="I660" s="5" t="s">
        <v>1664</v>
      </c>
      <c r="J660" s="5" t="s">
        <v>1715</v>
      </c>
      <c r="K660" s="5">
        <v>1.0</v>
      </c>
      <c r="L660" s="5">
        <v>2280.0</v>
      </c>
      <c r="M660" s="64"/>
      <c r="N660" s="36"/>
      <c r="R660" s="36"/>
      <c r="T660" s="37"/>
      <c r="AO660" s="5" t="s">
        <v>2654</v>
      </c>
      <c r="AP660" s="5">
        <v>329.0</v>
      </c>
      <c r="AQ660" s="5" t="s">
        <v>1716</v>
      </c>
      <c r="AR660" s="5" t="s">
        <v>1717</v>
      </c>
      <c r="AS660" s="5" t="s">
        <v>1718</v>
      </c>
      <c r="AT660" s="5" t="s">
        <v>1719</v>
      </c>
      <c r="AU660" s="5" t="s">
        <v>1703</v>
      </c>
      <c r="AV660" s="5" t="s">
        <v>1720</v>
      </c>
      <c r="AW660" s="5" t="s">
        <v>2368</v>
      </c>
      <c r="AX660" s="5" t="s">
        <v>2516</v>
      </c>
      <c r="AY660" s="5">
        <v>49.7</v>
      </c>
      <c r="AZ660" s="5">
        <v>-119.3</v>
      </c>
      <c r="BA660" s="5">
        <v>0.0</v>
      </c>
    </row>
    <row r="661" ht="14.25" customHeight="1">
      <c r="B661" s="5">
        <v>12.0</v>
      </c>
      <c r="C661" s="5" t="s">
        <v>1711</v>
      </c>
      <c r="D661" s="5">
        <v>330.0</v>
      </c>
      <c r="E661" s="5">
        <v>1878.0</v>
      </c>
      <c r="F661" s="18" t="s">
        <v>2657</v>
      </c>
      <c r="G661" s="5" t="s">
        <v>2658</v>
      </c>
      <c r="H661" s="5" t="s">
        <v>2659</v>
      </c>
      <c r="I661" s="5" t="s">
        <v>641</v>
      </c>
      <c r="J661" s="5" t="s">
        <v>1715</v>
      </c>
      <c r="K661" s="5">
        <v>1.0</v>
      </c>
      <c r="L661" s="5">
        <v>2281.0</v>
      </c>
      <c r="M661" s="64"/>
      <c r="N661" s="36"/>
      <c r="P661" s="36"/>
      <c r="R661" s="36"/>
      <c r="T661" s="37"/>
      <c r="AO661" s="5" t="s">
        <v>2657</v>
      </c>
      <c r="AP661" s="5">
        <v>330.0</v>
      </c>
      <c r="AQ661" s="5" t="s">
        <v>1716</v>
      </c>
      <c r="AR661" s="5" t="s">
        <v>1717</v>
      </c>
      <c r="AS661" s="5" t="s">
        <v>1718</v>
      </c>
      <c r="AT661" s="5" t="s">
        <v>1703</v>
      </c>
      <c r="AU661" s="5" t="s">
        <v>1703</v>
      </c>
      <c r="AV661" s="5" t="s">
        <v>1720</v>
      </c>
      <c r="AW661" s="5" t="s">
        <v>2368</v>
      </c>
      <c r="AX661" s="5" t="s">
        <v>2522</v>
      </c>
      <c r="AY661" s="5">
        <v>50.1233</v>
      </c>
      <c r="AZ661" s="5">
        <v>-118.9833</v>
      </c>
      <c r="BA661" s="5">
        <v>1402.0</v>
      </c>
    </row>
    <row r="662" ht="14.25" customHeight="1">
      <c r="A662" s="5" t="s">
        <v>1908</v>
      </c>
      <c r="B662" s="5">
        <v>12.0</v>
      </c>
      <c r="C662" s="5" t="s">
        <v>1711</v>
      </c>
      <c r="D662" s="5">
        <v>331.0</v>
      </c>
      <c r="E662" s="5">
        <v>1879.0</v>
      </c>
      <c r="F662" s="10" t="s">
        <v>2660</v>
      </c>
      <c r="G662" s="10" t="s">
        <v>2661</v>
      </c>
      <c r="H662" s="5" t="s">
        <v>2662</v>
      </c>
      <c r="I662" s="5" t="s">
        <v>641</v>
      </c>
      <c r="J662" s="5" t="s">
        <v>1736</v>
      </c>
      <c r="K662" s="5">
        <v>1.0</v>
      </c>
      <c r="L662" s="5">
        <v>2282.0</v>
      </c>
      <c r="M662" s="8">
        <v>49.13905</v>
      </c>
      <c r="N662" s="11">
        <v>-120.1844</v>
      </c>
      <c r="O662" s="11" t="s">
        <v>142</v>
      </c>
      <c r="P662" s="16">
        <v>331.0</v>
      </c>
      <c r="Q662" s="22">
        <v>7.0</v>
      </c>
      <c r="R662" s="11" t="s">
        <v>2663</v>
      </c>
      <c r="S662" s="11" t="s">
        <v>1737</v>
      </c>
      <c r="T662" s="11">
        <v>1683.0</v>
      </c>
      <c r="U662" s="11"/>
      <c r="V662" s="11"/>
      <c r="W662" s="23">
        <v>33604.0</v>
      </c>
      <c r="X662" s="11" t="s">
        <v>1738</v>
      </c>
      <c r="AO662" s="5" t="s">
        <v>2663</v>
      </c>
      <c r="AP662" s="5">
        <v>331.0</v>
      </c>
      <c r="AQ662" s="5" t="s">
        <v>1716</v>
      </c>
      <c r="AR662" s="5" t="s">
        <v>1739</v>
      </c>
      <c r="AS662" s="5" t="s">
        <v>1740</v>
      </c>
      <c r="AT662" s="5" t="s">
        <v>1741</v>
      </c>
      <c r="AU662" s="5" t="s">
        <v>1742</v>
      </c>
      <c r="AV662" s="5" t="s">
        <v>1720</v>
      </c>
      <c r="AW662" s="5" t="s">
        <v>2368</v>
      </c>
      <c r="AX662" s="5" t="s">
        <v>2516</v>
      </c>
      <c r="AY662" s="5">
        <v>49.1391</v>
      </c>
      <c r="AZ662" s="5">
        <v>-120.1844</v>
      </c>
      <c r="BA662" s="5">
        <v>1683.0</v>
      </c>
    </row>
    <row r="663" ht="14.25" customHeight="1">
      <c r="B663" s="5">
        <v>12.0</v>
      </c>
      <c r="C663" s="5" t="s">
        <v>1711</v>
      </c>
      <c r="D663" s="5">
        <v>332.0</v>
      </c>
      <c r="E663" s="5">
        <v>1880.0</v>
      </c>
      <c r="F663" s="18" t="s">
        <v>2664</v>
      </c>
      <c r="G663" s="5" t="s">
        <v>2665</v>
      </c>
      <c r="H663" s="5" t="s">
        <v>1794</v>
      </c>
      <c r="I663" s="5" t="s">
        <v>1664</v>
      </c>
      <c r="J663" s="5" t="s">
        <v>1715</v>
      </c>
      <c r="K663" s="5">
        <v>1.0</v>
      </c>
      <c r="L663" s="5">
        <v>2283.0</v>
      </c>
      <c r="M663" s="64"/>
      <c r="N663" s="36"/>
      <c r="P663" s="36"/>
      <c r="R663" s="36"/>
      <c r="T663" s="37"/>
      <c r="AO663" s="5" t="s">
        <v>2664</v>
      </c>
      <c r="AP663" s="5">
        <v>332.0</v>
      </c>
      <c r="AQ663" s="5" t="s">
        <v>1716</v>
      </c>
      <c r="AR663" s="5" t="s">
        <v>1717</v>
      </c>
      <c r="AS663" s="5" t="s">
        <v>1718</v>
      </c>
      <c r="AT663" s="5" t="s">
        <v>1719</v>
      </c>
      <c r="AU663" s="5" t="s">
        <v>1703</v>
      </c>
      <c r="AV663" s="5" t="s">
        <v>1720</v>
      </c>
      <c r="AW663" s="5" t="s">
        <v>2368</v>
      </c>
      <c r="AX663" s="5" t="s">
        <v>2492</v>
      </c>
      <c r="AY663" s="5">
        <v>49.7</v>
      </c>
      <c r="AZ663" s="5">
        <v>-120.3</v>
      </c>
      <c r="BA663" s="5">
        <v>10.0</v>
      </c>
    </row>
    <row r="664" ht="14.25" customHeight="1">
      <c r="B664" s="5">
        <v>12.0</v>
      </c>
      <c r="C664" s="5" t="s">
        <v>1711</v>
      </c>
      <c r="D664" s="5">
        <v>333.0</v>
      </c>
      <c r="E664" s="5">
        <v>1881.0</v>
      </c>
      <c r="F664" s="18" t="s">
        <v>2666</v>
      </c>
      <c r="G664" s="5" t="s">
        <v>2667</v>
      </c>
      <c r="H664" s="5" t="s">
        <v>2668</v>
      </c>
      <c r="I664" s="5" t="s">
        <v>641</v>
      </c>
      <c r="J664" s="5" t="s">
        <v>1715</v>
      </c>
      <c r="K664" s="5">
        <v>1.0</v>
      </c>
      <c r="L664" s="5">
        <v>2284.0</v>
      </c>
      <c r="M664" s="8"/>
      <c r="AO664" s="5" t="s">
        <v>2666</v>
      </c>
      <c r="AP664" s="5">
        <v>333.0</v>
      </c>
      <c r="AQ664" s="5" t="s">
        <v>1716</v>
      </c>
      <c r="AR664" s="5" t="s">
        <v>1717</v>
      </c>
      <c r="AS664" s="5" t="s">
        <v>1718</v>
      </c>
      <c r="AT664" s="5" t="s">
        <v>1703</v>
      </c>
      <c r="AU664" s="5" t="s">
        <v>1703</v>
      </c>
      <c r="AV664" s="5" t="s">
        <v>1720</v>
      </c>
      <c r="AW664" s="5" t="s">
        <v>2368</v>
      </c>
      <c r="AY664" s="5">
        <v>49.0</v>
      </c>
      <c r="AZ664" s="5">
        <v>-119.7</v>
      </c>
      <c r="BA664" s="5">
        <v>4.0</v>
      </c>
    </row>
    <row r="665" ht="14.25" customHeight="1">
      <c r="A665" s="5" t="s">
        <v>88</v>
      </c>
      <c r="B665" s="5">
        <v>12.0</v>
      </c>
      <c r="C665" s="5" t="s">
        <v>1711</v>
      </c>
      <c r="D665" s="5">
        <v>334.0</v>
      </c>
      <c r="E665" s="5">
        <v>1882.0</v>
      </c>
      <c r="F665" s="5" t="s">
        <v>2669</v>
      </c>
      <c r="G665" s="10" t="s">
        <v>2670</v>
      </c>
      <c r="H665" s="5" t="s">
        <v>2671</v>
      </c>
      <c r="I665" s="5" t="s">
        <v>641</v>
      </c>
      <c r="J665" s="5" t="s">
        <v>1865</v>
      </c>
      <c r="K665" s="5">
        <v>1.0</v>
      </c>
      <c r="L665" s="5">
        <v>2285.0</v>
      </c>
      <c r="M665" s="64">
        <v>49.14833</v>
      </c>
      <c r="N665" s="36">
        <v>-119.415</v>
      </c>
      <c r="O665" s="11" t="s">
        <v>142</v>
      </c>
      <c r="P665" s="36">
        <v>334.0</v>
      </c>
      <c r="Q665" s="22">
        <v>3.0</v>
      </c>
      <c r="R665" s="36" t="s">
        <v>2669</v>
      </c>
      <c r="S665" s="11" t="s">
        <v>1737</v>
      </c>
      <c r="T665" s="37">
        <v>1067.0</v>
      </c>
      <c r="U665" s="11"/>
      <c r="V665" s="11"/>
      <c r="W665" s="23">
        <v>30682.0</v>
      </c>
      <c r="X665" s="11" t="s">
        <v>1738</v>
      </c>
      <c r="AO665" s="5" t="s">
        <v>2669</v>
      </c>
      <c r="AP665" s="5">
        <v>334.0</v>
      </c>
      <c r="AQ665" s="5" t="s">
        <v>1700</v>
      </c>
      <c r="AR665" s="5" t="s">
        <v>1739</v>
      </c>
      <c r="AS665" s="5" t="s">
        <v>1740</v>
      </c>
      <c r="AT665" s="5" t="s">
        <v>1741</v>
      </c>
      <c r="AU665" s="5" t="s">
        <v>1772</v>
      </c>
      <c r="AV665" s="5" t="s">
        <v>1720</v>
      </c>
      <c r="AW665" s="5" t="s">
        <v>2368</v>
      </c>
      <c r="AX665" s="5" t="s">
        <v>2516</v>
      </c>
      <c r="AY665" s="5">
        <v>49.1483</v>
      </c>
      <c r="AZ665" s="5">
        <v>-119.415</v>
      </c>
      <c r="BA665" s="5">
        <v>1023.0</v>
      </c>
    </row>
    <row r="666" ht="14.25" customHeight="1">
      <c r="B666" s="5">
        <v>12.0</v>
      </c>
      <c r="C666" s="5" t="s">
        <v>1711</v>
      </c>
      <c r="D666" s="5">
        <v>335.0</v>
      </c>
      <c r="E666" s="5">
        <v>1883.0</v>
      </c>
      <c r="F666" s="18" t="s">
        <v>2672</v>
      </c>
      <c r="G666" s="5" t="s">
        <v>2673</v>
      </c>
      <c r="H666" s="5" t="s">
        <v>2674</v>
      </c>
      <c r="I666" s="5" t="s">
        <v>1664</v>
      </c>
      <c r="J666" s="5" t="s">
        <v>1746</v>
      </c>
      <c r="K666" s="5">
        <v>1.0</v>
      </c>
      <c r="L666" s="5">
        <v>2286.0</v>
      </c>
      <c r="M666" s="8"/>
      <c r="AO666" s="5" t="s">
        <v>2672</v>
      </c>
      <c r="AP666" s="5">
        <v>335.0</v>
      </c>
      <c r="AQ666" s="5" t="s">
        <v>1716</v>
      </c>
      <c r="AR666" s="5" t="s">
        <v>1717</v>
      </c>
      <c r="AS666" s="5" t="s">
        <v>1718</v>
      </c>
      <c r="AT666" s="5" t="s">
        <v>1719</v>
      </c>
      <c r="AU666" s="5" t="s">
        <v>1703</v>
      </c>
      <c r="AV666" s="5" t="s">
        <v>1720</v>
      </c>
      <c r="AW666" s="5" t="s">
        <v>2368</v>
      </c>
      <c r="AX666" s="5" t="s">
        <v>2516</v>
      </c>
      <c r="AY666" s="5">
        <v>49.7</v>
      </c>
      <c r="AZ666" s="5">
        <v>-119.2</v>
      </c>
      <c r="BA666" s="5">
        <v>12.0</v>
      </c>
    </row>
    <row r="667" ht="14.25" customHeight="1">
      <c r="B667" s="5">
        <v>12.0</v>
      </c>
      <c r="C667" s="5" t="s">
        <v>1711</v>
      </c>
      <c r="D667" s="5">
        <v>336.0</v>
      </c>
      <c r="E667" s="5">
        <v>1884.0</v>
      </c>
      <c r="F667" s="18" t="s">
        <v>2675</v>
      </c>
      <c r="G667" s="5" t="s">
        <v>2676</v>
      </c>
      <c r="H667" s="5" t="s">
        <v>2677</v>
      </c>
      <c r="I667" s="5" t="s">
        <v>641</v>
      </c>
      <c r="J667" s="5" t="s">
        <v>1715</v>
      </c>
      <c r="K667" s="5">
        <v>1.0</v>
      </c>
      <c r="L667" s="5">
        <v>2287.0</v>
      </c>
      <c r="M667" s="8"/>
      <c r="AO667" s="5" t="s">
        <v>2675</v>
      </c>
      <c r="AP667" s="5">
        <v>336.0</v>
      </c>
      <c r="AQ667" s="5" t="s">
        <v>1716</v>
      </c>
      <c r="AR667" s="5" t="s">
        <v>1717</v>
      </c>
      <c r="AS667" s="5" t="s">
        <v>1718</v>
      </c>
      <c r="AT667" s="5" t="s">
        <v>1719</v>
      </c>
      <c r="AU667" s="5" t="s">
        <v>1959</v>
      </c>
      <c r="AV667" s="5" t="s">
        <v>1720</v>
      </c>
      <c r="AW667" s="5" t="s">
        <v>2368</v>
      </c>
      <c r="AX667" s="5" t="s">
        <v>2516</v>
      </c>
      <c r="AY667" s="5">
        <v>49.7367</v>
      </c>
      <c r="AZ667" s="5">
        <v>-119.1767</v>
      </c>
      <c r="BA667" s="5">
        <v>1250.0</v>
      </c>
    </row>
    <row r="668" ht="14.25" customHeight="1">
      <c r="B668" s="5">
        <v>12.0</v>
      </c>
      <c r="C668" s="5" t="s">
        <v>1711</v>
      </c>
      <c r="D668" s="5">
        <v>338.0</v>
      </c>
      <c r="E668" s="5">
        <v>1885.0</v>
      </c>
      <c r="F668" s="18" t="s">
        <v>2678</v>
      </c>
      <c r="G668" s="5" t="s">
        <v>2679</v>
      </c>
      <c r="H668" s="5" t="s">
        <v>2680</v>
      </c>
      <c r="I668" s="5" t="s">
        <v>641</v>
      </c>
      <c r="J668" s="5" t="s">
        <v>1715</v>
      </c>
      <c r="K668" s="5">
        <v>1.0</v>
      </c>
      <c r="L668" s="5">
        <v>2288.0</v>
      </c>
      <c r="M668" s="64"/>
      <c r="N668" s="36"/>
      <c r="O668" s="11"/>
      <c r="P668" s="36"/>
      <c r="Q668" s="22"/>
      <c r="R668" s="36"/>
      <c r="S668" s="11"/>
      <c r="T668" s="37"/>
      <c r="U668" s="11"/>
      <c r="V668" s="11"/>
      <c r="W668" s="23"/>
      <c r="X668" s="11"/>
      <c r="AO668" s="5" t="s">
        <v>2678</v>
      </c>
      <c r="AP668" s="5">
        <v>338.0</v>
      </c>
      <c r="AQ668" s="5" t="s">
        <v>1716</v>
      </c>
      <c r="AR668" s="5" t="s">
        <v>1717</v>
      </c>
      <c r="AS668" s="5" t="s">
        <v>1718</v>
      </c>
      <c r="AT668" s="5" t="s">
        <v>1703</v>
      </c>
      <c r="AU668" s="5" t="s">
        <v>1703</v>
      </c>
      <c r="AV668" s="5" t="s">
        <v>1720</v>
      </c>
      <c r="AW668" s="5" t="s">
        <v>2368</v>
      </c>
      <c r="AX668" s="5" t="s">
        <v>2516</v>
      </c>
      <c r="AY668" s="5">
        <v>49.57</v>
      </c>
      <c r="AZ668" s="5">
        <v>-119.825</v>
      </c>
      <c r="BA668" s="5">
        <v>1189.0</v>
      </c>
    </row>
    <row r="669" ht="14.25" customHeight="1">
      <c r="B669" s="5">
        <v>12.0</v>
      </c>
      <c r="C669" s="5" t="s">
        <v>1711</v>
      </c>
      <c r="D669" s="5">
        <v>340.0</v>
      </c>
      <c r="E669" s="5">
        <v>1886.0</v>
      </c>
      <c r="F669" s="18" t="s">
        <v>2681</v>
      </c>
      <c r="G669" s="5" t="s">
        <v>2682</v>
      </c>
      <c r="H669" s="5" t="s">
        <v>2683</v>
      </c>
      <c r="I669" s="5" t="s">
        <v>641</v>
      </c>
      <c r="J669" s="5" t="s">
        <v>1715</v>
      </c>
      <c r="K669" s="5">
        <v>1.0</v>
      </c>
      <c r="L669" s="5">
        <v>2289.0</v>
      </c>
      <c r="M669" s="64"/>
      <c r="N669" s="36"/>
      <c r="P669" s="36"/>
      <c r="R669" s="36"/>
      <c r="T669" s="37"/>
      <c r="AO669" s="5" t="s">
        <v>2681</v>
      </c>
      <c r="AP669" s="5">
        <v>340.0</v>
      </c>
      <c r="AQ669" s="5" t="s">
        <v>1716</v>
      </c>
      <c r="AR669" s="5" t="s">
        <v>1717</v>
      </c>
      <c r="AS669" s="5" t="s">
        <v>1718</v>
      </c>
      <c r="AT669" s="5" t="s">
        <v>1703</v>
      </c>
      <c r="AU669" s="5" t="s">
        <v>1703</v>
      </c>
      <c r="AV669" s="5" t="s">
        <v>1720</v>
      </c>
      <c r="AW669" s="5" t="s">
        <v>2368</v>
      </c>
      <c r="AX669" s="5" t="s">
        <v>2516</v>
      </c>
      <c r="AY669" s="5">
        <v>49.055</v>
      </c>
      <c r="AZ669" s="5">
        <v>-119.5117</v>
      </c>
      <c r="BA669" s="5">
        <v>305.0</v>
      </c>
    </row>
    <row r="670" ht="14.25" customHeight="1">
      <c r="B670" s="5">
        <v>12.0</v>
      </c>
      <c r="C670" s="5" t="s">
        <v>1711</v>
      </c>
      <c r="D670" s="5">
        <v>341.0</v>
      </c>
      <c r="E670" s="5">
        <v>1887.0</v>
      </c>
      <c r="F670" s="18" t="s">
        <v>2684</v>
      </c>
      <c r="G670" s="5" t="s">
        <v>2685</v>
      </c>
      <c r="H670" s="5" t="s">
        <v>2686</v>
      </c>
      <c r="I670" s="5" t="s">
        <v>641</v>
      </c>
      <c r="J670" s="5" t="s">
        <v>1715</v>
      </c>
      <c r="K670" s="5">
        <v>1.0</v>
      </c>
      <c r="L670" s="5">
        <v>2290.0</v>
      </c>
      <c r="M670" s="64"/>
      <c r="N670" s="36"/>
      <c r="P670" s="36"/>
      <c r="R670" s="36"/>
      <c r="T670" s="37"/>
      <c r="AO670" s="5" t="s">
        <v>2684</v>
      </c>
      <c r="AP670" s="5">
        <v>341.0</v>
      </c>
      <c r="AQ670" s="5" t="s">
        <v>1716</v>
      </c>
      <c r="AR670" s="5" t="s">
        <v>1717</v>
      </c>
      <c r="AS670" s="5" t="s">
        <v>1718</v>
      </c>
      <c r="AT670" s="5" t="s">
        <v>1703</v>
      </c>
      <c r="AU670" s="5" t="s">
        <v>1703</v>
      </c>
      <c r="AV670" s="5" t="s">
        <v>1720</v>
      </c>
      <c r="AW670" s="5" t="s">
        <v>2368</v>
      </c>
      <c r="AX670" s="5" t="s">
        <v>2522</v>
      </c>
      <c r="AY670" s="5">
        <v>50.2367</v>
      </c>
      <c r="AZ670" s="5">
        <v>-119.2767</v>
      </c>
      <c r="BA670" s="5">
        <v>457.0</v>
      </c>
    </row>
    <row r="671" ht="14.25" customHeight="1">
      <c r="A671" s="5" t="s">
        <v>1908</v>
      </c>
      <c r="B671" s="5">
        <v>12.0</v>
      </c>
      <c r="C671" s="5" t="s">
        <v>1711</v>
      </c>
      <c r="D671" s="5">
        <v>343.0</v>
      </c>
      <c r="E671" s="5">
        <v>1888.0</v>
      </c>
      <c r="F671" s="5" t="s">
        <v>2687</v>
      </c>
      <c r="G671" s="10" t="s">
        <v>2688</v>
      </c>
      <c r="H671" s="5" t="s">
        <v>2689</v>
      </c>
      <c r="I671" s="5" t="s">
        <v>641</v>
      </c>
      <c r="J671" s="5" t="s">
        <v>1736</v>
      </c>
      <c r="K671" s="5">
        <v>1.0</v>
      </c>
      <c r="L671" s="5">
        <v>2291.0</v>
      </c>
      <c r="M671" s="64"/>
      <c r="N671" s="36"/>
      <c r="O671" s="11"/>
      <c r="P671" s="36"/>
      <c r="Q671" s="22"/>
      <c r="R671" s="36"/>
      <c r="S671" s="11"/>
      <c r="T671" s="37"/>
      <c r="U671" s="11"/>
      <c r="V671" s="11"/>
      <c r="W671" s="23"/>
      <c r="X671" s="11"/>
      <c r="AO671" s="5" t="s">
        <v>2690</v>
      </c>
      <c r="AP671" s="5">
        <v>343.0</v>
      </c>
      <c r="AQ671" s="5" t="s">
        <v>1716</v>
      </c>
      <c r="AR671" s="5" t="s">
        <v>1717</v>
      </c>
      <c r="AS671" s="5" t="s">
        <v>1740</v>
      </c>
      <c r="AT671" s="5" t="s">
        <v>1835</v>
      </c>
      <c r="AU671" s="5" t="s">
        <v>1742</v>
      </c>
      <c r="AV671" s="5" t="s">
        <v>1720</v>
      </c>
      <c r="AW671" s="5" t="s">
        <v>2003</v>
      </c>
      <c r="AX671" s="5" t="s">
        <v>2258</v>
      </c>
      <c r="AY671" s="5">
        <v>52.3721</v>
      </c>
      <c r="AZ671" s="5">
        <v>-118.6603</v>
      </c>
      <c r="BA671" s="5">
        <v>838.0</v>
      </c>
    </row>
    <row r="672" ht="14.25" customHeight="1">
      <c r="A672" s="5" t="s">
        <v>1908</v>
      </c>
      <c r="B672" s="5">
        <v>12.0</v>
      </c>
      <c r="C672" s="5" t="s">
        <v>1711</v>
      </c>
      <c r="D672" s="5">
        <v>344.0</v>
      </c>
      <c r="E672" s="5">
        <v>1889.0</v>
      </c>
      <c r="F672" s="10" t="s">
        <v>2691</v>
      </c>
      <c r="G672" s="10" t="s">
        <v>2692</v>
      </c>
      <c r="H672" s="5" t="s">
        <v>2693</v>
      </c>
      <c r="I672" s="5" t="s">
        <v>641</v>
      </c>
      <c r="J672" s="5" t="s">
        <v>1736</v>
      </c>
      <c r="K672" s="5">
        <v>1.0</v>
      </c>
      <c r="L672" s="5">
        <v>2292.0</v>
      </c>
      <c r="M672" s="8">
        <v>51.27352</v>
      </c>
      <c r="N672" s="11">
        <v>-118.9147</v>
      </c>
      <c r="O672" s="11" t="s">
        <v>170</v>
      </c>
      <c r="P672" s="11">
        <v>344.0</v>
      </c>
      <c r="Q672" s="22">
        <v>1.0</v>
      </c>
      <c r="R672" s="11" t="s">
        <v>2694</v>
      </c>
      <c r="S672" s="11" t="s">
        <v>1737</v>
      </c>
      <c r="T672" s="11">
        <v>511.0</v>
      </c>
      <c r="U672" s="11"/>
      <c r="V672" s="11"/>
      <c r="W672" s="23">
        <v>29587.0</v>
      </c>
      <c r="X672" s="11" t="s">
        <v>1738</v>
      </c>
      <c r="AO672" s="5" t="s">
        <v>2694</v>
      </c>
      <c r="AP672" s="5">
        <v>344.0</v>
      </c>
      <c r="AQ672" s="5" t="s">
        <v>1716</v>
      </c>
      <c r="AR672" s="5" t="s">
        <v>1739</v>
      </c>
      <c r="AS672" s="5" t="s">
        <v>1740</v>
      </c>
      <c r="AT672" s="5" t="s">
        <v>1741</v>
      </c>
      <c r="AU672" s="5" t="s">
        <v>1742</v>
      </c>
      <c r="AV672" s="5" t="s">
        <v>1720</v>
      </c>
      <c r="AW672" s="5" t="s">
        <v>2368</v>
      </c>
      <c r="AX672" s="5" t="s">
        <v>2522</v>
      </c>
      <c r="AY672" s="5">
        <v>51.2735</v>
      </c>
      <c r="AZ672" s="5">
        <v>-118.9147</v>
      </c>
      <c r="BA672" s="5">
        <v>497.0</v>
      </c>
    </row>
    <row r="673" ht="14.25" customHeight="1">
      <c r="B673" s="5">
        <v>12.0</v>
      </c>
      <c r="C673" s="5" t="s">
        <v>1711</v>
      </c>
      <c r="D673" s="5">
        <v>345.0</v>
      </c>
      <c r="E673" s="5">
        <v>1890.0</v>
      </c>
      <c r="F673" s="18" t="s">
        <v>2695</v>
      </c>
      <c r="G673" s="5" t="s">
        <v>2696</v>
      </c>
      <c r="H673" s="5" t="s">
        <v>2697</v>
      </c>
      <c r="I673" s="5" t="s">
        <v>641</v>
      </c>
      <c r="J673" s="5" t="s">
        <v>1715</v>
      </c>
      <c r="K673" s="5">
        <v>1.0</v>
      </c>
      <c r="L673" s="5">
        <v>2293.0</v>
      </c>
      <c r="M673" s="64"/>
      <c r="N673" s="36"/>
      <c r="R673" s="36"/>
      <c r="T673" s="37"/>
      <c r="AO673" s="5" t="s">
        <v>2695</v>
      </c>
      <c r="AP673" s="5">
        <v>345.0</v>
      </c>
      <c r="AQ673" s="5" t="s">
        <v>1716</v>
      </c>
      <c r="AR673" s="5" t="s">
        <v>1717</v>
      </c>
      <c r="AS673" s="5" t="s">
        <v>1718</v>
      </c>
      <c r="AT673" s="5" t="s">
        <v>1719</v>
      </c>
      <c r="AU673" s="5" t="s">
        <v>1959</v>
      </c>
      <c r="AV673" s="5" t="s">
        <v>1720</v>
      </c>
      <c r="AW673" s="5" t="s">
        <v>2698</v>
      </c>
      <c r="AX673" s="5" t="s">
        <v>2699</v>
      </c>
      <c r="AY673" s="5">
        <v>51.8288</v>
      </c>
      <c r="AZ673" s="5">
        <v>-118.3612</v>
      </c>
      <c r="BA673" s="5">
        <v>832.0</v>
      </c>
    </row>
    <row r="674" ht="14.25" customHeight="1">
      <c r="A674" s="5" t="s">
        <v>2037</v>
      </c>
      <c r="B674" s="5">
        <v>12.0</v>
      </c>
      <c r="C674" s="5" t="s">
        <v>1711</v>
      </c>
      <c r="D674" s="5">
        <v>346.0</v>
      </c>
      <c r="E674" s="5">
        <v>1891.0</v>
      </c>
      <c r="F674" s="5" t="s">
        <v>2700</v>
      </c>
      <c r="G674" s="5" t="s">
        <v>2701</v>
      </c>
      <c r="H674" s="5" t="s">
        <v>2702</v>
      </c>
      <c r="I674" s="5" t="s">
        <v>641</v>
      </c>
      <c r="J674" s="5" t="s">
        <v>1736</v>
      </c>
      <c r="K674" s="5">
        <v>1.0</v>
      </c>
      <c r="L674" s="5">
        <v>2294.0</v>
      </c>
      <c r="M674" s="64"/>
      <c r="N674" s="36"/>
      <c r="O674" s="11"/>
      <c r="P674" s="11"/>
      <c r="Q674" s="22"/>
      <c r="R674" s="36"/>
      <c r="S674" s="11"/>
      <c r="T674" s="37"/>
      <c r="U674" s="11"/>
      <c r="V674" s="11"/>
      <c r="W674" s="23"/>
      <c r="X674" s="11"/>
      <c r="AO674" s="5" t="s">
        <v>2703</v>
      </c>
      <c r="AP674" s="5">
        <v>346.0</v>
      </c>
      <c r="AQ674" s="5" t="s">
        <v>1716</v>
      </c>
      <c r="AR674" s="5" t="s">
        <v>1717</v>
      </c>
      <c r="AS674" s="5" t="s">
        <v>1740</v>
      </c>
      <c r="AT674" s="5" t="s">
        <v>1835</v>
      </c>
      <c r="AU674" s="5" t="s">
        <v>1959</v>
      </c>
      <c r="AV674" s="5" t="s">
        <v>1720</v>
      </c>
      <c r="AW674" s="5" t="s">
        <v>2368</v>
      </c>
      <c r="AX674" s="5" t="s">
        <v>2522</v>
      </c>
      <c r="AY674" s="5">
        <v>50.685</v>
      </c>
      <c r="AZ674" s="5">
        <v>-119.235</v>
      </c>
      <c r="BA674" s="5">
        <v>527.0</v>
      </c>
    </row>
    <row r="675" ht="14.25" customHeight="1">
      <c r="B675" s="5">
        <v>12.0</v>
      </c>
      <c r="C675" s="5" t="s">
        <v>1711</v>
      </c>
      <c r="D675" s="5">
        <v>347.0</v>
      </c>
      <c r="E675" s="5">
        <v>1892.0</v>
      </c>
      <c r="F675" s="18" t="s">
        <v>2704</v>
      </c>
      <c r="G675" s="5" t="s">
        <v>2705</v>
      </c>
      <c r="H675" s="5" t="s">
        <v>2706</v>
      </c>
      <c r="I675" s="5" t="s">
        <v>1664</v>
      </c>
      <c r="J675" s="5" t="s">
        <v>1715</v>
      </c>
      <c r="K675" s="5">
        <v>1.0</v>
      </c>
      <c r="L675" s="5">
        <v>2295.0</v>
      </c>
      <c r="M675" s="64"/>
      <c r="N675" s="36"/>
      <c r="R675" s="36"/>
      <c r="AO675" s="5" t="s">
        <v>2704</v>
      </c>
      <c r="AP675" s="5">
        <v>347.0</v>
      </c>
      <c r="AQ675" s="5" t="s">
        <v>1716</v>
      </c>
      <c r="AR675" s="5" t="s">
        <v>1717</v>
      </c>
      <c r="AS675" s="5" t="s">
        <v>1718</v>
      </c>
      <c r="AT675" s="5" t="s">
        <v>1719</v>
      </c>
      <c r="AU675" s="5" t="s">
        <v>1703</v>
      </c>
      <c r="AV675" s="5" t="s">
        <v>1720</v>
      </c>
      <c r="AW675" s="5" t="s">
        <v>2368</v>
      </c>
      <c r="AX675" s="5" t="s">
        <v>2707</v>
      </c>
      <c r="AY675" s="5">
        <v>50.8</v>
      </c>
      <c r="AZ675" s="5">
        <v>-119.0</v>
      </c>
      <c r="BA675" s="5">
        <v>0.0</v>
      </c>
    </row>
    <row r="676" ht="14.25" customHeight="1">
      <c r="B676" s="5">
        <v>12.0</v>
      </c>
      <c r="C676" s="5" t="s">
        <v>1711</v>
      </c>
      <c r="D676" s="5">
        <v>348.0</v>
      </c>
      <c r="E676" s="5">
        <v>1893.0</v>
      </c>
      <c r="F676" s="18" t="s">
        <v>2708</v>
      </c>
      <c r="G676" s="5" t="s">
        <v>2709</v>
      </c>
      <c r="H676" s="5" t="s">
        <v>2710</v>
      </c>
      <c r="I676" s="5" t="s">
        <v>1664</v>
      </c>
      <c r="J676" s="5" t="s">
        <v>1715</v>
      </c>
      <c r="K676" s="5">
        <v>1.0</v>
      </c>
      <c r="L676" s="5">
        <v>2296.0</v>
      </c>
      <c r="M676" s="8"/>
      <c r="AO676" s="5" t="s">
        <v>2708</v>
      </c>
      <c r="AP676" s="5">
        <v>348.0</v>
      </c>
      <c r="AQ676" s="5" t="s">
        <v>1716</v>
      </c>
      <c r="AR676" s="5" t="s">
        <v>1717</v>
      </c>
      <c r="AS676" s="5" t="s">
        <v>1718</v>
      </c>
      <c r="AT676" s="5" t="s">
        <v>1719</v>
      </c>
      <c r="AU676" s="5" t="s">
        <v>1703</v>
      </c>
      <c r="AV676" s="5" t="s">
        <v>1720</v>
      </c>
      <c r="AW676" s="5" t="s">
        <v>2368</v>
      </c>
      <c r="AX676" s="5" t="s">
        <v>2401</v>
      </c>
      <c r="AY676" s="5">
        <v>51.3</v>
      </c>
      <c r="AZ676" s="5">
        <v>-119.5</v>
      </c>
      <c r="BA676" s="5">
        <v>0.0</v>
      </c>
    </row>
    <row r="677" ht="14.25" customHeight="1">
      <c r="B677" s="5">
        <v>12.0</v>
      </c>
      <c r="C677" s="5" t="s">
        <v>1711</v>
      </c>
      <c r="D677" s="5">
        <v>349.0</v>
      </c>
      <c r="E677" s="5">
        <v>1894.0</v>
      </c>
      <c r="F677" s="18" t="s">
        <v>2711</v>
      </c>
      <c r="G677" s="5" t="s">
        <v>2712</v>
      </c>
      <c r="H677" s="5" t="s">
        <v>2713</v>
      </c>
      <c r="I677" s="5" t="s">
        <v>1664</v>
      </c>
      <c r="J677" s="5" t="s">
        <v>1715</v>
      </c>
      <c r="K677" s="5">
        <v>1.0</v>
      </c>
      <c r="L677" s="5">
        <v>2297.0</v>
      </c>
      <c r="M677" s="64"/>
      <c r="N677" s="36"/>
      <c r="P677" s="36"/>
      <c r="R677" s="36"/>
      <c r="T677" s="37"/>
      <c r="AO677" s="5" t="s">
        <v>2711</v>
      </c>
      <c r="AP677" s="5">
        <v>349.0</v>
      </c>
      <c r="AQ677" s="5" t="s">
        <v>1716</v>
      </c>
      <c r="AR677" s="5" t="s">
        <v>1717</v>
      </c>
      <c r="AS677" s="5" t="s">
        <v>1718</v>
      </c>
      <c r="AT677" s="5" t="s">
        <v>1719</v>
      </c>
      <c r="AU677" s="5" t="s">
        <v>1703</v>
      </c>
      <c r="AV677" s="5" t="s">
        <v>1720</v>
      </c>
      <c r="AW677" s="5" t="s">
        <v>2698</v>
      </c>
      <c r="AX677" s="5" t="s">
        <v>2699</v>
      </c>
      <c r="AY677" s="5">
        <v>51.2</v>
      </c>
      <c r="AZ677" s="5">
        <v>-118.2</v>
      </c>
      <c r="BA677" s="5">
        <v>5.0</v>
      </c>
    </row>
    <row r="678" ht="14.25" customHeight="1">
      <c r="B678" s="5">
        <v>12.0</v>
      </c>
      <c r="C678" s="5" t="s">
        <v>1711</v>
      </c>
      <c r="D678" s="5">
        <v>350.0</v>
      </c>
      <c r="E678" s="5">
        <v>1895.0</v>
      </c>
      <c r="F678" s="18" t="s">
        <v>2714</v>
      </c>
      <c r="G678" s="5" t="s">
        <v>2715</v>
      </c>
      <c r="H678" s="5" t="s">
        <v>2716</v>
      </c>
      <c r="I678" s="5" t="s">
        <v>641</v>
      </c>
      <c r="J678" s="5" t="s">
        <v>1715</v>
      </c>
      <c r="K678" s="5">
        <v>1.0</v>
      </c>
      <c r="L678" s="5">
        <v>2298.0</v>
      </c>
      <c r="M678" s="64"/>
      <c r="N678" s="36"/>
      <c r="P678" s="36"/>
      <c r="R678" s="36"/>
      <c r="T678" s="37"/>
      <c r="AO678" s="5" t="s">
        <v>2714</v>
      </c>
      <c r="AP678" s="5">
        <v>350.0</v>
      </c>
      <c r="AQ678" s="5" t="s">
        <v>1716</v>
      </c>
      <c r="AR678" s="5" t="s">
        <v>1717</v>
      </c>
      <c r="AS678" s="5" t="s">
        <v>1718</v>
      </c>
      <c r="AT678" s="5" t="s">
        <v>1835</v>
      </c>
      <c r="AU678" s="5" t="s">
        <v>1959</v>
      </c>
      <c r="AV678" s="5" t="s">
        <v>1720</v>
      </c>
      <c r="AW678" s="5" t="s">
        <v>2368</v>
      </c>
      <c r="AX678" s="5" t="s">
        <v>2707</v>
      </c>
      <c r="AY678" s="5">
        <v>50.92</v>
      </c>
      <c r="AZ678" s="5">
        <v>-118.9633</v>
      </c>
      <c r="BA678" s="5">
        <v>1250.0</v>
      </c>
    </row>
    <row r="679" ht="14.25" customHeight="1">
      <c r="B679" s="5">
        <v>12.0</v>
      </c>
      <c r="C679" s="5" t="s">
        <v>1711</v>
      </c>
      <c r="D679" s="5">
        <v>351.0</v>
      </c>
      <c r="E679" s="5">
        <v>1896.0</v>
      </c>
      <c r="F679" s="18" t="s">
        <v>2717</v>
      </c>
      <c r="G679" s="5" t="s">
        <v>2718</v>
      </c>
      <c r="H679" s="5" t="s">
        <v>2719</v>
      </c>
      <c r="I679" s="5" t="s">
        <v>641</v>
      </c>
      <c r="J679" s="5" t="s">
        <v>1715</v>
      </c>
      <c r="K679" s="5">
        <v>1.0</v>
      </c>
      <c r="L679" s="5">
        <v>2299.0</v>
      </c>
      <c r="M679" s="8"/>
      <c r="AO679" s="5" t="s">
        <v>2717</v>
      </c>
      <c r="AP679" s="5">
        <v>351.0</v>
      </c>
      <c r="AQ679" s="5" t="s">
        <v>1716</v>
      </c>
      <c r="AR679" s="5" t="s">
        <v>1717</v>
      </c>
      <c r="AS679" s="5" t="s">
        <v>1718</v>
      </c>
      <c r="AT679" s="5" t="s">
        <v>1703</v>
      </c>
      <c r="AU679" s="5" t="s">
        <v>1703</v>
      </c>
      <c r="AV679" s="5" t="s">
        <v>1720</v>
      </c>
      <c r="AW679" s="5" t="s">
        <v>2368</v>
      </c>
      <c r="AX679" s="5" t="s">
        <v>2522</v>
      </c>
      <c r="AY679" s="5">
        <v>50.6117</v>
      </c>
      <c r="AZ679" s="5">
        <v>-118.6467</v>
      </c>
      <c r="BA679" s="5">
        <v>1768.0</v>
      </c>
    </row>
    <row r="680" ht="14.25" customHeight="1">
      <c r="A680" s="5" t="s">
        <v>1908</v>
      </c>
      <c r="B680" s="5">
        <v>12.0</v>
      </c>
      <c r="C680" s="5" t="s">
        <v>1711</v>
      </c>
      <c r="D680" s="5">
        <v>352.0</v>
      </c>
      <c r="E680" s="5">
        <v>1897.0</v>
      </c>
      <c r="F680" s="10" t="s">
        <v>2720</v>
      </c>
      <c r="G680" s="10" t="s">
        <v>2721</v>
      </c>
      <c r="H680" s="5" t="s">
        <v>2722</v>
      </c>
      <c r="I680" s="5" t="s">
        <v>641</v>
      </c>
      <c r="J680" s="5" t="s">
        <v>1865</v>
      </c>
      <c r="K680" s="5">
        <v>1.0</v>
      </c>
      <c r="L680" s="5">
        <v>2300.0</v>
      </c>
      <c r="M680" s="64">
        <v>50.60215</v>
      </c>
      <c r="N680" s="36">
        <v>-118.42292</v>
      </c>
      <c r="O680" s="5" t="s">
        <v>170</v>
      </c>
      <c r="P680" s="36">
        <v>352.0</v>
      </c>
      <c r="Q680" s="5">
        <v>3.0</v>
      </c>
      <c r="R680" s="36" t="s">
        <v>2723</v>
      </c>
      <c r="S680" s="5" t="s">
        <v>1737</v>
      </c>
      <c r="T680" s="37">
        <v>1286.0</v>
      </c>
      <c r="W680" s="5">
        <v>28856.0</v>
      </c>
      <c r="X680" s="5" t="s">
        <v>1738</v>
      </c>
      <c r="AO680" s="5" t="s">
        <v>2723</v>
      </c>
      <c r="AP680" s="5">
        <v>352.0</v>
      </c>
      <c r="AQ680" s="5" t="s">
        <v>1716</v>
      </c>
      <c r="AR680" s="5" t="s">
        <v>1739</v>
      </c>
      <c r="AS680" s="5" t="s">
        <v>1740</v>
      </c>
      <c r="AT680" s="5" t="s">
        <v>1741</v>
      </c>
      <c r="AU680" s="5" t="s">
        <v>1742</v>
      </c>
      <c r="AV680" s="5" t="s">
        <v>1720</v>
      </c>
      <c r="AW680" s="5" t="s">
        <v>2368</v>
      </c>
      <c r="AX680" s="5" t="s">
        <v>2522</v>
      </c>
      <c r="AY680" s="5">
        <v>50.6022</v>
      </c>
      <c r="AZ680" s="5">
        <v>-118.4229</v>
      </c>
      <c r="BA680" s="5">
        <v>1286.0</v>
      </c>
    </row>
    <row r="681" ht="14.25" customHeight="1">
      <c r="B681" s="5">
        <v>12.0</v>
      </c>
      <c r="C681" s="5" t="s">
        <v>1711</v>
      </c>
      <c r="D681" s="5">
        <v>353.0</v>
      </c>
      <c r="E681" s="5">
        <v>1898.0</v>
      </c>
      <c r="F681" s="18" t="s">
        <v>2724</v>
      </c>
      <c r="G681" s="5" t="s">
        <v>2725</v>
      </c>
      <c r="H681" s="5" t="s">
        <v>2726</v>
      </c>
      <c r="I681" s="5" t="s">
        <v>641</v>
      </c>
      <c r="J681" s="5" t="s">
        <v>1715</v>
      </c>
      <c r="K681" s="5">
        <v>1.0</v>
      </c>
      <c r="L681" s="5">
        <v>2301.0</v>
      </c>
      <c r="M681" s="64"/>
      <c r="N681" s="36"/>
      <c r="P681" s="36"/>
      <c r="R681" s="36"/>
      <c r="T681" s="37"/>
      <c r="AO681" s="5" t="s">
        <v>2724</v>
      </c>
      <c r="AP681" s="5">
        <v>353.0</v>
      </c>
      <c r="AQ681" s="5" t="s">
        <v>1716</v>
      </c>
      <c r="AR681" s="5" t="s">
        <v>1717</v>
      </c>
      <c r="AS681" s="5" t="s">
        <v>1718</v>
      </c>
      <c r="AT681" s="5" t="s">
        <v>1703</v>
      </c>
      <c r="AU681" s="5" t="s">
        <v>1703</v>
      </c>
      <c r="AV681" s="5" t="s">
        <v>1720</v>
      </c>
      <c r="AW681" s="5" t="s">
        <v>2368</v>
      </c>
      <c r="AX681" s="5" t="s">
        <v>2707</v>
      </c>
      <c r="AY681" s="5">
        <v>51.01</v>
      </c>
      <c r="AZ681" s="5">
        <v>-119.3983</v>
      </c>
      <c r="BA681" s="5">
        <v>1097.0</v>
      </c>
    </row>
    <row r="682" ht="14.25" customHeight="1">
      <c r="B682" s="5">
        <v>12.0</v>
      </c>
      <c r="C682" s="5" t="s">
        <v>1711</v>
      </c>
      <c r="D682" s="5">
        <v>354.0</v>
      </c>
      <c r="E682" s="5">
        <v>1899.0</v>
      </c>
      <c r="F682" s="18" t="s">
        <v>2727</v>
      </c>
      <c r="G682" s="5" t="s">
        <v>2728</v>
      </c>
      <c r="H682" s="5" t="s">
        <v>2729</v>
      </c>
      <c r="I682" s="5" t="s">
        <v>1664</v>
      </c>
      <c r="J682" s="5" t="s">
        <v>1715</v>
      </c>
      <c r="K682" s="5">
        <v>1.0</v>
      </c>
      <c r="L682" s="5">
        <v>2302.0</v>
      </c>
      <c r="M682" s="8"/>
      <c r="AO682" s="5" t="s">
        <v>2727</v>
      </c>
      <c r="AP682" s="5">
        <v>354.0</v>
      </c>
      <c r="AQ682" s="5" t="s">
        <v>1716</v>
      </c>
      <c r="AR682" s="5" t="s">
        <v>1717</v>
      </c>
      <c r="AS682" s="5" t="s">
        <v>1718</v>
      </c>
      <c r="AT682" s="5" t="s">
        <v>1719</v>
      </c>
      <c r="AU682" s="5" t="s">
        <v>1703</v>
      </c>
      <c r="AV682" s="5" t="s">
        <v>1720</v>
      </c>
      <c r="AW682" s="5" t="s">
        <v>2368</v>
      </c>
      <c r="AX682" s="5" t="s">
        <v>2707</v>
      </c>
      <c r="AY682" s="5">
        <v>50.7</v>
      </c>
      <c r="AZ682" s="5">
        <v>-118.7</v>
      </c>
      <c r="BA682" s="5">
        <v>13.0</v>
      </c>
    </row>
    <row r="683" ht="14.25" customHeight="1">
      <c r="B683" s="5">
        <v>12.0</v>
      </c>
      <c r="C683" s="5" t="s">
        <v>1711</v>
      </c>
      <c r="D683" s="5">
        <v>355.0</v>
      </c>
      <c r="E683" s="5">
        <v>1900.0</v>
      </c>
      <c r="F683" s="18" t="s">
        <v>2730</v>
      </c>
      <c r="G683" s="5" t="s">
        <v>2731</v>
      </c>
      <c r="H683" s="5" t="s">
        <v>2732</v>
      </c>
      <c r="I683" s="5" t="s">
        <v>641</v>
      </c>
      <c r="J683" s="5" t="s">
        <v>1715</v>
      </c>
      <c r="K683" s="5">
        <v>1.0</v>
      </c>
      <c r="L683" s="5">
        <v>2303.0</v>
      </c>
      <c r="M683" s="64"/>
      <c r="N683" s="36"/>
      <c r="P683" s="36"/>
      <c r="R683" s="36"/>
      <c r="T683" s="37"/>
      <c r="AO683" s="5" t="s">
        <v>2730</v>
      </c>
      <c r="AP683" s="5">
        <v>355.0</v>
      </c>
      <c r="AQ683" s="5" t="s">
        <v>1716</v>
      </c>
      <c r="AR683" s="5" t="s">
        <v>1717</v>
      </c>
      <c r="AS683" s="5" t="s">
        <v>1718</v>
      </c>
      <c r="AT683" s="5" t="s">
        <v>1719</v>
      </c>
      <c r="AU683" s="5" t="s">
        <v>1959</v>
      </c>
      <c r="AV683" s="5" t="s">
        <v>1720</v>
      </c>
      <c r="AW683" s="5" t="s">
        <v>2698</v>
      </c>
      <c r="AX683" s="5" t="s">
        <v>2699</v>
      </c>
      <c r="AY683" s="5">
        <v>51.7453</v>
      </c>
      <c r="AZ683" s="5">
        <v>-118.6578</v>
      </c>
      <c r="BA683" s="5">
        <v>632.0</v>
      </c>
    </row>
    <row r="684" ht="14.25" customHeight="1">
      <c r="B684" s="5">
        <v>12.0</v>
      </c>
      <c r="C684" s="5" t="s">
        <v>1711</v>
      </c>
      <c r="D684" s="5">
        <v>356.0</v>
      </c>
      <c r="E684" s="5">
        <v>1901.0</v>
      </c>
      <c r="F684" s="18" t="s">
        <v>2733</v>
      </c>
      <c r="G684" s="5" t="s">
        <v>2734</v>
      </c>
      <c r="H684" s="5" t="s">
        <v>2735</v>
      </c>
      <c r="I684" s="5" t="s">
        <v>641</v>
      </c>
      <c r="J684" s="5" t="s">
        <v>1746</v>
      </c>
      <c r="K684" s="5">
        <v>1.0</v>
      </c>
      <c r="L684" s="5">
        <v>2304.0</v>
      </c>
      <c r="M684" s="8"/>
      <c r="AO684" s="5" t="s">
        <v>2733</v>
      </c>
      <c r="AP684" s="5">
        <v>356.0</v>
      </c>
      <c r="AQ684" s="5" t="s">
        <v>1716</v>
      </c>
      <c r="AR684" s="5" t="s">
        <v>1717</v>
      </c>
      <c r="AS684" s="5" t="s">
        <v>1718</v>
      </c>
      <c r="AT684" s="5" t="s">
        <v>1703</v>
      </c>
      <c r="AU684" s="5" t="s">
        <v>1703</v>
      </c>
      <c r="AV684" s="5" t="s">
        <v>1720</v>
      </c>
      <c r="AW684" s="5" t="s">
        <v>2698</v>
      </c>
      <c r="AX684" s="5" t="s">
        <v>2258</v>
      </c>
      <c r="AY684" s="5">
        <v>52.2</v>
      </c>
      <c r="AZ684" s="5">
        <v>-118.5</v>
      </c>
      <c r="BA684" s="5">
        <v>12.0</v>
      </c>
    </row>
    <row r="685" ht="14.25" customHeight="1">
      <c r="B685" s="5">
        <v>12.0</v>
      </c>
      <c r="C685" s="5" t="s">
        <v>1711</v>
      </c>
      <c r="D685" s="5">
        <v>357.0</v>
      </c>
      <c r="E685" s="5">
        <v>1902.0</v>
      </c>
      <c r="F685" s="18" t="s">
        <v>2736</v>
      </c>
      <c r="G685" s="5" t="s">
        <v>2737</v>
      </c>
      <c r="H685" s="5" t="s">
        <v>2738</v>
      </c>
      <c r="I685" s="5" t="s">
        <v>641</v>
      </c>
      <c r="J685" s="5" t="s">
        <v>1715</v>
      </c>
      <c r="K685" s="5">
        <v>1.0</v>
      </c>
      <c r="L685" s="5">
        <v>2305.0</v>
      </c>
      <c r="M685" s="8"/>
      <c r="AO685" s="5" t="s">
        <v>2736</v>
      </c>
      <c r="AP685" s="5">
        <v>357.0</v>
      </c>
      <c r="AQ685" s="5" t="s">
        <v>1716</v>
      </c>
      <c r="AR685" s="5" t="s">
        <v>1717</v>
      </c>
      <c r="AS685" s="5" t="s">
        <v>1718</v>
      </c>
      <c r="AT685" s="5" t="s">
        <v>1703</v>
      </c>
      <c r="AU685" s="5" t="s">
        <v>1703</v>
      </c>
      <c r="AV685" s="5" t="s">
        <v>1720</v>
      </c>
      <c r="AW685" s="5" t="s">
        <v>2368</v>
      </c>
      <c r="AX685" s="5" t="s">
        <v>2707</v>
      </c>
      <c r="AY685" s="5">
        <v>50.6983</v>
      </c>
      <c r="AZ685" s="5">
        <v>-118.7583</v>
      </c>
      <c r="BA685" s="5">
        <v>640.0</v>
      </c>
    </row>
    <row r="686" ht="14.25" customHeight="1">
      <c r="A686" s="5" t="s">
        <v>422</v>
      </c>
      <c r="B686" s="5">
        <v>12.0</v>
      </c>
      <c r="C686" s="5" t="s">
        <v>1711</v>
      </c>
      <c r="D686" s="5">
        <v>358.0</v>
      </c>
      <c r="E686" s="5">
        <v>1903.0</v>
      </c>
      <c r="F686" s="18" t="s">
        <v>2739</v>
      </c>
      <c r="G686" s="5" t="s">
        <v>2740</v>
      </c>
      <c r="H686" s="5" t="s">
        <v>2741</v>
      </c>
      <c r="I686" s="5" t="s">
        <v>1664</v>
      </c>
      <c r="J686" s="5" t="s">
        <v>1746</v>
      </c>
      <c r="K686" s="5">
        <v>1.0</v>
      </c>
      <c r="L686" s="5">
        <v>2306.0</v>
      </c>
      <c r="M686" s="64"/>
      <c r="N686" s="36"/>
      <c r="P686" s="36"/>
      <c r="R686" s="36"/>
      <c r="T686" s="37"/>
      <c r="AO686" s="5" t="s">
        <v>2739</v>
      </c>
      <c r="AP686" s="5">
        <v>358.0</v>
      </c>
      <c r="AQ686" s="5" t="s">
        <v>1716</v>
      </c>
      <c r="AR686" s="5" t="s">
        <v>1717</v>
      </c>
      <c r="AS686" s="5" t="s">
        <v>1718</v>
      </c>
      <c r="AT686" s="5" t="s">
        <v>1719</v>
      </c>
      <c r="AU686" s="5" t="s">
        <v>1703</v>
      </c>
      <c r="AV686" s="5" t="s">
        <v>1720</v>
      </c>
      <c r="AW686" s="5" t="s">
        <v>2368</v>
      </c>
      <c r="AX686" s="5" t="s">
        <v>2707</v>
      </c>
      <c r="AY686" s="5">
        <v>51.0</v>
      </c>
      <c r="AZ686" s="5">
        <v>-118.8</v>
      </c>
      <c r="BA686" s="5">
        <v>10.0</v>
      </c>
    </row>
    <row r="687" ht="14.25" customHeight="1">
      <c r="B687" s="5">
        <v>12.0</v>
      </c>
      <c r="C687" s="5" t="s">
        <v>1711</v>
      </c>
      <c r="D687" s="5">
        <v>359.0</v>
      </c>
      <c r="E687" s="5">
        <v>1904.0</v>
      </c>
      <c r="F687" s="18" t="s">
        <v>2742</v>
      </c>
      <c r="G687" s="5" t="s">
        <v>2743</v>
      </c>
      <c r="H687" s="5" t="s">
        <v>2744</v>
      </c>
      <c r="I687" s="5" t="s">
        <v>1664</v>
      </c>
      <c r="J687" s="5" t="s">
        <v>1715</v>
      </c>
      <c r="K687" s="5">
        <v>1.0</v>
      </c>
      <c r="L687" s="5">
        <v>2307.0</v>
      </c>
      <c r="M687" s="8"/>
      <c r="AO687" s="5" t="s">
        <v>2742</v>
      </c>
      <c r="AP687" s="5">
        <v>359.0</v>
      </c>
      <c r="AQ687" s="5" t="s">
        <v>1716</v>
      </c>
      <c r="AR687" s="5" t="s">
        <v>1717</v>
      </c>
      <c r="AS687" s="5" t="s">
        <v>1718</v>
      </c>
      <c r="AT687" s="5" t="s">
        <v>1719</v>
      </c>
      <c r="AU687" s="5" t="s">
        <v>1703</v>
      </c>
      <c r="AV687" s="5" t="s">
        <v>1720</v>
      </c>
      <c r="AW687" s="5" t="s">
        <v>2368</v>
      </c>
      <c r="AX687" s="5" t="s">
        <v>2522</v>
      </c>
      <c r="AY687" s="5">
        <v>50.4</v>
      </c>
      <c r="AZ687" s="5">
        <v>-118.7</v>
      </c>
      <c r="BA687" s="5">
        <v>4.0</v>
      </c>
    </row>
    <row r="688" ht="14.25" customHeight="1">
      <c r="B688" s="5">
        <v>12.0</v>
      </c>
      <c r="C688" s="5" t="s">
        <v>1711</v>
      </c>
      <c r="D688" s="5">
        <v>360.0</v>
      </c>
      <c r="E688" s="5">
        <v>1905.0</v>
      </c>
      <c r="F688" s="18" t="s">
        <v>2745</v>
      </c>
      <c r="G688" s="5" t="s">
        <v>2746</v>
      </c>
      <c r="H688" s="5" t="s">
        <v>2747</v>
      </c>
      <c r="I688" s="5" t="s">
        <v>641</v>
      </c>
      <c r="J688" s="5" t="s">
        <v>1715</v>
      </c>
      <c r="K688" s="5">
        <v>1.0</v>
      </c>
      <c r="L688" s="5">
        <v>2308.0</v>
      </c>
      <c r="M688" s="8"/>
      <c r="AO688" s="5" t="s">
        <v>2745</v>
      </c>
      <c r="AP688" s="5">
        <v>360.0</v>
      </c>
      <c r="AQ688" s="5" t="s">
        <v>1716</v>
      </c>
      <c r="AR688" s="5" t="s">
        <v>1717</v>
      </c>
      <c r="AS688" s="5" t="s">
        <v>1718</v>
      </c>
      <c r="AT688" s="5" t="s">
        <v>1703</v>
      </c>
      <c r="AU688" s="5" t="s">
        <v>1703</v>
      </c>
      <c r="AV688" s="5" t="s">
        <v>1720</v>
      </c>
      <c r="AW688" s="5" t="s">
        <v>2368</v>
      </c>
      <c r="AX688" s="5" t="s">
        <v>2401</v>
      </c>
      <c r="AY688" s="5">
        <v>51.265</v>
      </c>
      <c r="AZ688" s="5">
        <v>-119.44</v>
      </c>
      <c r="BA688" s="5">
        <v>1067.0</v>
      </c>
    </row>
    <row r="689" ht="14.25" customHeight="1">
      <c r="B689" s="5">
        <v>12.0</v>
      </c>
      <c r="C689" s="5" t="s">
        <v>1711</v>
      </c>
      <c r="D689" s="5">
        <v>361.0</v>
      </c>
      <c r="E689" s="5">
        <v>1906.0</v>
      </c>
      <c r="F689" s="5" t="s">
        <v>2748</v>
      </c>
      <c r="G689" s="5" t="s">
        <v>2749</v>
      </c>
      <c r="H689" s="5" t="s">
        <v>2750</v>
      </c>
      <c r="I689" s="5" t="s">
        <v>641</v>
      </c>
      <c r="J689" s="5" t="s">
        <v>1736</v>
      </c>
      <c r="K689" s="5">
        <v>1.0</v>
      </c>
      <c r="L689" s="5">
        <v>2309.0</v>
      </c>
      <c r="M689" s="64">
        <v>51.99722</v>
      </c>
      <c r="N689" s="36">
        <v>-118.1025</v>
      </c>
      <c r="O689" s="5" t="s">
        <v>170</v>
      </c>
      <c r="P689" s="36">
        <v>361.0</v>
      </c>
      <c r="Q689" s="5">
        <v>3.0</v>
      </c>
      <c r="R689" s="36" t="s">
        <v>2748</v>
      </c>
      <c r="S689" s="5" t="s">
        <v>1737</v>
      </c>
      <c r="T689" s="37">
        <v>1200.0</v>
      </c>
      <c r="W689" s="5">
        <v>31413.0</v>
      </c>
      <c r="X689" s="5" t="s">
        <v>1738</v>
      </c>
      <c r="AO689" s="5" t="s">
        <v>2748</v>
      </c>
      <c r="AP689" s="5">
        <v>361.0</v>
      </c>
      <c r="AQ689" s="5" t="s">
        <v>1716</v>
      </c>
      <c r="AR689" s="5" t="s">
        <v>1739</v>
      </c>
      <c r="AS689" s="5" t="s">
        <v>1740</v>
      </c>
      <c r="AT689" s="5" t="s">
        <v>1741</v>
      </c>
      <c r="AU689" s="5" t="s">
        <v>1742</v>
      </c>
      <c r="AV689" s="5" t="s">
        <v>1720</v>
      </c>
      <c r="AW689" s="5" t="s">
        <v>2698</v>
      </c>
      <c r="AX689" s="5" t="s">
        <v>2699</v>
      </c>
      <c r="AY689" s="5">
        <v>51.9972</v>
      </c>
      <c r="AZ689" s="5">
        <v>-118.1025</v>
      </c>
      <c r="BA689" s="5">
        <v>1200.0</v>
      </c>
    </row>
    <row r="690" ht="14.25" customHeight="1">
      <c r="A690" s="5" t="s">
        <v>88</v>
      </c>
      <c r="B690" s="5">
        <v>12.0</v>
      </c>
      <c r="C690" s="5" t="s">
        <v>1711</v>
      </c>
      <c r="D690" s="5">
        <v>362.0</v>
      </c>
      <c r="E690" s="5">
        <v>1907.0</v>
      </c>
      <c r="F690" s="5" t="s">
        <v>2751</v>
      </c>
      <c r="G690" s="10" t="s">
        <v>2752</v>
      </c>
      <c r="H690" s="5" t="s">
        <v>2753</v>
      </c>
      <c r="I690" s="5" t="s">
        <v>641</v>
      </c>
      <c r="J690" s="5" t="s">
        <v>1736</v>
      </c>
      <c r="K690" s="5">
        <v>1.0</v>
      </c>
      <c r="L690" s="5">
        <v>2310.0</v>
      </c>
      <c r="M690" s="8">
        <v>50.35167</v>
      </c>
      <c r="N690" s="5">
        <v>-118.77333</v>
      </c>
      <c r="O690" s="5" t="s">
        <v>170</v>
      </c>
      <c r="P690" s="5">
        <v>362.0</v>
      </c>
      <c r="Q690" s="5">
        <v>1.0</v>
      </c>
      <c r="R690" s="5" t="s">
        <v>2754</v>
      </c>
      <c r="S690" s="5" t="s">
        <v>1737</v>
      </c>
      <c r="T690" s="5">
        <v>488.0</v>
      </c>
      <c r="U690" s="5" t="s">
        <v>645</v>
      </c>
      <c r="W690" s="5">
        <v>31778.0</v>
      </c>
      <c r="X690" s="5" t="s">
        <v>1738</v>
      </c>
      <c r="AO690" s="5" t="s">
        <v>2754</v>
      </c>
      <c r="AP690" s="5">
        <v>362.0</v>
      </c>
      <c r="AQ690" s="5" t="s">
        <v>1700</v>
      </c>
      <c r="AR690" s="5" t="s">
        <v>1739</v>
      </c>
      <c r="AS690" s="5" t="s">
        <v>1740</v>
      </c>
      <c r="AT690" s="5" t="s">
        <v>1741</v>
      </c>
      <c r="AU690" s="5" t="s">
        <v>1959</v>
      </c>
      <c r="AV690" s="5" t="s">
        <v>1720</v>
      </c>
      <c r="AW690" s="5" t="s">
        <v>2368</v>
      </c>
      <c r="AX690" s="5" t="s">
        <v>2522</v>
      </c>
      <c r="AY690" s="5">
        <v>50.3514</v>
      </c>
      <c r="AZ690" s="5">
        <v>-118.7735</v>
      </c>
      <c r="BA690" s="5">
        <v>562.0</v>
      </c>
    </row>
    <row r="691" ht="14.25" customHeight="1">
      <c r="A691" s="5" t="s">
        <v>2037</v>
      </c>
      <c r="B691" s="5">
        <v>12.0</v>
      </c>
      <c r="C691" s="5" t="s">
        <v>1711</v>
      </c>
      <c r="D691" s="5">
        <v>363.0</v>
      </c>
      <c r="E691" s="5">
        <v>1908.0</v>
      </c>
      <c r="F691" s="10" t="s">
        <v>2755</v>
      </c>
      <c r="G691" s="5" t="s">
        <v>2756</v>
      </c>
      <c r="H691" s="5" t="s">
        <v>2757</v>
      </c>
      <c r="I691" s="5" t="s">
        <v>641</v>
      </c>
      <c r="J691" s="5" t="s">
        <v>1736</v>
      </c>
      <c r="K691" s="5">
        <v>1.0</v>
      </c>
      <c r="L691" s="5">
        <v>2311.0</v>
      </c>
      <c r="M691" s="8">
        <v>51.06033</v>
      </c>
      <c r="N691" s="5">
        <v>-118.21717</v>
      </c>
      <c r="O691" s="5" t="s">
        <v>170</v>
      </c>
      <c r="P691" s="5">
        <v>363.0</v>
      </c>
      <c r="Q691" s="5">
        <v>1.0</v>
      </c>
      <c r="R691" s="5" t="s">
        <v>2758</v>
      </c>
      <c r="S691" s="5" t="s">
        <v>1737</v>
      </c>
      <c r="T691" s="5">
        <v>680.0</v>
      </c>
      <c r="W691" s="5">
        <v>34700.0</v>
      </c>
      <c r="X691" s="5" t="s">
        <v>1738</v>
      </c>
      <c r="AO691" s="5" t="s">
        <v>2758</v>
      </c>
      <c r="AP691" s="5">
        <v>363.0</v>
      </c>
      <c r="AQ691" s="5" t="s">
        <v>1700</v>
      </c>
      <c r="AR691" s="5" t="s">
        <v>1739</v>
      </c>
      <c r="AS691" s="5" t="s">
        <v>1740</v>
      </c>
      <c r="AT691" s="5" t="s">
        <v>1741</v>
      </c>
      <c r="AU691" s="5" t="s">
        <v>1772</v>
      </c>
      <c r="AV691" s="5" t="s">
        <v>1720</v>
      </c>
      <c r="AW691" s="5" t="s">
        <v>2698</v>
      </c>
      <c r="AX691" s="5" t="s">
        <v>2699</v>
      </c>
      <c r="AY691" s="5">
        <v>51.0603</v>
      </c>
      <c r="AZ691" s="5">
        <v>-118.2172</v>
      </c>
      <c r="BA691" s="5">
        <v>680.0</v>
      </c>
    </row>
    <row r="692" ht="14.25" customHeight="1">
      <c r="B692" s="5">
        <v>12.0</v>
      </c>
      <c r="C692" s="5" t="s">
        <v>1711</v>
      </c>
      <c r="D692" s="5">
        <v>364.0</v>
      </c>
      <c r="E692" s="5">
        <v>1909.0</v>
      </c>
      <c r="F692" s="18" t="s">
        <v>2759</v>
      </c>
      <c r="G692" s="5" t="s">
        <v>2760</v>
      </c>
      <c r="H692" s="5" t="s">
        <v>2761</v>
      </c>
      <c r="I692" s="5" t="s">
        <v>641</v>
      </c>
      <c r="J692" s="5" t="s">
        <v>1715</v>
      </c>
      <c r="K692" s="5">
        <v>1.0</v>
      </c>
      <c r="L692" s="5">
        <v>2312.0</v>
      </c>
      <c r="M692" s="64"/>
      <c r="N692" s="36"/>
      <c r="P692" s="36"/>
      <c r="R692" s="36"/>
      <c r="AO692" s="5" t="s">
        <v>2759</v>
      </c>
      <c r="AP692" s="5">
        <v>364.0</v>
      </c>
      <c r="AQ692" s="5" t="s">
        <v>1716</v>
      </c>
      <c r="AR692" s="5" t="s">
        <v>1717</v>
      </c>
      <c r="AS692" s="5" t="s">
        <v>1718</v>
      </c>
      <c r="AT692" s="5" t="s">
        <v>1719</v>
      </c>
      <c r="AU692" s="5" t="s">
        <v>1959</v>
      </c>
      <c r="AV692" s="5" t="s">
        <v>1720</v>
      </c>
      <c r="AW692" s="5" t="s">
        <v>2698</v>
      </c>
      <c r="AX692" s="5" t="s">
        <v>2699</v>
      </c>
      <c r="AY692" s="5">
        <v>51.4708</v>
      </c>
      <c r="AZ692" s="5">
        <v>-118.1855</v>
      </c>
      <c r="BA692" s="5">
        <v>761.0</v>
      </c>
    </row>
    <row r="693" ht="14.25" customHeight="1">
      <c r="B693" s="5">
        <v>12.0</v>
      </c>
      <c r="C693" s="5" t="s">
        <v>1711</v>
      </c>
      <c r="D693" s="5">
        <v>365.0</v>
      </c>
      <c r="E693" s="5">
        <v>1910.0</v>
      </c>
      <c r="F693" s="18" t="s">
        <v>2762</v>
      </c>
      <c r="G693" s="5" t="s">
        <v>2763</v>
      </c>
      <c r="H693" s="5" t="s">
        <v>2764</v>
      </c>
      <c r="I693" s="5" t="s">
        <v>641</v>
      </c>
      <c r="J693" s="5" t="s">
        <v>1715</v>
      </c>
      <c r="K693" s="5">
        <v>1.0</v>
      </c>
      <c r="L693" s="5">
        <v>2313.0</v>
      </c>
      <c r="M693" s="64"/>
      <c r="N693" s="36"/>
      <c r="P693" s="36"/>
      <c r="R693" s="36"/>
      <c r="T693" s="37"/>
      <c r="AO693" s="5" t="s">
        <v>2762</v>
      </c>
      <c r="AP693" s="5">
        <v>365.0</v>
      </c>
      <c r="AQ693" s="5" t="s">
        <v>1716</v>
      </c>
      <c r="AR693" s="5" t="s">
        <v>1717</v>
      </c>
      <c r="AS693" s="5" t="s">
        <v>1718</v>
      </c>
      <c r="AT693" s="5" t="s">
        <v>1719</v>
      </c>
      <c r="AU693" s="5" t="s">
        <v>1959</v>
      </c>
      <c r="AV693" s="5" t="s">
        <v>1720</v>
      </c>
      <c r="AW693" s="5" t="s">
        <v>2698</v>
      </c>
      <c r="AX693" s="5" t="s">
        <v>2699</v>
      </c>
      <c r="AY693" s="5">
        <v>50.7288</v>
      </c>
      <c r="AZ693" s="5">
        <v>-117.943</v>
      </c>
      <c r="BA693" s="5">
        <v>1000.0</v>
      </c>
    </row>
    <row r="694" ht="14.25" customHeight="1">
      <c r="A694" s="5" t="s">
        <v>88</v>
      </c>
      <c r="B694" s="5">
        <v>12.0</v>
      </c>
      <c r="C694" s="5" t="s">
        <v>1711</v>
      </c>
      <c r="D694" s="5">
        <v>366.0</v>
      </c>
      <c r="E694" s="5">
        <v>1911.0</v>
      </c>
      <c r="F694" s="5" t="s">
        <v>2765</v>
      </c>
      <c r="G694" s="10" t="s">
        <v>2766</v>
      </c>
      <c r="H694" s="5" t="s">
        <v>2767</v>
      </c>
      <c r="I694" s="5" t="s">
        <v>641</v>
      </c>
      <c r="J694" s="5" t="s">
        <v>1865</v>
      </c>
      <c r="K694" s="5">
        <v>1.0</v>
      </c>
      <c r="L694" s="5">
        <v>2314.0</v>
      </c>
      <c r="M694" s="64">
        <v>51.06533</v>
      </c>
      <c r="N694" s="36">
        <v>-116.785</v>
      </c>
      <c r="O694" s="5" t="s">
        <v>170</v>
      </c>
      <c r="P694" s="36">
        <v>366.0</v>
      </c>
      <c r="Q694" s="5">
        <v>3.0</v>
      </c>
      <c r="R694" s="36" t="s">
        <v>2765</v>
      </c>
      <c r="S694" s="5" t="s">
        <v>1737</v>
      </c>
      <c r="T694" s="37">
        <v>1300.0</v>
      </c>
      <c r="W694" s="5">
        <v>32509.0</v>
      </c>
      <c r="X694" s="5" t="s">
        <v>1738</v>
      </c>
      <c r="AO694" s="5" t="s">
        <v>2765</v>
      </c>
      <c r="AP694" s="5">
        <v>366.0</v>
      </c>
      <c r="AQ694" s="5" t="s">
        <v>1700</v>
      </c>
      <c r="AR694" s="5" t="s">
        <v>1739</v>
      </c>
      <c r="AS694" s="5" t="s">
        <v>1740</v>
      </c>
      <c r="AT694" s="5" t="s">
        <v>1741</v>
      </c>
      <c r="AU694" s="5" t="s">
        <v>1959</v>
      </c>
      <c r="AV694" s="5" t="s">
        <v>1720</v>
      </c>
      <c r="AW694" s="5" t="s">
        <v>2698</v>
      </c>
      <c r="AX694" s="5" t="s">
        <v>2768</v>
      </c>
      <c r="AY694" s="5">
        <v>51.0653</v>
      </c>
      <c r="AZ694" s="5">
        <v>-116.785</v>
      </c>
      <c r="BA694" s="5">
        <v>1354.0</v>
      </c>
    </row>
    <row r="695" ht="14.25" customHeight="1">
      <c r="B695" s="5">
        <v>12.0</v>
      </c>
      <c r="C695" s="5" t="s">
        <v>1711</v>
      </c>
      <c r="D695" s="5">
        <v>367.0</v>
      </c>
      <c r="E695" s="5">
        <v>1912.0</v>
      </c>
      <c r="F695" s="5" t="s">
        <v>2769</v>
      </c>
      <c r="G695" s="5" t="s">
        <v>2770</v>
      </c>
      <c r="H695" s="5" t="s">
        <v>2771</v>
      </c>
      <c r="I695" s="5" t="s">
        <v>641</v>
      </c>
      <c r="J695" s="5" t="s">
        <v>1736</v>
      </c>
      <c r="K695" s="5">
        <v>1.0</v>
      </c>
      <c r="L695" s="5">
        <v>2315.0</v>
      </c>
      <c r="M695" s="64">
        <v>51.04217</v>
      </c>
      <c r="N695" s="36">
        <v>-116.36383</v>
      </c>
      <c r="O695" s="5" t="s">
        <v>170</v>
      </c>
      <c r="P695" s="36">
        <v>367.0</v>
      </c>
      <c r="Q695" s="5">
        <v>3.0</v>
      </c>
      <c r="R695" s="36" t="s">
        <v>2769</v>
      </c>
      <c r="S695" s="5" t="s">
        <v>1737</v>
      </c>
      <c r="T695" s="5">
        <v>1300.0</v>
      </c>
      <c r="W695" s="5">
        <v>34335.0</v>
      </c>
      <c r="X695" s="5" t="s">
        <v>1738</v>
      </c>
      <c r="AO695" s="5" t="s">
        <v>2769</v>
      </c>
      <c r="AP695" s="5">
        <v>367.0</v>
      </c>
      <c r="AQ695" s="5" t="s">
        <v>1700</v>
      </c>
      <c r="AR695" s="5" t="s">
        <v>1739</v>
      </c>
      <c r="AS695" s="5" t="s">
        <v>1740</v>
      </c>
      <c r="AT695" s="5" t="s">
        <v>1741</v>
      </c>
      <c r="AU695" s="5" t="s">
        <v>1959</v>
      </c>
      <c r="AV695" s="5" t="s">
        <v>1720</v>
      </c>
      <c r="AW695" s="5" t="s">
        <v>2698</v>
      </c>
      <c r="AX695" s="5" t="s">
        <v>2699</v>
      </c>
      <c r="AY695" s="5">
        <v>51.0422</v>
      </c>
      <c r="AZ695" s="5">
        <v>-116.3638</v>
      </c>
      <c r="BA695" s="5">
        <v>1300.0</v>
      </c>
    </row>
    <row r="696" ht="14.25" customHeight="1">
      <c r="B696" s="5">
        <v>12.0</v>
      </c>
      <c r="C696" s="5" t="s">
        <v>1711</v>
      </c>
      <c r="D696" s="5">
        <v>369.0</v>
      </c>
      <c r="E696" s="5">
        <v>1913.0</v>
      </c>
      <c r="F696" s="18" t="s">
        <v>2772</v>
      </c>
      <c r="G696" s="5" t="s">
        <v>2773</v>
      </c>
      <c r="H696" s="5" t="s">
        <v>2774</v>
      </c>
      <c r="I696" s="5" t="s">
        <v>1664</v>
      </c>
      <c r="J696" s="5" t="s">
        <v>1715</v>
      </c>
      <c r="K696" s="5">
        <v>1.0</v>
      </c>
      <c r="L696" s="5">
        <v>2316.0</v>
      </c>
      <c r="M696" s="64"/>
      <c r="N696" s="36"/>
      <c r="P696" s="36"/>
      <c r="R696" s="36"/>
      <c r="AO696" s="5" t="s">
        <v>2772</v>
      </c>
      <c r="AP696" s="5">
        <v>369.0</v>
      </c>
      <c r="AQ696" s="5" t="s">
        <v>1716</v>
      </c>
      <c r="AR696" s="5" t="s">
        <v>1717</v>
      </c>
      <c r="AS696" s="5" t="s">
        <v>1718</v>
      </c>
      <c r="AT696" s="5" t="s">
        <v>1719</v>
      </c>
      <c r="AU696" s="5" t="s">
        <v>1703</v>
      </c>
      <c r="AV696" s="5" t="s">
        <v>1720</v>
      </c>
      <c r="AW696" s="5" t="s">
        <v>2698</v>
      </c>
      <c r="AX696" s="5" t="s">
        <v>2768</v>
      </c>
      <c r="AY696" s="5">
        <v>50.9</v>
      </c>
      <c r="AZ696" s="5">
        <v>-116.4</v>
      </c>
      <c r="BA696" s="5">
        <v>0.0</v>
      </c>
    </row>
    <row r="697" ht="14.25" customHeight="1">
      <c r="B697" s="5">
        <v>12.0</v>
      </c>
      <c r="C697" s="5" t="s">
        <v>1711</v>
      </c>
      <c r="D697" s="5">
        <v>370.0</v>
      </c>
      <c r="E697" s="5">
        <v>1914.0</v>
      </c>
      <c r="F697" s="18" t="s">
        <v>2775</v>
      </c>
      <c r="G697" s="5" t="s">
        <v>2776</v>
      </c>
      <c r="H697" s="5" t="s">
        <v>2777</v>
      </c>
      <c r="I697" s="5" t="s">
        <v>1664</v>
      </c>
      <c r="J697" s="5" t="s">
        <v>1746</v>
      </c>
      <c r="K697" s="5">
        <v>1.0</v>
      </c>
      <c r="L697" s="5">
        <v>2317.0</v>
      </c>
      <c r="M697" s="64"/>
      <c r="N697" s="36"/>
      <c r="P697" s="36"/>
      <c r="R697" s="36"/>
      <c r="AO697" s="5" t="s">
        <v>2775</v>
      </c>
      <c r="AP697" s="5">
        <v>370.0</v>
      </c>
      <c r="AQ697" s="5" t="s">
        <v>1716</v>
      </c>
      <c r="AR697" s="5" t="s">
        <v>1717</v>
      </c>
      <c r="AS697" s="5" t="s">
        <v>1718</v>
      </c>
      <c r="AT697" s="5" t="s">
        <v>1719</v>
      </c>
      <c r="AU697" s="5" t="s">
        <v>1703</v>
      </c>
      <c r="AV697" s="5" t="s">
        <v>1720</v>
      </c>
      <c r="AW697" s="5" t="s">
        <v>2698</v>
      </c>
      <c r="AX697" s="5" t="s">
        <v>2699</v>
      </c>
      <c r="AY697" s="5">
        <v>52.0</v>
      </c>
      <c r="AZ697" s="5">
        <v>-118.0</v>
      </c>
      <c r="BA697" s="5">
        <v>9.0</v>
      </c>
    </row>
    <row r="698" ht="14.25" customHeight="1">
      <c r="A698" s="5" t="s">
        <v>422</v>
      </c>
      <c r="B698" s="5">
        <v>12.0</v>
      </c>
      <c r="C698" s="5" t="s">
        <v>1711</v>
      </c>
      <c r="D698" s="5">
        <v>372.0</v>
      </c>
      <c r="E698" s="5">
        <v>1915.0</v>
      </c>
      <c r="F698" s="18" t="s">
        <v>2778</v>
      </c>
      <c r="G698" s="5" t="s">
        <v>2779</v>
      </c>
      <c r="H698" s="5" t="s">
        <v>2780</v>
      </c>
      <c r="I698" s="5" t="s">
        <v>49</v>
      </c>
      <c r="J698" s="5" t="s">
        <v>1746</v>
      </c>
      <c r="K698" s="5">
        <v>1.0</v>
      </c>
      <c r="L698" s="5">
        <v>2318.0</v>
      </c>
      <c r="M698" s="64"/>
      <c r="N698" s="36"/>
      <c r="P698" s="36"/>
      <c r="R698" s="36"/>
      <c r="AO698" s="5" t="s">
        <v>2778</v>
      </c>
      <c r="AP698" s="5">
        <v>372.0</v>
      </c>
      <c r="AQ698" s="5" t="s">
        <v>1716</v>
      </c>
      <c r="AR698" s="5" t="s">
        <v>1717</v>
      </c>
      <c r="AS698" s="5" t="s">
        <v>1718</v>
      </c>
      <c r="AT698" s="5" t="s">
        <v>1719</v>
      </c>
      <c r="AU698" s="5" t="s">
        <v>1703</v>
      </c>
      <c r="AV698" s="5" t="s">
        <v>1720</v>
      </c>
      <c r="AW698" s="5" t="s">
        <v>2698</v>
      </c>
      <c r="AX698" s="5" t="s">
        <v>2699</v>
      </c>
      <c r="AY698" s="5">
        <v>51.3</v>
      </c>
      <c r="AZ698" s="5">
        <v>-117.5</v>
      </c>
      <c r="BA698" s="5">
        <v>0.0</v>
      </c>
    </row>
    <row r="699" ht="14.25" customHeight="1">
      <c r="B699" s="5">
        <v>12.0</v>
      </c>
      <c r="C699" s="5" t="s">
        <v>1711</v>
      </c>
      <c r="D699" s="5">
        <v>373.0</v>
      </c>
      <c r="E699" s="5">
        <v>1916.0</v>
      </c>
      <c r="F699" s="18" t="s">
        <v>2781</v>
      </c>
      <c r="G699" s="5" t="s">
        <v>2782</v>
      </c>
      <c r="H699" s="5" t="s">
        <v>2783</v>
      </c>
      <c r="I699" s="5" t="s">
        <v>641</v>
      </c>
      <c r="J699" s="5" t="s">
        <v>1715</v>
      </c>
      <c r="K699" s="5">
        <v>1.0</v>
      </c>
      <c r="L699" s="5">
        <v>2319.0</v>
      </c>
      <c r="M699" s="64"/>
      <c r="N699" s="36"/>
      <c r="P699" s="36"/>
      <c r="R699" s="36"/>
      <c r="AO699" s="5" t="s">
        <v>2781</v>
      </c>
      <c r="AP699" s="5">
        <v>373.0</v>
      </c>
      <c r="AQ699" s="5" t="s">
        <v>1716</v>
      </c>
      <c r="AR699" s="5" t="s">
        <v>1717</v>
      </c>
      <c r="AS699" s="5" t="s">
        <v>1718</v>
      </c>
      <c r="AT699" s="5" t="s">
        <v>1719</v>
      </c>
      <c r="AU699" s="5" t="s">
        <v>1836</v>
      </c>
      <c r="AV699" s="5" t="s">
        <v>1720</v>
      </c>
      <c r="AW699" s="5" t="s">
        <v>2698</v>
      </c>
      <c r="AX699" s="5" t="s">
        <v>2768</v>
      </c>
      <c r="AY699" s="5">
        <v>50.8458</v>
      </c>
      <c r="AZ699" s="5">
        <v>-116.338</v>
      </c>
      <c r="BA699" s="5">
        <v>938.0</v>
      </c>
    </row>
    <row r="700" ht="14.25" customHeight="1">
      <c r="B700" s="5">
        <v>12.0</v>
      </c>
      <c r="C700" s="5" t="s">
        <v>1711</v>
      </c>
      <c r="D700" s="5">
        <v>374.0</v>
      </c>
      <c r="E700" s="5">
        <v>1917.0</v>
      </c>
      <c r="F700" s="5" t="s">
        <v>2784</v>
      </c>
      <c r="G700" s="5" t="s">
        <v>2785</v>
      </c>
      <c r="H700" s="5" t="s">
        <v>2750</v>
      </c>
      <c r="I700" s="5" t="s">
        <v>641</v>
      </c>
      <c r="J700" s="5" t="s">
        <v>1736</v>
      </c>
      <c r="K700" s="5">
        <v>1.0</v>
      </c>
      <c r="L700" s="5">
        <v>2320.0</v>
      </c>
      <c r="M700" s="64">
        <v>51.71617</v>
      </c>
      <c r="N700" s="36">
        <v>-117.54167</v>
      </c>
      <c r="O700" s="11" t="s">
        <v>170</v>
      </c>
      <c r="P700" s="36">
        <v>374.0</v>
      </c>
      <c r="Q700" s="22">
        <v>2.0</v>
      </c>
      <c r="R700" s="36" t="s">
        <v>2784</v>
      </c>
      <c r="S700" s="11" t="s">
        <v>1737</v>
      </c>
      <c r="T700" s="11">
        <v>1000.0</v>
      </c>
      <c r="U700" s="11"/>
      <c r="V700" s="11"/>
      <c r="W700" s="23">
        <v>31413.0</v>
      </c>
      <c r="X700" s="11" t="s">
        <v>1738</v>
      </c>
      <c r="AO700" s="5" t="s">
        <v>2784</v>
      </c>
      <c r="AP700" s="5">
        <v>374.0</v>
      </c>
      <c r="AQ700" s="5" t="s">
        <v>1716</v>
      </c>
      <c r="AR700" s="5" t="s">
        <v>1739</v>
      </c>
      <c r="AS700" s="5" t="s">
        <v>1740</v>
      </c>
      <c r="AT700" s="5" t="s">
        <v>1741</v>
      </c>
      <c r="AU700" s="5" t="s">
        <v>1742</v>
      </c>
      <c r="AV700" s="5" t="s">
        <v>1720</v>
      </c>
      <c r="AW700" s="5" t="s">
        <v>2698</v>
      </c>
      <c r="AX700" s="5" t="s">
        <v>2699</v>
      </c>
      <c r="AY700" s="5">
        <v>51.7162</v>
      </c>
      <c r="AZ700" s="5">
        <v>-117.5417</v>
      </c>
      <c r="BA700" s="5">
        <v>1000.0</v>
      </c>
    </row>
    <row r="701" ht="14.25" customHeight="1">
      <c r="B701" s="5">
        <v>12.0</v>
      </c>
      <c r="C701" s="5" t="s">
        <v>1711</v>
      </c>
      <c r="D701" s="5">
        <v>375.0</v>
      </c>
      <c r="E701" s="5">
        <v>1918.0</v>
      </c>
      <c r="F701" s="18" t="s">
        <v>2786</v>
      </c>
      <c r="G701" s="5" t="s">
        <v>2787</v>
      </c>
      <c r="H701" s="5" t="s">
        <v>2788</v>
      </c>
      <c r="I701" s="5" t="s">
        <v>641</v>
      </c>
      <c r="J701" s="5" t="s">
        <v>1715</v>
      </c>
      <c r="K701" s="5">
        <v>1.0</v>
      </c>
      <c r="L701" s="5">
        <v>2321.0</v>
      </c>
      <c r="M701" s="64"/>
      <c r="N701" s="36"/>
      <c r="P701" s="36"/>
      <c r="R701" s="36"/>
      <c r="AO701" s="5" t="s">
        <v>2786</v>
      </c>
      <c r="AP701" s="5">
        <v>375.0</v>
      </c>
      <c r="AQ701" s="5" t="s">
        <v>1716</v>
      </c>
      <c r="AR701" s="5" t="s">
        <v>1717</v>
      </c>
      <c r="AS701" s="5" t="s">
        <v>1718</v>
      </c>
      <c r="AT701" s="5" t="s">
        <v>1719</v>
      </c>
      <c r="AU701" s="5" t="s">
        <v>1959</v>
      </c>
      <c r="AV701" s="5" t="s">
        <v>1720</v>
      </c>
      <c r="AW701" s="5" t="s">
        <v>2698</v>
      </c>
      <c r="AX701" s="5" t="s">
        <v>2699</v>
      </c>
      <c r="AY701" s="5">
        <v>51.4312</v>
      </c>
      <c r="AZ701" s="5">
        <v>-117.1638</v>
      </c>
      <c r="BA701" s="5">
        <v>1300.0</v>
      </c>
    </row>
    <row r="702" ht="14.25" customHeight="1">
      <c r="B702" s="5">
        <v>12.0</v>
      </c>
      <c r="C702" s="5" t="s">
        <v>1711</v>
      </c>
      <c r="D702" s="5">
        <v>376.0</v>
      </c>
      <c r="E702" s="5">
        <v>1919.0</v>
      </c>
      <c r="F702" s="5" t="s">
        <v>2789</v>
      </c>
      <c r="G702" s="5" t="s">
        <v>2790</v>
      </c>
      <c r="H702" s="5" t="s">
        <v>2791</v>
      </c>
      <c r="I702" s="5" t="s">
        <v>641</v>
      </c>
      <c r="J702" s="5" t="s">
        <v>1736</v>
      </c>
      <c r="K702" s="5">
        <v>1.0</v>
      </c>
      <c r="L702" s="5">
        <v>2322.0</v>
      </c>
      <c r="M702" s="64">
        <v>51.75133</v>
      </c>
      <c r="N702" s="36">
        <v>-117.76133</v>
      </c>
      <c r="O702" s="11" t="s">
        <v>170</v>
      </c>
      <c r="P702" s="36">
        <v>376.0</v>
      </c>
      <c r="Q702" s="22">
        <v>8.0</v>
      </c>
      <c r="R702" s="36" t="s">
        <v>2792</v>
      </c>
      <c r="S702" s="11" t="s">
        <v>1737</v>
      </c>
      <c r="T702" s="11">
        <v>2438.0</v>
      </c>
      <c r="U702" s="11"/>
      <c r="V702" s="11"/>
      <c r="W702" s="23">
        <v>35796.0</v>
      </c>
      <c r="X702" s="11" t="s">
        <v>1738</v>
      </c>
      <c r="AA702" s="36"/>
      <c r="AC702" s="37"/>
      <c r="AO702" s="5" t="s">
        <v>2793</v>
      </c>
      <c r="AP702" s="5">
        <v>376.0</v>
      </c>
      <c r="AQ702" s="5" t="s">
        <v>1700</v>
      </c>
      <c r="AR702" s="5" t="s">
        <v>1701</v>
      </c>
      <c r="AS702" s="5" t="s">
        <v>1740</v>
      </c>
      <c r="AT702" s="5" t="s">
        <v>1835</v>
      </c>
      <c r="AU702" s="5" t="s">
        <v>2489</v>
      </c>
      <c r="AV702" s="5" t="s">
        <v>1720</v>
      </c>
      <c r="AW702" s="5" t="s">
        <v>2698</v>
      </c>
      <c r="AX702" s="5" t="s">
        <v>2699</v>
      </c>
      <c r="AY702" s="5">
        <v>51.7513</v>
      </c>
      <c r="AZ702" s="5">
        <v>-117.7613</v>
      </c>
      <c r="BA702" s="5">
        <v>2438.0</v>
      </c>
    </row>
    <row r="703" ht="14.25" customHeight="1">
      <c r="B703" s="5">
        <v>12.0</v>
      </c>
      <c r="C703" s="5" t="s">
        <v>1711</v>
      </c>
      <c r="D703" s="5">
        <v>377.0</v>
      </c>
      <c r="E703" s="5">
        <v>1920.0</v>
      </c>
      <c r="F703" s="18" t="s">
        <v>2794</v>
      </c>
      <c r="G703" s="5" t="s">
        <v>2795</v>
      </c>
      <c r="H703" s="5" t="s">
        <v>2796</v>
      </c>
      <c r="I703" s="5" t="s">
        <v>641</v>
      </c>
      <c r="J703" s="5" t="s">
        <v>1715</v>
      </c>
      <c r="K703" s="5">
        <v>1.0</v>
      </c>
      <c r="L703" s="5">
        <v>2323.0</v>
      </c>
      <c r="M703" s="64"/>
      <c r="N703" s="36"/>
      <c r="P703" s="36"/>
      <c r="R703" s="36"/>
      <c r="AO703" s="5" t="s">
        <v>2794</v>
      </c>
      <c r="AP703" s="5">
        <v>377.0</v>
      </c>
      <c r="AQ703" s="5" t="s">
        <v>1716</v>
      </c>
      <c r="AR703" s="5" t="s">
        <v>1717</v>
      </c>
      <c r="AS703" s="5" t="s">
        <v>1718</v>
      </c>
      <c r="AT703" s="5" t="s">
        <v>1703</v>
      </c>
      <c r="AU703" s="5" t="s">
        <v>1703</v>
      </c>
      <c r="AV703" s="5" t="s">
        <v>1720</v>
      </c>
      <c r="AW703" s="5" t="s">
        <v>2698</v>
      </c>
      <c r="AX703" s="5" t="s">
        <v>2797</v>
      </c>
      <c r="AY703" s="5">
        <v>50.2525</v>
      </c>
      <c r="AZ703" s="5">
        <v>-117.7763</v>
      </c>
      <c r="BA703" s="5">
        <v>651.0</v>
      </c>
    </row>
    <row r="704" ht="14.25" customHeight="1">
      <c r="B704" s="5">
        <v>12.0</v>
      </c>
      <c r="C704" s="5" t="s">
        <v>1711</v>
      </c>
      <c r="D704" s="5">
        <v>378.0</v>
      </c>
      <c r="E704" s="5">
        <v>1921.0</v>
      </c>
      <c r="F704" s="18" t="s">
        <v>2798</v>
      </c>
      <c r="G704" s="5" t="s">
        <v>2799</v>
      </c>
      <c r="H704" s="5" t="s">
        <v>2800</v>
      </c>
      <c r="I704" s="5" t="s">
        <v>641</v>
      </c>
      <c r="J704" s="5" t="s">
        <v>1715</v>
      </c>
      <c r="K704" s="5">
        <v>1.0</v>
      </c>
      <c r="L704" s="5">
        <v>2324.0</v>
      </c>
      <c r="M704" s="64"/>
      <c r="N704" s="36"/>
      <c r="P704" s="36"/>
      <c r="R704" s="36"/>
      <c r="AA704" s="36"/>
      <c r="AC704" s="37"/>
      <c r="AO704" s="5" t="s">
        <v>2798</v>
      </c>
      <c r="AP704" s="5">
        <v>378.0</v>
      </c>
      <c r="AQ704" s="5" t="s">
        <v>1716</v>
      </c>
      <c r="AR704" s="5" t="s">
        <v>1717</v>
      </c>
      <c r="AS704" s="5" t="s">
        <v>1718</v>
      </c>
      <c r="AT704" s="5" t="s">
        <v>1703</v>
      </c>
      <c r="AU704" s="5" t="s">
        <v>1703</v>
      </c>
      <c r="AV704" s="5" t="s">
        <v>1720</v>
      </c>
      <c r="AW704" s="5" t="s">
        <v>2698</v>
      </c>
      <c r="AX704" s="5" t="s">
        <v>2801</v>
      </c>
      <c r="AY704" s="5">
        <v>49.747</v>
      </c>
      <c r="AZ704" s="5">
        <v>-116.851</v>
      </c>
      <c r="BA704" s="5">
        <v>701.0</v>
      </c>
    </row>
    <row r="705" ht="14.25" customHeight="1">
      <c r="B705" s="5">
        <v>12.0</v>
      </c>
      <c r="C705" s="5" t="s">
        <v>1711</v>
      </c>
      <c r="D705" s="5">
        <v>379.0</v>
      </c>
      <c r="E705" s="5">
        <v>1922.0</v>
      </c>
      <c r="F705" s="5" t="s">
        <v>2802</v>
      </c>
      <c r="G705" s="5" t="s">
        <v>2803</v>
      </c>
      <c r="H705" s="5" t="s">
        <v>2804</v>
      </c>
      <c r="I705" s="5" t="s">
        <v>641</v>
      </c>
      <c r="J705" s="5" t="s">
        <v>1865</v>
      </c>
      <c r="K705" s="5">
        <v>1.0</v>
      </c>
      <c r="L705" s="5">
        <v>2325.0</v>
      </c>
      <c r="M705" s="64">
        <v>50.36583</v>
      </c>
      <c r="N705" s="36">
        <v>-117.0645</v>
      </c>
      <c r="O705" s="11" t="s">
        <v>170</v>
      </c>
      <c r="P705" s="36">
        <v>379.0</v>
      </c>
      <c r="Q705" s="22">
        <v>1.0</v>
      </c>
      <c r="R705" s="36" t="s">
        <v>2802</v>
      </c>
      <c r="S705" s="11" t="s">
        <v>1737</v>
      </c>
      <c r="T705" s="11">
        <v>800.0</v>
      </c>
      <c r="U705" s="11"/>
      <c r="V705" s="11"/>
      <c r="W705" s="23">
        <v>28856.0</v>
      </c>
      <c r="X705" s="11" t="s">
        <v>1738</v>
      </c>
      <c r="AO705" s="5" t="s">
        <v>2802</v>
      </c>
      <c r="AP705" s="5">
        <v>379.0</v>
      </c>
      <c r="AQ705" s="5" t="s">
        <v>1716</v>
      </c>
      <c r="AR705" s="5" t="s">
        <v>1739</v>
      </c>
      <c r="AS705" s="5" t="s">
        <v>1740</v>
      </c>
      <c r="AT705" s="5" t="s">
        <v>1741</v>
      </c>
      <c r="AU705" s="5" t="s">
        <v>1742</v>
      </c>
      <c r="AV705" s="5" t="s">
        <v>1720</v>
      </c>
      <c r="AW705" s="5" t="s">
        <v>2698</v>
      </c>
      <c r="AX705" s="5" t="s">
        <v>2801</v>
      </c>
      <c r="AY705" s="5">
        <v>50.3658</v>
      </c>
      <c r="AZ705" s="5">
        <v>-117.0645</v>
      </c>
      <c r="BA705" s="5">
        <v>800.0</v>
      </c>
    </row>
    <row r="706" ht="14.25" customHeight="1">
      <c r="B706" s="5">
        <v>12.0</v>
      </c>
      <c r="C706" s="5" t="s">
        <v>1711</v>
      </c>
      <c r="D706" s="5">
        <v>380.0</v>
      </c>
      <c r="E706" s="5">
        <v>1923.0</v>
      </c>
      <c r="F706" s="5" t="s">
        <v>2805</v>
      </c>
      <c r="G706" s="5" t="s">
        <v>2806</v>
      </c>
      <c r="H706" s="5" t="s">
        <v>2807</v>
      </c>
      <c r="I706" s="5" t="s">
        <v>641</v>
      </c>
      <c r="J706" s="5" t="s">
        <v>1891</v>
      </c>
      <c r="K706" s="5">
        <v>1.0</v>
      </c>
      <c r="L706" s="5">
        <v>2326.0</v>
      </c>
      <c r="M706" s="64">
        <v>49.9065</v>
      </c>
      <c r="N706" s="36">
        <v>-116.8551</v>
      </c>
      <c r="O706" s="11" t="s">
        <v>170</v>
      </c>
      <c r="P706" s="36">
        <v>380.0</v>
      </c>
      <c r="Q706" s="22">
        <v>2.0</v>
      </c>
      <c r="R706" s="36" t="s">
        <v>2805</v>
      </c>
      <c r="S706" s="11" t="s">
        <v>1737</v>
      </c>
      <c r="T706" s="11">
        <v>1019.0</v>
      </c>
      <c r="U706" s="11"/>
      <c r="V706" s="11"/>
      <c r="W706" s="23">
        <v>36892.0</v>
      </c>
      <c r="X706" s="11" t="s">
        <v>1738</v>
      </c>
      <c r="AO706" s="5" t="s">
        <v>2805</v>
      </c>
      <c r="AP706" s="5">
        <v>380.0</v>
      </c>
      <c r="AQ706" s="5" t="s">
        <v>1700</v>
      </c>
      <c r="AR706" s="5" t="s">
        <v>1739</v>
      </c>
      <c r="AS706" s="5" t="s">
        <v>1740</v>
      </c>
      <c r="AT706" s="5" t="s">
        <v>1741</v>
      </c>
      <c r="AU706" s="5" t="s">
        <v>1959</v>
      </c>
      <c r="AV706" s="5" t="s">
        <v>1720</v>
      </c>
      <c r="AW706" s="5" t="s">
        <v>2698</v>
      </c>
      <c r="AX706" s="5" t="s">
        <v>2801</v>
      </c>
      <c r="AY706" s="5">
        <v>49.9065</v>
      </c>
      <c r="AZ706" s="5">
        <v>-116.8551</v>
      </c>
      <c r="BA706" s="5">
        <v>1019.0</v>
      </c>
    </row>
    <row r="707" ht="14.25" customHeight="1">
      <c r="B707" s="5">
        <v>12.0</v>
      </c>
      <c r="C707" s="5" t="s">
        <v>1711</v>
      </c>
      <c r="D707" s="5">
        <v>381.0</v>
      </c>
      <c r="E707" s="5">
        <v>1924.0</v>
      </c>
      <c r="F707" s="18" t="s">
        <v>2808</v>
      </c>
      <c r="G707" s="5" t="s">
        <v>2809</v>
      </c>
      <c r="H707" s="5" t="s">
        <v>2810</v>
      </c>
      <c r="I707" s="5" t="s">
        <v>1664</v>
      </c>
      <c r="J707" s="5" t="s">
        <v>1715</v>
      </c>
      <c r="K707" s="5">
        <v>1.0</v>
      </c>
      <c r="L707" s="5">
        <v>2327.0</v>
      </c>
      <c r="M707" s="64"/>
      <c r="N707" s="36"/>
      <c r="P707" s="36"/>
      <c r="R707" s="36"/>
      <c r="AO707" s="5" t="s">
        <v>2808</v>
      </c>
      <c r="AP707" s="5">
        <v>381.0</v>
      </c>
      <c r="AQ707" s="5" t="s">
        <v>1716</v>
      </c>
      <c r="AR707" s="5" t="s">
        <v>1717</v>
      </c>
      <c r="AS707" s="5" t="s">
        <v>1718</v>
      </c>
      <c r="AT707" s="5" t="s">
        <v>1719</v>
      </c>
      <c r="AU707" s="5" t="s">
        <v>1703</v>
      </c>
      <c r="AV707" s="5" t="s">
        <v>1720</v>
      </c>
      <c r="AW707" s="5" t="s">
        <v>2698</v>
      </c>
      <c r="AX707" s="5" t="s">
        <v>2797</v>
      </c>
      <c r="AY707" s="5">
        <v>50.3</v>
      </c>
      <c r="AZ707" s="5">
        <v>-117.9</v>
      </c>
      <c r="BA707" s="5">
        <v>0.0</v>
      </c>
    </row>
    <row r="708" ht="14.25" customHeight="1">
      <c r="B708" s="5">
        <v>12.0</v>
      </c>
      <c r="C708" s="5" t="s">
        <v>1711</v>
      </c>
      <c r="D708" s="5">
        <v>382.0</v>
      </c>
      <c r="E708" s="5">
        <v>1925.0</v>
      </c>
      <c r="F708" s="18" t="s">
        <v>2811</v>
      </c>
      <c r="G708" s="5" t="s">
        <v>2812</v>
      </c>
      <c r="H708" s="5" t="s">
        <v>2813</v>
      </c>
      <c r="I708" s="5" t="s">
        <v>1664</v>
      </c>
      <c r="J708" s="5" t="s">
        <v>1715</v>
      </c>
      <c r="K708" s="5">
        <v>1.0</v>
      </c>
      <c r="L708" s="5">
        <v>2328.0</v>
      </c>
      <c r="M708" s="64"/>
      <c r="N708" s="36"/>
      <c r="P708" s="36"/>
      <c r="R708" s="36"/>
      <c r="AO708" s="5" t="s">
        <v>2811</v>
      </c>
      <c r="AP708" s="5">
        <v>382.0</v>
      </c>
      <c r="AQ708" s="5" t="s">
        <v>1716</v>
      </c>
      <c r="AR708" s="5" t="s">
        <v>1717</v>
      </c>
      <c r="AS708" s="5" t="s">
        <v>1718</v>
      </c>
      <c r="AT708" s="5" t="s">
        <v>1703</v>
      </c>
      <c r="AU708" s="5" t="s">
        <v>1703</v>
      </c>
      <c r="AV708" s="5" t="s">
        <v>1720</v>
      </c>
      <c r="AW708" s="5" t="s">
        <v>2698</v>
      </c>
      <c r="AY708" s="5">
        <v>49.0</v>
      </c>
      <c r="AZ708" s="5">
        <v>-116.5</v>
      </c>
      <c r="BA708" s="5">
        <v>0.0</v>
      </c>
    </row>
    <row r="709" ht="14.25" customHeight="1">
      <c r="A709" s="5" t="s">
        <v>2037</v>
      </c>
      <c r="B709" s="5">
        <v>12.0</v>
      </c>
      <c r="C709" s="5" t="s">
        <v>1711</v>
      </c>
      <c r="D709" s="5">
        <v>383.0</v>
      </c>
      <c r="E709" s="5">
        <v>1926.0</v>
      </c>
      <c r="F709" s="10" t="s">
        <v>2814</v>
      </c>
      <c r="G709" s="5" t="s">
        <v>2815</v>
      </c>
      <c r="H709" s="5" t="s">
        <v>2816</v>
      </c>
      <c r="I709" s="5" t="s">
        <v>641</v>
      </c>
      <c r="J709" s="5" t="s">
        <v>1891</v>
      </c>
      <c r="K709" s="5">
        <v>1.0</v>
      </c>
      <c r="L709" s="5">
        <v>2329.0</v>
      </c>
      <c r="M709" s="64">
        <v>50.383</v>
      </c>
      <c r="N709" s="36">
        <v>-117.8799</v>
      </c>
      <c r="O709" s="11" t="s">
        <v>170</v>
      </c>
      <c r="P709" s="36">
        <v>383.0</v>
      </c>
      <c r="Q709" s="22">
        <v>1.0</v>
      </c>
      <c r="R709" s="36" t="s">
        <v>2817</v>
      </c>
      <c r="S709" s="11" t="s">
        <v>1737</v>
      </c>
      <c r="T709" s="11">
        <v>790.0</v>
      </c>
      <c r="U709" s="11" t="s">
        <v>645</v>
      </c>
      <c r="V709" s="11"/>
      <c r="W709" s="23">
        <v>37257.0</v>
      </c>
      <c r="X709" s="11" t="s">
        <v>1738</v>
      </c>
      <c r="AO709" s="5" t="s">
        <v>2817</v>
      </c>
      <c r="AP709" s="5">
        <v>383.0</v>
      </c>
      <c r="AQ709" s="5" t="s">
        <v>1716</v>
      </c>
      <c r="AR709" s="5" t="s">
        <v>1739</v>
      </c>
      <c r="AS709" s="5" t="s">
        <v>1740</v>
      </c>
      <c r="AT709" s="5" t="s">
        <v>1741</v>
      </c>
      <c r="AU709" s="5" t="s">
        <v>1742</v>
      </c>
      <c r="AV709" s="5" t="s">
        <v>1720</v>
      </c>
      <c r="AW709" s="5" t="s">
        <v>2698</v>
      </c>
      <c r="AX709" s="5" t="s">
        <v>2797</v>
      </c>
      <c r="AY709" s="5">
        <v>50.383</v>
      </c>
      <c r="AZ709" s="5">
        <v>-117.8799</v>
      </c>
      <c r="BA709" s="5">
        <v>790.0</v>
      </c>
    </row>
    <row r="710" ht="14.25" customHeight="1">
      <c r="A710" s="5" t="s">
        <v>2037</v>
      </c>
      <c r="B710" s="5">
        <v>12.0</v>
      </c>
      <c r="C710" s="5" t="s">
        <v>1711</v>
      </c>
      <c r="D710" s="5">
        <v>384.0</v>
      </c>
      <c r="E710" s="5">
        <v>1927.0</v>
      </c>
      <c r="F710" s="5" t="s">
        <v>2818</v>
      </c>
      <c r="G710" s="5" t="s">
        <v>2819</v>
      </c>
      <c r="H710" s="5" t="s">
        <v>2820</v>
      </c>
      <c r="I710" s="5" t="s">
        <v>641</v>
      </c>
      <c r="J710" s="5" t="s">
        <v>1715</v>
      </c>
      <c r="K710" s="5">
        <v>1.0</v>
      </c>
      <c r="L710" s="5">
        <v>2330.0</v>
      </c>
      <c r="M710" s="64"/>
      <c r="N710" s="36"/>
      <c r="O710" s="11"/>
      <c r="P710" s="36"/>
      <c r="Q710" s="22"/>
      <c r="R710" s="36"/>
      <c r="S710" s="11"/>
      <c r="T710" s="11"/>
      <c r="U710" s="11"/>
      <c r="V710" s="11"/>
      <c r="W710" s="23"/>
      <c r="X710" s="11"/>
      <c r="AO710" s="5" t="s">
        <v>2821</v>
      </c>
      <c r="AP710" s="5">
        <v>384.0</v>
      </c>
      <c r="AQ710" s="5" t="s">
        <v>1716</v>
      </c>
      <c r="AR710" s="5" t="s">
        <v>1717</v>
      </c>
      <c r="AS710" s="5" t="s">
        <v>1718</v>
      </c>
      <c r="AT710" s="5" t="s">
        <v>1835</v>
      </c>
      <c r="AU710" s="5" t="s">
        <v>1959</v>
      </c>
      <c r="AV710" s="5" t="s">
        <v>1720</v>
      </c>
      <c r="AW710" s="5" t="s">
        <v>2698</v>
      </c>
      <c r="AX710" s="5" t="s">
        <v>2801</v>
      </c>
      <c r="AY710" s="5">
        <v>50.3663</v>
      </c>
      <c r="AZ710" s="5">
        <v>-117.0017</v>
      </c>
      <c r="BA710" s="5">
        <v>1300.0</v>
      </c>
    </row>
    <row r="711" ht="14.25" customHeight="1">
      <c r="B711" s="5">
        <v>12.0</v>
      </c>
      <c r="C711" s="5" t="s">
        <v>1711</v>
      </c>
      <c r="D711" s="5">
        <v>385.0</v>
      </c>
      <c r="E711" s="5">
        <v>1928.0</v>
      </c>
      <c r="F711" s="5" t="s">
        <v>2822</v>
      </c>
      <c r="G711" s="5" t="s">
        <v>2823</v>
      </c>
      <c r="H711" s="5" t="s">
        <v>2804</v>
      </c>
      <c r="I711" s="5" t="s">
        <v>641</v>
      </c>
      <c r="J711" s="5" t="s">
        <v>1865</v>
      </c>
      <c r="K711" s="5">
        <v>1.0</v>
      </c>
      <c r="L711" s="5">
        <v>2331.0</v>
      </c>
      <c r="M711" s="64">
        <v>50.78083</v>
      </c>
      <c r="N711" s="36">
        <v>-117.1805</v>
      </c>
      <c r="O711" s="11" t="s">
        <v>170</v>
      </c>
      <c r="P711" s="36">
        <v>385.0</v>
      </c>
      <c r="Q711" s="22">
        <v>4.0</v>
      </c>
      <c r="R711" s="36" t="s">
        <v>2822</v>
      </c>
      <c r="S711" s="11" t="s">
        <v>1737</v>
      </c>
      <c r="T711" s="11">
        <v>1376.0</v>
      </c>
      <c r="U711" s="11"/>
      <c r="V711" s="11"/>
      <c r="W711" s="23">
        <v>29587.0</v>
      </c>
      <c r="X711" s="11" t="s">
        <v>1738</v>
      </c>
      <c r="AO711" s="5" t="s">
        <v>2822</v>
      </c>
      <c r="AP711" s="5">
        <v>385.0</v>
      </c>
      <c r="AQ711" s="5" t="s">
        <v>1716</v>
      </c>
      <c r="AR711" s="5" t="s">
        <v>1739</v>
      </c>
      <c r="AS711" s="5" t="s">
        <v>1740</v>
      </c>
      <c r="AT711" s="5" t="s">
        <v>1741</v>
      </c>
      <c r="AU711" s="5" t="s">
        <v>1742</v>
      </c>
      <c r="AV711" s="5" t="s">
        <v>1720</v>
      </c>
      <c r="AW711" s="5" t="s">
        <v>2698</v>
      </c>
      <c r="AX711" s="5" t="s">
        <v>2801</v>
      </c>
      <c r="AY711" s="5">
        <v>50.7808</v>
      </c>
      <c r="AZ711" s="5">
        <v>-117.1805</v>
      </c>
      <c r="BA711" s="5">
        <v>1376.0</v>
      </c>
    </row>
    <row r="712" ht="14.25" customHeight="1">
      <c r="B712" s="5">
        <v>12.0</v>
      </c>
      <c r="C712" s="5" t="s">
        <v>1711</v>
      </c>
      <c r="D712" s="5">
        <v>386.0</v>
      </c>
      <c r="E712" s="5">
        <v>1929.0</v>
      </c>
      <c r="F712" s="18" t="s">
        <v>2824</v>
      </c>
      <c r="G712" s="5" t="s">
        <v>2825</v>
      </c>
      <c r="H712" s="5" t="s">
        <v>2826</v>
      </c>
      <c r="I712" s="5" t="s">
        <v>1664</v>
      </c>
      <c r="J712" s="5" t="s">
        <v>1715</v>
      </c>
      <c r="K712" s="5">
        <v>1.0</v>
      </c>
      <c r="L712" s="5">
        <v>2332.0</v>
      </c>
      <c r="M712" s="64"/>
      <c r="N712" s="36"/>
      <c r="P712" s="36"/>
      <c r="R712" s="36"/>
      <c r="AO712" s="5" t="s">
        <v>2824</v>
      </c>
      <c r="AP712" s="5">
        <v>386.0</v>
      </c>
      <c r="AQ712" s="5" t="s">
        <v>1716</v>
      </c>
      <c r="AR712" s="5" t="s">
        <v>1717</v>
      </c>
      <c r="AS712" s="5" t="s">
        <v>1718</v>
      </c>
      <c r="AT712" s="5" t="s">
        <v>1719</v>
      </c>
      <c r="AU712" s="5" t="s">
        <v>1703</v>
      </c>
      <c r="AV712" s="5" t="s">
        <v>1720</v>
      </c>
      <c r="AW712" s="5" t="s">
        <v>2368</v>
      </c>
      <c r="AX712" s="5" t="s">
        <v>2827</v>
      </c>
      <c r="AY712" s="5">
        <v>49.8</v>
      </c>
      <c r="AZ712" s="5">
        <v>-118.5</v>
      </c>
      <c r="BA712" s="5">
        <v>12.0</v>
      </c>
    </row>
    <row r="713" ht="14.25" customHeight="1">
      <c r="A713" s="5" t="s">
        <v>88</v>
      </c>
      <c r="B713" s="5">
        <v>12.0</v>
      </c>
      <c r="C713" s="5" t="s">
        <v>1711</v>
      </c>
      <c r="D713" s="5">
        <v>387.0</v>
      </c>
      <c r="E713" s="5">
        <v>1930.0</v>
      </c>
      <c r="F713" s="5" t="s">
        <v>693</v>
      </c>
      <c r="G713" s="10" t="s">
        <v>2828</v>
      </c>
      <c r="H713" s="5" t="s">
        <v>2829</v>
      </c>
      <c r="I713" s="5" t="s">
        <v>641</v>
      </c>
      <c r="J713" s="5" t="s">
        <v>1865</v>
      </c>
      <c r="K713" s="5">
        <v>1.0</v>
      </c>
      <c r="L713" s="5">
        <v>2333.0</v>
      </c>
      <c r="M713" s="64">
        <v>50.62133</v>
      </c>
      <c r="N713" s="36">
        <v>-117.4645</v>
      </c>
      <c r="O713" s="11" t="s">
        <v>170</v>
      </c>
      <c r="P713" s="36">
        <v>387.0</v>
      </c>
      <c r="Q713" s="22">
        <v>2.0</v>
      </c>
      <c r="R713" s="36" t="s">
        <v>693</v>
      </c>
      <c r="S713" s="11" t="s">
        <v>1737</v>
      </c>
      <c r="T713" s="11">
        <v>991.0</v>
      </c>
      <c r="U713" s="11"/>
      <c r="V713" s="11"/>
      <c r="W713" s="23">
        <v>31778.0</v>
      </c>
      <c r="X713" s="11" t="s">
        <v>1738</v>
      </c>
      <c r="AO713" s="5" t="s">
        <v>693</v>
      </c>
      <c r="AP713" s="5">
        <v>387.0</v>
      </c>
      <c r="AQ713" s="5" t="s">
        <v>1716</v>
      </c>
      <c r="AR713" s="5" t="s">
        <v>1739</v>
      </c>
      <c r="AS713" s="5" t="s">
        <v>1740</v>
      </c>
      <c r="AT713" s="5" t="s">
        <v>1741</v>
      </c>
      <c r="AU713" s="5" t="s">
        <v>1742</v>
      </c>
      <c r="AV713" s="5" t="s">
        <v>1720</v>
      </c>
      <c r="AW713" s="5" t="s">
        <v>2698</v>
      </c>
      <c r="AX713" s="5" t="s">
        <v>2797</v>
      </c>
      <c r="AY713" s="5">
        <v>50.6053</v>
      </c>
      <c r="AZ713" s="5">
        <v>-117.4272</v>
      </c>
      <c r="BA713" s="5">
        <v>991.0</v>
      </c>
    </row>
    <row r="714" ht="14.25" customHeight="1">
      <c r="A714" s="5" t="s">
        <v>1908</v>
      </c>
      <c r="B714" s="5">
        <v>12.0</v>
      </c>
      <c r="C714" s="5" t="s">
        <v>1711</v>
      </c>
      <c r="D714" s="5">
        <v>388.0</v>
      </c>
      <c r="E714" s="5">
        <v>1931.0</v>
      </c>
      <c r="F714" s="10" t="s">
        <v>2830</v>
      </c>
      <c r="G714" s="10" t="s">
        <v>2831</v>
      </c>
      <c r="H714" s="5" t="s">
        <v>2832</v>
      </c>
      <c r="I714" s="5" t="s">
        <v>641</v>
      </c>
      <c r="J714" s="5" t="s">
        <v>1865</v>
      </c>
      <c r="K714" s="5">
        <v>1.0</v>
      </c>
      <c r="L714" s="5">
        <v>2334.0</v>
      </c>
      <c r="M714" s="64">
        <v>49.95998</v>
      </c>
      <c r="N714" s="36">
        <v>-118.62603</v>
      </c>
      <c r="O714" s="11" t="s">
        <v>142</v>
      </c>
      <c r="P714" s="36">
        <v>388.0</v>
      </c>
      <c r="Q714" s="22">
        <v>5.0</v>
      </c>
      <c r="R714" s="36" t="s">
        <v>2833</v>
      </c>
      <c r="S714" s="11" t="s">
        <v>1737</v>
      </c>
      <c r="T714" s="11">
        <v>1389.0</v>
      </c>
      <c r="U714" s="11"/>
      <c r="V714" s="11"/>
      <c r="W714" s="23">
        <v>31778.0</v>
      </c>
      <c r="X714" s="11" t="s">
        <v>1738</v>
      </c>
      <c r="AO714" s="5" t="s">
        <v>2833</v>
      </c>
      <c r="AP714" s="5">
        <v>388.0</v>
      </c>
      <c r="AQ714" s="5" t="s">
        <v>1700</v>
      </c>
      <c r="AR714" s="5" t="s">
        <v>1739</v>
      </c>
      <c r="AS714" s="5" t="s">
        <v>1740</v>
      </c>
      <c r="AT714" s="5" t="s">
        <v>1741</v>
      </c>
      <c r="AU714" s="5" t="s">
        <v>1959</v>
      </c>
      <c r="AV714" s="5" t="s">
        <v>1720</v>
      </c>
      <c r="AW714" s="5" t="s">
        <v>2368</v>
      </c>
      <c r="AX714" s="5" t="s">
        <v>2522</v>
      </c>
      <c r="AY714" s="5">
        <v>49.96</v>
      </c>
      <c r="AZ714" s="5">
        <v>-118.626</v>
      </c>
      <c r="BA714" s="5">
        <v>1389.0</v>
      </c>
    </row>
    <row r="715" ht="14.25" customHeight="1">
      <c r="B715" s="5">
        <v>12.0</v>
      </c>
      <c r="C715" s="5" t="s">
        <v>1711</v>
      </c>
      <c r="D715" s="5">
        <v>389.0</v>
      </c>
      <c r="E715" s="5">
        <v>1932.0</v>
      </c>
      <c r="F715" s="18" t="s">
        <v>2834</v>
      </c>
      <c r="G715" s="5" t="s">
        <v>2835</v>
      </c>
      <c r="H715" s="5" t="s">
        <v>2836</v>
      </c>
      <c r="I715" s="5" t="s">
        <v>641</v>
      </c>
      <c r="J715" s="5" t="s">
        <v>1715</v>
      </c>
      <c r="K715" s="5">
        <v>1.0</v>
      </c>
      <c r="L715" s="5">
        <v>2335.0</v>
      </c>
      <c r="M715" s="8"/>
      <c r="AO715" s="5" t="s">
        <v>2834</v>
      </c>
      <c r="AP715" s="5">
        <v>389.0</v>
      </c>
      <c r="AQ715" s="5" t="s">
        <v>1716</v>
      </c>
      <c r="AR715" s="5" t="s">
        <v>1717</v>
      </c>
      <c r="AS715" s="5" t="s">
        <v>1718</v>
      </c>
      <c r="AT715" s="5" t="s">
        <v>1703</v>
      </c>
      <c r="AU715" s="5" t="s">
        <v>1703</v>
      </c>
      <c r="AV715" s="5" t="s">
        <v>1720</v>
      </c>
      <c r="AW715" s="5" t="s">
        <v>2698</v>
      </c>
      <c r="AX715" s="5" t="s">
        <v>2801</v>
      </c>
      <c r="AY715" s="5">
        <v>50.2533</v>
      </c>
      <c r="AZ715" s="5">
        <v>-116.8967</v>
      </c>
      <c r="BA715" s="5">
        <v>2259.0</v>
      </c>
    </row>
    <row r="716" ht="14.25" customHeight="1">
      <c r="A716" s="5" t="s">
        <v>88</v>
      </c>
      <c r="B716" s="5">
        <v>12.0</v>
      </c>
      <c r="C716" s="5" t="s">
        <v>1711</v>
      </c>
      <c r="D716" s="5">
        <v>390.0</v>
      </c>
      <c r="E716" s="5">
        <v>1933.0</v>
      </c>
      <c r="F716" s="5" t="s">
        <v>2837</v>
      </c>
      <c r="G716" s="10" t="s">
        <v>2838</v>
      </c>
      <c r="H716" s="5" t="s">
        <v>2839</v>
      </c>
      <c r="I716" s="5" t="s">
        <v>641</v>
      </c>
      <c r="J716" s="5" t="s">
        <v>1736</v>
      </c>
      <c r="K716" s="5">
        <v>1.0</v>
      </c>
      <c r="L716" s="5">
        <v>2336.0</v>
      </c>
      <c r="M716" s="8">
        <v>49.457</v>
      </c>
      <c r="N716" s="11">
        <v>-119.08833</v>
      </c>
      <c r="O716" s="11" t="s">
        <v>142</v>
      </c>
      <c r="P716" s="11">
        <v>390.0</v>
      </c>
      <c r="Q716" s="22">
        <v>2.0</v>
      </c>
      <c r="R716" s="11" t="s">
        <v>2837</v>
      </c>
      <c r="S716" s="11" t="s">
        <v>1737</v>
      </c>
      <c r="T716" s="11">
        <v>807.0</v>
      </c>
      <c r="U716" s="11" t="s">
        <v>645</v>
      </c>
      <c r="V716" s="11"/>
      <c r="W716" s="23">
        <v>25569.0</v>
      </c>
      <c r="X716" s="11" t="s">
        <v>1738</v>
      </c>
      <c r="AO716" s="5" t="s">
        <v>2837</v>
      </c>
      <c r="AP716" s="5">
        <v>390.0</v>
      </c>
      <c r="AQ716" s="5" t="s">
        <v>1700</v>
      </c>
      <c r="AR716" s="5" t="s">
        <v>1739</v>
      </c>
      <c r="AS716" s="5" t="s">
        <v>1740</v>
      </c>
      <c r="AT716" s="5" t="s">
        <v>1741</v>
      </c>
      <c r="AU716" s="5" t="s">
        <v>1772</v>
      </c>
      <c r="AV716" s="5" t="s">
        <v>1720</v>
      </c>
      <c r="AW716" s="5" t="s">
        <v>2698</v>
      </c>
      <c r="AX716" s="5" t="s">
        <v>2827</v>
      </c>
      <c r="AY716" s="5">
        <v>49.4564</v>
      </c>
      <c r="AZ716" s="5">
        <v>-119.0886</v>
      </c>
      <c r="BA716" s="5">
        <v>807.0</v>
      </c>
    </row>
    <row r="717" ht="14.25" customHeight="1">
      <c r="A717" s="5" t="s">
        <v>2037</v>
      </c>
      <c r="B717" s="5">
        <v>12.0</v>
      </c>
      <c r="C717" s="5" t="s">
        <v>1711</v>
      </c>
      <c r="D717" s="5">
        <v>391.0</v>
      </c>
      <c r="E717" s="5">
        <v>1934.0</v>
      </c>
      <c r="F717" s="10" t="s">
        <v>2840</v>
      </c>
      <c r="G717" s="5" t="s">
        <v>2841</v>
      </c>
      <c r="H717" s="5" t="s">
        <v>2842</v>
      </c>
      <c r="I717" s="5" t="s">
        <v>641</v>
      </c>
      <c r="J717" s="5" t="s">
        <v>1736</v>
      </c>
      <c r="K717" s="5">
        <v>1.0</v>
      </c>
      <c r="L717" s="5">
        <v>2337.0</v>
      </c>
      <c r="M717" s="8">
        <v>49.43283</v>
      </c>
      <c r="N717" s="11">
        <v>-118.57833</v>
      </c>
      <c r="O717" s="11" t="s">
        <v>170</v>
      </c>
      <c r="P717" s="16">
        <v>391.0</v>
      </c>
      <c r="Q717" s="22">
        <v>3.0</v>
      </c>
      <c r="R717" s="11" t="s">
        <v>2843</v>
      </c>
      <c r="S717" s="11" t="s">
        <v>1737</v>
      </c>
      <c r="T717" s="11">
        <v>1338.0</v>
      </c>
      <c r="U717" s="11"/>
      <c r="V717" s="11"/>
      <c r="W717" s="23">
        <v>29221.0</v>
      </c>
      <c r="X717" s="11" t="s">
        <v>1738</v>
      </c>
      <c r="AO717" s="5" t="s">
        <v>2843</v>
      </c>
      <c r="AP717" s="5">
        <v>391.0</v>
      </c>
      <c r="AQ717" s="5" t="s">
        <v>1716</v>
      </c>
      <c r="AR717" s="5" t="s">
        <v>1739</v>
      </c>
      <c r="AS717" s="5" t="s">
        <v>1740</v>
      </c>
      <c r="AT717" s="5" t="s">
        <v>1741</v>
      </c>
      <c r="AU717" s="5" t="s">
        <v>1742</v>
      </c>
      <c r="AV717" s="5" t="s">
        <v>1720</v>
      </c>
      <c r="AW717" s="5" t="s">
        <v>2698</v>
      </c>
      <c r="AX717" s="5" t="s">
        <v>2827</v>
      </c>
      <c r="AY717" s="5">
        <v>49.4328</v>
      </c>
      <c r="AZ717" s="5">
        <v>-118.5783</v>
      </c>
      <c r="BA717" s="5">
        <v>1338.0</v>
      </c>
    </row>
    <row r="718" ht="14.25" customHeight="1">
      <c r="B718" s="5">
        <v>12.0</v>
      </c>
      <c r="C718" s="5" t="s">
        <v>1711</v>
      </c>
      <c r="D718" s="5">
        <v>392.0</v>
      </c>
      <c r="E718" s="5">
        <v>1935.0</v>
      </c>
      <c r="F718" s="5" t="s">
        <v>2844</v>
      </c>
      <c r="G718" s="5" t="s">
        <v>2845</v>
      </c>
      <c r="H718" s="5" t="s">
        <v>2846</v>
      </c>
      <c r="I718" s="5" t="s">
        <v>641</v>
      </c>
      <c r="J718" s="5" t="s">
        <v>1736</v>
      </c>
      <c r="K718" s="5">
        <v>1.0</v>
      </c>
      <c r="L718" s="5">
        <v>2338.0</v>
      </c>
      <c r="M718" s="8">
        <v>49.0307</v>
      </c>
      <c r="N718" s="11">
        <v>-118.4156</v>
      </c>
      <c r="O718" s="11" t="s">
        <v>142</v>
      </c>
      <c r="P718" s="11">
        <v>392.0</v>
      </c>
      <c r="Q718" s="22">
        <v>1.0</v>
      </c>
      <c r="R718" s="11" t="s">
        <v>2844</v>
      </c>
      <c r="S718" s="11" t="s">
        <v>1737</v>
      </c>
      <c r="T718" s="11">
        <v>630.0</v>
      </c>
      <c r="U718" s="11"/>
      <c r="V718" s="11"/>
      <c r="W718" s="23">
        <v>29587.0</v>
      </c>
      <c r="X718" s="11" t="s">
        <v>1738</v>
      </c>
      <c r="AO718" s="5" t="s">
        <v>2844</v>
      </c>
      <c r="AP718" s="5">
        <v>392.0</v>
      </c>
      <c r="AQ718" s="5" t="s">
        <v>1700</v>
      </c>
      <c r="AR718" s="5" t="s">
        <v>1739</v>
      </c>
      <c r="AS718" s="5" t="s">
        <v>1740</v>
      </c>
      <c r="AT718" s="5" t="s">
        <v>1741</v>
      </c>
      <c r="AU718" s="5" t="s">
        <v>1772</v>
      </c>
      <c r="AV718" s="5" t="s">
        <v>1720</v>
      </c>
      <c r="AW718" s="5" t="s">
        <v>2698</v>
      </c>
      <c r="AX718" s="5" t="s">
        <v>2827</v>
      </c>
      <c r="AY718" s="5">
        <v>49.0307</v>
      </c>
      <c r="AZ718" s="5">
        <v>-118.4156</v>
      </c>
      <c r="BA718" s="5">
        <v>630.0</v>
      </c>
    </row>
    <row r="719" ht="14.25" customHeight="1">
      <c r="B719" s="5">
        <v>12.0</v>
      </c>
      <c r="C719" s="5" t="s">
        <v>1711</v>
      </c>
      <c r="D719" s="5">
        <v>393.0</v>
      </c>
      <c r="E719" s="5">
        <v>1936.0</v>
      </c>
      <c r="F719" s="5" t="s">
        <v>2847</v>
      </c>
      <c r="G719" s="5" t="s">
        <v>2848</v>
      </c>
      <c r="H719" s="5" t="s">
        <v>2849</v>
      </c>
      <c r="I719" s="5" t="s">
        <v>641</v>
      </c>
      <c r="J719" s="5" t="s">
        <v>1865</v>
      </c>
      <c r="K719" s="5">
        <v>1.0</v>
      </c>
      <c r="L719" s="5">
        <v>2339.0</v>
      </c>
      <c r="M719" s="8">
        <v>49.52667</v>
      </c>
      <c r="N719" s="11">
        <v>-118.36033</v>
      </c>
      <c r="O719" s="11" t="s">
        <v>170</v>
      </c>
      <c r="P719" s="11">
        <v>393.0</v>
      </c>
      <c r="Q719" s="22">
        <v>1.0</v>
      </c>
      <c r="R719" s="11" t="s">
        <v>2847</v>
      </c>
      <c r="S719" s="11" t="s">
        <v>1737</v>
      </c>
      <c r="T719" s="11">
        <v>866.0</v>
      </c>
      <c r="U719" s="11"/>
      <c r="V719" s="11"/>
      <c r="W719" s="23">
        <v>29587.0</v>
      </c>
      <c r="X719" s="11" t="s">
        <v>1738</v>
      </c>
      <c r="AO719" s="5" t="s">
        <v>2847</v>
      </c>
      <c r="AP719" s="5">
        <v>393.0</v>
      </c>
      <c r="AQ719" s="5" t="s">
        <v>1716</v>
      </c>
      <c r="AR719" s="5" t="s">
        <v>1739</v>
      </c>
      <c r="AS719" s="5" t="s">
        <v>1740</v>
      </c>
      <c r="AT719" s="5" t="s">
        <v>1741</v>
      </c>
      <c r="AU719" s="5" t="s">
        <v>1742</v>
      </c>
      <c r="AV719" s="5" t="s">
        <v>1720</v>
      </c>
      <c r="AW719" s="5" t="s">
        <v>2698</v>
      </c>
      <c r="AX719" s="5" t="s">
        <v>2827</v>
      </c>
      <c r="AY719" s="5">
        <v>49.5267</v>
      </c>
      <c r="AZ719" s="5">
        <v>-118.3603</v>
      </c>
      <c r="BA719" s="5">
        <v>866.0</v>
      </c>
    </row>
    <row r="720" ht="14.25" customHeight="1">
      <c r="B720" s="5">
        <v>12.0</v>
      </c>
      <c r="C720" s="5" t="s">
        <v>1711</v>
      </c>
      <c r="D720" s="5">
        <v>394.0</v>
      </c>
      <c r="E720" s="5">
        <v>1937.0</v>
      </c>
      <c r="F720" s="5" t="s">
        <v>2850</v>
      </c>
      <c r="G720" s="5" t="s">
        <v>2851</v>
      </c>
      <c r="H720" s="5" t="s">
        <v>2852</v>
      </c>
      <c r="I720" s="5" t="s">
        <v>641</v>
      </c>
      <c r="J720" s="5" t="s">
        <v>1736</v>
      </c>
      <c r="K720" s="5">
        <v>1.0</v>
      </c>
      <c r="L720" s="5">
        <v>2340.0</v>
      </c>
      <c r="M720" s="8">
        <v>49.052</v>
      </c>
      <c r="N720" s="5">
        <v>-118.93667</v>
      </c>
      <c r="O720" s="5" t="s">
        <v>142</v>
      </c>
      <c r="P720" s="5">
        <v>394.0</v>
      </c>
      <c r="Q720" s="5">
        <v>1.0</v>
      </c>
      <c r="R720" s="5" t="s">
        <v>2850</v>
      </c>
      <c r="S720" s="5" t="s">
        <v>1737</v>
      </c>
      <c r="T720" s="5">
        <v>609.0</v>
      </c>
      <c r="U720" s="5" t="s">
        <v>645</v>
      </c>
      <c r="W720" s="5">
        <v>32874.0</v>
      </c>
      <c r="X720" s="5" t="s">
        <v>1738</v>
      </c>
      <c r="AO720" s="5" t="s">
        <v>2850</v>
      </c>
      <c r="AP720" s="5">
        <v>394.0</v>
      </c>
      <c r="AQ720" s="5" t="s">
        <v>1700</v>
      </c>
      <c r="AR720" s="5" t="s">
        <v>1739</v>
      </c>
      <c r="AS720" s="5" t="s">
        <v>1740</v>
      </c>
      <c r="AT720" s="5" t="s">
        <v>1741</v>
      </c>
      <c r="AU720" s="5" t="s">
        <v>1772</v>
      </c>
      <c r="AV720" s="5" t="s">
        <v>1720</v>
      </c>
      <c r="AW720" s="5" t="s">
        <v>2698</v>
      </c>
      <c r="AX720" s="5" t="s">
        <v>2827</v>
      </c>
      <c r="AY720" s="5">
        <v>49.052</v>
      </c>
      <c r="AZ720" s="5">
        <v>-118.9367</v>
      </c>
      <c r="BA720" s="5">
        <v>609.0</v>
      </c>
    </row>
    <row r="721" ht="14.25" customHeight="1">
      <c r="A721" s="5" t="s">
        <v>422</v>
      </c>
      <c r="B721" s="5">
        <v>12.0</v>
      </c>
      <c r="C721" s="5" t="s">
        <v>2129</v>
      </c>
      <c r="D721" s="5">
        <v>395.0</v>
      </c>
      <c r="E721" s="5">
        <v>12972.0</v>
      </c>
      <c r="F721" s="51" t="s">
        <v>2853</v>
      </c>
      <c r="G721" s="5" t="s">
        <v>127</v>
      </c>
      <c r="H721" s="5" t="s">
        <v>1697</v>
      </c>
      <c r="I721" s="5" t="s">
        <v>49</v>
      </c>
      <c r="J721" s="5" t="s">
        <v>1698</v>
      </c>
      <c r="K721" s="5">
        <v>1.0</v>
      </c>
      <c r="L721" s="5">
        <v>14904.0</v>
      </c>
      <c r="M721" s="8"/>
      <c r="AO721" s="50" t="s">
        <v>2854</v>
      </c>
      <c r="AP721" s="50">
        <v>395.0</v>
      </c>
      <c r="AQ721" s="50" t="s">
        <v>1700</v>
      </c>
      <c r="AR721" s="50" t="s">
        <v>1701</v>
      </c>
      <c r="AS721" s="50" t="s">
        <v>1702</v>
      </c>
      <c r="AT721" s="50" t="s">
        <v>1703</v>
      </c>
      <c r="AU721" s="50" t="s">
        <v>1704</v>
      </c>
      <c r="AV721" s="50" t="s">
        <v>1702</v>
      </c>
      <c r="AW721" s="50" t="s">
        <v>2698</v>
      </c>
      <c r="AX721" s="50" t="s">
        <v>2797</v>
      </c>
      <c r="AY721" s="50">
        <v>49.3</v>
      </c>
      <c r="AZ721" s="50">
        <v>-117.6</v>
      </c>
      <c r="BA721" s="50">
        <v>495.0</v>
      </c>
    </row>
    <row r="722" ht="14.25" customHeight="1">
      <c r="B722" s="5">
        <v>12.0</v>
      </c>
      <c r="C722" s="5" t="s">
        <v>1711</v>
      </c>
      <c r="D722" s="5">
        <v>396.0</v>
      </c>
      <c r="E722" s="5">
        <v>1938.0</v>
      </c>
      <c r="F722" s="5" t="s">
        <v>2855</v>
      </c>
      <c r="G722" s="5" t="s">
        <v>2856</v>
      </c>
      <c r="H722" s="5" t="s">
        <v>2857</v>
      </c>
      <c r="I722" s="5" t="s">
        <v>641</v>
      </c>
      <c r="J722" s="5" t="s">
        <v>1865</v>
      </c>
      <c r="K722" s="5">
        <v>1.0</v>
      </c>
      <c r="L722" s="5">
        <v>2341.0</v>
      </c>
      <c r="M722" s="8">
        <v>49.699</v>
      </c>
      <c r="N722" s="5">
        <v>-118.081</v>
      </c>
      <c r="O722" s="5" t="s">
        <v>170</v>
      </c>
      <c r="P722" s="5">
        <v>396.0</v>
      </c>
      <c r="Q722" s="5">
        <v>4.0</v>
      </c>
      <c r="R722" s="5" t="s">
        <v>2855</v>
      </c>
      <c r="S722" s="5" t="s">
        <v>1737</v>
      </c>
      <c r="T722" s="5">
        <v>1432.0</v>
      </c>
      <c r="W722" s="5">
        <v>36526.0</v>
      </c>
      <c r="X722" s="5" t="s">
        <v>1738</v>
      </c>
      <c r="AO722" s="5" t="s">
        <v>2855</v>
      </c>
      <c r="AP722" s="5">
        <v>396.0</v>
      </c>
      <c r="AQ722" s="5" t="s">
        <v>1716</v>
      </c>
      <c r="AR722" s="5" t="s">
        <v>1739</v>
      </c>
      <c r="AS722" s="5" t="s">
        <v>1740</v>
      </c>
      <c r="AT722" s="5" t="s">
        <v>1741</v>
      </c>
      <c r="AU722" s="5" t="s">
        <v>1742</v>
      </c>
      <c r="AV722" s="5" t="s">
        <v>1720</v>
      </c>
      <c r="AW722" s="5" t="s">
        <v>2698</v>
      </c>
      <c r="AX722" s="5" t="s">
        <v>2797</v>
      </c>
      <c r="AY722" s="5">
        <v>49.699</v>
      </c>
      <c r="AZ722" s="5">
        <v>-118.081</v>
      </c>
      <c r="BA722" s="5">
        <v>1432.0</v>
      </c>
    </row>
    <row r="723" ht="14.25" customHeight="1">
      <c r="B723" s="5">
        <v>12.0</v>
      </c>
      <c r="C723" s="5" t="s">
        <v>1711</v>
      </c>
      <c r="D723" s="5">
        <v>397.0</v>
      </c>
      <c r="E723" s="5">
        <v>1939.0</v>
      </c>
      <c r="F723" s="18" t="s">
        <v>2858</v>
      </c>
      <c r="G723" s="5" t="s">
        <v>2859</v>
      </c>
      <c r="H723" s="5" t="s">
        <v>1900</v>
      </c>
      <c r="I723" s="5" t="s">
        <v>1664</v>
      </c>
      <c r="J723" s="5" t="s">
        <v>1715</v>
      </c>
      <c r="K723" s="5">
        <v>1.0</v>
      </c>
      <c r="L723" s="5">
        <v>2342.0</v>
      </c>
      <c r="M723" s="8"/>
      <c r="AO723" s="5" t="s">
        <v>2858</v>
      </c>
      <c r="AP723" s="5">
        <v>397.0</v>
      </c>
      <c r="AQ723" s="5" t="s">
        <v>1716</v>
      </c>
      <c r="AR723" s="5" t="s">
        <v>1717</v>
      </c>
      <c r="AS723" s="5" t="s">
        <v>1718</v>
      </c>
      <c r="AT723" s="5" t="s">
        <v>1719</v>
      </c>
      <c r="AU723" s="5" t="s">
        <v>1703</v>
      </c>
      <c r="AV723" s="5" t="s">
        <v>1720</v>
      </c>
      <c r="AW723" s="5" t="s">
        <v>2698</v>
      </c>
      <c r="AY723" s="5">
        <v>49.0</v>
      </c>
      <c r="AZ723" s="5">
        <v>-117.3</v>
      </c>
      <c r="BA723" s="5">
        <v>0.0</v>
      </c>
    </row>
    <row r="724" ht="14.25" customHeight="1">
      <c r="A724" s="5" t="s">
        <v>2037</v>
      </c>
      <c r="B724" s="5">
        <v>12.0</v>
      </c>
      <c r="C724" s="5" t="s">
        <v>1711</v>
      </c>
      <c r="D724" s="5">
        <v>398.0</v>
      </c>
      <c r="E724" s="5">
        <v>1940.0</v>
      </c>
      <c r="F724" s="5" t="s">
        <v>2860</v>
      </c>
      <c r="G724" s="5" t="s">
        <v>2861</v>
      </c>
      <c r="H724" s="5" t="s">
        <v>2862</v>
      </c>
      <c r="I724" s="5" t="s">
        <v>641</v>
      </c>
      <c r="J724" s="5" t="s">
        <v>1715</v>
      </c>
      <c r="K724" s="5">
        <v>1.0</v>
      </c>
      <c r="L724" s="5">
        <v>2343.0</v>
      </c>
      <c r="M724" s="8"/>
      <c r="N724" s="11"/>
      <c r="O724" s="11"/>
      <c r="P724" s="11"/>
      <c r="Q724" s="22"/>
      <c r="R724" s="11"/>
      <c r="S724" s="11"/>
      <c r="T724" s="11"/>
      <c r="U724" s="11"/>
      <c r="V724" s="11"/>
      <c r="W724" s="60"/>
      <c r="X724" s="11"/>
      <c r="AO724" s="5" t="s">
        <v>2863</v>
      </c>
      <c r="AP724" s="5">
        <v>398.0</v>
      </c>
      <c r="AQ724" s="5" t="s">
        <v>1716</v>
      </c>
      <c r="AR724" s="5" t="s">
        <v>1717</v>
      </c>
      <c r="AS724" s="5" t="s">
        <v>1718</v>
      </c>
      <c r="AT724" s="5" t="s">
        <v>1835</v>
      </c>
      <c r="AU724" s="5" t="s">
        <v>1836</v>
      </c>
      <c r="AV724" s="5" t="s">
        <v>1720</v>
      </c>
      <c r="AW724" s="5" t="s">
        <v>2698</v>
      </c>
      <c r="AX724" s="5" t="s">
        <v>2801</v>
      </c>
      <c r="AY724" s="5">
        <v>49.038</v>
      </c>
      <c r="AZ724" s="5">
        <v>-116.4958</v>
      </c>
      <c r="BA724" s="5">
        <v>683.0</v>
      </c>
    </row>
    <row r="725" ht="14.25" customHeight="1">
      <c r="B725" s="5">
        <v>12.0</v>
      </c>
      <c r="C725" s="5" t="s">
        <v>1711</v>
      </c>
      <c r="D725" s="5">
        <v>399.0</v>
      </c>
      <c r="E725" s="5">
        <v>1941.0</v>
      </c>
      <c r="F725" s="18" t="s">
        <v>2864</v>
      </c>
      <c r="G725" s="5" t="s">
        <v>2865</v>
      </c>
      <c r="H725" s="5" t="s">
        <v>2866</v>
      </c>
      <c r="I725" s="5" t="s">
        <v>1664</v>
      </c>
      <c r="J725" s="5" t="s">
        <v>1746</v>
      </c>
      <c r="K725" s="5">
        <v>1.0</v>
      </c>
      <c r="L725" s="5">
        <v>2344.0</v>
      </c>
      <c r="M725" s="8"/>
      <c r="AO725" s="5" t="s">
        <v>2864</v>
      </c>
      <c r="AP725" s="5">
        <v>399.0</v>
      </c>
      <c r="AQ725" s="5" t="s">
        <v>1716</v>
      </c>
      <c r="AR725" s="5" t="s">
        <v>1717</v>
      </c>
      <c r="AS725" s="5" t="s">
        <v>1718</v>
      </c>
      <c r="AT725" s="5" t="s">
        <v>1719</v>
      </c>
      <c r="AU725" s="5" t="s">
        <v>1703</v>
      </c>
      <c r="AV725" s="5" t="s">
        <v>1720</v>
      </c>
      <c r="AW725" s="5" t="s">
        <v>2698</v>
      </c>
      <c r="AX725" s="5" t="s">
        <v>2801</v>
      </c>
      <c r="AY725" s="5">
        <v>49.6</v>
      </c>
      <c r="AZ725" s="5">
        <v>-117.0</v>
      </c>
      <c r="BA725" s="5">
        <v>0.0</v>
      </c>
    </row>
    <row r="726" ht="14.25" customHeight="1">
      <c r="B726" s="5">
        <v>12.0</v>
      </c>
      <c r="C726" s="5" t="s">
        <v>1711</v>
      </c>
      <c r="D726" s="5">
        <v>400.0</v>
      </c>
      <c r="E726" s="5">
        <v>1942.0</v>
      </c>
      <c r="F726" s="18" t="s">
        <v>2867</v>
      </c>
      <c r="G726" s="5" t="s">
        <v>2868</v>
      </c>
      <c r="H726" s="5" t="s">
        <v>2869</v>
      </c>
      <c r="I726" s="5" t="s">
        <v>1664</v>
      </c>
      <c r="J726" s="5" t="s">
        <v>1715</v>
      </c>
      <c r="K726" s="5">
        <v>1.0</v>
      </c>
      <c r="L726" s="5">
        <v>2345.0</v>
      </c>
      <c r="M726" s="8"/>
      <c r="AO726" s="5" t="s">
        <v>2867</v>
      </c>
      <c r="AP726" s="5">
        <v>400.0</v>
      </c>
      <c r="AQ726" s="5" t="s">
        <v>1716</v>
      </c>
      <c r="AR726" s="5" t="s">
        <v>1717</v>
      </c>
      <c r="AS726" s="5" t="s">
        <v>1718</v>
      </c>
      <c r="AT726" s="5" t="s">
        <v>1719</v>
      </c>
      <c r="AU726" s="5" t="s">
        <v>1703</v>
      </c>
      <c r="AV726" s="5" t="s">
        <v>1720</v>
      </c>
      <c r="AW726" s="5" t="s">
        <v>2698</v>
      </c>
      <c r="AX726" s="5" t="s">
        <v>2801</v>
      </c>
      <c r="AY726" s="5">
        <v>49.6</v>
      </c>
      <c r="AZ726" s="5">
        <v>-117.1</v>
      </c>
      <c r="BA726" s="5">
        <v>0.0</v>
      </c>
    </row>
    <row r="727" ht="14.25" customHeight="1">
      <c r="B727" s="5">
        <v>12.0</v>
      </c>
      <c r="C727" s="5" t="s">
        <v>1711</v>
      </c>
      <c r="D727" s="5">
        <v>401.0</v>
      </c>
      <c r="E727" s="5">
        <v>1943.0</v>
      </c>
      <c r="F727" s="5" t="s">
        <v>1278</v>
      </c>
      <c r="G727" s="5" t="s">
        <v>2870</v>
      </c>
      <c r="H727" s="5" t="s">
        <v>2871</v>
      </c>
      <c r="I727" s="5" t="s">
        <v>641</v>
      </c>
      <c r="J727" s="5" t="s">
        <v>1865</v>
      </c>
      <c r="K727" s="5">
        <v>1.0</v>
      </c>
      <c r="L727" s="5">
        <v>2346.0</v>
      </c>
      <c r="M727" s="64">
        <v>49.12533</v>
      </c>
      <c r="N727" s="36">
        <v>-116.16383</v>
      </c>
      <c r="O727" s="11" t="s">
        <v>170</v>
      </c>
      <c r="P727" s="11">
        <v>401.0</v>
      </c>
      <c r="Q727" s="22">
        <v>2.0</v>
      </c>
      <c r="R727" s="36" t="s">
        <v>1278</v>
      </c>
      <c r="S727" s="11" t="s">
        <v>1737</v>
      </c>
      <c r="T727" s="37">
        <v>1098.0</v>
      </c>
      <c r="U727" s="11"/>
      <c r="V727" s="11"/>
      <c r="W727" s="23">
        <v>31413.0</v>
      </c>
      <c r="X727" s="11" t="s">
        <v>1738</v>
      </c>
      <c r="AO727" s="5" t="s">
        <v>1278</v>
      </c>
      <c r="AP727" s="5">
        <v>401.0</v>
      </c>
      <c r="AQ727" s="5" t="s">
        <v>1700</v>
      </c>
      <c r="AR727" s="5" t="s">
        <v>1739</v>
      </c>
      <c r="AS727" s="5" t="s">
        <v>1740</v>
      </c>
      <c r="AT727" s="5" t="s">
        <v>1741</v>
      </c>
      <c r="AU727" s="5" t="s">
        <v>1959</v>
      </c>
      <c r="AV727" s="5" t="s">
        <v>1720</v>
      </c>
      <c r="AW727" s="5" t="s">
        <v>2698</v>
      </c>
      <c r="AX727" s="5" t="s">
        <v>2801</v>
      </c>
      <c r="AY727" s="5">
        <v>49.1253</v>
      </c>
      <c r="AZ727" s="5">
        <v>-116.1638</v>
      </c>
      <c r="BA727" s="5">
        <v>1098.0</v>
      </c>
    </row>
    <row r="728" ht="14.25" customHeight="1">
      <c r="A728" s="5" t="s">
        <v>88</v>
      </c>
      <c r="B728" s="5">
        <v>12.0</v>
      </c>
      <c r="C728" s="5" t="s">
        <v>1711</v>
      </c>
      <c r="D728" s="5">
        <v>402.0</v>
      </c>
      <c r="E728" s="5">
        <v>1944.0</v>
      </c>
      <c r="F728" s="5" t="s">
        <v>2872</v>
      </c>
      <c r="G728" s="10" t="s">
        <v>2873</v>
      </c>
      <c r="H728" s="5" t="s">
        <v>2750</v>
      </c>
      <c r="I728" s="5" t="s">
        <v>641</v>
      </c>
      <c r="J728" s="5" t="s">
        <v>1865</v>
      </c>
      <c r="K728" s="5">
        <v>1.0</v>
      </c>
      <c r="L728" s="5">
        <v>2347.0</v>
      </c>
      <c r="M728" s="8">
        <v>49.05056</v>
      </c>
      <c r="N728" s="11">
        <v>-117.41389</v>
      </c>
      <c r="O728" s="11" t="s">
        <v>170</v>
      </c>
      <c r="P728" s="11">
        <v>402.0</v>
      </c>
      <c r="Q728" s="22">
        <v>1.0</v>
      </c>
      <c r="R728" s="11" t="s">
        <v>2872</v>
      </c>
      <c r="S728" s="11" t="s">
        <v>1737</v>
      </c>
      <c r="T728" s="11">
        <v>725.0</v>
      </c>
      <c r="U728" s="11"/>
      <c r="V728" s="11"/>
      <c r="W728" s="23">
        <v>31413.0</v>
      </c>
      <c r="X728" s="11" t="s">
        <v>1738</v>
      </c>
      <c r="AO728" s="5" t="s">
        <v>2872</v>
      </c>
      <c r="AP728" s="5">
        <v>402.0</v>
      </c>
      <c r="AQ728" s="5" t="s">
        <v>1716</v>
      </c>
      <c r="AR728" s="5" t="s">
        <v>1739</v>
      </c>
      <c r="AS728" s="5" t="s">
        <v>1740</v>
      </c>
      <c r="AT728" s="5" t="s">
        <v>1741</v>
      </c>
      <c r="AU728" s="5" t="s">
        <v>1742</v>
      </c>
      <c r="AV728" s="5" t="s">
        <v>1720</v>
      </c>
      <c r="AW728" s="5" t="s">
        <v>2698</v>
      </c>
      <c r="AX728" s="5" t="s">
        <v>2797</v>
      </c>
      <c r="AY728" s="5">
        <v>49.0506</v>
      </c>
      <c r="AZ728" s="5">
        <v>-117.4139</v>
      </c>
      <c r="BA728" s="5">
        <v>725.0</v>
      </c>
    </row>
    <row r="729" ht="14.25" customHeight="1">
      <c r="B729" s="5">
        <v>12.0</v>
      </c>
      <c r="C729" s="5" t="s">
        <v>1711</v>
      </c>
      <c r="D729" s="5">
        <v>403.0</v>
      </c>
      <c r="E729" s="5">
        <v>1945.0</v>
      </c>
      <c r="F729" s="18" t="s">
        <v>2874</v>
      </c>
      <c r="G729" s="5" t="s">
        <v>2875</v>
      </c>
      <c r="H729" s="5" t="s">
        <v>2876</v>
      </c>
      <c r="I729" s="5" t="s">
        <v>641</v>
      </c>
      <c r="J729" s="5" t="s">
        <v>1715</v>
      </c>
      <c r="K729" s="5">
        <v>1.0</v>
      </c>
      <c r="L729" s="5">
        <v>2348.0</v>
      </c>
      <c r="M729" s="64"/>
      <c r="N729" s="36"/>
      <c r="R729" s="36"/>
      <c r="T729" s="37"/>
      <c r="AO729" s="5" t="s">
        <v>2874</v>
      </c>
      <c r="AP729" s="5">
        <v>403.0</v>
      </c>
      <c r="AQ729" s="5" t="s">
        <v>1716</v>
      </c>
      <c r="AR729" s="5" t="s">
        <v>1717</v>
      </c>
      <c r="AS729" s="5" t="s">
        <v>1718</v>
      </c>
      <c r="AT729" s="5" t="s">
        <v>1703</v>
      </c>
      <c r="AU729" s="5" t="s">
        <v>1703</v>
      </c>
      <c r="AV729" s="5" t="s">
        <v>1720</v>
      </c>
      <c r="AW729" s="5" t="s">
        <v>2698</v>
      </c>
      <c r="AX729" s="5" t="s">
        <v>2801</v>
      </c>
      <c r="AY729" s="5">
        <v>49.6</v>
      </c>
      <c r="AZ729" s="5">
        <v>-117.3</v>
      </c>
      <c r="BA729" s="5">
        <v>6.0</v>
      </c>
    </row>
    <row r="730" ht="14.25" customHeight="1">
      <c r="B730" s="5">
        <v>12.0</v>
      </c>
      <c r="C730" s="5" t="s">
        <v>1711</v>
      </c>
      <c r="D730" s="5">
        <v>404.0</v>
      </c>
      <c r="E730" s="5">
        <v>1946.0</v>
      </c>
      <c r="F730" s="5" t="s">
        <v>2877</v>
      </c>
      <c r="G730" s="5" t="s">
        <v>2878</v>
      </c>
      <c r="H730" s="5" t="s">
        <v>2879</v>
      </c>
      <c r="I730" s="5" t="s">
        <v>641</v>
      </c>
      <c r="J730" s="5" t="s">
        <v>1736</v>
      </c>
      <c r="K730" s="5">
        <v>1.0</v>
      </c>
      <c r="L730" s="5">
        <v>2349.0</v>
      </c>
      <c r="M730" s="8">
        <v>49.49667</v>
      </c>
      <c r="N730" s="11">
        <v>-117.4475</v>
      </c>
      <c r="O730" s="11" t="s">
        <v>170</v>
      </c>
      <c r="P730" s="11">
        <v>404.0</v>
      </c>
      <c r="Q730" s="22">
        <v>2.0</v>
      </c>
      <c r="R730" s="11" t="s">
        <v>2877</v>
      </c>
      <c r="S730" s="11" t="s">
        <v>1737</v>
      </c>
      <c r="T730" s="11">
        <v>997.0</v>
      </c>
      <c r="U730" s="11" t="s">
        <v>645</v>
      </c>
      <c r="V730" s="11"/>
      <c r="W730" s="23">
        <v>33239.0</v>
      </c>
      <c r="X730" s="11" t="s">
        <v>1738</v>
      </c>
      <c r="AO730" s="5" t="s">
        <v>2877</v>
      </c>
      <c r="AP730" s="5">
        <v>404.0</v>
      </c>
      <c r="AQ730" s="5" t="s">
        <v>1700</v>
      </c>
      <c r="AR730" s="5" t="s">
        <v>1739</v>
      </c>
      <c r="AS730" s="5" t="s">
        <v>1740</v>
      </c>
      <c r="AT730" s="5" t="s">
        <v>1741</v>
      </c>
      <c r="AU730" s="5" t="s">
        <v>1772</v>
      </c>
      <c r="AV730" s="5" t="s">
        <v>1720</v>
      </c>
      <c r="AW730" s="5" t="s">
        <v>2698</v>
      </c>
      <c r="AX730" s="5" t="s">
        <v>2801</v>
      </c>
      <c r="AY730" s="5">
        <v>49.4967</v>
      </c>
      <c r="AZ730" s="5">
        <v>-117.4475</v>
      </c>
      <c r="BA730" s="5">
        <v>997.0</v>
      </c>
    </row>
    <row r="731" ht="14.25" customHeight="1">
      <c r="B731" s="5">
        <v>12.0</v>
      </c>
      <c r="C731" s="5" t="s">
        <v>1711</v>
      </c>
      <c r="D731" s="5">
        <v>405.0</v>
      </c>
      <c r="E731" s="5">
        <v>1947.0</v>
      </c>
      <c r="F731" s="18" t="s">
        <v>2880</v>
      </c>
      <c r="G731" s="5" t="s">
        <v>2881</v>
      </c>
      <c r="H731" s="5" t="s">
        <v>2882</v>
      </c>
      <c r="I731" s="5" t="s">
        <v>641</v>
      </c>
      <c r="J731" s="5" t="s">
        <v>1715</v>
      </c>
      <c r="K731" s="5">
        <v>1.0</v>
      </c>
      <c r="L731" s="5">
        <v>2350.0</v>
      </c>
      <c r="M731" s="64"/>
      <c r="N731" s="36"/>
      <c r="P731" s="36"/>
      <c r="R731" s="36"/>
      <c r="T731" s="37"/>
      <c r="AO731" s="5" t="s">
        <v>2880</v>
      </c>
      <c r="AP731" s="5">
        <v>405.0</v>
      </c>
      <c r="AQ731" s="5" t="s">
        <v>1716</v>
      </c>
      <c r="AR731" s="5" t="s">
        <v>1717</v>
      </c>
      <c r="AS731" s="5" t="s">
        <v>1718</v>
      </c>
      <c r="AT731" s="5" t="s">
        <v>1703</v>
      </c>
      <c r="AU731" s="5" t="s">
        <v>1703</v>
      </c>
      <c r="AV731" s="5" t="s">
        <v>1720</v>
      </c>
      <c r="AW731" s="5" t="s">
        <v>2698</v>
      </c>
      <c r="AX731" s="5" t="s">
        <v>2797</v>
      </c>
      <c r="AY731" s="5">
        <v>49.8</v>
      </c>
      <c r="AZ731" s="5">
        <v>-118.2</v>
      </c>
      <c r="BA731" s="5">
        <v>15.0</v>
      </c>
    </row>
    <row r="732" ht="14.25" customHeight="1">
      <c r="B732" s="5">
        <v>12.0</v>
      </c>
      <c r="C732" s="5" t="s">
        <v>1711</v>
      </c>
      <c r="D732" s="5">
        <v>406.0</v>
      </c>
      <c r="E732" s="5">
        <v>1948.0</v>
      </c>
      <c r="F732" s="5" t="s">
        <v>2883</v>
      </c>
      <c r="G732" s="5" t="s">
        <v>2884</v>
      </c>
      <c r="H732" s="5" t="s">
        <v>2885</v>
      </c>
      <c r="I732" s="5" t="s">
        <v>641</v>
      </c>
      <c r="J732" s="5" t="s">
        <v>1736</v>
      </c>
      <c r="K732" s="5">
        <v>1.0</v>
      </c>
      <c r="L732" s="5">
        <v>2351.0</v>
      </c>
      <c r="M732" s="8">
        <v>49.78467</v>
      </c>
      <c r="N732" s="11">
        <v>-117.44</v>
      </c>
      <c r="O732" s="11" t="s">
        <v>170</v>
      </c>
      <c r="P732" s="11">
        <v>406.0</v>
      </c>
      <c r="Q732" s="22">
        <v>3.0</v>
      </c>
      <c r="R732" s="11" t="s">
        <v>2883</v>
      </c>
      <c r="S732" s="11" t="s">
        <v>1737</v>
      </c>
      <c r="T732" s="11">
        <v>1230.0</v>
      </c>
      <c r="U732" s="11" t="s">
        <v>645</v>
      </c>
      <c r="V732" s="11"/>
      <c r="W732" s="23">
        <v>33604.0</v>
      </c>
      <c r="X732" s="11" t="s">
        <v>1738</v>
      </c>
      <c r="AO732" s="5" t="s">
        <v>2883</v>
      </c>
      <c r="AP732" s="5">
        <v>406.0</v>
      </c>
      <c r="AQ732" s="5" t="s">
        <v>1700</v>
      </c>
      <c r="AR732" s="5" t="s">
        <v>1739</v>
      </c>
      <c r="AS732" s="5" t="s">
        <v>1740</v>
      </c>
      <c r="AT732" s="5" t="s">
        <v>1741</v>
      </c>
      <c r="AU732" s="5" t="s">
        <v>1772</v>
      </c>
      <c r="AV732" s="5" t="s">
        <v>1720</v>
      </c>
      <c r="AW732" s="5" t="s">
        <v>2698</v>
      </c>
      <c r="AX732" s="5" t="s">
        <v>2797</v>
      </c>
      <c r="AY732" s="5">
        <v>49.7847</v>
      </c>
      <c r="AZ732" s="5">
        <v>-117.44</v>
      </c>
      <c r="BA732" s="5">
        <v>1230.0</v>
      </c>
    </row>
    <row r="733" ht="14.25" customHeight="1">
      <c r="B733" s="5">
        <v>12.0</v>
      </c>
      <c r="C733" s="5" t="s">
        <v>1711</v>
      </c>
      <c r="D733" s="5">
        <v>407.0</v>
      </c>
      <c r="E733" s="5">
        <v>1949.0</v>
      </c>
      <c r="F733" s="5" t="s">
        <v>2886</v>
      </c>
      <c r="G733" s="5" t="s">
        <v>2887</v>
      </c>
      <c r="H733" s="5" t="s">
        <v>2888</v>
      </c>
      <c r="I733" s="5" t="s">
        <v>641</v>
      </c>
      <c r="J733" s="5" t="s">
        <v>1736</v>
      </c>
      <c r="K733" s="5">
        <v>1.0</v>
      </c>
      <c r="L733" s="5">
        <v>2352.0</v>
      </c>
      <c r="M733" s="8">
        <v>49.2545</v>
      </c>
      <c r="N733" s="11">
        <v>-117.99417</v>
      </c>
      <c r="O733" s="11" t="s">
        <v>170</v>
      </c>
      <c r="P733" s="11">
        <v>407.0</v>
      </c>
      <c r="Q733" s="22">
        <v>4.0</v>
      </c>
      <c r="R733" s="11" t="s">
        <v>2886</v>
      </c>
      <c r="S733" s="11" t="s">
        <v>1737</v>
      </c>
      <c r="T733" s="11">
        <v>1397.0</v>
      </c>
      <c r="U733" s="11"/>
      <c r="V733" s="11"/>
      <c r="W733" s="23">
        <v>33604.0</v>
      </c>
      <c r="X733" s="11" t="s">
        <v>1738</v>
      </c>
      <c r="AO733" s="5" t="s">
        <v>2886</v>
      </c>
      <c r="AP733" s="5">
        <v>407.0</v>
      </c>
      <c r="AQ733" s="5" t="s">
        <v>1716</v>
      </c>
      <c r="AR733" s="5" t="s">
        <v>1739</v>
      </c>
      <c r="AS733" s="5" t="s">
        <v>1740</v>
      </c>
      <c r="AT733" s="5" t="s">
        <v>1741</v>
      </c>
      <c r="AU733" s="5" t="s">
        <v>1742</v>
      </c>
      <c r="AV733" s="5" t="s">
        <v>1720</v>
      </c>
      <c r="AW733" s="5" t="s">
        <v>2698</v>
      </c>
      <c r="AX733" s="5" t="s">
        <v>2797</v>
      </c>
      <c r="AY733" s="5">
        <v>49.2545</v>
      </c>
      <c r="AZ733" s="5">
        <v>-117.9942</v>
      </c>
      <c r="BA733" s="5">
        <v>1397.0</v>
      </c>
    </row>
    <row r="734" ht="14.25" customHeight="1">
      <c r="B734" s="5">
        <v>12.0</v>
      </c>
      <c r="C734" s="5" t="s">
        <v>1711</v>
      </c>
      <c r="D734" s="5">
        <v>408.0</v>
      </c>
      <c r="E734" s="5">
        <v>1950.0</v>
      </c>
      <c r="F734" s="5" t="s">
        <v>2889</v>
      </c>
      <c r="G734" s="5" t="s">
        <v>2890</v>
      </c>
      <c r="H734" s="5" t="s">
        <v>2891</v>
      </c>
      <c r="I734" s="5" t="s">
        <v>641</v>
      </c>
      <c r="J734" s="5" t="s">
        <v>1865</v>
      </c>
      <c r="K734" s="5">
        <v>1.0</v>
      </c>
      <c r="L734" s="5">
        <v>2353.0</v>
      </c>
      <c r="M734" s="8">
        <v>49.5025</v>
      </c>
      <c r="N734" s="11">
        <v>-117.787</v>
      </c>
      <c r="O734" s="11" t="s">
        <v>170</v>
      </c>
      <c r="P734" s="11">
        <v>408.0</v>
      </c>
      <c r="Q734" s="22">
        <v>8.0</v>
      </c>
      <c r="R734" s="11" t="s">
        <v>2889</v>
      </c>
      <c r="S734" s="11" t="s">
        <v>1737</v>
      </c>
      <c r="T734" s="11">
        <v>2423.0</v>
      </c>
      <c r="U734" s="11"/>
      <c r="V734" s="11"/>
      <c r="W734" s="23">
        <v>33604.0</v>
      </c>
      <c r="X734" s="11" t="s">
        <v>1738</v>
      </c>
      <c r="AO734" s="5" t="s">
        <v>2892</v>
      </c>
      <c r="AP734" s="5">
        <v>408.0</v>
      </c>
      <c r="AQ734" s="5" t="s">
        <v>1700</v>
      </c>
      <c r="AR734" s="5" t="s">
        <v>1701</v>
      </c>
      <c r="AS734" s="5" t="s">
        <v>1740</v>
      </c>
      <c r="AT734" s="5" t="s">
        <v>1835</v>
      </c>
      <c r="AU734" s="5" t="s">
        <v>2489</v>
      </c>
      <c r="AV734" s="5" t="s">
        <v>1720</v>
      </c>
      <c r="AW734" s="5" t="s">
        <v>2698</v>
      </c>
      <c r="AX734" s="5" t="s">
        <v>2797</v>
      </c>
      <c r="AY734" s="5">
        <v>49.5025</v>
      </c>
      <c r="AZ734" s="5">
        <v>-117.787</v>
      </c>
      <c r="BA734" s="5">
        <v>2423.0</v>
      </c>
    </row>
    <row r="735" ht="14.25" customHeight="1">
      <c r="B735" s="5">
        <v>12.0</v>
      </c>
      <c r="C735" s="5" t="s">
        <v>1711</v>
      </c>
      <c r="D735" s="5">
        <v>410.0</v>
      </c>
      <c r="E735" s="5">
        <v>1951.0</v>
      </c>
      <c r="F735" s="18" t="s">
        <v>2893</v>
      </c>
      <c r="G735" s="5" t="s">
        <v>2894</v>
      </c>
      <c r="H735" s="5" t="s">
        <v>2895</v>
      </c>
      <c r="I735" s="5" t="s">
        <v>641</v>
      </c>
      <c r="J735" s="5" t="s">
        <v>1715</v>
      </c>
      <c r="K735" s="5">
        <v>1.0</v>
      </c>
      <c r="L735" s="5">
        <v>2354.0</v>
      </c>
      <c r="M735" s="64"/>
      <c r="N735" s="36"/>
      <c r="P735" s="36"/>
      <c r="R735" s="36"/>
      <c r="T735" s="37"/>
      <c r="AO735" s="5" t="s">
        <v>2893</v>
      </c>
      <c r="AP735" s="5">
        <v>410.0</v>
      </c>
      <c r="AQ735" s="5" t="s">
        <v>1716</v>
      </c>
      <c r="AR735" s="5" t="s">
        <v>1717</v>
      </c>
      <c r="AS735" s="5" t="s">
        <v>1718</v>
      </c>
      <c r="AT735" s="5" t="s">
        <v>1703</v>
      </c>
      <c r="AU735" s="5" t="s">
        <v>1703</v>
      </c>
      <c r="AV735" s="5" t="s">
        <v>1720</v>
      </c>
      <c r="AW735" s="5" t="s">
        <v>2698</v>
      </c>
      <c r="AX735" s="5" t="s">
        <v>2768</v>
      </c>
      <c r="AY735" s="5">
        <v>50.1722</v>
      </c>
      <c r="AZ735" s="5">
        <v>-116.0217</v>
      </c>
      <c r="BA735" s="5">
        <v>1301.0</v>
      </c>
    </row>
    <row r="736" ht="14.25" customHeight="1">
      <c r="A736" s="5" t="s">
        <v>88</v>
      </c>
      <c r="B736" s="5">
        <v>12.0</v>
      </c>
      <c r="C736" s="5" t="s">
        <v>1711</v>
      </c>
      <c r="D736" s="5">
        <v>411.0</v>
      </c>
      <c r="E736" s="5">
        <v>1952.0</v>
      </c>
      <c r="F736" s="5" t="s">
        <v>2896</v>
      </c>
      <c r="G736" s="10" t="s">
        <v>2897</v>
      </c>
      <c r="H736" s="5" t="s">
        <v>2898</v>
      </c>
      <c r="I736" s="5" t="s">
        <v>641</v>
      </c>
      <c r="J736" s="5" t="s">
        <v>1736</v>
      </c>
      <c r="K736" s="5">
        <v>1.0</v>
      </c>
      <c r="L736" s="5">
        <v>2355.0</v>
      </c>
      <c r="M736" s="8">
        <v>50.49461</v>
      </c>
      <c r="N736" s="11">
        <v>-115.66644</v>
      </c>
      <c r="O736" s="11" t="s">
        <v>170</v>
      </c>
      <c r="P736" s="11">
        <v>411.0</v>
      </c>
      <c r="Q736" s="22">
        <v>2.0</v>
      </c>
      <c r="R736" s="11" t="s">
        <v>2896</v>
      </c>
      <c r="S736" s="11" t="s">
        <v>1737</v>
      </c>
      <c r="T736" s="11">
        <v>1100.0</v>
      </c>
      <c r="U736" s="11"/>
      <c r="V736" s="11"/>
      <c r="W736" s="23">
        <v>26665.0</v>
      </c>
      <c r="X736" s="11" t="s">
        <v>1738</v>
      </c>
      <c r="AO736" s="5" t="s">
        <v>2896</v>
      </c>
      <c r="AP736" s="5">
        <v>411.0</v>
      </c>
      <c r="AQ736" s="5" t="s">
        <v>1716</v>
      </c>
      <c r="AR736" s="5" t="s">
        <v>1739</v>
      </c>
      <c r="AS736" s="5" t="s">
        <v>1740</v>
      </c>
      <c r="AT736" s="5" t="s">
        <v>1741</v>
      </c>
      <c r="AU736" s="5" t="s">
        <v>1742</v>
      </c>
      <c r="AV736" s="5" t="s">
        <v>1720</v>
      </c>
      <c r="AW736" s="5" t="s">
        <v>2698</v>
      </c>
      <c r="AX736" s="5" t="s">
        <v>2768</v>
      </c>
      <c r="AY736" s="5">
        <v>50.4946</v>
      </c>
      <c r="AZ736" s="5">
        <v>-115.6664</v>
      </c>
      <c r="BA736" s="5">
        <v>1100.0</v>
      </c>
    </row>
    <row r="737" ht="14.25" customHeight="1">
      <c r="A737" s="5" t="s">
        <v>88</v>
      </c>
      <c r="B737" s="5">
        <v>12.0</v>
      </c>
      <c r="C737" s="5" t="s">
        <v>1711</v>
      </c>
      <c r="D737" s="5">
        <v>412.0</v>
      </c>
      <c r="E737" s="5">
        <v>1953.0</v>
      </c>
      <c r="F737" s="5" t="s">
        <v>2899</v>
      </c>
      <c r="G737" s="10" t="s">
        <v>2900</v>
      </c>
      <c r="H737" s="5" t="s">
        <v>2901</v>
      </c>
      <c r="I737" s="5" t="s">
        <v>641</v>
      </c>
      <c r="J737" s="5" t="s">
        <v>1865</v>
      </c>
      <c r="K737" s="5">
        <v>1.0</v>
      </c>
      <c r="L737" s="5">
        <v>2356.0</v>
      </c>
      <c r="M737" s="64">
        <v>49.28767</v>
      </c>
      <c r="N737" s="36">
        <v>-115.15456</v>
      </c>
      <c r="O737" s="11" t="s">
        <v>170</v>
      </c>
      <c r="P737" s="11">
        <v>412.0</v>
      </c>
      <c r="Q737" s="22">
        <v>1.0</v>
      </c>
      <c r="R737" s="36" t="s">
        <v>2899</v>
      </c>
      <c r="S737" s="11" t="s">
        <v>1737</v>
      </c>
      <c r="T737" s="37">
        <v>775.0</v>
      </c>
      <c r="U737" s="11"/>
      <c r="V737" s="11"/>
      <c r="W737" s="23">
        <v>35431.0</v>
      </c>
      <c r="X737" s="11" t="s">
        <v>1738</v>
      </c>
      <c r="AO737" s="5" t="s">
        <v>2899</v>
      </c>
      <c r="AP737" s="5">
        <v>412.0</v>
      </c>
      <c r="AQ737" s="5" t="s">
        <v>1700</v>
      </c>
      <c r="AR737" s="5" t="s">
        <v>1739</v>
      </c>
      <c r="AS737" s="5" t="s">
        <v>1740</v>
      </c>
      <c r="AT737" s="5" t="s">
        <v>1741</v>
      </c>
      <c r="AU737" s="5" t="s">
        <v>1959</v>
      </c>
      <c r="AV737" s="5" t="s">
        <v>1720</v>
      </c>
      <c r="AW737" s="5" t="s">
        <v>2698</v>
      </c>
      <c r="AX737" s="5" t="s">
        <v>2902</v>
      </c>
      <c r="AY737" s="5">
        <v>49.2876</v>
      </c>
      <c r="AZ737" s="5">
        <v>-115.1545</v>
      </c>
      <c r="BA737" s="5">
        <v>876.0</v>
      </c>
    </row>
    <row r="738" ht="14.25" customHeight="1">
      <c r="B738" s="5">
        <v>12.0</v>
      </c>
      <c r="C738" s="5" t="s">
        <v>1711</v>
      </c>
      <c r="D738" s="5">
        <v>413.0</v>
      </c>
      <c r="E738" s="5">
        <v>1954.0</v>
      </c>
      <c r="F738" s="18" t="s">
        <v>2903</v>
      </c>
      <c r="G738" s="5" t="s">
        <v>2904</v>
      </c>
      <c r="H738" s="5" t="s">
        <v>1714</v>
      </c>
      <c r="I738" s="5" t="s">
        <v>1664</v>
      </c>
      <c r="J738" s="5" t="s">
        <v>1715</v>
      </c>
      <c r="K738" s="5">
        <v>1.0</v>
      </c>
      <c r="L738" s="5">
        <v>2357.0</v>
      </c>
      <c r="M738" s="8"/>
      <c r="AO738" s="5" t="s">
        <v>2903</v>
      </c>
      <c r="AP738" s="5">
        <v>413.0</v>
      </c>
      <c r="AQ738" s="5" t="s">
        <v>1716</v>
      </c>
      <c r="AR738" s="5" t="s">
        <v>1717</v>
      </c>
      <c r="AS738" s="5" t="s">
        <v>1718</v>
      </c>
      <c r="AT738" s="5" t="s">
        <v>1719</v>
      </c>
      <c r="AU738" s="5" t="s">
        <v>1703</v>
      </c>
      <c r="AV738" s="5" t="s">
        <v>1720</v>
      </c>
      <c r="AW738" s="5" t="s">
        <v>2698</v>
      </c>
      <c r="AX738" s="5" t="s">
        <v>2768</v>
      </c>
      <c r="AY738" s="5">
        <v>50.5</v>
      </c>
      <c r="AZ738" s="5">
        <v>-116.0</v>
      </c>
      <c r="BA738" s="5">
        <v>0.0</v>
      </c>
    </row>
    <row r="739" ht="14.25" customHeight="1">
      <c r="B739" s="5">
        <v>12.0</v>
      </c>
      <c r="C739" s="5" t="s">
        <v>1711</v>
      </c>
      <c r="D739" s="5">
        <v>414.0</v>
      </c>
      <c r="E739" s="5">
        <v>1955.0</v>
      </c>
      <c r="F739" s="18" t="s">
        <v>2905</v>
      </c>
      <c r="G739" s="5" t="s">
        <v>2906</v>
      </c>
      <c r="H739" s="5" t="s">
        <v>2907</v>
      </c>
      <c r="I739" s="5" t="s">
        <v>1664</v>
      </c>
      <c r="J739" s="5" t="s">
        <v>1715</v>
      </c>
      <c r="K739" s="5">
        <v>1.0</v>
      </c>
      <c r="L739" s="5">
        <v>2358.0</v>
      </c>
      <c r="M739" s="64"/>
      <c r="N739" s="36"/>
      <c r="R739" s="36"/>
      <c r="T739" s="37"/>
      <c r="AO739" s="5" t="s">
        <v>2905</v>
      </c>
      <c r="AP739" s="5">
        <v>414.0</v>
      </c>
      <c r="AQ739" s="5" t="s">
        <v>1716</v>
      </c>
      <c r="AR739" s="5" t="s">
        <v>1717</v>
      </c>
      <c r="AS739" s="5" t="s">
        <v>1718</v>
      </c>
      <c r="AT739" s="5" t="s">
        <v>1719</v>
      </c>
      <c r="AU739" s="5" t="s">
        <v>1703</v>
      </c>
      <c r="AV739" s="5" t="s">
        <v>1720</v>
      </c>
      <c r="AW739" s="5" t="s">
        <v>2698</v>
      </c>
      <c r="AY739" s="5">
        <v>49.0</v>
      </c>
      <c r="AZ739" s="5">
        <v>-114.5</v>
      </c>
      <c r="BA739" s="5">
        <v>0.0</v>
      </c>
    </row>
    <row r="740" ht="14.25" customHeight="1">
      <c r="A740" s="5" t="s">
        <v>422</v>
      </c>
      <c r="B740" s="5">
        <v>12.0</v>
      </c>
      <c r="C740" s="5" t="s">
        <v>1707</v>
      </c>
      <c r="D740" s="5">
        <v>415.0</v>
      </c>
      <c r="E740" s="5">
        <v>12973.0</v>
      </c>
      <c r="F740" s="51" t="s">
        <v>2908</v>
      </c>
      <c r="G740" s="5" t="s">
        <v>127</v>
      </c>
      <c r="H740" s="5" t="s">
        <v>1697</v>
      </c>
      <c r="I740" s="5" t="s">
        <v>49</v>
      </c>
      <c r="J740" s="5" t="s">
        <v>1698</v>
      </c>
      <c r="K740" s="5">
        <v>1.0</v>
      </c>
      <c r="L740" s="5">
        <v>14905.0</v>
      </c>
      <c r="M740" s="8"/>
      <c r="AO740" s="50" t="s">
        <v>2909</v>
      </c>
      <c r="AP740" s="50">
        <v>415.0</v>
      </c>
      <c r="AQ740" s="50" t="s">
        <v>1716</v>
      </c>
      <c r="AR740" s="50" t="s">
        <v>1717</v>
      </c>
      <c r="AS740" s="50" t="s">
        <v>1702</v>
      </c>
      <c r="AT740" s="50" t="s">
        <v>1703</v>
      </c>
      <c r="AU740" s="50" t="s">
        <v>1704</v>
      </c>
      <c r="AV740" s="50" t="s">
        <v>1702</v>
      </c>
      <c r="AW740" s="50" t="s">
        <v>2698</v>
      </c>
      <c r="AX740" s="50" t="s">
        <v>2902</v>
      </c>
      <c r="AY740" s="50">
        <v>49.75</v>
      </c>
      <c r="AZ740" s="50">
        <v>-114.87</v>
      </c>
      <c r="BA740" s="50">
        <v>1138.0</v>
      </c>
    </row>
    <row r="741" ht="14.25" customHeight="1">
      <c r="B741" s="5">
        <v>12.0</v>
      </c>
      <c r="C741" s="5" t="s">
        <v>1711</v>
      </c>
      <c r="D741" s="5">
        <v>416.0</v>
      </c>
      <c r="E741" s="5">
        <v>1956.0</v>
      </c>
      <c r="F741" s="18" t="s">
        <v>2910</v>
      </c>
      <c r="G741" s="5" t="s">
        <v>2911</v>
      </c>
      <c r="H741" s="5" t="s">
        <v>2912</v>
      </c>
      <c r="I741" s="5" t="s">
        <v>641</v>
      </c>
      <c r="J741" s="5" t="s">
        <v>1715</v>
      </c>
      <c r="K741" s="5">
        <v>1.0</v>
      </c>
      <c r="L741" s="5">
        <v>2359.0</v>
      </c>
      <c r="M741" s="64"/>
      <c r="N741" s="36"/>
      <c r="R741" s="36"/>
      <c r="T741" s="37"/>
      <c r="AO741" s="5" t="s">
        <v>2910</v>
      </c>
      <c r="AP741" s="5">
        <v>416.0</v>
      </c>
      <c r="AQ741" s="5" t="s">
        <v>1716</v>
      </c>
      <c r="AR741" s="5" t="s">
        <v>1717</v>
      </c>
      <c r="AS741" s="5" t="s">
        <v>1718</v>
      </c>
      <c r="AT741" s="5" t="s">
        <v>1703</v>
      </c>
      <c r="AU741" s="5" t="s">
        <v>1703</v>
      </c>
      <c r="AV741" s="5" t="s">
        <v>1720</v>
      </c>
      <c r="AW741" s="5" t="s">
        <v>2698</v>
      </c>
      <c r="AX741" s="5" t="s">
        <v>2902</v>
      </c>
      <c r="AY741" s="5">
        <v>49.3</v>
      </c>
      <c r="AZ741" s="5">
        <v>-115.2</v>
      </c>
      <c r="BA741" s="5">
        <v>10.0</v>
      </c>
    </row>
    <row r="742" ht="14.25" customHeight="1">
      <c r="A742" s="5" t="s">
        <v>2037</v>
      </c>
      <c r="B742" s="5">
        <v>12.0</v>
      </c>
      <c r="C742" s="5" t="s">
        <v>1711</v>
      </c>
      <c r="D742" s="5">
        <v>417.0</v>
      </c>
      <c r="E742" s="5">
        <v>1957.0</v>
      </c>
      <c r="F742" s="10" t="s">
        <v>2913</v>
      </c>
      <c r="G742" s="5" t="s">
        <v>2914</v>
      </c>
      <c r="H742" s="5" t="s">
        <v>2915</v>
      </c>
      <c r="I742" s="5" t="s">
        <v>641</v>
      </c>
      <c r="J742" s="5" t="s">
        <v>1736</v>
      </c>
      <c r="K742" s="5">
        <v>1.0</v>
      </c>
      <c r="L742" s="5">
        <v>2360.0</v>
      </c>
      <c r="M742" s="8">
        <v>50.51283</v>
      </c>
      <c r="N742" s="11">
        <v>-116.05533</v>
      </c>
      <c r="O742" s="11" t="s">
        <v>170</v>
      </c>
      <c r="P742" s="11">
        <v>417.0</v>
      </c>
      <c r="Q742" s="22">
        <v>1.0</v>
      </c>
      <c r="R742" s="11" t="s">
        <v>2916</v>
      </c>
      <c r="S742" s="11" t="s">
        <v>1737</v>
      </c>
      <c r="T742" s="11">
        <v>894.0</v>
      </c>
      <c r="U742" s="11" t="s">
        <v>645</v>
      </c>
      <c r="V742" s="11" t="s">
        <v>1830</v>
      </c>
      <c r="W742" s="23">
        <v>31413.0</v>
      </c>
      <c r="X742" s="11" t="s">
        <v>1738</v>
      </c>
      <c r="AO742" s="55" t="s">
        <v>2916</v>
      </c>
      <c r="AP742" s="5">
        <v>417.0</v>
      </c>
      <c r="AQ742" s="5" t="s">
        <v>1700</v>
      </c>
      <c r="AR742" s="5" t="s">
        <v>1739</v>
      </c>
      <c r="AS742" s="5" t="s">
        <v>1740</v>
      </c>
      <c r="AT742" s="5" t="s">
        <v>1741</v>
      </c>
      <c r="AU742" s="5" t="s">
        <v>2043</v>
      </c>
      <c r="AV742" s="5" t="s">
        <v>1720</v>
      </c>
      <c r="AW742" s="5" t="s">
        <v>2698</v>
      </c>
      <c r="AX742" s="5" t="s">
        <v>2768</v>
      </c>
      <c r="AY742" s="5">
        <v>50.5128</v>
      </c>
      <c r="AZ742" s="5">
        <v>-116.0553</v>
      </c>
      <c r="BA742" s="5">
        <v>894.0</v>
      </c>
    </row>
    <row r="743" ht="14.25" customHeight="1">
      <c r="A743" s="5" t="s">
        <v>88</v>
      </c>
      <c r="B743" s="5">
        <v>12.0</v>
      </c>
      <c r="C743" s="5" t="s">
        <v>1711</v>
      </c>
      <c r="D743" s="5">
        <v>418.0</v>
      </c>
      <c r="E743" s="5">
        <v>1958.0</v>
      </c>
      <c r="F743" s="5" t="s">
        <v>2917</v>
      </c>
      <c r="G743" s="10" t="s">
        <v>2918</v>
      </c>
      <c r="H743" s="5" t="s">
        <v>2919</v>
      </c>
      <c r="I743" s="5" t="s">
        <v>641</v>
      </c>
      <c r="J743" s="5" t="s">
        <v>1865</v>
      </c>
      <c r="K743" s="5">
        <v>1.0</v>
      </c>
      <c r="L743" s="5">
        <v>2361.0</v>
      </c>
      <c r="M743" s="8">
        <v>49.07913</v>
      </c>
      <c r="N743" s="11">
        <v>-114.53734</v>
      </c>
      <c r="O743" s="11" t="s">
        <v>170</v>
      </c>
      <c r="P743" s="11">
        <v>418.0</v>
      </c>
      <c r="Q743" s="22">
        <v>3.0</v>
      </c>
      <c r="R743" s="11" t="s">
        <v>2917</v>
      </c>
      <c r="S743" s="11" t="s">
        <v>1737</v>
      </c>
      <c r="T743" s="11">
        <v>1311.0</v>
      </c>
      <c r="U743" s="11"/>
      <c r="V743" s="11"/>
      <c r="W743" s="23">
        <v>31413.0</v>
      </c>
      <c r="X743" s="11" t="s">
        <v>1738</v>
      </c>
      <c r="AO743" s="5" t="s">
        <v>2917</v>
      </c>
      <c r="AP743" s="5">
        <v>418.0</v>
      </c>
      <c r="AQ743" s="5" t="s">
        <v>1716</v>
      </c>
      <c r="AR743" s="5" t="s">
        <v>1739</v>
      </c>
      <c r="AS743" s="5" t="s">
        <v>1740</v>
      </c>
      <c r="AT743" s="5" t="s">
        <v>1741</v>
      </c>
      <c r="AU743" s="5" t="s">
        <v>1742</v>
      </c>
      <c r="AV743" s="5" t="s">
        <v>1720</v>
      </c>
      <c r="AW743" s="5" t="s">
        <v>2698</v>
      </c>
      <c r="AX743" s="5" t="s">
        <v>2902</v>
      </c>
      <c r="AY743" s="5">
        <v>49.0791</v>
      </c>
      <c r="AZ743" s="5">
        <v>-114.5373</v>
      </c>
      <c r="BA743" s="5">
        <v>1311.0</v>
      </c>
    </row>
    <row r="744" ht="14.25" customHeight="1">
      <c r="A744" s="5" t="s">
        <v>88</v>
      </c>
      <c r="B744" s="5">
        <v>12.0</v>
      </c>
      <c r="C744" s="5" t="s">
        <v>1711</v>
      </c>
      <c r="D744" s="5">
        <v>419.0</v>
      </c>
      <c r="E744" s="5">
        <v>1959.0</v>
      </c>
      <c r="F744" s="5" t="s">
        <v>2920</v>
      </c>
      <c r="G744" s="10" t="s">
        <v>2921</v>
      </c>
      <c r="H744" s="5" t="s">
        <v>2839</v>
      </c>
      <c r="I744" s="5" t="s">
        <v>641</v>
      </c>
      <c r="J744" s="5" t="s">
        <v>1865</v>
      </c>
      <c r="K744" s="5">
        <v>1.0</v>
      </c>
      <c r="L744" s="5">
        <v>2362.0</v>
      </c>
      <c r="M744" s="8">
        <v>49.922</v>
      </c>
      <c r="N744" s="11">
        <v>-115.73667</v>
      </c>
      <c r="O744" s="11" t="s">
        <v>170</v>
      </c>
      <c r="P744" s="11">
        <v>419.0</v>
      </c>
      <c r="Q744" s="22">
        <v>1.0</v>
      </c>
      <c r="R744" s="11" t="s">
        <v>2920</v>
      </c>
      <c r="S744" s="11" t="s">
        <v>1737</v>
      </c>
      <c r="T744" s="11">
        <v>853.0</v>
      </c>
      <c r="U744" s="11" t="s">
        <v>645</v>
      </c>
      <c r="V744" s="11"/>
      <c r="W744" s="23">
        <v>31413.0</v>
      </c>
      <c r="X744" s="11" t="s">
        <v>1738</v>
      </c>
      <c r="AO744" s="5" t="s">
        <v>2920</v>
      </c>
      <c r="AP744" s="5">
        <v>419.0</v>
      </c>
      <c r="AQ744" s="5" t="s">
        <v>1700</v>
      </c>
      <c r="AR744" s="5" t="s">
        <v>1739</v>
      </c>
      <c r="AS744" s="5" t="s">
        <v>1740</v>
      </c>
      <c r="AT744" s="5" t="s">
        <v>1741</v>
      </c>
      <c r="AU744" s="5" t="s">
        <v>1959</v>
      </c>
      <c r="AV744" s="5" t="s">
        <v>1720</v>
      </c>
      <c r="AW744" s="5" t="s">
        <v>2698</v>
      </c>
      <c r="AX744" s="5" t="s">
        <v>2768</v>
      </c>
      <c r="AY744" s="5">
        <v>49.9444</v>
      </c>
      <c r="AZ744" s="5">
        <v>-115.7583</v>
      </c>
      <c r="BA744" s="5">
        <v>853.0</v>
      </c>
    </row>
    <row r="745" ht="14.25" customHeight="1">
      <c r="B745" s="5">
        <v>12.0</v>
      </c>
      <c r="C745" s="5" t="s">
        <v>1711</v>
      </c>
      <c r="D745" s="5">
        <v>420.0</v>
      </c>
      <c r="E745" s="5">
        <v>1960.0</v>
      </c>
      <c r="F745" s="18" t="s">
        <v>2922</v>
      </c>
      <c r="G745" s="5" t="s">
        <v>2923</v>
      </c>
      <c r="H745" s="5" t="s">
        <v>2924</v>
      </c>
      <c r="I745" s="5" t="s">
        <v>1664</v>
      </c>
      <c r="J745" s="5" t="s">
        <v>1715</v>
      </c>
      <c r="K745" s="5">
        <v>1.0</v>
      </c>
      <c r="L745" s="5">
        <v>2363.0</v>
      </c>
      <c r="M745" s="64"/>
      <c r="N745" s="36"/>
      <c r="O745" s="36"/>
      <c r="Q745" s="36"/>
      <c r="R745" s="36"/>
      <c r="T745" s="36"/>
      <c r="AO745" s="5" t="s">
        <v>2922</v>
      </c>
      <c r="AP745" s="5">
        <v>420.0</v>
      </c>
      <c r="AQ745" s="5" t="s">
        <v>1716</v>
      </c>
      <c r="AR745" s="5" t="s">
        <v>1717</v>
      </c>
      <c r="AS745" s="5" t="s">
        <v>1718</v>
      </c>
      <c r="AT745" s="5" t="s">
        <v>1719</v>
      </c>
      <c r="AU745" s="5" t="s">
        <v>1703</v>
      </c>
      <c r="AV745" s="5" t="s">
        <v>1720</v>
      </c>
      <c r="AW745" s="5" t="s">
        <v>2698</v>
      </c>
      <c r="AX745" s="5" t="s">
        <v>2902</v>
      </c>
      <c r="AY745" s="5">
        <v>49.8</v>
      </c>
      <c r="AZ745" s="5">
        <v>-115.2</v>
      </c>
      <c r="BA745" s="5">
        <v>17.0</v>
      </c>
    </row>
    <row r="746" ht="14.25" customHeight="1">
      <c r="B746" s="5">
        <v>12.0</v>
      </c>
      <c r="C746" s="5" t="s">
        <v>1711</v>
      </c>
      <c r="D746" s="5">
        <v>421.0</v>
      </c>
      <c r="E746" s="5">
        <v>1961.0</v>
      </c>
      <c r="F746" s="5" t="s">
        <v>2925</v>
      </c>
      <c r="G746" s="5" t="s">
        <v>2926</v>
      </c>
      <c r="H746" s="5" t="s">
        <v>2842</v>
      </c>
      <c r="I746" s="5" t="s">
        <v>641</v>
      </c>
      <c r="J746" s="5" t="s">
        <v>1865</v>
      </c>
      <c r="K746" s="5">
        <v>1.0</v>
      </c>
      <c r="L746" s="5">
        <v>2364.0</v>
      </c>
      <c r="M746" s="8">
        <v>49.7845</v>
      </c>
      <c r="N746" s="11">
        <v>-116.383</v>
      </c>
      <c r="O746" s="11" t="s">
        <v>170</v>
      </c>
      <c r="P746" s="11">
        <v>421.0</v>
      </c>
      <c r="Q746" s="22">
        <v>5.0</v>
      </c>
      <c r="R746" s="11" t="s">
        <v>2925</v>
      </c>
      <c r="S746" s="11" t="s">
        <v>1737</v>
      </c>
      <c r="T746" s="11">
        <v>1608.0</v>
      </c>
      <c r="U746" s="11"/>
      <c r="V746" s="11"/>
      <c r="W746" s="23">
        <v>31413.0</v>
      </c>
      <c r="X746" s="11" t="s">
        <v>1738</v>
      </c>
      <c r="AO746" s="5" t="s">
        <v>2925</v>
      </c>
      <c r="AP746" s="5">
        <v>421.0</v>
      </c>
      <c r="AQ746" s="5" t="s">
        <v>1716</v>
      </c>
      <c r="AR746" s="5" t="s">
        <v>1739</v>
      </c>
      <c r="AS746" s="5" t="s">
        <v>1740</v>
      </c>
      <c r="AT746" s="5" t="s">
        <v>1741</v>
      </c>
      <c r="AU746" s="5" t="s">
        <v>1742</v>
      </c>
      <c r="AV746" s="5" t="s">
        <v>1720</v>
      </c>
      <c r="AW746" s="5" t="s">
        <v>2698</v>
      </c>
      <c r="AX746" s="5" t="s">
        <v>2902</v>
      </c>
      <c r="AY746" s="5">
        <v>49.7845</v>
      </c>
      <c r="AZ746" s="5">
        <v>-116.383</v>
      </c>
      <c r="BA746" s="5">
        <v>1608.0</v>
      </c>
    </row>
    <row r="747" ht="14.25" customHeight="1">
      <c r="B747" s="5">
        <v>12.0</v>
      </c>
      <c r="C747" s="5" t="s">
        <v>1711</v>
      </c>
      <c r="D747" s="5">
        <v>422.0</v>
      </c>
      <c r="E747" s="5">
        <v>1962.0</v>
      </c>
      <c r="F747" s="18" t="s">
        <v>2927</v>
      </c>
      <c r="G747" s="5" t="s">
        <v>2928</v>
      </c>
      <c r="H747" s="5" t="s">
        <v>2929</v>
      </c>
      <c r="I747" s="5" t="s">
        <v>641</v>
      </c>
      <c r="J747" s="5" t="s">
        <v>1715</v>
      </c>
      <c r="K747" s="5">
        <v>1.0</v>
      </c>
      <c r="L747" s="5">
        <v>2365.0</v>
      </c>
      <c r="M747" s="8"/>
      <c r="AO747" s="5" t="s">
        <v>2927</v>
      </c>
      <c r="AP747" s="5">
        <v>422.0</v>
      </c>
      <c r="AQ747" s="5" t="s">
        <v>1716</v>
      </c>
      <c r="AR747" s="5" t="s">
        <v>1717</v>
      </c>
      <c r="AS747" s="5" t="s">
        <v>1718</v>
      </c>
      <c r="AT747" s="5" t="s">
        <v>1719</v>
      </c>
      <c r="AU747" s="5" t="s">
        <v>1959</v>
      </c>
      <c r="AV747" s="5" t="s">
        <v>1720</v>
      </c>
      <c r="AW747" s="5" t="s">
        <v>2698</v>
      </c>
      <c r="AX747" s="5" t="s">
        <v>2902</v>
      </c>
      <c r="AY747" s="5">
        <v>49.9025</v>
      </c>
      <c r="AZ747" s="5">
        <v>-115.1388</v>
      </c>
      <c r="BA747" s="5">
        <v>1326.0</v>
      </c>
    </row>
    <row r="748" ht="14.25" customHeight="1">
      <c r="B748" s="5">
        <v>12.0</v>
      </c>
      <c r="C748" s="5" t="s">
        <v>1711</v>
      </c>
      <c r="D748" s="5">
        <v>423.0</v>
      </c>
      <c r="E748" s="5">
        <v>1963.0</v>
      </c>
      <c r="F748" s="5" t="s">
        <v>2930</v>
      </c>
      <c r="G748" s="5" t="s">
        <v>2931</v>
      </c>
      <c r="H748" s="5" t="s">
        <v>2932</v>
      </c>
      <c r="I748" s="5" t="s">
        <v>641</v>
      </c>
      <c r="J748" s="5" t="s">
        <v>1715</v>
      </c>
      <c r="K748" s="5">
        <v>1.0</v>
      </c>
      <c r="L748" s="5">
        <v>2366.0</v>
      </c>
      <c r="M748" s="8"/>
      <c r="N748" s="11"/>
      <c r="O748" s="11"/>
      <c r="P748" s="16"/>
      <c r="Q748" s="22"/>
      <c r="R748" s="11"/>
      <c r="S748" s="11"/>
      <c r="T748" s="11"/>
      <c r="U748" s="11"/>
      <c r="V748" s="11"/>
      <c r="W748" s="23"/>
      <c r="X748" s="11"/>
      <c r="AO748" s="55" t="s">
        <v>2933</v>
      </c>
      <c r="AP748" s="5">
        <v>423.0</v>
      </c>
      <c r="AQ748" s="5" t="s">
        <v>1716</v>
      </c>
      <c r="AR748" s="5" t="s">
        <v>1717</v>
      </c>
      <c r="AS748" s="5" t="s">
        <v>1718</v>
      </c>
      <c r="AT748" s="5" t="s">
        <v>1719</v>
      </c>
      <c r="AU748" s="5" t="s">
        <v>2443</v>
      </c>
      <c r="AV748" s="5" t="s">
        <v>1720</v>
      </c>
      <c r="AW748" s="5" t="s">
        <v>2698</v>
      </c>
      <c r="AX748" s="5" t="s">
        <v>2902</v>
      </c>
      <c r="AY748" s="5">
        <v>49.4562</v>
      </c>
      <c r="AZ748" s="5">
        <v>-115.6263</v>
      </c>
      <c r="BA748" s="5">
        <v>2262.0</v>
      </c>
    </row>
    <row r="749" ht="14.25" customHeight="1">
      <c r="B749" s="5">
        <v>12.0</v>
      </c>
      <c r="C749" s="5" t="s">
        <v>1711</v>
      </c>
      <c r="D749" s="5">
        <v>425.0</v>
      </c>
      <c r="E749" s="5">
        <v>1964.0</v>
      </c>
      <c r="F749" s="5" t="s">
        <v>2934</v>
      </c>
      <c r="G749" s="5" t="s">
        <v>2935</v>
      </c>
      <c r="H749" s="5" t="s">
        <v>2936</v>
      </c>
      <c r="I749" s="5" t="s">
        <v>641</v>
      </c>
      <c r="J749" s="5" t="s">
        <v>1829</v>
      </c>
      <c r="K749" s="5">
        <v>1.0</v>
      </c>
      <c r="L749" s="5">
        <v>2367.0</v>
      </c>
      <c r="M749" s="64">
        <v>50.14508</v>
      </c>
      <c r="N749" s="36">
        <v>-115.97723</v>
      </c>
      <c r="O749" s="11" t="s">
        <v>170</v>
      </c>
      <c r="P749" s="36">
        <v>425.0</v>
      </c>
      <c r="Q749" s="22">
        <v>3.0</v>
      </c>
      <c r="R749" s="36" t="s">
        <v>2934</v>
      </c>
      <c r="S749" s="11" t="s">
        <v>1737</v>
      </c>
      <c r="T749" s="37">
        <v>1190.0</v>
      </c>
      <c r="U749" s="11" t="s">
        <v>645</v>
      </c>
      <c r="V749" s="11"/>
      <c r="W749" s="23">
        <v>37257.0</v>
      </c>
      <c r="X749" s="11" t="s">
        <v>1738</v>
      </c>
      <c r="AO749" s="5" t="s">
        <v>2934</v>
      </c>
      <c r="AP749" s="5">
        <v>425.0</v>
      </c>
      <c r="AQ749" s="5" t="s">
        <v>1700</v>
      </c>
      <c r="AR749" s="5" t="s">
        <v>1739</v>
      </c>
      <c r="AS749" s="5" t="s">
        <v>1740</v>
      </c>
      <c r="AT749" s="5" t="s">
        <v>1741</v>
      </c>
      <c r="AU749" s="5" t="s">
        <v>1959</v>
      </c>
      <c r="AV749" s="5" t="s">
        <v>1720</v>
      </c>
      <c r="AW749" s="5" t="s">
        <v>2698</v>
      </c>
      <c r="AX749" s="5" t="s">
        <v>2768</v>
      </c>
      <c r="AY749" s="5">
        <v>50.1451</v>
      </c>
      <c r="AZ749" s="5">
        <v>-115.9772</v>
      </c>
      <c r="BA749" s="5">
        <v>1190.0</v>
      </c>
    </row>
    <row r="750" ht="14.25" customHeight="1">
      <c r="A750" s="5" t="s">
        <v>88</v>
      </c>
      <c r="B750" s="5">
        <v>12.0</v>
      </c>
      <c r="C750" s="5" t="s">
        <v>1711</v>
      </c>
      <c r="D750" s="5">
        <v>426.0</v>
      </c>
      <c r="E750" s="5">
        <v>1965.0</v>
      </c>
      <c r="F750" s="5" t="s">
        <v>2937</v>
      </c>
      <c r="G750" s="10" t="s">
        <v>2938</v>
      </c>
      <c r="H750" s="5" t="s">
        <v>2939</v>
      </c>
      <c r="I750" s="5" t="s">
        <v>641</v>
      </c>
      <c r="J750" s="5" t="s">
        <v>1891</v>
      </c>
      <c r="K750" s="5">
        <v>1.0</v>
      </c>
      <c r="L750" s="5">
        <v>2368.0</v>
      </c>
      <c r="M750" s="8">
        <v>49.6673</v>
      </c>
      <c r="N750" s="11">
        <v>-115.848</v>
      </c>
      <c r="O750" s="11" t="s">
        <v>170</v>
      </c>
      <c r="P750" s="11">
        <v>426.0</v>
      </c>
      <c r="Q750" s="22">
        <v>2.0</v>
      </c>
      <c r="R750" s="11" t="s">
        <v>2937</v>
      </c>
      <c r="S750" s="11" t="s">
        <v>1737</v>
      </c>
      <c r="T750" s="11">
        <v>996.0</v>
      </c>
      <c r="U750" s="11"/>
      <c r="V750" s="11"/>
      <c r="W750" s="23">
        <v>36892.0</v>
      </c>
      <c r="X750" s="11" t="s">
        <v>1738</v>
      </c>
      <c r="AO750" s="5" t="s">
        <v>2940</v>
      </c>
      <c r="AP750" s="5">
        <v>426.0</v>
      </c>
      <c r="AQ750" s="5" t="s">
        <v>1700</v>
      </c>
      <c r="AR750" s="5" t="s">
        <v>1739</v>
      </c>
      <c r="AS750" s="5" t="s">
        <v>1740</v>
      </c>
      <c r="AT750" s="5" t="s">
        <v>1741</v>
      </c>
      <c r="AU750" s="5" t="s">
        <v>1959</v>
      </c>
      <c r="AV750" s="5" t="s">
        <v>1720</v>
      </c>
      <c r="AW750" s="5" t="s">
        <v>2698</v>
      </c>
      <c r="AX750" s="5" t="s">
        <v>2902</v>
      </c>
      <c r="AY750" s="5">
        <v>49.6673</v>
      </c>
      <c r="AZ750" s="5">
        <v>-115.8483</v>
      </c>
      <c r="BA750" s="5">
        <v>996.0</v>
      </c>
    </row>
    <row r="751" ht="14.25" customHeight="1">
      <c r="A751" s="5" t="s">
        <v>88</v>
      </c>
      <c r="B751" s="5">
        <v>12.0</v>
      </c>
      <c r="C751" s="5" t="s">
        <v>1711</v>
      </c>
      <c r="D751" s="5">
        <v>427.0</v>
      </c>
      <c r="E751" s="5">
        <v>1966.0</v>
      </c>
      <c r="F751" s="5" t="s">
        <v>2941</v>
      </c>
      <c r="G751" s="10" t="s">
        <v>2942</v>
      </c>
      <c r="H751" s="5" t="s">
        <v>2943</v>
      </c>
      <c r="I751" s="5" t="s">
        <v>641</v>
      </c>
      <c r="J751" s="5" t="s">
        <v>1736</v>
      </c>
      <c r="K751" s="5">
        <v>1.0</v>
      </c>
      <c r="L751" s="5">
        <v>2369.0</v>
      </c>
      <c r="M751" s="64">
        <v>55.28833</v>
      </c>
      <c r="N751" s="36">
        <v>-128.99333</v>
      </c>
      <c r="O751" s="11" t="s">
        <v>51</v>
      </c>
      <c r="P751" s="36">
        <v>427.0</v>
      </c>
      <c r="Q751" s="22">
        <v>2.0</v>
      </c>
      <c r="R751" s="36" t="s">
        <v>2941</v>
      </c>
      <c r="S751" s="11" t="s">
        <v>1737</v>
      </c>
      <c r="T751" s="37">
        <v>191.0</v>
      </c>
      <c r="U751" s="11"/>
      <c r="V751" s="11"/>
      <c r="W751" s="23">
        <v>25569.0</v>
      </c>
      <c r="X751" s="11" t="s">
        <v>1738</v>
      </c>
      <c r="AO751" s="5" t="s">
        <v>2941</v>
      </c>
      <c r="AP751" s="5">
        <v>427.0</v>
      </c>
      <c r="AQ751" s="5" t="s">
        <v>1716</v>
      </c>
      <c r="AR751" s="5" t="s">
        <v>1739</v>
      </c>
      <c r="AS751" s="5" t="s">
        <v>1740</v>
      </c>
      <c r="AT751" s="5" t="s">
        <v>1741</v>
      </c>
      <c r="AU751" s="5" t="s">
        <v>1742</v>
      </c>
      <c r="AV751" s="5" t="s">
        <v>1720</v>
      </c>
      <c r="AW751" s="5" t="s">
        <v>1947</v>
      </c>
      <c r="AX751" s="5" t="s">
        <v>1973</v>
      </c>
      <c r="AY751" s="5">
        <v>55.2886</v>
      </c>
      <c r="AZ751" s="5">
        <v>-128.9984</v>
      </c>
      <c r="BA751" s="5">
        <v>176.0</v>
      </c>
    </row>
    <row r="752" ht="14.25" customHeight="1">
      <c r="A752" s="5" t="s">
        <v>1908</v>
      </c>
      <c r="B752" s="5">
        <v>12.0</v>
      </c>
      <c r="C752" s="5" t="s">
        <v>1711</v>
      </c>
      <c r="D752" s="5">
        <v>428.0</v>
      </c>
      <c r="E752" s="5">
        <v>1967.0</v>
      </c>
      <c r="F752" s="10" t="s">
        <v>2944</v>
      </c>
      <c r="G752" s="10" t="s">
        <v>2945</v>
      </c>
      <c r="H752" s="5" t="s">
        <v>2946</v>
      </c>
      <c r="I752" s="5" t="s">
        <v>641</v>
      </c>
      <c r="J752" s="5" t="s">
        <v>1736</v>
      </c>
      <c r="K752" s="5">
        <v>1.0</v>
      </c>
      <c r="L752" s="5">
        <v>2370.0</v>
      </c>
      <c r="M752" s="8">
        <v>55.435</v>
      </c>
      <c r="N752" s="11">
        <v>-127.64667</v>
      </c>
      <c r="O752" s="11" t="s">
        <v>51</v>
      </c>
      <c r="P752" s="11">
        <v>428.0</v>
      </c>
      <c r="Q752" s="22">
        <v>3.0</v>
      </c>
      <c r="R752" s="11" t="s">
        <v>2947</v>
      </c>
      <c r="S752" s="11" t="s">
        <v>1737</v>
      </c>
      <c r="T752" s="11">
        <v>335.0</v>
      </c>
      <c r="U752" s="11" t="s">
        <v>645</v>
      </c>
      <c r="V752" s="11"/>
      <c r="W752" s="23">
        <v>25569.0</v>
      </c>
      <c r="X752" s="11" t="s">
        <v>1738</v>
      </c>
      <c r="AO752" s="55" t="s">
        <v>2947</v>
      </c>
      <c r="AP752" s="5">
        <v>428.0</v>
      </c>
      <c r="AQ752" s="5" t="s">
        <v>1700</v>
      </c>
      <c r="AR752" s="5" t="s">
        <v>1739</v>
      </c>
      <c r="AS752" s="5" t="s">
        <v>1740</v>
      </c>
      <c r="AT752" s="5" t="s">
        <v>1741</v>
      </c>
      <c r="AU752" s="5" t="s">
        <v>1772</v>
      </c>
      <c r="AV752" s="5" t="s">
        <v>1720</v>
      </c>
      <c r="AW752" s="5" t="s">
        <v>1947</v>
      </c>
      <c r="AX752" s="5" t="s">
        <v>2948</v>
      </c>
      <c r="AY752" s="5">
        <v>55.4343</v>
      </c>
      <c r="AZ752" s="5">
        <v>-127.6487</v>
      </c>
      <c r="BA752" s="5">
        <v>328.0</v>
      </c>
    </row>
    <row r="753" ht="14.25" customHeight="1">
      <c r="A753" s="5" t="s">
        <v>88</v>
      </c>
      <c r="B753" s="5">
        <v>12.0</v>
      </c>
      <c r="C753" s="5" t="s">
        <v>1711</v>
      </c>
      <c r="D753" s="5">
        <v>429.0</v>
      </c>
      <c r="E753" s="5">
        <v>1968.0</v>
      </c>
      <c r="F753" s="5" t="s">
        <v>2949</v>
      </c>
      <c r="G753" s="10" t="s">
        <v>2950</v>
      </c>
      <c r="H753" s="5" t="s">
        <v>2591</v>
      </c>
      <c r="I753" s="5" t="s">
        <v>641</v>
      </c>
      <c r="J753" s="5" t="s">
        <v>1736</v>
      </c>
      <c r="K753" s="5">
        <v>1.0</v>
      </c>
      <c r="L753" s="5">
        <v>2371.0</v>
      </c>
      <c r="M753" s="64">
        <v>55.02667</v>
      </c>
      <c r="N753" s="36">
        <v>-128.31333</v>
      </c>
      <c r="O753" s="11" t="s">
        <v>51</v>
      </c>
      <c r="P753" s="11">
        <v>429.0</v>
      </c>
      <c r="Q753" s="22">
        <v>2.0</v>
      </c>
      <c r="R753" s="36" t="s">
        <v>2949</v>
      </c>
      <c r="S753" s="11" t="s">
        <v>1737</v>
      </c>
      <c r="T753" s="37">
        <v>274.0</v>
      </c>
      <c r="U753" s="11" t="s">
        <v>645</v>
      </c>
      <c r="V753" s="11" t="s">
        <v>1830</v>
      </c>
      <c r="W753" s="23">
        <v>29952.0</v>
      </c>
      <c r="X753" s="11" t="s">
        <v>1738</v>
      </c>
      <c r="AO753" s="5" t="s">
        <v>2949</v>
      </c>
      <c r="AP753" s="5">
        <v>429.0</v>
      </c>
      <c r="AQ753" s="5" t="s">
        <v>1716</v>
      </c>
      <c r="AR753" s="5" t="s">
        <v>1739</v>
      </c>
      <c r="AS753" s="5" t="s">
        <v>1740</v>
      </c>
      <c r="AT753" s="5" t="s">
        <v>1741</v>
      </c>
      <c r="AU753" s="5" t="s">
        <v>1742</v>
      </c>
      <c r="AV753" s="5" t="s">
        <v>1720</v>
      </c>
      <c r="AW753" s="5" t="s">
        <v>1947</v>
      </c>
      <c r="AX753" s="5" t="s">
        <v>2948</v>
      </c>
      <c r="AY753" s="5">
        <v>55.0301</v>
      </c>
      <c r="AZ753" s="5">
        <v>-128.3115</v>
      </c>
      <c r="BA753" s="5">
        <v>174.0</v>
      </c>
    </row>
    <row r="754" ht="14.25" customHeight="1">
      <c r="A754" s="5" t="s">
        <v>88</v>
      </c>
      <c r="B754" s="5">
        <v>12.0</v>
      </c>
      <c r="C754" s="5" t="s">
        <v>1711</v>
      </c>
      <c r="D754" s="5">
        <v>430.0</v>
      </c>
      <c r="E754" s="5">
        <v>1969.0</v>
      </c>
      <c r="F754" s="5" t="s">
        <v>2951</v>
      </c>
      <c r="G754" s="10" t="s">
        <v>2952</v>
      </c>
      <c r="H754" s="5" t="s">
        <v>2953</v>
      </c>
      <c r="I754" s="5" t="s">
        <v>641</v>
      </c>
      <c r="J754" s="5" t="s">
        <v>1736</v>
      </c>
      <c r="K754" s="5">
        <v>1.0</v>
      </c>
      <c r="L754" s="5">
        <v>2372.0</v>
      </c>
      <c r="M754" s="8">
        <v>56.01273</v>
      </c>
      <c r="N754" s="5">
        <v>-129.09981</v>
      </c>
      <c r="O754" s="5" t="s">
        <v>51</v>
      </c>
      <c r="P754" s="5">
        <v>430.0</v>
      </c>
      <c r="Q754" s="5">
        <v>2.0</v>
      </c>
      <c r="R754" s="5" t="s">
        <v>2951</v>
      </c>
      <c r="S754" s="5" t="s">
        <v>1737</v>
      </c>
      <c r="T754" s="5">
        <v>296.0</v>
      </c>
      <c r="U754" s="5" t="s">
        <v>645</v>
      </c>
      <c r="W754" s="5">
        <v>30317.0</v>
      </c>
      <c r="X754" s="5" t="s">
        <v>1738</v>
      </c>
      <c r="AO754" s="5" t="s">
        <v>2951</v>
      </c>
      <c r="AP754" s="5">
        <v>430.0</v>
      </c>
      <c r="AQ754" s="5" t="s">
        <v>1716</v>
      </c>
      <c r="AR754" s="5" t="s">
        <v>1739</v>
      </c>
      <c r="AS754" s="5" t="s">
        <v>1740</v>
      </c>
      <c r="AT754" s="5" t="s">
        <v>1741</v>
      </c>
      <c r="AU754" s="5" t="s">
        <v>1742</v>
      </c>
      <c r="AV754" s="5" t="s">
        <v>1720</v>
      </c>
      <c r="AW754" s="5" t="s">
        <v>1947</v>
      </c>
      <c r="AX754" s="5" t="s">
        <v>1973</v>
      </c>
      <c r="AY754" s="5">
        <v>56.0127</v>
      </c>
      <c r="AZ754" s="5">
        <v>-129.0998</v>
      </c>
      <c r="BA754" s="5">
        <v>296.0</v>
      </c>
    </row>
    <row r="755" ht="14.25" customHeight="1">
      <c r="A755" s="5" t="s">
        <v>88</v>
      </c>
      <c r="B755" s="5">
        <v>12.0</v>
      </c>
      <c r="C755" s="5" t="s">
        <v>1711</v>
      </c>
      <c r="D755" s="5">
        <v>431.0</v>
      </c>
      <c r="E755" s="5">
        <v>1970.0</v>
      </c>
      <c r="F755" s="5" t="s">
        <v>2954</v>
      </c>
      <c r="G755" s="10" t="s">
        <v>2955</v>
      </c>
      <c r="H755" s="5" t="s">
        <v>2956</v>
      </c>
      <c r="I755" s="5" t="s">
        <v>641</v>
      </c>
      <c r="J755" s="5" t="s">
        <v>1865</v>
      </c>
      <c r="K755" s="5">
        <v>1.0</v>
      </c>
      <c r="L755" s="5">
        <v>2373.0</v>
      </c>
      <c r="M755" s="64">
        <v>55.6</v>
      </c>
      <c r="N755" s="36">
        <v>-128.04167</v>
      </c>
      <c r="O755" s="5" t="s">
        <v>51</v>
      </c>
      <c r="P755" s="36">
        <v>431.0</v>
      </c>
      <c r="Q755" s="5">
        <v>3.0</v>
      </c>
      <c r="R755" s="36" t="s">
        <v>2954</v>
      </c>
      <c r="S755" s="5" t="s">
        <v>1737</v>
      </c>
      <c r="T755" s="37">
        <v>410.0</v>
      </c>
      <c r="W755" s="5">
        <v>31413.0</v>
      </c>
      <c r="X755" s="5" t="s">
        <v>1738</v>
      </c>
      <c r="AO755" s="5" t="s">
        <v>2954</v>
      </c>
      <c r="AP755" s="5">
        <v>431.0</v>
      </c>
      <c r="AQ755" s="5" t="s">
        <v>1716</v>
      </c>
      <c r="AR755" s="5" t="s">
        <v>1739</v>
      </c>
      <c r="AS755" s="5" t="s">
        <v>1740</v>
      </c>
      <c r="AT755" s="5" t="s">
        <v>1741</v>
      </c>
      <c r="AU755" s="5" t="s">
        <v>1742</v>
      </c>
      <c r="AV755" s="5" t="s">
        <v>1720</v>
      </c>
      <c r="AW755" s="5" t="s">
        <v>1947</v>
      </c>
      <c r="AX755" s="5" t="s">
        <v>2948</v>
      </c>
      <c r="AY755" s="5">
        <v>55.6015</v>
      </c>
      <c r="AZ755" s="5">
        <v>-128.0478</v>
      </c>
      <c r="BA755" s="5">
        <v>410.0</v>
      </c>
    </row>
    <row r="756" ht="14.25" customHeight="1">
      <c r="A756" s="5" t="s">
        <v>88</v>
      </c>
      <c r="B756" s="5">
        <v>12.0</v>
      </c>
      <c r="C756" s="5" t="s">
        <v>1711</v>
      </c>
      <c r="D756" s="5">
        <v>432.0</v>
      </c>
      <c r="E756" s="5">
        <v>1971.0</v>
      </c>
      <c r="F756" s="5" t="s">
        <v>2957</v>
      </c>
      <c r="G756" s="10" t="s">
        <v>2958</v>
      </c>
      <c r="H756" s="5" t="s">
        <v>2959</v>
      </c>
      <c r="I756" s="5" t="s">
        <v>641</v>
      </c>
      <c r="J756" s="5" t="s">
        <v>1865</v>
      </c>
      <c r="K756" s="5">
        <v>1.0</v>
      </c>
      <c r="L756" s="5">
        <v>2374.0</v>
      </c>
      <c r="M756" s="8">
        <v>56.34849</v>
      </c>
      <c r="N756" s="5">
        <v>-129.29283</v>
      </c>
      <c r="O756" s="5" t="s">
        <v>51</v>
      </c>
      <c r="P756" s="5">
        <v>432.0</v>
      </c>
      <c r="Q756" s="5">
        <v>3.0</v>
      </c>
      <c r="R756" s="5" t="s">
        <v>2957</v>
      </c>
      <c r="S756" s="5" t="s">
        <v>1737</v>
      </c>
      <c r="T756" s="5">
        <v>388.0</v>
      </c>
      <c r="U756" s="5" t="s">
        <v>645</v>
      </c>
      <c r="W756" s="5">
        <v>31413.0</v>
      </c>
      <c r="X756" s="5" t="s">
        <v>1738</v>
      </c>
      <c r="AO756" s="5" t="s">
        <v>2957</v>
      </c>
      <c r="AP756" s="5">
        <v>432.0</v>
      </c>
      <c r="AQ756" s="5" t="s">
        <v>1716</v>
      </c>
      <c r="AR756" s="5" t="s">
        <v>1739</v>
      </c>
      <c r="AS756" s="5" t="s">
        <v>1740</v>
      </c>
      <c r="AT756" s="5" t="s">
        <v>1741</v>
      </c>
      <c r="AU756" s="5" t="s">
        <v>1742</v>
      </c>
      <c r="AV756" s="5" t="s">
        <v>1720</v>
      </c>
      <c r="AW756" s="5" t="s">
        <v>1947</v>
      </c>
      <c r="AX756" s="5" t="s">
        <v>1973</v>
      </c>
      <c r="AY756" s="5">
        <v>56.3486</v>
      </c>
      <c r="AZ756" s="5">
        <v>-129.2928</v>
      </c>
      <c r="BA756" s="5">
        <v>391.0</v>
      </c>
    </row>
    <row r="757" ht="14.25" customHeight="1">
      <c r="A757" s="5" t="s">
        <v>88</v>
      </c>
      <c r="B757" s="5">
        <v>12.0</v>
      </c>
      <c r="C757" s="5" t="s">
        <v>1711</v>
      </c>
      <c r="D757" s="5">
        <v>433.0</v>
      </c>
      <c r="E757" s="5">
        <v>1972.0</v>
      </c>
      <c r="F757" s="5" t="s">
        <v>2960</v>
      </c>
      <c r="G757" s="10" t="s">
        <v>2961</v>
      </c>
      <c r="H757" s="5" t="s">
        <v>2962</v>
      </c>
      <c r="I757" s="5" t="s">
        <v>641</v>
      </c>
      <c r="J757" s="5" t="s">
        <v>1865</v>
      </c>
      <c r="K757" s="5">
        <v>1.0</v>
      </c>
      <c r="L757" s="5">
        <v>2375.0</v>
      </c>
      <c r="M757" s="64">
        <v>55.57667</v>
      </c>
      <c r="N757" s="36">
        <v>-128.705</v>
      </c>
      <c r="O757" s="5" t="s">
        <v>51</v>
      </c>
      <c r="P757" s="36">
        <v>433.0</v>
      </c>
      <c r="Q757" s="5">
        <v>3.0</v>
      </c>
      <c r="R757" s="36" t="s">
        <v>2960</v>
      </c>
      <c r="S757" s="5" t="s">
        <v>1737</v>
      </c>
      <c r="T757" s="37">
        <v>500.0</v>
      </c>
      <c r="W757" s="5">
        <v>34700.0</v>
      </c>
      <c r="X757" s="5" t="s">
        <v>1738</v>
      </c>
      <c r="AO757" s="5" t="s">
        <v>2960</v>
      </c>
      <c r="AP757" s="5">
        <v>433.0</v>
      </c>
      <c r="AQ757" s="5" t="s">
        <v>1716</v>
      </c>
      <c r="AR757" s="5" t="s">
        <v>1739</v>
      </c>
      <c r="AS757" s="5" t="s">
        <v>1740</v>
      </c>
      <c r="AT757" s="5" t="s">
        <v>1741</v>
      </c>
      <c r="AU757" s="5" t="s">
        <v>1742</v>
      </c>
      <c r="AV757" s="5" t="s">
        <v>1720</v>
      </c>
      <c r="AW757" s="5" t="s">
        <v>1947</v>
      </c>
      <c r="AX757" s="5" t="s">
        <v>2948</v>
      </c>
      <c r="AY757" s="5">
        <v>55.5768</v>
      </c>
      <c r="AZ757" s="5">
        <v>-128.7048</v>
      </c>
      <c r="BA757" s="5">
        <v>496.0</v>
      </c>
    </row>
    <row r="758" ht="14.25" customHeight="1">
      <c r="A758" s="5" t="s">
        <v>422</v>
      </c>
      <c r="B758" s="5">
        <v>12.0</v>
      </c>
      <c r="C758" s="5" t="s">
        <v>1707</v>
      </c>
      <c r="D758" s="5">
        <v>434.0</v>
      </c>
      <c r="E758" s="5">
        <v>12974.0</v>
      </c>
      <c r="F758" s="51" t="s">
        <v>2963</v>
      </c>
      <c r="G758" s="5" t="s">
        <v>127</v>
      </c>
      <c r="H758" s="5" t="s">
        <v>1697</v>
      </c>
      <c r="I758" s="5" t="s">
        <v>49</v>
      </c>
      <c r="J758" s="5" t="s">
        <v>1698</v>
      </c>
      <c r="K758" s="5">
        <v>1.0</v>
      </c>
      <c r="L758" s="5">
        <v>14906.0</v>
      </c>
      <c r="M758" s="8"/>
      <c r="AO758" s="50" t="s">
        <v>2964</v>
      </c>
      <c r="AP758" s="50">
        <v>434.0</v>
      </c>
      <c r="AQ758" s="50" t="s">
        <v>1700</v>
      </c>
      <c r="AR758" s="50" t="s">
        <v>1701</v>
      </c>
      <c r="AS758" s="50" t="s">
        <v>1702</v>
      </c>
      <c r="AT758" s="50" t="s">
        <v>1703</v>
      </c>
      <c r="AU758" s="50" t="s">
        <v>1704</v>
      </c>
      <c r="AV758" s="50" t="s">
        <v>1702</v>
      </c>
      <c r="AW758" s="50" t="s">
        <v>2003</v>
      </c>
      <c r="AX758" s="50" t="s">
        <v>2004</v>
      </c>
      <c r="AY758" s="50">
        <v>56.3</v>
      </c>
      <c r="AZ758" s="50">
        <v>-120.7</v>
      </c>
      <c r="BA758" s="50">
        <v>695.0</v>
      </c>
    </row>
    <row r="759" ht="14.25" customHeight="1">
      <c r="A759" s="5" t="s">
        <v>422</v>
      </c>
      <c r="B759" s="5">
        <v>12.0</v>
      </c>
      <c r="C759" s="5" t="s">
        <v>1707</v>
      </c>
      <c r="D759" s="5">
        <v>435.0</v>
      </c>
      <c r="E759" s="5">
        <v>12975.0</v>
      </c>
      <c r="F759" s="51" t="s">
        <v>2965</v>
      </c>
      <c r="G759" s="5" t="s">
        <v>127</v>
      </c>
      <c r="H759" s="5" t="s">
        <v>1697</v>
      </c>
      <c r="I759" s="5" t="s">
        <v>49</v>
      </c>
      <c r="J759" s="5" t="s">
        <v>1746</v>
      </c>
      <c r="K759" s="5">
        <v>1.0</v>
      </c>
      <c r="L759" s="5">
        <v>14907.0</v>
      </c>
      <c r="M759" s="64"/>
      <c r="N759" s="36"/>
      <c r="P759" s="36"/>
      <c r="R759" s="36"/>
      <c r="T759" s="37"/>
      <c r="AO759" s="50" t="s">
        <v>2966</v>
      </c>
      <c r="AP759" s="50">
        <v>435.0</v>
      </c>
      <c r="AQ759" s="50" t="s">
        <v>1700</v>
      </c>
      <c r="AR759" s="50" t="s">
        <v>1701</v>
      </c>
      <c r="AS759" s="50" t="s">
        <v>1702</v>
      </c>
      <c r="AT759" s="50" t="s">
        <v>1703</v>
      </c>
      <c r="AU759" s="50" t="s">
        <v>1704</v>
      </c>
      <c r="AV759" s="50" t="s">
        <v>1702</v>
      </c>
      <c r="AW759" s="50" t="s">
        <v>2003</v>
      </c>
      <c r="AX759" s="50" t="s">
        <v>2024</v>
      </c>
      <c r="AY759" s="50">
        <v>55.8</v>
      </c>
      <c r="AZ759" s="50">
        <v>-120.2</v>
      </c>
      <c r="BA759" s="50">
        <v>655.0</v>
      </c>
    </row>
    <row r="760" ht="14.25" customHeight="1">
      <c r="B760" s="5">
        <v>12.0</v>
      </c>
      <c r="C760" s="5" t="s">
        <v>1711</v>
      </c>
      <c r="D760" s="5">
        <v>436.0</v>
      </c>
      <c r="E760" s="5">
        <v>1973.0</v>
      </c>
      <c r="F760" s="18" t="s">
        <v>2967</v>
      </c>
      <c r="G760" s="5" t="s">
        <v>2968</v>
      </c>
      <c r="H760" s="5" t="s">
        <v>2969</v>
      </c>
      <c r="I760" s="5" t="s">
        <v>1664</v>
      </c>
      <c r="J760" s="5" t="s">
        <v>1715</v>
      </c>
      <c r="K760" s="5">
        <v>1.0</v>
      </c>
      <c r="L760" s="5">
        <v>2376.0</v>
      </c>
      <c r="M760" s="8"/>
      <c r="AO760" s="5" t="s">
        <v>2967</v>
      </c>
      <c r="AP760" s="5">
        <v>436.0</v>
      </c>
      <c r="AQ760" s="5" t="s">
        <v>1716</v>
      </c>
      <c r="AR760" s="5" t="s">
        <v>1717</v>
      </c>
      <c r="AS760" s="5" t="s">
        <v>1718</v>
      </c>
      <c r="AT760" s="5" t="s">
        <v>1719</v>
      </c>
      <c r="AU760" s="5" t="s">
        <v>1703</v>
      </c>
      <c r="AV760" s="5" t="s">
        <v>1720</v>
      </c>
      <c r="AW760" s="5" t="s">
        <v>2003</v>
      </c>
      <c r="AX760" s="5" t="s">
        <v>2024</v>
      </c>
      <c r="AY760" s="5">
        <v>55.3</v>
      </c>
      <c r="AZ760" s="5">
        <v>-120.1</v>
      </c>
      <c r="BA760" s="5">
        <v>7.0</v>
      </c>
    </row>
    <row r="761" ht="14.25" customHeight="1">
      <c r="A761" s="5" t="s">
        <v>88</v>
      </c>
      <c r="B761" s="5">
        <v>12.0</v>
      </c>
      <c r="C761" s="5" t="s">
        <v>1711</v>
      </c>
      <c r="D761" s="5">
        <v>437.0</v>
      </c>
      <c r="E761" s="5">
        <v>1974.0</v>
      </c>
      <c r="F761" s="5" t="s">
        <v>2970</v>
      </c>
      <c r="G761" s="10" t="s">
        <v>2971</v>
      </c>
      <c r="H761" s="5" t="s">
        <v>2972</v>
      </c>
      <c r="I761" s="5" t="s">
        <v>641</v>
      </c>
      <c r="J761" s="5" t="s">
        <v>1736</v>
      </c>
      <c r="K761" s="5">
        <v>1.0</v>
      </c>
      <c r="L761" s="5">
        <v>2377.0</v>
      </c>
      <c r="M761" s="64">
        <v>55.29576</v>
      </c>
      <c r="N761" s="36">
        <v>-120.48606</v>
      </c>
      <c r="O761" s="11" t="s">
        <v>153</v>
      </c>
      <c r="P761" s="36">
        <v>437.0</v>
      </c>
      <c r="Q761" s="22">
        <v>8.0</v>
      </c>
      <c r="R761" s="36" t="s">
        <v>2970</v>
      </c>
      <c r="S761" s="11" t="s">
        <v>1737</v>
      </c>
      <c r="T761" s="37">
        <v>988.0</v>
      </c>
      <c r="U761" s="11" t="s">
        <v>645</v>
      </c>
      <c r="V761" s="11" t="s">
        <v>1830</v>
      </c>
      <c r="W761" s="23">
        <v>33970.0</v>
      </c>
      <c r="X761" s="11" t="s">
        <v>1738</v>
      </c>
      <c r="AO761" s="5" t="s">
        <v>2970</v>
      </c>
      <c r="AP761" s="5">
        <v>437.0</v>
      </c>
      <c r="AQ761" s="5" t="s">
        <v>1700</v>
      </c>
      <c r="AR761" s="5" t="s">
        <v>1739</v>
      </c>
      <c r="AS761" s="5" t="s">
        <v>1740</v>
      </c>
      <c r="AT761" s="5" t="s">
        <v>1835</v>
      </c>
      <c r="AU761" s="5" t="s">
        <v>1959</v>
      </c>
      <c r="AV761" s="5" t="s">
        <v>1720</v>
      </c>
      <c r="AW761" s="5" t="s">
        <v>2003</v>
      </c>
      <c r="AX761" s="5" t="s">
        <v>2024</v>
      </c>
      <c r="AY761" s="5">
        <v>55.2956</v>
      </c>
      <c r="AZ761" s="5">
        <v>-120.485</v>
      </c>
      <c r="BA761" s="5">
        <v>977.0</v>
      </c>
    </row>
    <row r="762" ht="14.25" customHeight="1">
      <c r="A762" s="5" t="s">
        <v>88</v>
      </c>
      <c r="B762" s="5">
        <v>12.0</v>
      </c>
      <c r="C762" s="5" t="s">
        <v>1711</v>
      </c>
      <c r="D762" s="5">
        <v>438.0</v>
      </c>
      <c r="E762" s="5">
        <v>1975.0</v>
      </c>
      <c r="F762" s="5" t="s">
        <v>2973</v>
      </c>
      <c r="G762" s="10" t="s">
        <v>2974</v>
      </c>
      <c r="H762" s="5" t="s">
        <v>2975</v>
      </c>
      <c r="I762" s="5" t="s">
        <v>641</v>
      </c>
      <c r="J762" s="5" t="s">
        <v>1736</v>
      </c>
      <c r="K762" s="5">
        <v>1.0</v>
      </c>
      <c r="L762" s="5">
        <v>2378.0</v>
      </c>
      <c r="M762" s="8">
        <v>59.33369</v>
      </c>
      <c r="N762" s="11">
        <v>-125.51139</v>
      </c>
      <c r="O762" s="11" t="s">
        <v>1577</v>
      </c>
      <c r="P762" s="16">
        <v>438.0</v>
      </c>
      <c r="Q762" s="22">
        <v>1.0</v>
      </c>
      <c r="R762" s="11" t="s">
        <v>2973</v>
      </c>
      <c r="S762" s="11" t="s">
        <v>1737</v>
      </c>
      <c r="T762" s="11">
        <v>437.0</v>
      </c>
      <c r="U762" s="11"/>
      <c r="V762" s="11"/>
      <c r="W762" s="23">
        <v>26665.0</v>
      </c>
      <c r="X762" s="11" t="s">
        <v>1738</v>
      </c>
      <c r="AO762" s="5" t="s">
        <v>2973</v>
      </c>
      <c r="AP762" s="5">
        <v>438.0</v>
      </c>
      <c r="AQ762" s="5" t="s">
        <v>1716</v>
      </c>
      <c r="AR762" s="5" t="s">
        <v>1739</v>
      </c>
      <c r="AS762" s="5" t="s">
        <v>1740</v>
      </c>
      <c r="AT762" s="5" t="s">
        <v>1741</v>
      </c>
      <c r="AU762" s="5" t="s">
        <v>1742</v>
      </c>
      <c r="AV762" s="5" t="s">
        <v>1720</v>
      </c>
      <c r="AW762" s="5" t="s">
        <v>2003</v>
      </c>
      <c r="AX762" s="5" t="s">
        <v>2009</v>
      </c>
      <c r="AY762" s="5">
        <v>59.3336</v>
      </c>
      <c r="AZ762" s="5">
        <v>-125.5114</v>
      </c>
      <c r="BA762" s="5">
        <v>437.0</v>
      </c>
    </row>
    <row r="763" ht="14.25" customHeight="1">
      <c r="B763" s="5">
        <v>12.0</v>
      </c>
      <c r="C763" s="5" t="s">
        <v>1711</v>
      </c>
      <c r="D763" s="5">
        <v>440.0</v>
      </c>
      <c r="E763" s="5">
        <v>1976.0</v>
      </c>
      <c r="F763" s="5" t="s">
        <v>2976</v>
      </c>
      <c r="G763" s="10" t="s">
        <v>2977</v>
      </c>
      <c r="H763" s="5" t="s">
        <v>2978</v>
      </c>
      <c r="I763" s="5" t="s">
        <v>641</v>
      </c>
      <c r="J763" s="5" t="s">
        <v>1736</v>
      </c>
      <c r="K763" s="5">
        <v>1.0</v>
      </c>
      <c r="L763" s="5">
        <v>2379.0</v>
      </c>
      <c r="M763" s="64">
        <v>59.72267</v>
      </c>
      <c r="N763" s="36">
        <v>-127.33514</v>
      </c>
      <c r="O763" s="11" t="s">
        <v>1577</v>
      </c>
      <c r="P763" s="36">
        <v>440.0</v>
      </c>
      <c r="Q763" s="22">
        <v>1.0</v>
      </c>
      <c r="R763" s="36" t="s">
        <v>2976</v>
      </c>
      <c r="S763" s="11" t="s">
        <v>1737</v>
      </c>
      <c r="T763" s="37">
        <v>731.0</v>
      </c>
      <c r="U763" s="11"/>
      <c r="V763" s="11"/>
      <c r="W763" s="23">
        <v>35065.0</v>
      </c>
      <c r="X763" s="11" t="s">
        <v>1738</v>
      </c>
      <c r="AO763" s="5" t="s">
        <v>2976</v>
      </c>
      <c r="AP763" s="5">
        <v>440.0</v>
      </c>
      <c r="AQ763" s="5" t="s">
        <v>1716</v>
      </c>
      <c r="AR763" s="5" t="s">
        <v>1739</v>
      </c>
      <c r="AS763" s="5" t="s">
        <v>1740</v>
      </c>
      <c r="AT763" s="5" t="s">
        <v>1741</v>
      </c>
      <c r="AU763" s="5" t="s">
        <v>1742</v>
      </c>
      <c r="AV763" s="5" t="s">
        <v>1720</v>
      </c>
      <c r="AW763" s="5" t="s">
        <v>2003</v>
      </c>
      <c r="AX763" s="5" t="s">
        <v>2009</v>
      </c>
      <c r="AY763" s="5">
        <v>59.7226</v>
      </c>
      <c r="AZ763" s="5">
        <v>-127.335</v>
      </c>
      <c r="BA763" s="5">
        <v>735.0</v>
      </c>
    </row>
    <row r="764" ht="14.25" customHeight="1">
      <c r="B764" s="5">
        <v>12.0</v>
      </c>
      <c r="C764" s="5" t="s">
        <v>1711</v>
      </c>
      <c r="D764" s="5">
        <v>441.0</v>
      </c>
      <c r="E764" s="5">
        <v>1977.0</v>
      </c>
      <c r="F764" s="18" t="s">
        <v>2979</v>
      </c>
      <c r="G764" s="5" t="s">
        <v>2980</v>
      </c>
      <c r="H764" s="5" t="s">
        <v>2981</v>
      </c>
      <c r="I764" s="5" t="s">
        <v>1664</v>
      </c>
      <c r="J764" s="5" t="s">
        <v>1715</v>
      </c>
      <c r="K764" s="5">
        <v>1.0</v>
      </c>
      <c r="L764" s="5">
        <v>2380.0</v>
      </c>
      <c r="M764" s="8"/>
      <c r="AO764" s="5" t="s">
        <v>2979</v>
      </c>
      <c r="AP764" s="5">
        <v>441.0</v>
      </c>
      <c r="AQ764" s="5" t="s">
        <v>1716</v>
      </c>
      <c r="AR764" s="5" t="s">
        <v>1717</v>
      </c>
      <c r="AS764" s="5" t="s">
        <v>1718</v>
      </c>
      <c r="AT764" s="5" t="s">
        <v>1719</v>
      </c>
      <c r="AU764" s="5" t="s">
        <v>1703</v>
      </c>
      <c r="AV764" s="5" t="s">
        <v>1720</v>
      </c>
      <c r="AW764" s="5" t="s">
        <v>1947</v>
      </c>
      <c r="AX764" s="5" t="s">
        <v>2009</v>
      </c>
      <c r="AY764" s="5">
        <v>59.7</v>
      </c>
      <c r="AZ764" s="5">
        <v>-127.0</v>
      </c>
      <c r="BA764" s="5">
        <v>5.0</v>
      </c>
    </row>
    <row r="765" ht="14.25" customHeight="1">
      <c r="B765" s="5">
        <v>12.0</v>
      </c>
      <c r="C765" s="5" t="s">
        <v>1711</v>
      </c>
      <c r="D765" s="5">
        <v>442.0</v>
      </c>
      <c r="E765" s="5">
        <v>1978.0</v>
      </c>
      <c r="F765" s="18" t="s">
        <v>2982</v>
      </c>
      <c r="G765" s="5" t="s">
        <v>2983</v>
      </c>
      <c r="H765" s="5" t="s">
        <v>2984</v>
      </c>
      <c r="I765" s="5" t="s">
        <v>1664</v>
      </c>
      <c r="J765" s="5" t="s">
        <v>1746</v>
      </c>
      <c r="K765" s="5">
        <v>1.0</v>
      </c>
      <c r="L765" s="5">
        <v>2381.0</v>
      </c>
      <c r="M765" s="64"/>
      <c r="N765" s="36"/>
      <c r="P765" s="36"/>
      <c r="R765" s="36"/>
      <c r="T765" s="37"/>
      <c r="AO765" s="5" t="s">
        <v>2982</v>
      </c>
      <c r="AP765" s="5">
        <v>442.0</v>
      </c>
      <c r="AQ765" s="5" t="s">
        <v>1716</v>
      </c>
      <c r="AR765" s="5" t="s">
        <v>1717</v>
      </c>
      <c r="AS765" s="5" t="s">
        <v>1718</v>
      </c>
      <c r="AT765" s="5" t="s">
        <v>1719</v>
      </c>
      <c r="AU765" s="5" t="s">
        <v>1703</v>
      </c>
      <c r="AV765" s="5" t="s">
        <v>1720</v>
      </c>
      <c r="AW765" s="5" t="s">
        <v>1947</v>
      </c>
      <c r="AX765" s="5" t="s">
        <v>2009</v>
      </c>
      <c r="AY765" s="5">
        <v>59.1</v>
      </c>
      <c r="AZ765" s="5">
        <v>-128.1</v>
      </c>
      <c r="BA765" s="5">
        <v>0.0</v>
      </c>
    </row>
    <row r="766" ht="14.25" customHeight="1">
      <c r="B766" s="5">
        <v>12.0</v>
      </c>
      <c r="C766" s="5" t="s">
        <v>1711</v>
      </c>
      <c r="D766" s="5">
        <v>443.0</v>
      </c>
      <c r="E766" s="5">
        <v>1979.0</v>
      </c>
      <c r="F766" s="18" t="s">
        <v>2985</v>
      </c>
      <c r="G766" s="5" t="s">
        <v>2986</v>
      </c>
      <c r="H766" s="5" t="s">
        <v>2987</v>
      </c>
      <c r="I766" s="5" t="s">
        <v>1664</v>
      </c>
      <c r="J766" s="5" t="s">
        <v>1715</v>
      </c>
      <c r="K766" s="5">
        <v>1.0</v>
      </c>
      <c r="L766" s="5">
        <v>2382.0</v>
      </c>
      <c r="M766" s="8"/>
      <c r="AO766" s="5" t="s">
        <v>2985</v>
      </c>
      <c r="AP766" s="5">
        <v>443.0</v>
      </c>
      <c r="AQ766" s="5" t="s">
        <v>1716</v>
      </c>
      <c r="AR766" s="5" t="s">
        <v>1717</v>
      </c>
      <c r="AS766" s="5" t="s">
        <v>1718</v>
      </c>
      <c r="AT766" s="5" t="s">
        <v>1719</v>
      </c>
      <c r="AU766" s="5" t="s">
        <v>1703</v>
      </c>
      <c r="AV766" s="5" t="s">
        <v>1720</v>
      </c>
      <c r="AW766" s="5" t="s">
        <v>1947</v>
      </c>
      <c r="AX766" s="5" t="s">
        <v>1986</v>
      </c>
      <c r="AY766" s="5">
        <v>59.3</v>
      </c>
      <c r="AZ766" s="5">
        <v>-129.3</v>
      </c>
      <c r="BA766" s="5">
        <v>8.0</v>
      </c>
    </row>
    <row r="767" ht="14.25" customHeight="1">
      <c r="B767" s="5">
        <v>12.0</v>
      </c>
      <c r="C767" s="5" t="s">
        <v>1711</v>
      </c>
      <c r="D767" s="5">
        <v>444.0</v>
      </c>
      <c r="E767" s="5">
        <v>1980.0</v>
      </c>
      <c r="F767" s="5" t="s">
        <v>2988</v>
      </c>
      <c r="G767" s="5" t="s">
        <v>2989</v>
      </c>
      <c r="H767" s="5" t="s">
        <v>2990</v>
      </c>
      <c r="I767" s="5" t="s">
        <v>641</v>
      </c>
      <c r="J767" s="5" t="s">
        <v>1736</v>
      </c>
      <c r="K767" s="5">
        <v>1.0</v>
      </c>
      <c r="L767" s="5">
        <v>2383.0</v>
      </c>
      <c r="M767" s="64">
        <v>58.72698</v>
      </c>
      <c r="N767" s="36">
        <v>-127.12496</v>
      </c>
      <c r="O767" s="11" t="s">
        <v>1577</v>
      </c>
      <c r="P767" s="11">
        <v>444.0</v>
      </c>
      <c r="Q767" s="22">
        <v>1.0</v>
      </c>
      <c r="R767" s="36" t="s">
        <v>2988</v>
      </c>
      <c r="S767" s="11" t="s">
        <v>1737</v>
      </c>
      <c r="T767" s="37">
        <v>687.0</v>
      </c>
      <c r="U767" s="11"/>
      <c r="V767" s="11"/>
      <c r="W767" s="23">
        <v>31413.0</v>
      </c>
      <c r="X767" s="11" t="s">
        <v>1738</v>
      </c>
      <c r="AO767" s="5" t="s">
        <v>2988</v>
      </c>
      <c r="AP767" s="5">
        <v>444.0</v>
      </c>
      <c r="AQ767" s="5" t="s">
        <v>1716</v>
      </c>
      <c r="AR767" s="5" t="s">
        <v>2441</v>
      </c>
      <c r="AS767" s="5" t="s">
        <v>1740</v>
      </c>
      <c r="AT767" s="5" t="s">
        <v>1741</v>
      </c>
      <c r="AU767" s="5" t="s">
        <v>1742</v>
      </c>
      <c r="AV767" s="5" t="s">
        <v>1720</v>
      </c>
      <c r="AW767" s="5" t="s">
        <v>2003</v>
      </c>
      <c r="AX767" s="5" t="s">
        <v>2009</v>
      </c>
      <c r="AY767" s="5">
        <v>58.727</v>
      </c>
      <c r="AZ767" s="5">
        <v>-127.125</v>
      </c>
      <c r="BA767" s="5">
        <v>687.0</v>
      </c>
    </row>
    <row r="768" ht="14.25" customHeight="1">
      <c r="A768" s="5" t="s">
        <v>88</v>
      </c>
      <c r="B768" s="5">
        <v>12.0</v>
      </c>
      <c r="C768" s="5" t="s">
        <v>1711</v>
      </c>
      <c r="D768" s="5">
        <v>445.0</v>
      </c>
      <c r="E768" s="5">
        <v>1981.0</v>
      </c>
      <c r="F768" s="5" t="s">
        <v>2991</v>
      </c>
      <c r="G768" s="10" t="s">
        <v>2992</v>
      </c>
      <c r="H768" s="5" t="s">
        <v>2993</v>
      </c>
      <c r="I768" s="5" t="s">
        <v>641</v>
      </c>
      <c r="J768" s="5" t="s">
        <v>1865</v>
      </c>
      <c r="K768" s="5">
        <v>1.0</v>
      </c>
      <c r="L768" s="5">
        <v>2384.0</v>
      </c>
      <c r="M768" s="8">
        <v>59.36833</v>
      </c>
      <c r="N768" s="11">
        <v>-129.11</v>
      </c>
      <c r="O768" s="11" t="s">
        <v>1577</v>
      </c>
      <c r="P768" s="11">
        <v>445.0</v>
      </c>
      <c r="Q768" s="22">
        <v>1.0</v>
      </c>
      <c r="R768" s="11" t="s">
        <v>2991</v>
      </c>
      <c r="S768" s="11" t="s">
        <v>1737</v>
      </c>
      <c r="T768" s="11">
        <v>730.0</v>
      </c>
      <c r="U768" s="11"/>
      <c r="V768" s="11"/>
      <c r="W768" s="23">
        <v>31048.0</v>
      </c>
      <c r="X768" s="11" t="s">
        <v>1738</v>
      </c>
      <c r="AO768" s="5" t="s">
        <v>2991</v>
      </c>
      <c r="AP768" s="5">
        <v>445.0</v>
      </c>
      <c r="AQ768" s="5" t="s">
        <v>1716</v>
      </c>
      <c r="AR768" s="5" t="s">
        <v>1739</v>
      </c>
      <c r="AS768" s="5" t="s">
        <v>1740</v>
      </c>
      <c r="AT768" s="5" t="s">
        <v>1741</v>
      </c>
      <c r="AU768" s="5" t="s">
        <v>1742</v>
      </c>
      <c r="AV768" s="5" t="s">
        <v>1720</v>
      </c>
      <c r="AW768" s="5" t="s">
        <v>1947</v>
      </c>
      <c r="AX768" s="5" t="s">
        <v>1986</v>
      </c>
      <c r="AY768" s="5">
        <v>59.3673</v>
      </c>
      <c r="AZ768" s="5">
        <v>-129.111</v>
      </c>
      <c r="BA768" s="5">
        <v>742.0</v>
      </c>
    </row>
    <row r="769" ht="14.25" customHeight="1">
      <c r="A769" s="5" t="s">
        <v>422</v>
      </c>
      <c r="B769" s="5">
        <v>12.0</v>
      </c>
      <c r="C769" s="5" t="s">
        <v>1711</v>
      </c>
      <c r="D769" s="5">
        <v>446.0</v>
      </c>
      <c r="E769" s="5">
        <v>1982.0</v>
      </c>
      <c r="F769" s="18" t="s">
        <v>2994</v>
      </c>
      <c r="G769" s="5" t="s">
        <v>2995</v>
      </c>
      <c r="H769" s="5" t="s">
        <v>2996</v>
      </c>
      <c r="I769" s="5" t="s">
        <v>1664</v>
      </c>
      <c r="J769" s="5" t="s">
        <v>1746</v>
      </c>
      <c r="K769" s="5">
        <v>1.0</v>
      </c>
      <c r="L769" s="5">
        <v>2385.0</v>
      </c>
      <c r="M769" s="64"/>
      <c r="N769" s="36"/>
      <c r="P769" s="36"/>
      <c r="R769" s="36"/>
      <c r="T769" s="37"/>
      <c r="AO769" s="5" t="s">
        <v>2994</v>
      </c>
      <c r="AP769" s="5">
        <v>446.0</v>
      </c>
      <c r="AQ769" s="5" t="s">
        <v>1716</v>
      </c>
      <c r="AR769" s="5" t="s">
        <v>1717</v>
      </c>
      <c r="AS769" s="5" t="s">
        <v>1718</v>
      </c>
      <c r="AT769" s="5" t="s">
        <v>1719</v>
      </c>
      <c r="AU769" s="5" t="s">
        <v>1703</v>
      </c>
      <c r="AV769" s="5" t="s">
        <v>1720</v>
      </c>
      <c r="AW769" s="5" t="s">
        <v>1947</v>
      </c>
      <c r="AX769" s="5" t="s">
        <v>2009</v>
      </c>
      <c r="AY769" s="5">
        <v>59.7</v>
      </c>
      <c r="AZ769" s="5">
        <v>-127.2</v>
      </c>
      <c r="BA769" s="5">
        <v>7.0</v>
      </c>
    </row>
    <row r="770" ht="14.25" customHeight="1">
      <c r="A770" s="5" t="s">
        <v>1908</v>
      </c>
      <c r="B770" s="5">
        <v>12.0</v>
      </c>
      <c r="C770" s="5" t="s">
        <v>1711</v>
      </c>
      <c r="D770" s="5">
        <v>474.0</v>
      </c>
      <c r="E770" s="5">
        <v>1984.0</v>
      </c>
      <c r="F770" s="5" t="s">
        <v>2997</v>
      </c>
      <c r="G770" s="10" t="s">
        <v>2998</v>
      </c>
      <c r="H770" s="5" t="s">
        <v>2999</v>
      </c>
      <c r="I770" s="5" t="s">
        <v>641</v>
      </c>
      <c r="J770" s="5" t="s">
        <v>3000</v>
      </c>
      <c r="K770" s="5">
        <v>1.0</v>
      </c>
      <c r="L770" s="5">
        <v>2387.0</v>
      </c>
      <c r="M770" s="8">
        <v>52.0105</v>
      </c>
      <c r="N770" s="11">
        <v>-119.25502</v>
      </c>
      <c r="O770" s="11" t="s">
        <v>170</v>
      </c>
      <c r="P770" s="11">
        <v>474.0</v>
      </c>
      <c r="Q770" s="22">
        <v>8.0</v>
      </c>
      <c r="R770" s="11" t="s">
        <v>3001</v>
      </c>
      <c r="S770" s="11" t="s">
        <v>1737</v>
      </c>
      <c r="T770" s="11">
        <v>2153.0</v>
      </c>
      <c r="U770" s="11"/>
      <c r="V770" s="11"/>
      <c r="W770" s="23">
        <v>34335.0</v>
      </c>
      <c r="X770" s="11" t="s">
        <v>1738</v>
      </c>
      <c r="AO770" s="5" t="s">
        <v>3002</v>
      </c>
      <c r="AP770" s="5">
        <v>474.0</v>
      </c>
      <c r="AQ770" s="5" t="s">
        <v>3003</v>
      </c>
      <c r="AR770" s="5" t="s">
        <v>1701</v>
      </c>
      <c r="AS770" s="5" t="s">
        <v>1740</v>
      </c>
      <c r="AT770" s="5" t="s">
        <v>1835</v>
      </c>
      <c r="AU770" s="5" t="s">
        <v>2489</v>
      </c>
      <c r="AV770" s="5" t="s">
        <v>1720</v>
      </c>
      <c r="AW770" s="5" t="s">
        <v>2368</v>
      </c>
      <c r="AX770" s="5" t="s">
        <v>2369</v>
      </c>
      <c r="AY770" s="5">
        <v>52.0105</v>
      </c>
      <c r="AZ770" s="5">
        <v>-119.255</v>
      </c>
      <c r="BA770" s="5">
        <v>2149.0</v>
      </c>
    </row>
    <row r="771" ht="14.25" customHeight="1">
      <c r="B771" s="5">
        <v>12.0</v>
      </c>
      <c r="C771" s="5" t="s">
        <v>1711</v>
      </c>
      <c r="D771" s="5">
        <v>480.0</v>
      </c>
      <c r="E771" s="5">
        <v>12335.0</v>
      </c>
      <c r="F771" s="5" t="s">
        <v>3004</v>
      </c>
      <c r="G771" s="5" t="s">
        <v>3005</v>
      </c>
      <c r="H771" s="5" t="s">
        <v>3006</v>
      </c>
      <c r="I771" s="5" t="s">
        <v>49</v>
      </c>
      <c r="J771" s="5" t="s">
        <v>1746</v>
      </c>
      <c r="K771" s="5">
        <v>1.0</v>
      </c>
      <c r="L771" s="5">
        <v>14391.0</v>
      </c>
      <c r="M771" s="8"/>
      <c r="N771" s="11"/>
      <c r="O771" s="11"/>
      <c r="P771" s="11"/>
      <c r="Q771" s="22"/>
      <c r="R771" s="11"/>
      <c r="S771" s="11"/>
      <c r="T771" s="11"/>
      <c r="U771" s="11"/>
      <c r="V771" s="11"/>
      <c r="W771" s="23"/>
      <c r="X771" s="11"/>
      <c r="AO771" s="5" t="s">
        <v>3004</v>
      </c>
      <c r="AP771" s="5">
        <v>480.0</v>
      </c>
      <c r="AQ771" s="5" t="s">
        <v>1700</v>
      </c>
      <c r="AR771" s="5" t="s">
        <v>1701</v>
      </c>
      <c r="AS771" s="5" t="s">
        <v>1740</v>
      </c>
      <c r="AT771" s="5" t="s">
        <v>1835</v>
      </c>
      <c r="AU771" s="5" t="s">
        <v>2489</v>
      </c>
      <c r="AV771" s="5" t="s">
        <v>1720</v>
      </c>
      <c r="AW771" s="5" t="s">
        <v>2368</v>
      </c>
      <c r="AX771" s="5" t="s">
        <v>2522</v>
      </c>
      <c r="AY771" s="5">
        <v>50.3682</v>
      </c>
      <c r="AZ771" s="5">
        <v>-119.0654</v>
      </c>
      <c r="BA771" s="5">
        <v>1880.0</v>
      </c>
    </row>
    <row r="772" ht="14.25" customHeight="1">
      <c r="A772" s="5" t="s">
        <v>2251</v>
      </c>
      <c r="B772" s="5">
        <v>12.0</v>
      </c>
      <c r="C772" s="5" t="s">
        <v>1711</v>
      </c>
      <c r="D772" s="5">
        <v>503.0</v>
      </c>
      <c r="E772" s="5">
        <v>1985.0</v>
      </c>
      <c r="F772" s="10" t="s">
        <v>3007</v>
      </c>
      <c r="G772" s="10" t="s">
        <v>3008</v>
      </c>
      <c r="H772" s="5" t="s">
        <v>3009</v>
      </c>
      <c r="I772" s="5" t="s">
        <v>641</v>
      </c>
      <c r="J772" s="5" t="s">
        <v>3010</v>
      </c>
      <c r="K772" s="5">
        <v>1.0</v>
      </c>
      <c r="L772" s="5">
        <v>2388.0</v>
      </c>
      <c r="M772" s="8">
        <v>49.45616</v>
      </c>
      <c r="N772" s="11">
        <v>-115.62633</v>
      </c>
      <c r="O772" s="11" t="s">
        <v>170</v>
      </c>
      <c r="P772" s="16">
        <v>503.0</v>
      </c>
      <c r="Q772" s="22">
        <v>8.0</v>
      </c>
      <c r="R772" s="11" t="s">
        <v>3011</v>
      </c>
      <c r="S772" s="11" t="s">
        <v>1737</v>
      </c>
      <c r="T772" s="11">
        <v>2262.0</v>
      </c>
      <c r="U772" s="11"/>
      <c r="V772" s="11"/>
      <c r="W772" s="23">
        <v>39259.0</v>
      </c>
      <c r="X772" s="11" t="s">
        <v>1738</v>
      </c>
      <c r="AO772" s="5" t="s">
        <v>3012</v>
      </c>
      <c r="AP772" s="5">
        <v>503.0</v>
      </c>
      <c r="AQ772" s="5" t="s">
        <v>1700</v>
      </c>
      <c r="AR772" s="5" t="s">
        <v>1701</v>
      </c>
      <c r="AS772" s="5" t="s">
        <v>1740</v>
      </c>
      <c r="AT772" s="5" t="s">
        <v>1835</v>
      </c>
      <c r="AU772" s="5" t="s">
        <v>2043</v>
      </c>
      <c r="AV772" s="5" t="s">
        <v>1720</v>
      </c>
      <c r="AW772" s="5" t="s">
        <v>2698</v>
      </c>
      <c r="AX772" s="5" t="s">
        <v>2902</v>
      </c>
      <c r="AY772" s="5">
        <v>49.4589</v>
      </c>
      <c r="AZ772" s="5">
        <v>-115.6303</v>
      </c>
      <c r="BA772" s="5">
        <v>2262.0</v>
      </c>
    </row>
    <row r="773" ht="14.25" customHeight="1">
      <c r="B773" s="5">
        <v>12.0</v>
      </c>
      <c r="C773" s="5" t="s">
        <v>1711</v>
      </c>
      <c r="D773" s="5">
        <v>521.0</v>
      </c>
      <c r="E773" s="5">
        <v>1986.0</v>
      </c>
      <c r="F773" s="18" t="s">
        <v>3013</v>
      </c>
      <c r="G773" s="29" t="s">
        <v>3014</v>
      </c>
      <c r="H773" s="5" t="s">
        <v>3015</v>
      </c>
      <c r="I773" s="5" t="s">
        <v>1664</v>
      </c>
      <c r="J773" s="5" t="s">
        <v>1746</v>
      </c>
      <c r="K773" s="5">
        <v>1.0</v>
      </c>
      <c r="L773" s="5">
        <v>2389.0</v>
      </c>
      <c r="M773" s="8"/>
      <c r="AO773" s="5" t="s">
        <v>3013</v>
      </c>
      <c r="AP773" s="5">
        <v>521.0</v>
      </c>
      <c r="AQ773" s="5" t="s">
        <v>1716</v>
      </c>
      <c r="AR773" s="5" t="s">
        <v>1717</v>
      </c>
      <c r="AS773" s="5" t="s">
        <v>1718</v>
      </c>
      <c r="AT773" s="5" t="s">
        <v>1719</v>
      </c>
      <c r="AU773" s="5" t="s">
        <v>1703</v>
      </c>
      <c r="AV773" s="5" t="s">
        <v>1720</v>
      </c>
      <c r="AW773" s="5" t="s">
        <v>1705</v>
      </c>
      <c r="AX773" s="5" t="s">
        <v>1706</v>
      </c>
      <c r="AY773" s="5">
        <v>49.0</v>
      </c>
      <c r="AZ773" s="5">
        <v>-125.0</v>
      </c>
      <c r="BA773" s="5">
        <v>40.0</v>
      </c>
    </row>
    <row r="774" ht="14.25" customHeight="1">
      <c r="A774" s="5" t="s">
        <v>422</v>
      </c>
      <c r="B774" s="5">
        <v>12.0</v>
      </c>
      <c r="C774" s="5" t="s">
        <v>1711</v>
      </c>
      <c r="D774" s="5">
        <v>522.0</v>
      </c>
      <c r="E774" s="5">
        <v>1987.0</v>
      </c>
      <c r="F774" s="18" t="s">
        <v>3016</v>
      </c>
      <c r="G774" s="29" t="s">
        <v>3017</v>
      </c>
      <c r="H774" s="5" t="s">
        <v>3018</v>
      </c>
      <c r="I774" s="5" t="s">
        <v>1664</v>
      </c>
      <c r="J774" s="5" t="s">
        <v>1746</v>
      </c>
      <c r="K774" s="5">
        <v>1.0</v>
      </c>
      <c r="L774" s="5">
        <v>2390.0</v>
      </c>
      <c r="M774" s="8"/>
      <c r="AO774" s="5" t="s">
        <v>3016</v>
      </c>
      <c r="AP774" s="5">
        <v>522.0</v>
      </c>
      <c r="AQ774" s="5" t="s">
        <v>1716</v>
      </c>
      <c r="AR774" s="5" t="s">
        <v>1717</v>
      </c>
      <c r="AS774" s="5" t="s">
        <v>1718</v>
      </c>
      <c r="AT774" s="5" t="s">
        <v>1719</v>
      </c>
      <c r="AU774" s="5" t="s">
        <v>1703</v>
      </c>
      <c r="AV774" s="5" t="s">
        <v>1720</v>
      </c>
      <c r="AW774" s="5" t="s">
        <v>1705</v>
      </c>
      <c r="AY774" s="5">
        <v>48.9</v>
      </c>
      <c r="AZ774" s="5">
        <v>-125.6</v>
      </c>
      <c r="BA774" s="5">
        <v>1.0</v>
      </c>
    </row>
    <row r="775" ht="14.25" customHeight="1">
      <c r="B775" s="5">
        <v>12.0</v>
      </c>
      <c r="C775" s="5" t="s">
        <v>1711</v>
      </c>
      <c r="D775" s="5">
        <v>523.0</v>
      </c>
      <c r="E775" s="5">
        <v>1988.0</v>
      </c>
      <c r="F775" s="18" t="s">
        <v>3019</v>
      </c>
      <c r="G775" s="29" t="s">
        <v>3020</v>
      </c>
      <c r="H775" s="5" t="s">
        <v>3021</v>
      </c>
      <c r="I775" s="5" t="s">
        <v>1664</v>
      </c>
      <c r="J775" s="5" t="s">
        <v>1715</v>
      </c>
      <c r="K775" s="5">
        <v>1.0</v>
      </c>
      <c r="L775" s="5">
        <v>2391.0</v>
      </c>
      <c r="M775" s="8"/>
      <c r="AO775" s="5" t="s">
        <v>3019</v>
      </c>
      <c r="AP775" s="5">
        <v>523.0</v>
      </c>
      <c r="AQ775" s="5" t="s">
        <v>1716</v>
      </c>
      <c r="AR775" s="5" t="s">
        <v>1717</v>
      </c>
      <c r="AS775" s="5" t="s">
        <v>1718</v>
      </c>
      <c r="AT775" s="5" t="s">
        <v>1719</v>
      </c>
      <c r="AU775" s="5" t="s">
        <v>1703</v>
      </c>
      <c r="AV775" s="5" t="s">
        <v>1720</v>
      </c>
      <c r="AW775" s="5" t="s">
        <v>1705</v>
      </c>
      <c r="AX775" s="5" t="s">
        <v>1706</v>
      </c>
      <c r="AY775" s="5">
        <v>49.4</v>
      </c>
      <c r="AZ775" s="5">
        <v>-126.3</v>
      </c>
      <c r="BA775" s="5">
        <v>0.0</v>
      </c>
    </row>
    <row r="776" ht="14.25" customHeight="1">
      <c r="B776" s="5">
        <v>12.0</v>
      </c>
      <c r="C776" s="5" t="s">
        <v>1711</v>
      </c>
      <c r="D776" s="5">
        <v>524.0</v>
      </c>
      <c r="E776" s="5">
        <v>1989.0</v>
      </c>
      <c r="F776" s="18" t="s">
        <v>3022</v>
      </c>
      <c r="G776" s="29" t="s">
        <v>3023</v>
      </c>
      <c r="H776" s="5" t="s">
        <v>3024</v>
      </c>
      <c r="I776" s="5" t="s">
        <v>1664</v>
      </c>
      <c r="J776" s="5" t="s">
        <v>1715</v>
      </c>
      <c r="K776" s="5">
        <v>1.0</v>
      </c>
      <c r="L776" s="5">
        <v>2392.0</v>
      </c>
      <c r="M776" s="8"/>
      <c r="AO776" s="5" t="s">
        <v>3022</v>
      </c>
      <c r="AP776" s="5">
        <v>524.0</v>
      </c>
      <c r="AQ776" s="5" t="s">
        <v>1716</v>
      </c>
      <c r="AR776" s="5" t="s">
        <v>1717</v>
      </c>
      <c r="AS776" s="5" t="s">
        <v>1718</v>
      </c>
      <c r="AT776" s="5" t="s">
        <v>1719</v>
      </c>
      <c r="AU776" s="5" t="s">
        <v>1703</v>
      </c>
      <c r="AV776" s="5" t="s">
        <v>1720</v>
      </c>
      <c r="AW776" s="5" t="s">
        <v>1705</v>
      </c>
      <c r="AX776" s="5" t="s">
        <v>1706</v>
      </c>
      <c r="AY776" s="5">
        <v>49.1</v>
      </c>
      <c r="AZ776" s="5">
        <v>-125.6</v>
      </c>
      <c r="BA776" s="5">
        <v>8.0</v>
      </c>
    </row>
    <row r="777" ht="14.25" customHeight="1">
      <c r="B777" s="5">
        <v>12.0</v>
      </c>
      <c r="C777" s="5" t="s">
        <v>1711</v>
      </c>
      <c r="D777" s="5">
        <v>525.0</v>
      </c>
      <c r="E777" s="5">
        <v>1990.0</v>
      </c>
      <c r="F777" s="18" t="s">
        <v>3025</v>
      </c>
      <c r="G777" s="5" t="s">
        <v>3026</v>
      </c>
      <c r="H777" s="5" t="s">
        <v>3027</v>
      </c>
      <c r="I777" s="5" t="s">
        <v>1664</v>
      </c>
      <c r="J777" s="5" t="s">
        <v>1715</v>
      </c>
      <c r="K777" s="5">
        <v>1.0</v>
      </c>
      <c r="L777" s="5">
        <v>2393.0</v>
      </c>
      <c r="M777" s="8"/>
      <c r="AO777" s="5" t="s">
        <v>3025</v>
      </c>
      <c r="AP777" s="5">
        <v>525.0</v>
      </c>
      <c r="AQ777" s="5" t="s">
        <v>1716</v>
      </c>
      <c r="AR777" s="5" t="s">
        <v>1717</v>
      </c>
      <c r="AS777" s="5" t="s">
        <v>1718</v>
      </c>
      <c r="AT777" s="5" t="s">
        <v>1719</v>
      </c>
      <c r="AU777" s="5" t="s">
        <v>1703</v>
      </c>
      <c r="AV777" s="5" t="s">
        <v>1720</v>
      </c>
      <c r="AW777" s="5" t="s">
        <v>1705</v>
      </c>
      <c r="AX777" s="5" t="s">
        <v>1706</v>
      </c>
      <c r="AY777" s="5">
        <v>49.2</v>
      </c>
      <c r="AZ777" s="5">
        <v>-125.7</v>
      </c>
      <c r="BA777" s="5">
        <v>0.0</v>
      </c>
    </row>
    <row r="778" ht="14.25" customHeight="1">
      <c r="B778" s="5">
        <v>12.0</v>
      </c>
      <c r="C778" s="5" t="s">
        <v>1711</v>
      </c>
      <c r="D778" s="5">
        <v>526.0</v>
      </c>
      <c r="E778" s="5">
        <v>1991.0</v>
      </c>
      <c r="F778" s="18" t="s">
        <v>3028</v>
      </c>
      <c r="G778" s="5" t="s">
        <v>3029</v>
      </c>
      <c r="H778" s="5" t="s">
        <v>3030</v>
      </c>
      <c r="I778" s="5" t="s">
        <v>1664</v>
      </c>
      <c r="J778" s="5" t="s">
        <v>1715</v>
      </c>
      <c r="K778" s="5">
        <v>1.0</v>
      </c>
      <c r="L778" s="5">
        <v>2394.0</v>
      </c>
      <c r="M778" s="8"/>
      <c r="AO778" s="5" t="s">
        <v>3028</v>
      </c>
      <c r="AP778" s="5">
        <v>526.0</v>
      </c>
      <c r="AQ778" s="5" t="s">
        <v>1716</v>
      </c>
      <c r="AR778" s="5" t="s">
        <v>1717</v>
      </c>
      <c r="AS778" s="5" t="s">
        <v>1718</v>
      </c>
      <c r="AT778" s="5" t="s">
        <v>1719</v>
      </c>
      <c r="AU778" s="5" t="s">
        <v>1703</v>
      </c>
      <c r="AV778" s="5" t="s">
        <v>1720</v>
      </c>
      <c r="AW778" s="5" t="s">
        <v>1705</v>
      </c>
      <c r="AX778" s="5" t="s">
        <v>1706</v>
      </c>
      <c r="AY778" s="5">
        <v>49.1</v>
      </c>
      <c r="AZ778" s="5">
        <v>-125.0</v>
      </c>
      <c r="BA778" s="5">
        <v>1.0</v>
      </c>
    </row>
    <row r="779" ht="14.25" customHeight="1">
      <c r="B779" s="5">
        <v>12.0</v>
      </c>
      <c r="C779" s="5" t="s">
        <v>1711</v>
      </c>
      <c r="D779" s="27">
        <v>527.0</v>
      </c>
      <c r="E779" s="5">
        <v>1992.0</v>
      </c>
      <c r="F779" s="18" t="s">
        <v>3031</v>
      </c>
      <c r="G779" s="5" t="s">
        <v>3032</v>
      </c>
      <c r="H779" s="5" t="s">
        <v>3030</v>
      </c>
      <c r="I779" s="5" t="s">
        <v>1664</v>
      </c>
      <c r="J779" s="5" t="s">
        <v>1715</v>
      </c>
      <c r="K779" s="5">
        <v>1.0</v>
      </c>
      <c r="L779" s="5">
        <v>2395.0</v>
      </c>
      <c r="M779" s="8"/>
      <c r="AO779" s="5" t="s">
        <v>3031</v>
      </c>
      <c r="AP779" s="5">
        <v>527.0</v>
      </c>
      <c r="AQ779" s="5" t="s">
        <v>1716</v>
      </c>
      <c r="AR779" s="5" t="s">
        <v>1717</v>
      </c>
      <c r="AS779" s="5" t="s">
        <v>1718</v>
      </c>
      <c r="AT779" s="5" t="s">
        <v>1719</v>
      </c>
      <c r="AU779" s="5" t="s">
        <v>1703</v>
      </c>
      <c r="AV779" s="5" t="s">
        <v>1720</v>
      </c>
      <c r="AW779" s="5" t="s">
        <v>1705</v>
      </c>
      <c r="AX779" s="5" t="s">
        <v>1710</v>
      </c>
      <c r="AY779" s="5">
        <v>50.7</v>
      </c>
      <c r="AZ779" s="5">
        <v>-127.5</v>
      </c>
      <c r="BA779" s="5">
        <v>1.0</v>
      </c>
    </row>
    <row r="780" ht="14.25" customHeight="1">
      <c r="B780" s="5">
        <v>12.0</v>
      </c>
      <c r="C780" s="5" t="s">
        <v>1711</v>
      </c>
      <c r="D780" s="27">
        <v>528.0</v>
      </c>
      <c r="E780" s="5">
        <v>1993.0</v>
      </c>
      <c r="F780" s="18" t="s">
        <v>3033</v>
      </c>
      <c r="G780" s="5" t="s">
        <v>3034</v>
      </c>
      <c r="H780" s="5" t="s">
        <v>3035</v>
      </c>
      <c r="I780" s="5" t="s">
        <v>1664</v>
      </c>
      <c r="J780" s="5" t="s">
        <v>1746</v>
      </c>
      <c r="K780" s="5">
        <v>1.0</v>
      </c>
      <c r="L780" s="5">
        <v>2396.0</v>
      </c>
      <c r="M780" s="8"/>
      <c r="AO780" s="5" t="s">
        <v>3033</v>
      </c>
      <c r="AP780" s="5">
        <v>528.0</v>
      </c>
      <c r="AQ780" s="5" t="s">
        <v>1716</v>
      </c>
      <c r="AR780" s="5" t="s">
        <v>1717</v>
      </c>
      <c r="AS780" s="5" t="s">
        <v>1718</v>
      </c>
      <c r="AT780" s="5" t="s">
        <v>1719</v>
      </c>
      <c r="AU780" s="5" t="s">
        <v>1703</v>
      </c>
      <c r="AV780" s="5" t="s">
        <v>1720</v>
      </c>
      <c r="AW780" s="5" t="s">
        <v>1705</v>
      </c>
      <c r="AX780" s="5" t="s">
        <v>1710</v>
      </c>
      <c r="AY780" s="5">
        <v>50.9</v>
      </c>
      <c r="AZ780" s="5">
        <v>-126.9</v>
      </c>
      <c r="BA780" s="5">
        <v>2.0</v>
      </c>
    </row>
    <row r="781" ht="14.25" customHeight="1">
      <c r="A781" s="5" t="s">
        <v>422</v>
      </c>
      <c r="B781" s="5">
        <v>12.0</v>
      </c>
      <c r="C781" s="5" t="s">
        <v>1711</v>
      </c>
      <c r="D781" s="27">
        <v>529.0</v>
      </c>
      <c r="E781" s="5">
        <v>1994.0</v>
      </c>
      <c r="F781" s="18" t="s">
        <v>3036</v>
      </c>
      <c r="G781" s="5" t="s">
        <v>3037</v>
      </c>
      <c r="H781" s="5" t="s">
        <v>3038</v>
      </c>
      <c r="I781" s="5" t="s">
        <v>1664</v>
      </c>
      <c r="J781" s="5" t="s">
        <v>1746</v>
      </c>
      <c r="K781" s="5">
        <v>1.0</v>
      </c>
      <c r="L781" s="5">
        <v>2397.0</v>
      </c>
      <c r="M781" s="8"/>
      <c r="AO781" s="5" t="s">
        <v>3036</v>
      </c>
      <c r="AP781" s="5">
        <v>529.0</v>
      </c>
      <c r="AQ781" s="5" t="s">
        <v>1716</v>
      </c>
      <c r="AR781" s="5" t="s">
        <v>1717</v>
      </c>
      <c r="AS781" s="5" t="s">
        <v>1718</v>
      </c>
      <c r="AT781" s="5" t="s">
        <v>1719</v>
      </c>
      <c r="AU781" s="5" t="s">
        <v>1703</v>
      </c>
      <c r="AV781" s="5" t="s">
        <v>1720</v>
      </c>
      <c r="AW781" s="5" t="s">
        <v>1705</v>
      </c>
      <c r="AX781" s="5" t="s">
        <v>1706</v>
      </c>
      <c r="AY781" s="5">
        <v>49.1</v>
      </c>
      <c r="AZ781" s="5">
        <v>-125.9</v>
      </c>
      <c r="BA781" s="5">
        <v>0.0</v>
      </c>
    </row>
    <row r="782" ht="14.25" customHeight="1">
      <c r="B782" s="5">
        <v>12.0</v>
      </c>
      <c r="C782" s="5" t="s">
        <v>1711</v>
      </c>
      <c r="D782" s="5">
        <v>530.0</v>
      </c>
      <c r="E782" s="5">
        <v>1995.0</v>
      </c>
      <c r="F782" s="18" t="s">
        <v>3039</v>
      </c>
      <c r="G782" s="5" t="s">
        <v>3040</v>
      </c>
      <c r="H782" s="5" t="s">
        <v>3041</v>
      </c>
      <c r="I782" s="5" t="s">
        <v>1664</v>
      </c>
      <c r="J782" s="5" t="s">
        <v>1715</v>
      </c>
      <c r="K782" s="5">
        <v>1.0</v>
      </c>
      <c r="L782" s="5">
        <v>2398.0</v>
      </c>
      <c r="M782" s="8"/>
      <c r="AO782" s="5" t="s">
        <v>3039</v>
      </c>
      <c r="AP782" s="5">
        <v>530.0</v>
      </c>
      <c r="AQ782" s="5" t="s">
        <v>1716</v>
      </c>
      <c r="AR782" s="5" t="s">
        <v>1717</v>
      </c>
      <c r="AS782" s="5" t="s">
        <v>1718</v>
      </c>
      <c r="AT782" s="5" t="s">
        <v>1719</v>
      </c>
      <c r="AU782" s="5" t="s">
        <v>1703</v>
      </c>
      <c r="AV782" s="5" t="s">
        <v>1720</v>
      </c>
      <c r="AW782" s="5" t="s">
        <v>1705</v>
      </c>
      <c r="AX782" s="5" t="s">
        <v>1706</v>
      </c>
      <c r="AY782" s="5">
        <v>49.2803</v>
      </c>
      <c r="AZ782" s="5">
        <v>-125.9014</v>
      </c>
      <c r="BA782" s="5">
        <v>1.0</v>
      </c>
    </row>
    <row r="783" ht="14.25" customHeight="1">
      <c r="B783" s="5">
        <v>12.0</v>
      </c>
      <c r="C783" s="5" t="s">
        <v>1711</v>
      </c>
      <c r="D783" s="5">
        <v>531.0</v>
      </c>
      <c r="E783" s="5">
        <v>1996.0</v>
      </c>
      <c r="F783" s="18" t="s">
        <v>3042</v>
      </c>
      <c r="G783" s="5" t="s">
        <v>3043</v>
      </c>
      <c r="H783" s="5" t="s">
        <v>3044</v>
      </c>
      <c r="I783" s="5" t="s">
        <v>1664</v>
      </c>
      <c r="J783" s="5" t="s">
        <v>1715</v>
      </c>
      <c r="K783" s="5">
        <v>1.0</v>
      </c>
      <c r="L783" s="5">
        <v>2399.0</v>
      </c>
      <c r="M783" s="8"/>
      <c r="AO783" s="5" t="s">
        <v>3042</v>
      </c>
      <c r="AP783" s="5">
        <v>531.0</v>
      </c>
      <c r="AQ783" s="5" t="s">
        <v>1716</v>
      </c>
      <c r="AR783" s="5" t="s">
        <v>1717</v>
      </c>
      <c r="AS783" s="5" t="s">
        <v>1718</v>
      </c>
      <c r="AT783" s="5" t="s">
        <v>1719</v>
      </c>
      <c r="AU783" s="5" t="s">
        <v>1703</v>
      </c>
      <c r="AV783" s="5" t="s">
        <v>1720</v>
      </c>
      <c r="AW783" s="5" t="s">
        <v>1705</v>
      </c>
      <c r="AX783" s="5" t="s">
        <v>1706</v>
      </c>
      <c r="AY783" s="5">
        <v>49.6</v>
      </c>
      <c r="AZ783" s="5">
        <v>-126.5</v>
      </c>
      <c r="BA783" s="5">
        <v>0.0</v>
      </c>
    </row>
    <row r="784" ht="14.25" customHeight="1">
      <c r="B784" s="5">
        <v>12.0</v>
      </c>
      <c r="C784" s="5" t="s">
        <v>1711</v>
      </c>
      <c r="D784" s="5">
        <v>532.0</v>
      </c>
      <c r="E784" s="5">
        <v>1997.0</v>
      </c>
      <c r="F784" s="18" t="s">
        <v>3045</v>
      </c>
      <c r="G784" s="5" t="s">
        <v>3046</v>
      </c>
      <c r="H784" s="5" t="s">
        <v>3047</v>
      </c>
      <c r="I784" s="5" t="s">
        <v>1664</v>
      </c>
      <c r="J784" s="5" t="s">
        <v>1746</v>
      </c>
      <c r="K784" s="5">
        <v>1.0</v>
      </c>
      <c r="L784" s="5">
        <v>2400.0</v>
      </c>
      <c r="M784" s="8"/>
      <c r="AO784" s="5" t="s">
        <v>3045</v>
      </c>
      <c r="AP784" s="5">
        <v>532.0</v>
      </c>
      <c r="AQ784" s="5" t="s">
        <v>1716</v>
      </c>
      <c r="AR784" s="5" t="s">
        <v>1717</v>
      </c>
      <c r="AS784" s="5" t="s">
        <v>1718</v>
      </c>
      <c r="AT784" s="5" t="s">
        <v>1719</v>
      </c>
      <c r="AU784" s="5" t="s">
        <v>1703</v>
      </c>
      <c r="AV784" s="5" t="s">
        <v>1720</v>
      </c>
      <c r="AW784" s="5" t="s">
        <v>1705</v>
      </c>
      <c r="AX784" s="5" t="s">
        <v>1706</v>
      </c>
      <c r="AY784" s="5">
        <v>49.4</v>
      </c>
      <c r="AZ784" s="5">
        <v>-126.5</v>
      </c>
      <c r="BA784" s="5">
        <v>30.0</v>
      </c>
    </row>
    <row r="785" ht="14.25" customHeight="1">
      <c r="B785" s="5">
        <v>12.0</v>
      </c>
      <c r="C785" s="5" t="s">
        <v>1711</v>
      </c>
      <c r="D785" s="5">
        <v>533.0</v>
      </c>
      <c r="E785" s="5">
        <v>1998.0</v>
      </c>
      <c r="F785" s="18" t="s">
        <v>3048</v>
      </c>
      <c r="G785" s="5" t="s">
        <v>3049</v>
      </c>
      <c r="H785" s="5" t="s">
        <v>3050</v>
      </c>
      <c r="I785" s="5" t="s">
        <v>1664</v>
      </c>
      <c r="J785" s="5" t="s">
        <v>1715</v>
      </c>
      <c r="K785" s="5">
        <v>1.0</v>
      </c>
      <c r="L785" s="5">
        <v>2401.0</v>
      </c>
      <c r="M785" s="8"/>
      <c r="AO785" s="5" t="s">
        <v>3048</v>
      </c>
      <c r="AP785" s="5">
        <v>533.0</v>
      </c>
      <c r="AQ785" s="5" t="s">
        <v>1716</v>
      </c>
      <c r="AR785" s="5" t="s">
        <v>1717</v>
      </c>
      <c r="AS785" s="5" t="s">
        <v>1718</v>
      </c>
      <c r="AT785" s="5" t="s">
        <v>1719</v>
      </c>
      <c r="AU785" s="5" t="s">
        <v>1703</v>
      </c>
      <c r="AV785" s="5" t="s">
        <v>1720</v>
      </c>
      <c r="AW785" s="5" t="s">
        <v>1705</v>
      </c>
      <c r="AX785" s="5" t="s">
        <v>1706</v>
      </c>
      <c r="AY785" s="5">
        <v>48.9</v>
      </c>
      <c r="AZ785" s="5">
        <v>-125.0</v>
      </c>
      <c r="BA785" s="5">
        <v>2.0</v>
      </c>
    </row>
    <row r="786" ht="14.25" customHeight="1">
      <c r="B786" s="5">
        <v>12.0</v>
      </c>
      <c r="C786" s="5" t="s">
        <v>1711</v>
      </c>
      <c r="D786" s="5">
        <v>534.0</v>
      </c>
      <c r="E786" s="5">
        <v>1999.0</v>
      </c>
      <c r="F786" s="18" t="s">
        <v>3051</v>
      </c>
      <c r="G786" s="5" t="s">
        <v>3052</v>
      </c>
      <c r="H786" s="5" t="s">
        <v>3053</v>
      </c>
      <c r="I786" s="5" t="s">
        <v>1664</v>
      </c>
      <c r="J786" s="5" t="s">
        <v>1746</v>
      </c>
      <c r="K786" s="5">
        <v>1.0</v>
      </c>
      <c r="L786" s="5">
        <v>2402.0</v>
      </c>
      <c r="M786" s="8"/>
      <c r="AO786" s="5" t="s">
        <v>3051</v>
      </c>
      <c r="AP786" s="5">
        <v>534.0</v>
      </c>
      <c r="AQ786" s="5" t="s">
        <v>1716</v>
      </c>
      <c r="AR786" s="5" t="s">
        <v>1717</v>
      </c>
      <c r="AS786" s="5" t="s">
        <v>1718</v>
      </c>
      <c r="AT786" s="5" t="s">
        <v>1719</v>
      </c>
      <c r="AU786" s="5" t="s">
        <v>1703</v>
      </c>
      <c r="AV786" s="5" t="s">
        <v>1720</v>
      </c>
      <c r="AW786" s="5" t="s">
        <v>1705</v>
      </c>
      <c r="AX786" s="5" t="s">
        <v>1706</v>
      </c>
      <c r="AY786" s="5">
        <v>49.2</v>
      </c>
      <c r="AZ786" s="5">
        <v>-125.4</v>
      </c>
      <c r="BA786" s="5">
        <v>1.0</v>
      </c>
    </row>
    <row r="787" ht="14.25" customHeight="1">
      <c r="B787" s="5">
        <v>12.0</v>
      </c>
      <c r="C787" s="5" t="s">
        <v>1711</v>
      </c>
      <c r="D787" s="5">
        <v>535.0</v>
      </c>
      <c r="E787" s="5">
        <v>2000.0</v>
      </c>
      <c r="F787" s="18" t="s">
        <v>3054</v>
      </c>
      <c r="G787" s="5" t="s">
        <v>3055</v>
      </c>
      <c r="H787" s="5" t="s">
        <v>3056</v>
      </c>
      <c r="I787" s="5" t="s">
        <v>1664</v>
      </c>
      <c r="J787" s="5" t="s">
        <v>1715</v>
      </c>
      <c r="K787" s="5">
        <v>1.0</v>
      </c>
      <c r="L787" s="5">
        <v>2403.0</v>
      </c>
      <c r="M787" s="8"/>
      <c r="AO787" s="5" t="s">
        <v>3054</v>
      </c>
      <c r="AP787" s="5">
        <v>535.0</v>
      </c>
      <c r="AQ787" s="5" t="s">
        <v>1716</v>
      </c>
      <c r="AR787" s="5" t="s">
        <v>1717</v>
      </c>
      <c r="AS787" s="5" t="s">
        <v>1718</v>
      </c>
      <c r="AT787" s="5" t="s">
        <v>1719</v>
      </c>
      <c r="AU787" s="5" t="s">
        <v>1703</v>
      </c>
      <c r="AV787" s="5" t="s">
        <v>1720</v>
      </c>
      <c r="AW787" s="5" t="s">
        <v>1705</v>
      </c>
      <c r="AX787" s="5" t="s">
        <v>1837</v>
      </c>
      <c r="AY787" s="5">
        <v>50.0</v>
      </c>
      <c r="AZ787" s="5">
        <v>-124.0</v>
      </c>
      <c r="BA787" s="5">
        <v>0.0</v>
      </c>
    </row>
    <row r="788" ht="14.25" customHeight="1">
      <c r="A788" s="5" t="s">
        <v>422</v>
      </c>
      <c r="B788" s="5">
        <v>12.0</v>
      </c>
      <c r="C788" s="5" t="s">
        <v>1711</v>
      </c>
      <c r="D788" s="5">
        <v>536.0</v>
      </c>
      <c r="E788" s="5">
        <v>2001.0</v>
      </c>
      <c r="F788" s="18" t="s">
        <v>3057</v>
      </c>
      <c r="G788" s="5" t="s">
        <v>3058</v>
      </c>
      <c r="H788" s="5" t="s">
        <v>3059</v>
      </c>
      <c r="I788" s="5" t="s">
        <v>1664</v>
      </c>
      <c r="J788" s="5" t="s">
        <v>1746</v>
      </c>
      <c r="K788" s="5">
        <v>1.0</v>
      </c>
      <c r="L788" s="5">
        <v>2404.0</v>
      </c>
      <c r="M788" s="8"/>
      <c r="AO788" s="5" t="s">
        <v>3057</v>
      </c>
      <c r="AP788" s="5">
        <v>536.0</v>
      </c>
      <c r="AQ788" s="5" t="s">
        <v>1716</v>
      </c>
      <c r="AR788" s="5" t="s">
        <v>1717</v>
      </c>
      <c r="AS788" s="5" t="s">
        <v>1718</v>
      </c>
      <c r="AT788" s="5" t="s">
        <v>1719</v>
      </c>
      <c r="AU788" s="5" t="s">
        <v>1703</v>
      </c>
      <c r="AV788" s="5" t="s">
        <v>1720</v>
      </c>
      <c r="AW788" s="5" t="s">
        <v>1705</v>
      </c>
      <c r="AX788" s="5" t="s">
        <v>1706</v>
      </c>
      <c r="AY788" s="5">
        <v>49.5</v>
      </c>
      <c r="AZ788" s="5">
        <v>-125.4</v>
      </c>
      <c r="BA788" s="5">
        <v>3.0</v>
      </c>
    </row>
    <row r="789" ht="14.25" customHeight="1">
      <c r="B789" s="5">
        <v>12.0</v>
      </c>
      <c r="C789" s="5" t="s">
        <v>1711</v>
      </c>
      <c r="D789" s="5">
        <v>539.0</v>
      </c>
      <c r="E789" s="5">
        <v>2002.0</v>
      </c>
      <c r="F789" s="18" t="s">
        <v>3060</v>
      </c>
      <c r="G789" s="5" t="s">
        <v>3061</v>
      </c>
      <c r="H789" s="5" t="s">
        <v>3062</v>
      </c>
      <c r="I789" s="5" t="s">
        <v>641</v>
      </c>
      <c r="J789" s="5" t="s">
        <v>1715</v>
      </c>
      <c r="K789" s="5">
        <v>1.0</v>
      </c>
      <c r="L789" s="5">
        <v>2405.0</v>
      </c>
      <c r="M789" s="8"/>
      <c r="AO789" s="5" t="s">
        <v>3060</v>
      </c>
      <c r="AP789" s="5">
        <v>539.0</v>
      </c>
      <c r="AQ789" s="5" t="s">
        <v>1716</v>
      </c>
      <c r="AR789" s="5" t="s">
        <v>1717</v>
      </c>
      <c r="AS789" s="5" t="s">
        <v>1718</v>
      </c>
      <c r="AT789" s="5" t="s">
        <v>1703</v>
      </c>
      <c r="AU789" s="5" t="s">
        <v>1703</v>
      </c>
      <c r="AV789" s="5" t="s">
        <v>1720</v>
      </c>
      <c r="AW789" s="5" t="s">
        <v>1705</v>
      </c>
      <c r="AX789" s="5" t="s">
        <v>1723</v>
      </c>
      <c r="AY789" s="5">
        <v>50.2</v>
      </c>
      <c r="AZ789" s="5">
        <v>-125.2</v>
      </c>
      <c r="BA789" s="5">
        <v>50.0</v>
      </c>
    </row>
    <row r="790" ht="14.25" customHeight="1">
      <c r="B790" s="5">
        <v>12.0</v>
      </c>
      <c r="C790" s="5" t="s">
        <v>1711</v>
      </c>
      <c r="D790" s="5">
        <v>540.0</v>
      </c>
      <c r="E790" s="5">
        <v>2003.0</v>
      </c>
      <c r="F790" s="18" t="s">
        <v>3063</v>
      </c>
      <c r="G790" s="5" t="s">
        <v>3064</v>
      </c>
      <c r="H790" s="5" t="s">
        <v>3065</v>
      </c>
      <c r="I790" s="5" t="s">
        <v>1664</v>
      </c>
      <c r="J790" s="5" t="s">
        <v>1715</v>
      </c>
      <c r="K790" s="5">
        <v>1.0</v>
      </c>
      <c r="L790" s="5">
        <v>2406.0</v>
      </c>
      <c r="M790" s="8"/>
      <c r="AO790" s="5" t="s">
        <v>3063</v>
      </c>
      <c r="AP790" s="5">
        <v>540.0</v>
      </c>
      <c r="AQ790" s="5" t="s">
        <v>1716</v>
      </c>
      <c r="AR790" s="5" t="s">
        <v>1717</v>
      </c>
      <c r="AS790" s="5" t="s">
        <v>1718</v>
      </c>
      <c r="AT790" s="5" t="s">
        <v>1719</v>
      </c>
      <c r="AU790" s="5" t="s">
        <v>1703</v>
      </c>
      <c r="AV790" s="5" t="s">
        <v>1720</v>
      </c>
      <c r="AW790" s="5" t="s">
        <v>1705</v>
      </c>
      <c r="AX790" s="5" t="s">
        <v>1747</v>
      </c>
      <c r="AY790" s="5">
        <v>48.6</v>
      </c>
      <c r="AZ790" s="5">
        <v>-123.6</v>
      </c>
      <c r="BA790" s="5">
        <v>7.0</v>
      </c>
    </row>
    <row r="791" ht="14.25" customHeight="1">
      <c r="B791" s="5">
        <v>12.0</v>
      </c>
      <c r="C791" s="5" t="s">
        <v>1711</v>
      </c>
      <c r="D791" s="5">
        <v>541.0</v>
      </c>
      <c r="E791" s="5">
        <v>2004.0</v>
      </c>
      <c r="F791" s="18" t="s">
        <v>3066</v>
      </c>
      <c r="G791" s="5" t="s">
        <v>3067</v>
      </c>
      <c r="H791" s="5" t="s">
        <v>3068</v>
      </c>
      <c r="I791" s="5" t="s">
        <v>1664</v>
      </c>
      <c r="J791" s="5" t="s">
        <v>1715</v>
      </c>
      <c r="K791" s="5">
        <v>1.0</v>
      </c>
      <c r="L791" s="5">
        <v>2407.0</v>
      </c>
      <c r="M791" s="8"/>
      <c r="AO791" s="5" t="s">
        <v>3066</v>
      </c>
      <c r="AP791" s="5">
        <v>541.0</v>
      </c>
      <c r="AQ791" s="5" t="s">
        <v>1716</v>
      </c>
      <c r="AR791" s="5" t="s">
        <v>1717</v>
      </c>
      <c r="AS791" s="5" t="s">
        <v>1718</v>
      </c>
      <c r="AT791" s="5" t="s">
        <v>1719</v>
      </c>
      <c r="AU791" s="5" t="s">
        <v>1703</v>
      </c>
      <c r="AV791" s="5" t="s">
        <v>1720</v>
      </c>
      <c r="AW791" s="5" t="s">
        <v>1705</v>
      </c>
      <c r="AX791" s="5" t="s">
        <v>1706</v>
      </c>
      <c r="AY791" s="5">
        <v>49.4</v>
      </c>
      <c r="AZ791" s="5">
        <v>-124.3</v>
      </c>
      <c r="BA791" s="5">
        <v>1.0</v>
      </c>
    </row>
    <row r="792" ht="14.25" customHeight="1">
      <c r="B792" s="5">
        <v>12.0</v>
      </c>
      <c r="C792" s="5" t="s">
        <v>1711</v>
      </c>
      <c r="D792" s="5">
        <v>542.0</v>
      </c>
      <c r="E792" s="5">
        <v>2005.0</v>
      </c>
      <c r="F792" s="18" t="s">
        <v>3069</v>
      </c>
      <c r="G792" s="5" t="s">
        <v>3070</v>
      </c>
      <c r="H792" s="5" t="s">
        <v>3071</v>
      </c>
      <c r="I792" s="5" t="s">
        <v>1664</v>
      </c>
      <c r="J792" s="5" t="s">
        <v>1715</v>
      </c>
      <c r="K792" s="5">
        <v>1.0</v>
      </c>
      <c r="L792" s="5">
        <v>2408.0</v>
      </c>
      <c r="M792" s="8"/>
      <c r="AO792" s="5" t="s">
        <v>3069</v>
      </c>
      <c r="AP792" s="5">
        <v>542.0</v>
      </c>
      <c r="AQ792" s="5" t="s">
        <v>1716</v>
      </c>
      <c r="AR792" s="5" t="s">
        <v>1717</v>
      </c>
      <c r="AS792" s="5" t="s">
        <v>1718</v>
      </c>
      <c r="AT792" s="5" t="s">
        <v>1719</v>
      </c>
      <c r="AU792" s="5" t="s">
        <v>1703</v>
      </c>
      <c r="AV792" s="5" t="s">
        <v>1720</v>
      </c>
      <c r="AW792" s="5" t="s">
        <v>1705</v>
      </c>
      <c r="AX792" s="5" t="s">
        <v>1706</v>
      </c>
      <c r="AY792" s="5">
        <v>49.5</v>
      </c>
      <c r="AZ792" s="5">
        <v>-124.9</v>
      </c>
      <c r="BA792" s="5">
        <v>0.0</v>
      </c>
    </row>
    <row r="793" ht="14.25" customHeight="1">
      <c r="A793" s="5" t="s">
        <v>422</v>
      </c>
      <c r="B793" s="5">
        <v>12.0</v>
      </c>
      <c r="C793" s="5" t="s">
        <v>3072</v>
      </c>
      <c r="D793" s="5">
        <v>543.0</v>
      </c>
      <c r="E793" s="5">
        <v>12444.0</v>
      </c>
      <c r="F793" s="5" t="s">
        <v>3073</v>
      </c>
      <c r="G793" s="29" t="s">
        <v>3074</v>
      </c>
      <c r="H793" s="5" t="s">
        <v>3075</v>
      </c>
      <c r="I793" s="5" t="s">
        <v>49</v>
      </c>
      <c r="J793" s="5" t="s">
        <v>1746</v>
      </c>
      <c r="K793" s="5">
        <v>1.0</v>
      </c>
      <c r="L793" s="5">
        <v>14466.0</v>
      </c>
      <c r="M793" s="8">
        <v>48.52944</v>
      </c>
      <c r="N793" s="5">
        <v>-123.638611</v>
      </c>
      <c r="O793" s="5" t="s">
        <v>51</v>
      </c>
      <c r="P793" s="5" t="s">
        <v>60</v>
      </c>
      <c r="Q793" s="5">
        <v>4.0</v>
      </c>
      <c r="R793" s="5" t="s">
        <v>61</v>
      </c>
      <c r="S793" s="5" t="s">
        <v>44</v>
      </c>
      <c r="T793" s="5">
        <v>606.0</v>
      </c>
      <c r="V793" s="5" t="s">
        <v>65</v>
      </c>
      <c r="W793" s="5">
        <v>35065.0</v>
      </c>
      <c r="AO793" s="50" t="s">
        <v>3076</v>
      </c>
      <c r="AP793" s="50">
        <v>543.0</v>
      </c>
      <c r="AQ793" s="50" t="s">
        <v>1700</v>
      </c>
      <c r="AR793" s="50" t="s">
        <v>1739</v>
      </c>
      <c r="AS793" s="50" t="s">
        <v>3077</v>
      </c>
      <c r="AT793" s="50" t="s">
        <v>1835</v>
      </c>
      <c r="AU793" s="50" t="s">
        <v>1704</v>
      </c>
      <c r="AV793" s="50" t="s">
        <v>3077</v>
      </c>
      <c r="AW793" s="50" t="s">
        <v>1705</v>
      </c>
      <c r="AX793" s="50" t="s">
        <v>1747</v>
      </c>
      <c r="AY793" s="50">
        <v>48.5297</v>
      </c>
      <c r="AZ793" s="50">
        <v>-123.6375</v>
      </c>
      <c r="BA793" s="50">
        <v>600.0</v>
      </c>
    </row>
    <row r="794" ht="14.25" customHeight="1">
      <c r="B794" s="5">
        <v>12.0</v>
      </c>
      <c r="C794" s="5" t="s">
        <v>1711</v>
      </c>
      <c r="D794" s="5">
        <v>544.0</v>
      </c>
      <c r="E794" s="5">
        <v>2006.0</v>
      </c>
      <c r="F794" s="18" t="s">
        <v>3078</v>
      </c>
      <c r="G794" s="5" t="s">
        <v>3079</v>
      </c>
      <c r="H794" s="5" t="s">
        <v>3080</v>
      </c>
      <c r="I794" s="5" t="s">
        <v>1664</v>
      </c>
      <c r="J794" s="5" t="s">
        <v>1746</v>
      </c>
      <c r="K794" s="5">
        <v>1.0</v>
      </c>
      <c r="L794" s="5">
        <v>2409.0</v>
      </c>
      <c r="M794" s="8"/>
      <c r="AO794" s="5" t="s">
        <v>3078</v>
      </c>
      <c r="AP794" s="5">
        <v>544.0</v>
      </c>
      <c r="AQ794" s="5" t="s">
        <v>1716</v>
      </c>
      <c r="AR794" s="5" t="s">
        <v>1717</v>
      </c>
      <c r="AS794" s="5" t="s">
        <v>1718</v>
      </c>
      <c r="AT794" s="5" t="s">
        <v>1719</v>
      </c>
      <c r="AU794" s="5" t="s">
        <v>1703</v>
      </c>
      <c r="AV794" s="5" t="s">
        <v>1720</v>
      </c>
      <c r="AW794" s="5" t="s">
        <v>1705</v>
      </c>
      <c r="AX794" s="5" t="s">
        <v>1706</v>
      </c>
      <c r="AY794" s="5">
        <v>49.6</v>
      </c>
      <c r="AZ794" s="5">
        <v>-124.7</v>
      </c>
      <c r="BA794" s="5">
        <v>0.0</v>
      </c>
    </row>
    <row r="795" ht="14.25" customHeight="1">
      <c r="B795" s="5">
        <v>12.0</v>
      </c>
      <c r="C795" s="5" t="s">
        <v>1711</v>
      </c>
      <c r="D795" s="5">
        <v>545.0</v>
      </c>
      <c r="E795" s="5">
        <v>2007.0</v>
      </c>
      <c r="F795" s="18" t="s">
        <v>3081</v>
      </c>
      <c r="G795" s="5" t="s">
        <v>3082</v>
      </c>
      <c r="H795" s="5" t="s">
        <v>3083</v>
      </c>
      <c r="I795" s="5" t="s">
        <v>1664</v>
      </c>
      <c r="J795" s="5" t="s">
        <v>1715</v>
      </c>
      <c r="K795" s="5">
        <v>1.0</v>
      </c>
      <c r="L795" s="5">
        <v>2410.0</v>
      </c>
      <c r="M795" s="8"/>
      <c r="AO795" s="5" t="s">
        <v>3081</v>
      </c>
      <c r="AP795" s="5">
        <v>545.0</v>
      </c>
      <c r="AQ795" s="5" t="s">
        <v>1716</v>
      </c>
      <c r="AR795" s="5" t="s">
        <v>1717</v>
      </c>
      <c r="AS795" s="5" t="s">
        <v>1718</v>
      </c>
      <c r="AT795" s="5" t="s">
        <v>1719</v>
      </c>
      <c r="AU795" s="5" t="s">
        <v>1703</v>
      </c>
      <c r="AV795" s="5" t="s">
        <v>1720</v>
      </c>
      <c r="AW795" s="5" t="s">
        <v>1705</v>
      </c>
      <c r="AX795" s="5" t="s">
        <v>1747</v>
      </c>
      <c r="AY795" s="5">
        <v>48.6</v>
      </c>
      <c r="AZ795" s="5">
        <v>-124.0</v>
      </c>
      <c r="BA795" s="5">
        <v>7.0</v>
      </c>
    </row>
    <row r="796" ht="14.25" customHeight="1">
      <c r="B796" s="5">
        <v>12.0</v>
      </c>
      <c r="C796" s="5" t="s">
        <v>1711</v>
      </c>
      <c r="D796" s="5">
        <v>546.0</v>
      </c>
      <c r="E796" s="5">
        <v>2008.0</v>
      </c>
      <c r="F796" s="18" t="s">
        <v>3084</v>
      </c>
      <c r="G796" s="5" t="s">
        <v>3085</v>
      </c>
      <c r="H796" s="5" t="s">
        <v>3086</v>
      </c>
      <c r="I796" s="5" t="s">
        <v>1664</v>
      </c>
      <c r="J796" s="5" t="s">
        <v>1715</v>
      </c>
      <c r="K796" s="5">
        <v>1.0</v>
      </c>
      <c r="L796" s="5">
        <v>2411.0</v>
      </c>
      <c r="M796" s="8"/>
      <c r="AO796" s="5" t="s">
        <v>3084</v>
      </c>
      <c r="AP796" s="5">
        <v>546.0</v>
      </c>
      <c r="AQ796" s="5" t="s">
        <v>1716</v>
      </c>
      <c r="AR796" s="5" t="s">
        <v>1717</v>
      </c>
      <c r="AS796" s="5" t="s">
        <v>1718</v>
      </c>
      <c r="AT796" s="5" t="s">
        <v>1719</v>
      </c>
      <c r="AU796" s="5" t="s">
        <v>1703</v>
      </c>
      <c r="AV796" s="5" t="s">
        <v>1720</v>
      </c>
      <c r="AW796" s="5" t="s">
        <v>1705</v>
      </c>
      <c r="AX796" s="5" t="s">
        <v>1747</v>
      </c>
      <c r="AY796" s="5">
        <v>49.0</v>
      </c>
      <c r="AZ796" s="5">
        <v>-124.0</v>
      </c>
      <c r="BA796" s="5">
        <v>0.0</v>
      </c>
    </row>
    <row r="797" ht="14.25" customHeight="1">
      <c r="B797" s="5">
        <v>12.0</v>
      </c>
      <c r="C797" s="5" t="s">
        <v>1711</v>
      </c>
      <c r="D797" s="5">
        <v>547.0</v>
      </c>
      <c r="E797" s="5">
        <v>2009.0</v>
      </c>
      <c r="F797" s="18" t="s">
        <v>3087</v>
      </c>
      <c r="G797" s="29" t="s">
        <v>3088</v>
      </c>
      <c r="H797" s="5" t="s">
        <v>3089</v>
      </c>
      <c r="I797" s="5" t="s">
        <v>641</v>
      </c>
      <c r="J797" s="5" t="s">
        <v>1715</v>
      </c>
      <c r="K797" s="5">
        <v>1.0</v>
      </c>
      <c r="L797" s="5">
        <v>2412.0</v>
      </c>
      <c r="M797" s="8"/>
      <c r="AO797" s="5" t="s">
        <v>3087</v>
      </c>
      <c r="AP797" s="5">
        <v>547.0</v>
      </c>
      <c r="AQ797" s="5" t="s">
        <v>1716</v>
      </c>
      <c r="AR797" s="5" t="s">
        <v>1717</v>
      </c>
      <c r="AS797" s="5" t="s">
        <v>1718</v>
      </c>
      <c r="AT797" s="5" t="s">
        <v>1703</v>
      </c>
      <c r="AU797" s="5" t="s">
        <v>1703</v>
      </c>
      <c r="AV797" s="5" t="s">
        <v>1720</v>
      </c>
      <c r="AW797" s="5" t="s">
        <v>1705</v>
      </c>
      <c r="AX797" s="5" t="s">
        <v>1706</v>
      </c>
      <c r="AY797" s="5">
        <v>49.1867</v>
      </c>
      <c r="AZ797" s="5">
        <v>-123.8333</v>
      </c>
      <c r="BA797" s="5">
        <v>25.0</v>
      </c>
    </row>
    <row r="798" ht="14.25" customHeight="1">
      <c r="B798" s="5">
        <v>12.0</v>
      </c>
      <c r="C798" s="5" t="s">
        <v>1711</v>
      </c>
      <c r="D798" s="5">
        <v>548.0</v>
      </c>
      <c r="E798" s="5">
        <v>2010.0</v>
      </c>
      <c r="F798" s="18" t="s">
        <v>3090</v>
      </c>
      <c r="G798" s="5" t="s">
        <v>3070</v>
      </c>
      <c r="H798" s="5" t="s">
        <v>3091</v>
      </c>
      <c r="I798" s="5" t="s">
        <v>1664</v>
      </c>
      <c r="J798" s="5" t="s">
        <v>1715</v>
      </c>
      <c r="K798" s="5">
        <v>1.0</v>
      </c>
      <c r="L798" s="5">
        <v>2413.0</v>
      </c>
      <c r="M798" s="8"/>
      <c r="AO798" s="5" t="s">
        <v>3090</v>
      </c>
      <c r="AP798" s="5">
        <v>548.0</v>
      </c>
      <c r="AQ798" s="5" t="s">
        <v>1716</v>
      </c>
      <c r="AR798" s="5" t="s">
        <v>1717</v>
      </c>
      <c r="AS798" s="5" t="s">
        <v>1718</v>
      </c>
      <c r="AT798" s="5" t="s">
        <v>1719</v>
      </c>
      <c r="AU798" s="5" t="s">
        <v>1703</v>
      </c>
      <c r="AV798" s="5" t="s">
        <v>1720</v>
      </c>
      <c r="AW798" s="5" t="s">
        <v>1705</v>
      </c>
      <c r="AX798" s="5" t="s">
        <v>1706</v>
      </c>
      <c r="AY798" s="5">
        <v>49.5</v>
      </c>
      <c r="AZ798" s="5">
        <v>-124.9</v>
      </c>
      <c r="BA798" s="5">
        <v>0.0</v>
      </c>
    </row>
    <row r="799" ht="14.25" customHeight="1">
      <c r="B799" s="5">
        <v>12.0</v>
      </c>
      <c r="C799" s="5" t="s">
        <v>1711</v>
      </c>
      <c r="D799" s="5">
        <v>549.0</v>
      </c>
      <c r="E799" s="5">
        <v>2011.0</v>
      </c>
      <c r="F799" s="18" t="s">
        <v>3092</v>
      </c>
      <c r="G799" s="5" t="s">
        <v>3093</v>
      </c>
      <c r="H799" s="5" t="s">
        <v>3094</v>
      </c>
      <c r="I799" s="5" t="s">
        <v>1664</v>
      </c>
      <c r="J799" s="5" t="s">
        <v>1746</v>
      </c>
      <c r="K799" s="5">
        <v>1.0</v>
      </c>
      <c r="L799" s="5">
        <v>2414.0</v>
      </c>
      <c r="M799" s="8"/>
      <c r="AO799" s="5" t="s">
        <v>3092</v>
      </c>
      <c r="AP799" s="5">
        <v>549.0</v>
      </c>
      <c r="AQ799" s="5" t="s">
        <v>1716</v>
      </c>
      <c r="AR799" s="5" t="s">
        <v>1717</v>
      </c>
      <c r="AS799" s="5" t="s">
        <v>1718</v>
      </c>
      <c r="AT799" s="5" t="s">
        <v>1719</v>
      </c>
      <c r="AU799" s="5" t="s">
        <v>1703</v>
      </c>
      <c r="AV799" s="5" t="s">
        <v>1720</v>
      </c>
      <c r="AW799" s="5" t="s">
        <v>1705</v>
      </c>
      <c r="AX799" s="5" t="s">
        <v>1837</v>
      </c>
      <c r="AY799" s="5">
        <v>49.566</v>
      </c>
      <c r="AZ799" s="5">
        <v>-123.383</v>
      </c>
      <c r="BA799" s="5">
        <v>4.0</v>
      </c>
    </row>
    <row r="800" ht="14.25" customHeight="1">
      <c r="A800" s="5" t="s">
        <v>422</v>
      </c>
      <c r="B800" s="5">
        <v>12.0</v>
      </c>
      <c r="C800" s="5" t="s">
        <v>1711</v>
      </c>
      <c r="D800" s="5">
        <v>550.0</v>
      </c>
      <c r="E800" s="5">
        <v>2012.0</v>
      </c>
      <c r="F800" s="18" t="s">
        <v>3095</v>
      </c>
      <c r="G800" s="5" t="s">
        <v>3096</v>
      </c>
      <c r="H800" s="5" t="s">
        <v>3097</v>
      </c>
      <c r="I800" s="5" t="s">
        <v>1664</v>
      </c>
      <c r="J800" s="5" t="s">
        <v>1746</v>
      </c>
      <c r="K800" s="5">
        <v>1.0</v>
      </c>
      <c r="L800" s="5">
        <v>2415.0</v>
      </c>
      <c r="M800" s="8"/>
      <c r="AO800" s="5" t="s">
        <v>3095</v>
      </c>
      <c r="AP800" s="5">
        <v>550.0</v>
      </c>
      <c r="AQ800" s="5" t="s">
        <v>1716</v>
      </c>
      <c r="AR800" s="5" t="s">
        <v>1717</v>
      </c>
      <c r="AS800" s="5" t="s">
        <v>1718</v>
      </c>
      <c r="AT800" s="5" t="s">
        <v>1719</v>
      </c>
      <c r="AU800" s="5" t="s">
        <v>1703</v>
      </c>
      <c r="AV800" s="5" t="s">
        <v>1720</v>
      </c>
      <c r="AW800" s="5" t="s">
        <v>1705</v>
      </c>
      <c r="AX800" s="5" t="s">
        <v>1747</v>
      </c>
      <c r="AY800" s="5">
        <v>48.7</v>
      </c>
      <c r="AZ800" s="5">
        <v>-123.3</v>
      </c>
      <c r="BA800" s="5">
        <v>0.0</v>
      </c>
    </row>
    <row r="801" ht="14.25" customHeight="1">
      <c r="A801" s="5" t="s">
        <v>422</v>
      </c>
      <c r="B801" s="5">
        <v>12.0</v>
      </c>
      <c r="C801" s="5" t="s">
        <v>1711</v>
      </c>
      <c r="D801" s="5">
        <v>551.0</v>
      </c>
      <c r="E801" s="5">
        <v>2013.0</v>
      </c>
      <c r="F801" s="18" t="s">
        <v>3098</v>
      </c>
      <c r="G801" s="5" t="s">
        <v>3099</v>
      </c>
      <c r="H801" s="5" t="s">
        <v>3100</v>
      </c>
      <c r="I801" s="5" t="s">
        <v>1664</v>
      </c>
      <c r="J801" s="5" t="s">
        <v>1746</v>
      </c>
      <c r="K801" s="5">
        <v>1.0</v>
      </c>
      <c r="L801" s="5">
        <v>2416.0</v>
      </c>
      <c r="M801" s="8"/>
      <c r="AO801" s="5" t="s">
        <v>3098</v>
      </c>
      <c r="AP801" s="5">
        <v>551.0</v>
      </c>
      <c r="AQ801" s="5" t="s">
        <v>1716</v>
      </c>
      <c r="AR801" s="5" t="s">
        <v>1717</v>
      </c>
      <c r="AS801" s="5" t="s">
        <v>1718</v>
      </c>
      <c r="AT801" s="5" t="s">
        <v>1719</v>
      </c>
      <c r="AU801" s="5" t="s">
        <v>1703</v>
      </c>
      <c r="AV801" s="5" t="s">
        <v>1720</v>
      </c>
      <c r="AW801" s="5" t="s">
        <v>1705</v>
      </c>
      <c r="AX801" s="5" t="s">
        <v>1883</v>
      </c>
      <c r="AY801" s="5">
        <v>49.5</v>
      </c>
      <c r="AZ801" s="5">
        <v>-122.8</v>
      </c>
      <c r="BA801" s="5">
        <v>4.0</v>
      </c>
    </row>
    <row r="802" ht="14.25" customHeight="1">
      <c r="B802" s="5">
        <v>12.0</v>
      </c>
      <c r="C802" s="5" t="s">
        <v>1711</v>
      </c>
      <c r="D802" s="5">
        <v>552.0</v>
      </c>
      <c r="E802" s="5">
        <v>2014.0</v>
      </c>
      <c r="F802" s="18" t="s">
        <v>3101</v>
      </c>
      <c r="G802" s="5" t="s">
        <v>3102</v>
      </c>
      <c r="H802" s="5" t="s">
        <v>3103</v>
      </c>
      <c r="I802" s="5" t="s">
        <v>1664</v>
      </c>
      <c r="J802" s="5" t="s">
        <v>1715</v>
      </c>
      <c r="K802" s="5">
        <v>1.0</v>
      </c>
      <c r="L802" s="5">
        <v>2417.0</v>
      </c>
      <c r="M802" s="8"/>
      <c r="AO802" s="5" t="s">
        <v>3101</v>
      </c>
      <c r="AP802" s="5">
        <v>552.0</v>
      </c>
      <c r="AQ802" s="5" t="s">
        <v>1716</v>
      </c>
      <c r="AR802" s="5" t="s">
        <v>1717</v>
      </c>
      <c r="AS802" s="5" t="s">
        <v>1718</v>
      </c>
      <c r="AT802" s="5" t="s">
        <v>1719</v>
      </c>
      <c r="AU802" s="5" t="s">
        <v>1703</v>
      </c>
      <c r="AV802" s="5" t="s">
        <v>1720</v>
      </c>
      <c r="AW802" s="5" t="s">
        <v>1705</v>
      </c>
      <c r="AY802" s="5">
        <v>49.0</v>
      </c>
      <c r="AZ802" s="5">
        <v>-121.0</v>
      </c>
      <c r="BA802" s="5">
        <v>11.0</v>
      </c>
    </row>
    <row r="803" ht="14.25" customHeight="1">
      <c r="A803" s="5" t="s">
        <v>422</v>
      </c>
      <c r="B803" s="5">
        <v>12.0</v>
      </c>
      <c r="C803" s="5" t="s">
        <v>1711</v>
      </c>
      <c r="D803" s="5">
        <v>553.0</v>
      </c>
      <c r="E803" s="5">
        <v>2015.0</v>
      </c>
      <c r="F803" s="18" t="s">
        <v>3104</v>
      </c>
      <c r="G803" s="5" t="s">
        <v>3105</v>
      </c>
      <c r="H803" s="5" t="s">
        <v>3106</v>
      </c>
      <c r="I803" s="5" t="s">
        <v>641</v>
      </c>
      <c r="J803" s="5" t="s">
        <v>1746</v>
      </c>
      <c r="K803" s="5">
        <v>1.0</v>
      </c>
      <c r="L803" s="5">
        <v>2418.0</v>
      </c>
      <c r="M803" s="8"/>
      <c r="AO803" s="5" t="s">
        <v>3104</v>
      </c>
      <c r="AP803" s="5">
        <v>553.0</v>
      </c>
      <c r="AQ803" s="5" t="s">
        <v>1716</v>
      </c>
      <c r="AR803" s="5" t="s">
        <v>1717</v>
      </c>
      <c r="AS803" s="5" t="s">
        <v>1718</v>
      </c>
      <c r="AT803" s="5" t="s">
        <v>1703</v>
      </c>
      <c r="AU803" s="5" t="s">
        <v>1703</v>
      </c>
      <c r="AV803" s="5" t="s">
        <v>1720</v>
      </c>
      <c r="AW803" s="5" t="s">
        <v>1705</v>
      </c>
      <c r="AX803" s="5" t="s">
        <v>1883</v>
      </c>
      <c r="AY803" s="5">
        <v>49.369</v>
      </c>
      <c r="AZ803" s="5">
        <v>-121.492</v>
      </c>
      <c r="BA803" s="5">
        <v>162.0</v>
      </c>
    </row>
    <row r="804" ht="14.25" customHeight="1">
      <c r="A804" s="5" t="s">
        <v>3107</v>
      </c>
      <c r="B804" s="5">
        <v>12.0</v>
      </c>
      <c r="C804" s="10" t="s">
        <v>3108</v>
      </c>
      <c r="D804" s="66" t="s">
        <v>3109</v>
      </c>
      <c r="E804" s="5">
        <v>13011.0</v>
      </c>
      <c r="F804" s="12" t="s">
        <v>3110</v>
      </c>
      <c r="G804" s="10" t="s">
        <v>3111</v>
      </c>
      <c r="H804" s="5" t="s">
        <v>3112</v>
      </c>
      <c r="I804" s="5" t="s">
        <v>49</v>
      </c>
      <c r="J804" s="5" t="s">
        <v>1746</v>
      </c>
      <c r="K804" s="5">
        <v>1.0</v>
      </c>
      <c r="L804" s="5">
        <v>14943.0</v>
      </c>
      <c r="M804" s="8">
        <v>49.44491667</v>
      </c>
      <c r="N804" s="11">
        <v>-123.1039444</v>
      </c>
      <c r="O804" s="11" t="s">
        <v>51</v>
      </c>
      <c r="P804" s="11" t="s">
        <v>3113</v>
      </c>
      <c r="Q804" s="22">
        <v>2.0</v>
      </c>
      <c r="R804" s="11" t="s">
        <v>3114</v>
      </c>
      <c r="S804" s="11" t="s">
        <v>3115</v>
      </c>
      <c r="T804" s="11">
        <v>295.0</v>
      </c>
      <c r="U804" s="11"/>
      <c r="V804" s="11" t="s">
        <v>3116</v>
      </c>
      <c r="W804" s="11">
        <v>1986.0</v>
      </c>
      <c r="X804" s="11" t="s">
        <v>3117</v>
      </c>
      <c r="Y804" s="11" t="s">
        <v>3118</v>
      </c>
      <c r="Z804" s="11"/>
      <c r="AA804" s="11"/>
      <c r="AB804" s="11"/>
      <c r="AC804" s="11" t="s">
        <v>55</v>
      </c>
      <c r="AD804" s="11" t="s">
        <v>56</v>
      </c>
      <c r="AE804" s="11" t="s">
        <v>66</v>
      </c>
      <c r="AF804" s="11"/>
      <c r="AG804" s="11"/>
      <c r="AH804" s="11" t="s">
        <v>3119</v>
      </c>
      <c r="AI804" s="11"/>
      <c r="AJ804" s="11"/>
      <c r="AO804" s="50" t="s">
        <v>3120</v>
      </c>
      <c r="AP804" s="50">
        <v>554.0</v>
      </c>
      <c r="AQ804" s="50" t="s">
        <v>1716</v>
      </c>
      <c r="AR804" s="50" t="s">
        <v>1701</v>
      </c>
      <c r="AS804" s="50" t="s">
        <v>1740</v>
      </c>
      <c r="AT804" s="50" t="s">
        <v>1835</v>
      </c>
      <c r="AU804" s="50" t="s">
        <v>1742</v>
      </c>
      <c r="AV804" s="50" t="s">
        <v>3121</v>
      </c>
      <c r="AW804" s="50" t="s">
        <v>1705</v>
      </c>
      <c r="AX804" s="50" t="s">
        <v>1883</v>
      </c>
      <c r="AY804" s="50">
        <v>49.44</v>
      </c>
      <c r="AZ804" s="50">
        <v>-123.097</v>
      </c>
      <c r="BA804" s="50">
        <v>400.0</v>
      </c>
    </row>
    <row r="805" ht="14.25" customHeight="1">
      <c r="A805" s="5" t="s">
        <v>3107</v>
      </c>
      <c r="B805" s="5">
        <v>12.0</v>
      </c>
      <c r="C805" s="10" t="s">
        <v>3108</v>
      </c>
      <c r="D805" s="66" t="s">
        <v>3122</v>
      </c>
      <c r="E805" s="5">
        <v>13012.0</v>
      </c>
      <c r="F805" s="12" t="s">
        <v>3123</v>
      </c>
      <c r="G805" s="10" t="s">
        <v>3124</v>
      </c>
      <c r="H805" s="5" t="s">
        <v>3112</v>
      </c>
      <c r="I805" s="5" t="s">
        <v>49</v>
      </c>
      <c r="J805" s="5" t="s">
        <v>1746</v>
      </c>
      <c r="K805" s="5">
        <v>1.0</v>
      </c>
      <c r="L805" s="5">
        <v>14944.0</v>
      </c>
      <c r="M805" s="8">
        <v>49.48588889</v>
      </c>
      <c r="N805" s="11">
        <v>-122.9463056</v>
      </c>
      <c r="O805" s="11" t="s">
        <v>51</v>
      </c>
      <c r="P805" s="11" t="s">
        <v>3125</v>
      </c>
      <c r="Q805" s="22">
        <v>3.0</v>
      </c>
      <c r="R805" s="11" t="s">
        <v>3126</v>
      </c>
      <c r="S805" s="11" t="s">
        <v>3115</v>
      </c>
      <c r="T805" s="11">
        <v>375.0</v>
      </c>
      <c r="U805" s="11"/>
      <c r="V805" s="11" t="s">
        <v>3127</v>
      </c>
      <c r="W805" s="11">
        <v>1987.0</v>
      </c>
      <c r="X805" s="11" t="s">
        <v>3117</v>
      </c>
      <c r="Y805" s="11" t="s">
        <v>3118</v>
      </c>
      <c r="Z805" s="11"/>
      <c r="AA805" s="11"/>
      <c r="AB805" s="11"/>
      <c r="AC805" s="11" t="s">
        <v>55</v>
      </c>
      <c r="AD805" s="11" t="s">
        <v>56</v>
      </c>
      <c r="AE805" s="11" t="s">
        <v>66</v>
      </c>
      <c r="AO805" s="50" t="s">
        <v>3128</v>
      </c>
      <c r="AP805" s="50">
        <v>555.0</v>
      </c>
      <c r="AQ805" s="50" t="s">
        <v>1716</v>
      </c>
      <c r="AR805" s="50" t="s">
        <v>1739</v>
      </c>
      <c r="AS805" s="50" t="s">
        <v>1740</v>
      </c>
      <c r="AT805" s="50" t="s">
        <v>1835</v>
      </c>
      <c r="AU805" s="50" t="s">
        <v>1742</v>
      </c>
      <c r="AV805" s="50" t="s">
        <v>3121</v>
      </c>
      <c r="AW805" s="50" t="s">
        <v>1705</v>
      </c>
      <c r="AX805" s="50" t="s">
        <v>1883</v>
      </c>
      <c r="AY805" s="50">
        <v>49.483</v>
      </c>
      <c r="AZ805" s="50">
        <v>-122.95</v>
      </c>
      <c r="BA805" s="50">
        <v>390.0</v>
      </c>
    </row>
    <row r="806" ht="14.25" customHeight="1">
      <c r="A806" s="5" t="s">
        <v>3107</v>
      </c>
      <c r="B806" s="5">
        <v>12.0</v>
      </c>
      <c r="C806" s="10" t="s">
        <v>3108</v>
      </c>
      <c r="D806" s="66" t="s">
        <v>3129</v>
      </c>
      <c r="E806" s="5">
        <v>13013.0</v>
      </c>
      <c r="F806" s="12" t="s">
        <v>3130</v>
      </c>
      <c r="G806" s="10" t="s">
        <v>3131</v>
      </c>
      <c r="H806" s="5" t="s">
        <v>3112</v>
      </c>
      <c r="I806" s="5" t="s">
        <v>49</v>
      </c>
      <c r="J806" s="5" t="s">
        <v>1746</v>
      </c>
      <c r="K806" s="5">
        <v>1.0</v>
      </c>
      <c r="L806" s="5">
        <v>14945.0</v>
      </c>
      <c r="M806" s="8">
        <v>49.36386111</v>
      </c>
      <c r="N806" s="11">
        <v>-122.7536111</v>
      </c>
      <c r="O806" s="11" t="s">
        <v>51</v>
      </c>
      <c r="P806" s="11" t="s">
        <v>3132</v>
      </c>
      <c r="Q806" s="22">
        <v>3.0</v>
      </c>
      <c r="R806" s="11" t="s">
        <v>3133</v>
      </c>
      <c r="S806" s="11" t="s">
        <v>3115</v>
      </c>
      <c r="T806" s="11">
        <v>352.0</v>
      </c>
      <c r="U806" s="11"/>
      <c r="V806" s="11" t="s">
        <v>3134</v>
      </c>
      <c r="W806" s="11">
        <v>1987.0</v>
      </c>
      <c r="X806" s="11" t="s">
        <v>3117</v>
      </c>
      <c r="Y806" s="11" t="s">
        <v>3118</v>
      </c>
      <c r="Z806" s="11"/>
      <c r="AA806" s="11"/>
      <c r="AB806" s="11"/>
      <c r="AC806" s="11" t="s">
        <v>55</v>
      </c>
      <c r="AD806" s="11" t="s">
        <v>56</v>
      </c>
      <c r="AE806" s="11" t="s">
        <v>66</v>
      </c>
      <c r="AF806" s="11"/>
      <c r="AG806" s="11"/>
      <c r="AH806" s="11" t="s">
        <v>3119</v>
      </c>
      <c r="AI806" s="11"/>
      <c r="AJ806" s="11"/>
      <c r="AK806" s="11"/>
      <c r="AO806" s="50" t="s">
        <v>3135</v>
      </c>
      <c r="AP806" s="50">
        <v>556.0</v>
      </c>
      <c r="AQ806" s="50" t="s">
        <v>1716</v>
      </c>
      <c r="AR806" s="50" t="s">
        <v>1739</v>
      </c>
      <c r="AS806" s="50" t="s">
        <v>1740</v>
      </c>
      <c r="AT806" s="50" t="s">
        <v>1835</v>
      </c>
      <c r="AU806" s="50" t="s">
        <v>1742</v>
      </c>
      <c r="AV806" s="50" t="s">
        <v>3121</v>
      </c>
      <c r="AW806" s="50" t="s">
        <v>1705</v>
      </c>
      <c r="AX806" s="50" t="s">
        <v>1883</v>
      </c>
      <c r="AY806" s="50">
        <v>49.386</v>
      </c>
      <c r="AZ806" s="50">
        <v>-122.77</v>
      </c>
      <c r="BA806" s="50">
        <v>430.0</v>
      </c>
    </row>
    <row r="807" ht="14.25" customHeight="1">
      <c r="B807" s="5">
        <v>12.0</v>
      </c>
      <c r="C807" s="5" t="s">
        <v>1711</v>
      </c>
      <c r="D807" s="5">
        <v>558.0</v>
      </c>
      <c r="E807" s="5">
        <v>2016.0</v>
      </c>
      <c r="F807" s="18" t="s">
        <v>3136</v>
      </c>
      <c r="G807" s="5" t="s">
        <v>3137</v>
      </c>
      <c r="H807" s="5" t="s">
        <v>3138</v>
      </c>
      <c r="I807" s="5" t="s">
        <v>1664</v>
      </c>
      <c r="J807" s="5" t="s">
        <v>1715</v>
      </c>
      <c r="K807" s="5">
        <v>1.0</v>
      </c>
      <c r="L807" s="5">
        <v>2419.0</v>
      </c>
      <c r="M807" s="8"/>
      <c r="AO807" s="5" t="s">
        <v>3136</v>
      </c>
      <c r="AP807" s="5">
        <v>558.0</v>
      </c>
      <c r="AQ807" s="5" t="s">
        <v>1716</v>
      </c>
      <c r="AR807" s="5" t="s">
        <v>1717</v>
      </c>
      <c r="AS807" s="5" t="s">
        <v>1718</v>
      </c>
      <c r="AT807" s="5" t="s">
        <v>1719</v>
      </c>
      <c r="AU807" s="5" t="s">
        <v>1703</v>
      </c>
      <c r="AV807" s="5" t="s">
        <v>1720</v>
      </c>
      <c r="AW807" s="5" t="s">
        <v>1705</v>
      </c>
      <c r="AX807" s="5" t="s">
        <v>1710</v>
      </c>
      <c r="AY807" s="5">
        <v>51.1</v>
      </c>
      <c r="AZ807" s="5">
        <v>-125.6</v>
      </c>
      <c r="BA807" s="5">
        <v>10.0</v>
      </c>
    </row>
    <row r="808" ht="14.25" customHeight="1">
      <c r="B808" s="5">
        <v>12.0</v>
      </c>
      <c r="C808" s="5" t="s">
        <v>1711</v>
      </c>
      <c r="D808" s="5">
        <v>559.0</v>
      </c>
      <c r="E808" s="5">
        <v>2017.0</v>
      </c>
      <c r="F808" s="18" t="s">
        <v>3139</v>
      </c>
      <c r="G808" s="5" t="s">
        <v>3140</v>
      </c>
      <c r="H808" s="5" t="s">
        <v>3141</v>
      </c>
      <c r="I808" s="5" t="s">
        <v>1664</v>
      </c>
      <c r="J808" s="5" t="s">
        <v>1715</v>
      </c>
      <c r="K808" s="5">
        <v>1.0</v>
      </c>
      <c r="L808" s="5">
        <v>2420.0</v>
      </c>
      <c r="M808" s="8"/>
      <c r="AO808" s="5" t="s">
        <v>3139</v>
      </c>
      <c r="AP808" s="5">
        <v>559.0</v>
      </c>
      <c r="AQ808" s="5" t="s">
        <v>1716</v>
      </c>
      <c r="AR808" s="5" t="s">
        <v>1717</v>
      </c>
      <c r="AS808" s="5" t="s">
        <v>1718</v>
      </c>
      <c r="AT808" s="5" t="s">
        <v>1719</v>
      </c>
      <c r="AU808" s="5" t="s">
        <v>1703</v>
      </c>
      <c r="AV808" s="5" t="s">
        <v>1720</v>
      </c>
      <c r="AW808" s="5" t="s">
        <v>1705</v>
      </c>
      <c r="AX808" s="5" t="s">
        <v>1837</v>
      </c>
      <c r="AY808" s="5">
        <v>50.1</v>
      </c>
      <c r="AZ808" s="5">
        <v>-124.0</v>
      </c>
      <c r="BA808" s="5">
        <v>1.0</v>
      </c>
    </row>
    <row r="809" ht="14.25" customHeight="1">
      <c r="B809" s="5">
        <v>12.0</v>
      </c>
      <c r="C809" s="5" t="s">
        <v>1711</v>
      </c>
      <c r="D809" s="5">
        <v>560.0</v>
      </c>
      <c r="E809" s="5">
        <v>2018.0</v>
      </c>
      <c r="F809" s="18" t="s">
        <v>3142</v>
      </c>
      <c r="G809" s="5" t="s">
        <v>3143</v>
      </c>
      <c r="H809" s="5" t="s">
        <v>3144</v>
      </c>
      <c r="I809" s="5" t="s">
        <v>1664</v>
      </c>
      <c r="J809" s="5" t="s">
        <v>1746</v>
      </c>
      <c r="K809" s="5">
        <v>1.0</v>
      </c>
      <c r="L809" s="5">
        <v>2421.0</v>
      </c>
      <c r="M809" s="8"/>
      <c r="AO809" s="5" t="s">
        <v>3142</v>
      </c>
      <c r="AP809" s="5">
        <v>560.0</v>
      </c>
      <c r="AQ809" s="5" t="s">
        <v>1716</v>
      </c>
      <c r="AR809" s="5" t="s">
        <v>1717</v>
      </c>
      <c r="AS809" s="5" t="s">
        <v>1718</v>
      </c>
      <c r="AT809" s="5" t="s">
        <v>1719</v>
      </c>
      <c r="AU809" s="5" t="s">
        <v>1703</v>
      </c>
      <c r="AV809" s="5" t="s">
        <v>1720</v>
      </c>
      <c r="AW809" s="5" t="s">
        <v>1947</v>
      </c>
      <c r="AX809" s="5" t="s">
        <v>1948</v>
      </c>
      <c r="AY809" s="5">
        <v>53.3</v>
      </c>
      <c r="AZ809" s="5">
        <v>-128.4</v>
      </c>
      <c r="BA809" s="5">
        <v>2.0</v>
      </c>
    </row>
    <row r="810" ht="14.25" customHeight="1">
      <c r="B810" s="5">
        <v>12.0</v>
      </c>
      <c r="C810" s="5" t="s">
        <v>1711</v>
      </c>
      <c r="D810" s="5">
        <v>561.0</v>
      </c>
      <c r="E810" s="5">
        <v>2019.0</v>
      </c>
      <c r="F810" s="18" t="s">
        <v>3145</v>
      </c>
      <c r="G810" s="5" t="s">
        <v>3146</v>
      </c>
      <c r="H810" s="5" t="s">
        <v>3147</v>
      </c>
      <c r="I810" s="5" t="s">
        <v>1664</v>
      </c>
      <c r="J810" s="5" t="s">
        <v>1715</v>
      </c>
      <c r="K810" s="5">
        <v>1.0</v>
      </c>
      <c r="L810" s="5">
        <v>2422.0</v>
      </c>
      <c r="M810" s="8"/>
      <c r="AO810" s="5" t="s">
        <v>3145</v>
      </c>
      <c r="AP810" s="5">
        <v>561.0</v>
      </c>
      <c r="AQ810" s="5" t="s">
        <v>1716</v>
      </c>
      <c r="AR810" s="5" t="s">
        <v>1717</v>
      </c>
      <c r="AS810" s="5" t="s">
        <v>1718</v>
      </c>
      <c r="AT810" s="5" t="s">
        <v>1719</v>
      </c>
      <c r="AU810" s="5" t="s">
        <v>1703</v>
      </c>
      <c r="AV810" s="5" t="s">
        <v>1720</v>
      </c>
      <c r="AW810" s="5" t="s">
        <v>1705</v>
      </c>
      <c r="AX810" s="5" t="s">
        <v>1965</v>
      </c>
      <c r="AY810" s="5">
        <v>51.4</v>
      </c>
      <c r="AZ810" s="5">
        <v>-127.5</v>
      </c>
      <c r="BA810" s="5">
        <v>1.0</v>
      </c>
    </row>
    <row r="811" ht="14.25" customHeight="1">
      <c r="B811" s="5">
        <v>12.0</v>
      </c>
      <c r="C811" s="5" t="s">
        <v>1711</v>
      </c>
      <c r="D811" s="5">
        <v>562.0</v>
      </c>
      <c r="E811" s="5">
        <v>2020.0</v>
      </c>
      <c r="F811" s="18" t="s">
        <v>3148</v>
      </c>
      <c r="G811" s="29" t="s">
        <v>3149</v>
      </c>
      <c r="H811" s="5" t="s">
        <v>3150</v>
      </c>
      <c r="I811" s="5" t="s">
        <v>1664</v>
      </c>
      <c r="J811" s="5" t="s">
        <v>1715</v>
      </c>
      <c r="K811" s="5">
        <v>1.0</v>
      </c>
      <c r="L811" s="5">
        <v>2423.0</v>
      </c>
      <c r="M811" s="8"/>
      <c r="AO811" s="5" t="s">
        <v>3148</v>
      </c>
      <c r="AP811" s="5">
        <v>562.0</v>
      </c>
      <c r="AQ811" s="5" t="s">
        <v>1716</v>
      </c>
      <c r="AR811" s="5" t="s">
        <v>1717</v>
      </c>
      <c r="AS811" s="5" t="s">
        <v>1718</v>
      </c>
      <c r="AT811" s="5" t="s">
        <v>1719</v>
      </c>
      <c r="AU811" s="5" t="s">
        <v>1703</v>
      </c>
      <c r="AV811" s="5" t="s">
        <v>1720</v>
      </c>
      <c r="AW811" s="5" t="s">
        <v>1705</v>
      </c>
      <c r="AX811" s="5" t="s">
        <v>1965</v>
      </c>
      <c r="AY811" s="5">
        <v>51.7</v>
      </c>
      <c r="AZ811" s="5">
        <v>-127.3</v>
      </c>
      <c r="BA811" s="5">
        <v>1.0</v>
      </c>
    </row>
    <row r="812" ht="14.25" customHeight="1">
      <c r="B812" s="5">
        <v>12.0</v>
      </c>
      <c r="C812" s="5" t="s">
        <v>1711</v>
      </c>
      <c r="D812" s="5">
        <v>563.0</v>
      </c>
      <c r="E812" s="5">
        <v>2021.0</v>
      </c>
      <c r="F812" s="18" t="s">
        <v>3151</v>
      </c>
      <c r="G812" s="29" t="s">
        <v>3152</v>
      </c>
      <c r="H812" s="5" t="s">
        <v>3153</v>
      </c>
      <c r="I812" s="5" t="s">
        <v>1664</v>
      </c>
      <c r="J812" s="5" t="s">
        <v>1715</v>
      </c>
      <c r="K812" s="5">
        <v>1.0</v>
      </c>
      <c r="L812" s="5">
        <v>2424.0</v>
      </c>
      <c r="M812" s="8"/>
      <c r="AO812" s="5" t="s">
        <v>3151</v>
      </c>
      <c r="AP812" s="5">
        <v>563.0</v>
      </c>
      <c r="AQ812" s="5" t="s">
        <v>1716</v>
      </c>
      <c r="AR812" s="5" t="s">
        <v>1717</v>
      </c>
      <c r="AS812" s="5" t="s">
        <v>1718</v>
      </c>
      <c r="AT812" s="5" t="s">
        <v>1719</v>
      </c>
      <c r="AU812" s="5" t="s">
        <v>1703</v>
      </c>
      <c r="AV812" s="5" t="s">
        <v>1720</v>
      </c>
      <c r="AW812" s="5" t="s">
        <v>1705</v>
      </c>
      <c r="AX812" s="5" t="s">
        <v>1965</v>
      </c>
      <c r="AY812" s="5">
        <v>51.9</v>
      </c>
      <c r="AZ812" s="5">
        <v>-127.4</v>
      </c>
      <c r="BA812" s="5">
        <v>1.0</v>
      </c>
    </row>
    <row r="813" ht="14.25" customHeight="1">
      <c r="B813" s="5">
        <v>12.0</v>
      </c>
      <c r="C813" s="5" t="s">
        <v>1711</v>
      </c>
      <c r="D813" s="5">
        <v>564.0</v>
      </c>
      <c r="E813" s="5">
        <v>2022.0</v>
      </c>
      <c r="F813" s="18" t="s">
        <v>3154</v>
      </c>
      <c r="G813" s="5" t="s">
        <v>3155</v>
      </c>
      <c r="H813" s="5" t="s">
        <v>3156</v>
      </c>
      <c r="I813" s="5" t="s">
        <v>1664</v>
      </c>
      <c r="J813" s="5" t="s">
        <v>1715</v>
      </c>
      <c r="K813" s="5">
        <v>1.0</v>
      </c>
      <c r="L813" s="5">
        <v>2425.0</v>
      </c>
      <c r="M813" s="8"/>
      <c r="AO813" s="5" t="s">
        <v>3154</v>
      </c>
      <c r="AP813" s="5">
        <v>564.0</v>
      </c>
      <c r="AQ813" s="5" t="s">
        <v>1716</v>
      </c>
      <c r="AR813" s="5" t="s">
        <v>1717</v>
      </c>
      <c r="AS813" s="5" t="s">
        <v>1718</v>
      </c>
      <c r="AT813" s="5" t="s">
        <v>1719</v>
      </c>
      <c r="AU813" s="5" t="s">
        <v>1703</v>
      </c>
      <c r="AV813" s="5" t="s">
        <v>1720</v>
      </c>
      <c r="AW813" s="5" t="s">
        <v>1705</v>
      </c>
      <c r="AX813" s="5" t="s">
        <v>1965</v>
      </c>
      <c r="AY813" s="5">
        <v>52.1</v>
      </c>
      <c r="AZ813" s="5">
        <v>-127.4</v>
      </c>
      <c r="BA813" s="5">
        <v>1.0</v>
      </c>
    </row>
    <row r="814" ht="14.25" customHeight="1">
      <c r="B814" s="5">
        <v>12.0</v>
      </c>
      <c r="C814" s="5" t="s">
        <v>1711</v>
      </c>
      <c r="D814" s="5">
        <v>565.0</v>
      </c>
      <c r="E814" s="5">
        <v>2023.0</v>
      </c>
      <c r="F814" s="18" t="s">
        <v>3157</v>
      </c>
      <c r="G814" s="29" t="s">
        <v>3158</v>
      </c>
      <c r="H814" s="5" t="s">
        <v>3159</v>
      </c>
      <c r="I814" s="5" t="s">
        <v>1664</v>
      </c>
      <c r="J814" s="5" t="s">
        <v>1715</v>
      </c>
      <c r="K814" s="5">
        <v>1.0</v>
      </c>
      <c r="L814" s="5">
        <v>2426.0</v>
      </c>
      <c r="M814" s="8"/>
      <c r="AO814" s="5" t="s">
        <v>3157</v>
      </c>
      <c r="AP814" s="5">
        <v>565.0</v>
      </c>
      <c r="AQ814" s="5" t="s">
        <v>1716</v>
      </c>
      <c r="AR814" s="5" t="s">
        <v>1717</v>
      </c>
      <c r="AS814" s="5" t="s">
        <v>1718</v>
      </c>
      <c r="AT814" s="5" t="s">
        <v>1719</v>
      </c>
      <c r="AU814" s="5" t="s">
        <v>1703</v>
      </c>
      <c r="AV814" s="5" t="s">
        <v>1720</v>
      </c>
      <c r="AW814" s="5" t="s">
        <v>1705</v>
      </c>
      <c r="AX814" s="5" t="s">
        <v>1965</v>
      </c>
      <c r="AY814" s="5">
        <v>52.0</v>
      </c>
      <c r="AZ814" s="5">
        <v>-127.7</v>
      </c>
      <c r="BA814" s="5">
        <v>1.0</v>
      </c>
    </row>
    <row r="815" ht="14.25" customHeight="1">
      <c r="B815" s="5">
        <v>12.0</v>
      </c>
      <c r="C815" s="5" t="s">
        <v>1711</v>
      </c>
      <c r="D815" s="5">
        <v>566.0</v>
      </c>
      <c r="E815" s="5">
        <v>2024.0</v>
      </c>
      <c r="F815" s="18" t="s">
        <v>3160</v>
      </c>
      <c r="G815" s="29" t="s">
        <v>3161</v>
      </c>
      <c r="H815" s="5" t="s">
        <v>3162</v>
      </c>
      <c r="I815" s="5" t="s">
        <v>1664</v>
      </c>
      <c r="J815" s="5" t="s">
        <v>1746</v>
      </c>
      <c r="K815" s="5">
        <v>1.0</v>
      </c>
      <c r="L815" s="5">
        <v>2427.0</v>
      </c>
      <c r="M815" s="8"/>
      <c r="AO815" s="5" t="s">
        <v>3160</v>
      </c>
      <c r="AP815" s="5">
        <v>566.0</v>
      </c>
      <c r="AQ815" s="5" t="s">
        <v>1716</v>
      </c>
      <c r="AR815" s="5" t="s">
        <v>1717</v>
      </c>
      <c r="AS815" s="5" t="s">
        <v>1718</v>
      </c>
      <c r="AT815" s="5" t="s">
        <v>1719</v>
      </c>
      <c r="AU815" s="5" t="s">
        <v>1703</v>
      </c>
      <c r="AV815" s="5" t="s">
        <v>1720</v>
      </c>
      <c r="AW815" s="5" t="s">
        <v>1705</v>
      </c>
      <c r="AX815" s="5" t="s">
        <v>1965</v>
      </c>
      <c r="AY815" s="5">
        <v>52.4</v>
      </c>
      <c r="AZ815" s="5">
        <v>-126.7</v>
      </c>
      <c r="BA815" s="5">
        <v>1.0</v>
      </c>
    </row>
    <row r="816" ht="14.25" customHeight="1">
      <c r="B816" s="5">
        <v>12.0</v>
      </c>
      <c r="C816" s="5" t="s">
        <v>1711</v>
      </c>
      <c r="D816" s="5">
        <v>567.0</v>
      </c>
      <c r="E816" s="5">
        <v>2025.0</v>
      </c>
      <c r="F816" s="18" t="s">
        <v>3163</v>
      </c>
      <c r="G816" s="29" t="s">
        <v>3164</v>
      </c>
      <c r="H816" s="5" t="s">
        <v>3165</v>
      </c>
      <c r="I816" s="5" t="s">
        <v>1664</v>
      </c>
      <c r="J816" s="5" t="s">
        <v>1746</v>
      </c>
      <c r="K816" s="5">
        <v>1.0</v>
      </c>
      <c r="L816" s="5">
        <v>2428.0</v>
      </c>
      <c r="M816" s="8"/>
      <c r="AO816" s="5" t="s">
        <v>3163</v>
      </c>
      <c r="AP816" s="5">
        <v>567.0</v>
      </c>
      <c r="AQ816" s="5" t="s">
        <v>1716</v>
      </c>
      <c r="AR816" s="5" t="s">
        <v>1717</v>
      </c>
      <c r="AS816" s="5" t="s">
        <v>1718</v>
      </c>
      <c r="AT816" s="5" t="s">
        <v>1719</v>
      </c>
      <c r="AU816" s="5" t="s">
        <v>1703</v>
      </c>
      <c r="AV816" s="5" t="s">
        <v>1720</v>
      </c>
      <c r="AW816" s="5" t="s">
        <v>1947</v>
      </c>
      <c r="AX816" s="5" t="s">
        <v>1948</v>
      </c>
      <c r="AY816" s="5">
        <v>54.3</v>
      </c>
      <c r="AZ816" s="5">
        <v>-129.8</v>
      </c>
      <c r="BA816" s="5">
        <v>2.0</v>
      </c>
    </row>
    <row r="817" ht="14.25" customHeight="1">
      <c r="B817" s="5">
        <v>12.0</v>
      </c>
      <c r="C817" s="5" t="s">
        <v>1711</v>
      </c>
      <c r="D817" s="5">
        <v>568.0</v>
      </c>
      <c r="E817" s="5">
        <v>2026.0</v>
      </c>
      <c r="F817" s="18" t="s">
        <v>3166</v>
      </c>
      <c r="G817" s="29" t="s">
        <v>3167</v>
      </c>
      <c r="H817" s="5" t="s">
        <v>3168</v>
      </c>
      <c r="I817" s="5" t="s">
        <v>1664</v>
      </c>
      <c r="J817" s="5" t="s">
        <v>1715</v>
      </c>
      <c r="K817" s="5">
        <v>1.0</v>
      </c>
      <c r="L817" s="5">
        <v>2429.0</v>
      </c>
      <c r="M817" s="8"/>
      <c r="AO817" s="5" t="s">
        <v>3166</v>
      </c>
      <c r="AP817" s="5">
        <v>568.0</v>
      </c>
      <c r="AQ817" s="5" t="s">
        <v>1716</v>
      </c>
      <c r="AR817" s="5" t="s">
        <v>1717</v>
      </c>
      <c r="AS817" s="5" t="s">
        <v>1718</v>
      </c>
      <c r="AT817" s="5" t="s">
        <v>1719</v>
      </c>
      <c r="AU817" s="5" t="s">
        <v>1703</v>
      </c>
      <c r="AV817" s="5" t="s">
        <v>1720</v>
      </c>
      <c r="AW817" s="5" t="s">
        <v>1705</v>
      </c>
      <c r="AX817" s="5" t="s">
        <v>1965</v>
      </c>
      <c r="AY817" s="5">
        <v>52.5</v>
      </c>
      <c r="AZ817" s="5">
        <v>-127.6</v>
      </c>
      <c r="BA817" s="5">
        <v>2.0</v>
      </c>
    </row>
    <row r="818" ht="14.25" customHeight="1">
      <c r="B818" s="5">
        <v>12.0</v>
      </c>
      <c r="C818" s="5" t="s">
        <v>1711</v>
      </c>
      <c r="D818" s="5">
        <v>569.0</v>
      </c>
      <c r="E818" s="5">
        <v>2027.0</v>
      </c>
      <c r="F818" s="18" t="s">
        <v>3169</v>
      </c>
      <c r="G818" s="5" t="s">
        <v>3170</v>
      </c>
      <c r="H818" s="5" t="s">
        <v>3171</v>
      </c>
      <c r="I818" s="5" t="s">
        <v>1664</v>
      </c>
      <c r="J818" s="5" t="s">
        <v>1746</v>
      </c>
      <c r="K818" s="5">
        <v>1.0</v>
      </c>
      <c r="L818" s="5">
        <v>2430.0</v>
      </c>
      <c r="M818" s="8"/>
      <c r="AO818" s="5" t="s">
        <v>3169</v>
      </c>
      <c r="AP818" s="5">
        <v>569.0</v>
      </c>
      <c r="AQ818" s="5" t="s">
        <v>1716</v>
      </c>
      <c r="AR818" s="5" t="s">
        <v>1717</v>
      </c>
      <c r="AS818" s="5" t="s">
        <v>1718</v>
      </c>
      <c r="AT818" s="5" t="s">
        <v>1719</v>
      </c>
      <c r="AU818" s="5" t="s">
        <v>1703</v>
      </c>
      <c r="AV818" s="5" t="s">
        <v>1720</v>
      </c>
      <c r="AW818" s="5" t="s">
        <v>1705</v>
      </c>
      <c r="AX818" s="5" t="s">
        <v>1965</v>
      </c>
      <c r="AY818" s="5">
        <v>52.3</v>
      </c>
      <c r="AZ818" s="5">
        <v>-127.3</v>
      </c>
      <c r="BA818" s="5">
        <v>0.0</v>
      </c>
    </row>
    <row r="819" ht="14.25" customHeight="1">
      <c r="A819" s="5" t="s">
        <v>422</v>
      </c>
      <c r="B819" s="5">
        <v>12.0</v>
      </c>
      <c r="C819" s="5" t="s">
        <v>1711</v>
      </c>
      <c r="D819" s="5">
        <v>570.0</v>
      </c>
      <c r="E819" s="5">
        <v>2028.0</v>
      </c>
      <c r="F819" s="18" t="s">
        <v>3172</v>
      </c>
      <c r="G819" s="5" t="s">
        <v>3173</v>
      </c>
      <c r="H819" s="5" t="s">
        <v>3174</v>
      </c>
      <c r="I819" s="5" t="s">
        <v>1664</v>
      </c>
      <c r="J819" s="5" t="s">
        <v>1746</v>
      </c>
      <c r="K819" s="5">
        <v>1.0</v>
      </c>
      <c r="L819" s="5">
        <v>2431.0</v>
      </c>
      <c r="M819" s="8"/>
      <c r="AO819" s="5" t="s">
        <v>3172</v>
      </c>
      <c r="AP819" s="5">
        <v>570.0</v>
      </c>
      <c r="AQ819" s="5" t="s">
        <v>1716</v>
      </c>
      <c r="AR819" s="5" t="s">
        <v>1717</v>
      </c>
      <c r="AS819" s="5" t="s">
        <v>1718</v>
      </c>
      <c r="AT819" s="5" t="s">
        <v>1719</v>
      </c>
      <c r="AU819" s="5" t="s">
        <v>1703</v>
      </c>
      <c r="AV819" s="5" t="s">
        <v>1720</v>
      </c>
      <c r="AW819" s="5" t="s">
        <v>1705</v>
      </c>
      <c r="AX819" s="5" t="s">
        <v>1952</v>
      </c>
      <c r="AY819" s="5">
        <v>53.4</v>
      </c>
      <c r="AZ819" s="5">
        <v>-132.1</v>
      </c>
      <c r="BA819" s="5">
        <v>1.0</v>
      </c>
    </row>
    <row r="820" ht="14.25" customHeight="1">
      <c r="B820" s="5">
        <v>12.0</v>
      </c>
      <c r="C820" s="5" t="s">
        <v>1711</v>
      </c>
      <c r="D820" s="5">
        <v>571.0</v>
      </c>
      <c r="E820" s="5">
        <v>2029.0</v>
      </c>
      <c r="F820" s="18" t="s">
        <v>3175</v>
      </c>
      <c r="G820" s="5" t="s">
        <v>3176</v>
      </c>
      <c r="H820" s="5" t="s">
        <v>3177</v>
      </c>
      <c r="I820" s="5" t="s">
        <v>1664</v>
      </c>
      <c r="J820" s="5" t="s">
        <v>1715</v>
      </c>
      <c r="K820" s="5">
        <v>1.0</v>
      </c>
      <c r="L820" s="5">
        <v>2432.0</v>
      </c>
      <c r="M820" s="8"/>
      <c r="AO820" s="5" t="s">
        <v>3175</v>
      </c>
      <c r="AP820" s="5">
        <v>571.0</v>
      </c>
      <c r="AQ820" s="5" t="s">
        <v>1716</v>
      </c>
      <c r="AR820" s="5" t="s">
        <v>1717</v>
      </c>
      <c r="AS820" s="5" t="s">
        <v>1718</v>
      </c>
      <c r="AT820" s="5" t="s">
        <v>1719</v>
      </c>
      <c r="AU820" s="5" t="s">
        <v>1703</v>
      </c>
      <c r="AV820" s="5" t="s">
        <v>1720</v>
      </c>
      <c r="AW820" s="5" t="s">
        <v>1947</v>
      </c>
      <c r="AX820" s="5" t="s">
        <v>1948</v>
      </c>
      <c r="AY820" s="5">
        <v>54.2</v>
      </c>
      <c r="AZ820" s="5">
        <v>-129.8</v>
      </c>
      <c r="BA820" s="5">
        <v>0.0</v>
      </c>
    </row>
    <row r="821" ht="14.25" customHeight="1">
      <c r="B821" s="5">
        <v>12.0</v>
      </c>
      <c r="C821" s="5" t="s">
        <v>1711</v>
      </c>
      <c r="D821" s="5">
        <v>572.0</v>
      </c>
      <c r="E821" s="5">
        <v>2030.0</v>
      </c>
      <c r="F821" s="18" t="s">
        <v>3178</v>
      </c>
      <c r="G821" s="5" t="s">
        <v>3179</v>
      </c>
      <c r="H821" s="5" t="s">
        <v>3180</v>
      </c>
      <c r="I821" s="5" t="s">
        <v>1664</v>
      </c>
      <c r="J821" s="5" t="s">
        <v>1746</v>
      </c>
      <c r="K821" s="5">
        <v>1.0</v>
      </c>
      <c r="L821" s="5">
        <v>2433.0</v>
      </c>
      <c r="M821" s="8"/>
      <c r="AO821" s="5" t="s">
        <v>3178</v>
      </c>
      <c r="AP821" s="5">
        <v>572.0</v>
      </c>
      <c r="AQ821" s="5" t="s">
        <v>1716</v>
      </c>
      <c r="AR821" s="5" t="s">
        <v>1717</v>
      </c>
      <c r="AS821" s="5" t="s">
        <v>1718</v>
      </c>
      <c r="AT821" s="5" t="s">
        <v>1719</v>
      </c>
      <c r="AU821" s="5" t="s">
        <v>1703</v>
      </c>
      <c r="AV821" s="5" t="s">
        <v>1720</v>
      </c>
      <c r="AW821" s="5" t="s">
        <v>1947</v>
      </c>
      <c r="AX821" s="5" t="s">
        <v>1948</v>
      </c>
      <c r="AY821" s="5">
        <v>53.3</v>
      </c>
      <c r="AZ821" s="5">
        <v>-128.5</v>
      </c>
      <c r="BA821" s="5">
        <v>1.0</v>
      </c>
    </row>
    <row r="822" ht="14.25" customHeight="1">
      <c r="A822" s="5" t="s">
        <v>422</v>
      </c>
      <c r="B822" s="5">
        <v>12.0</v>
      </c>
      <c r="C822" s="5" t="s">
        <v>1711</v>
      </c>
      <c r="D822" s="5">
        <v>574.0</v>
      </c>
      <c r="E822" s="5">
        <v>2031.0</v>
      </c>
      <c r="F822" s="18" t="s">
        <v>3181</v>
      </c>
      <c r="G822" s="5" t="s">
        <v>3182</v>
      </c>
      <c r="H822" s="5" t="s">
        <v>3183</v>
      </c>
      <c r="I822" s="5" t="s">
        <v>1664</v>
      </c>
      <c r="J822" s="5" t="s">
        <v>1746</v>
      </c>
      <c r="K822" s="5">
        <v>1.0</v>
      </c>
      <c r="L822" s="5">
        <v>2434.0</v>
      </c>
      <c r="M822" s="8"/>
      <c r="AO822" s="5" t="s">
        <v>3181</v>
      </c>
      <c r="AP822" s="5">
        <v>574.0</v>
      </c>
      <c r="AQ822" s="5" t="s">
        <v>1716</v>
      </c>
      <c r="AR822" s="5" t="s">
        <v>1717</v>
      </c>
      <c r="AS822" s="5" t="s">
        <v>1718</v>
      </c>
      <c r="AT822" s="5" t="s">
        <v>1719</v>
      </c>
      <c r="AU822" s="5" t="s">
        <v>1703</v>
      </c>
      <c r="AV822" s="5" t="s">
        <v>1720</v>
      </c>
      <c r="AW822" s="5" t="s">
        <v>1705</v>
      </c>
      <c r="AX822" s="5" t="s">
        <v>1965</v>
      </c>
      <c r="AY822" s="5">
        <v>52.133</v>
      </c>
      <c r="AZ822" s="5">
        <v>-128.26</v>
      </c>
      <c r="BA822" s="5">
        <v>1.0</v>
      </c>
    </row>
    <row r="823" ht="14.25" customHeight="1">
      <c r="B823" s="5">
        <v>12.0</v>
      </c>
      <c r="C823" s="5" t="s">
        <v>1711</v>
      </c>
      <c r="D823" s="5">
        <v>575.0</v>
      </c>
      <c r="E823" s="5">
        <v>2032.0</v>
      </c>
      <c r="F823" s="18" t="s">
        <v>3184</v>
      </c>
      <c r="G823" s="5" t="s">
        <v>3185</v>
      </c>
      <c r="H823" s="5" t="s">
        <v>3186</v>
      </c>
      <c r="I823" s="5" t="s">
        <v>1664</v>
      </c>
      <c r="J823" s="5" t="s">
        <v>1746</v>
      </c>
      <c r="K823" s="5">
        <v>1.0</v>
      </c>
      <c r="L823" s="5">
        <v>2435.0</v>
      </c>
      <c r="M823" s="8"/>
      <c r="AO823" s="5" t="s">
        <v>3184</v>
      </c>
      <c r="AP823" s="5">
        <v>575.0</v>
      </c>
      <c r="AQ823" s="5" t="s">
        <v>1716</v>
      </c>
      <c r="AR823" s="5" t="s">
        <v>1717</v>
      </c>
      <c r="AS823" s="5" t="s">
        <v>1718</v>
      </c>
      <c r="AT823" s="5" t="s">
        <v>1719</v>
      </c>
      <c r="AU823" s="5" t="s">
        <v>1703</v>
      </c>
      <c r="AV823" s="5" t="s">
        <v>1720</v>
      </c>
      <c r="AW823" s="5" t="s">
        <v>1705</v>
      </c>
      <c r="AX823" s="5" t="s">
        <v>1965</v>
      </c>
      <c r="AY823" s="5">
        <v>52.7</v>
      </c>
      <c r="AZ823" s="5">
        <v>-128.3</v>
      </c>
      <c r="BA823" s="5">
        <v>1.0</v>
      </c>
    </row>
    <row r="824" ht="14.25" customHeight="1">
      <c r="A824" s="5" t="s">
        <v>422</v>
      </c>
      <c r="B824" s="5">
        <v>12.0</v>
      </c>
      <c r="C824" s="5" t="s">
        <v>1711</v>
      </c>
      <c r="D824" s="27">
        <v>576.0</v>
      </c>
      <c r="E824" s="5">
        <v>2033.0</v>
      </c>
      <c r="F824" s="18" t="s">
        <v>3187</v>
      </c>
      <c r="G824" s="5" t="s">
        <v>3188</v>
      </c>
      <c r="H824" s="5" t="s">
        <v>3189</v>
      </c>
      <c r="I824" s="5" t="s">
        <v>1664</v>
      </c>
      <c r="J824" s="5" t="s">
        <v>1746</v>
      </c>
      <c r="K824" s="5">
        <v>1.0</v>
      </c>
      <c r="L824" s="5">
        <v>2436.0</v>
      </c>
      <c r="M824" s="8"/>
      <c r="AO824" s="5" t="s">
        <v>3187</v>
      </c>
      <c r="AP824" s="5">
        <v>576.0</v>
      </c>
      <c r="AQ824" s="5" t="s">
        <v>1716</v>
      </c>
      <c r="AR824" s="5" t="s">
        <v>1717</v>
      </c>
      <c r="AS824" s="5" t="s">
        <v>1718</v>
      </c>
      <c r="AT824" s="5" t="s">
        <v>1719</v>
      </c>
      <c r="AU824" s="5" t="s">
        <v>1703</v>
      </c>
      <c r="AV824" s="5" t="s">
        <v>1720</v>
      </c>
      <c r="AW824" s="5" t="s">
        <v>1947</v>
      </c>
      <c r="AX824" s="5" t="s">
        <v>1948</v>
      </c>
      <c r="AY824" s="5">
        <v>53.4</v>
      </c>
      <c r="AZ824" s="5">
        <v>-128.7</v>
      </c>
      <c r="BA824" s="5">
        <v>6.0</v>
      </c>
    </row>
    <row r="825" ht="14.25" customHeight="1">
      <c r="A825" s="5" t="s">
        <v>422</v>
      </c>
      <c r="B825" s="5">
        <v>12.0</v>
      </c>
      <c r="C825" s="5" t="s">
        <v>1711</v>
      </c>
      <c r="D825" s="5">
        <v>577.0</v>
      </c>
      <c r="E825" s="5">
        <v>2034.0</v>
      </c>
      <c r="F825" s="18" t="s">
        <v>3190</v>
      </c>
      <c r="G825" s="5" t="s">
        <v>3191</v>
      </c>
      <c r="H825" s="5" t="s">
        <v>3192</v>
      </c>
      <c r="I825" s="5" t="s">
        <v>1664</v>
      </c>
      <c r="J825" s="5" t="s">
        <v>1746</v>
      </c>
      <c r="K825" s="5">
        <v>1.0</v>
      </c>
      <c r="L825" s="5">
        <v>2437.0</v>
      </c>
      <c r="M825" s="8"/>
      <c r="AO825" s="5" t="s">
        <v>3190</v>
      </c>
      <c r="AP825" s="5">
        <v>577.0</v>
      </c>
      <c r="AQ825" s="5" t="s">
        <v>1716</v>
      </c>
      <c r="AR825" s="5" t="s">
        <v>1717</v>
      </c>
      <c r="AS825" s="5" t="s">
        <v>1718</v>
      </c>
      <c r="AT825" s="5" t="s">
        <v>1719</v>
      </c>
      <c r="AU825" s="5" t="s">
        <v>1703</v>
      </c>
      <c r="AV825" s="5" t="s">
        <v>1720</v>
      </c>
      <c r="AW825" s="5" t="s">
        <v>1947</v>
      </c>
      <c r="AX825" s="5" t="s">
        <v>1948</v>
      </c>
      <c r="AY825" s="5">
        <v>53.5</v>
      </c>
      <c r="AZ825" s="5">
        <v>-128.8</v>
      </c>
      <c r="BA825" s="5">
        <v>1.0</v>
      </c>
    </row>
    <row r="826" ht="14.25" customHeight="1">
      <c r="A826" s="5" t="s">
        <v>422</v>
      </c>
      <c r="B826" s="5">
        <v>12.0</v>
      </c>
      <c r="C826" s="5" t="s">
        <v>1711</v>
      </c>
      <c r="D826" s="5">
        <v>578.0</v>
      </c>
      <c r="E826" s="5">
        <v>2035.0</v>
      </c>
      <c r="F826" s="18" t="s">
        <v>3193</v>
      </c>
      <c r="G826" s="5" t="s">
        <v>3194</v>
      </c>
      <c r="H826" s="5" t="s">
        <v>3195</v>
      </c>
      <c r="I826" s="5" t="s">
        <v>1664</v>
      </c>
      <c r="J826" s="5" t="s">
        <v>1746</v>
      </c>
      <c r="K826" s="5">
        <v>1.0</v>
      </c>
      <c r="L826" s="5">
        <v>2438.0</v>
      </c>
      <c r="M826" s="8"/>
      <c r="AO826" s="5" t="s">
        <v>3193</v>
      </c>
      <c r="AP826" s="5">
        <v>578.0</v>
      </c>
      <c r="AQ826" s="5" t="s">
        <v>1716</v>
      </c>
      <c r="AR826" s="5" t="s">
        <v>1717</v>
      </c>
      <c r="AS826" s="5" t="s">
        <v>1718</v>
      </c>
      <c r="AT826" s="5" t="s">
        <v>1719</v>
      </c>
      <c r="AU826" s="5" t="s">
        <v>1703</v>
      </c>
      <c r="AV826" s="5" t="s">
        <v>1720</v>
      </c>
      <c r="AW826" s="5" t="s">
        <v>1947</v>
      </c>
      <c r="AX826" s="5" t="s">
        <v>1948</v>
      </c>
      <c r="AY826" s="5">
        <v>53.4</v>
      </c>
      <c r="AZ826" s="5">
        <v>-129.1</v>
      </c>
      <c r="BA826" s="5">
        <v>0.0</v>
      </c>
    </row>
    <row r="827" ht="14.25" customHeight="1">
      <c r="B827" s="5">
        <v>12.0</v>
      </c>
      <c r="C827" s="5" t="s">
        <v>1711</v>
      </c>
      <c r="D827" s="5">
        <v>579.0</v>
      </c>
      <c r="E827" s="5">
        <v>2036.0</v>
      </c>
      <c r="F827" s="18" t="s">
        <v>3196</v>
      </c>
      <c r="G827" s="5" t="s">
        <v>3197</v>
      </c>
      <c r="H827" s="5" t="s">
        <v>3198</v>
      </c>
      <c r="I827" s="5" t="s">
        <v>1664</v>
      </c>
      <c r="J827" s="5" t="s">
        <v>1715</v>
      </c>
      <c r="K827" s="5">
        <v>1.0</v>
      </c>
      <c r="L827" s="5">
        <v>2439.0</v>
      </c>
      <c r="M827" s="8"/>
      <c r="AO827" s="5" t="s">
        <v>3196</v>
      </c>
      <c r="AP827" s="5">
        <v>579.0</v>
      </c>
      <c r="AQ827" s="5" t="s">
        <v>1716</v>
      </c>
      <c r="AR827" s="5" t="s">
        <v>1717</v>
      </c>
      <c r="AS827" s="5" t="s">
        <v>1718</v>
      </c>
      <c r="AT827" s="5" t="s">
        <v>1719</v>
      </c>
      <c r="AU827" s="5" t="s">
        <v>1703</v>
      </c>
      <c r="AV827" s="5" t="s">
        <v>1720</v>
      </c>
      <c r="AW827" s="5" t="s">
        <v>1705</v>
      </c>
      <c r="AX827" s="5" t="s">
        <v>1965</v>
      </c>
      <c r="AY827" s="5">
        <v>52.2</v>
      </c>
      <c r="AZ827" s="5">
        <v>-126.8</v>
      </c>
      <c r="BA827" s="5">
        <v>1.0</v>
      </c>
    </row>
    <row r="828" ht="14.25" customHeight="1">
      <c r="B828" s="5">
        <v>12.0</v>
      </c>
      <c r="C828" s="5" t="s">
        <v>1711</v>
      </c>
      <c r="D828" s="5">
        <v>580.0</v>
      </c>
      <c r="E828" s="5">
        <v>2037.0</v>
      </c>
      <c r="F828" s="18" t="s">
        <v>3199</v>
      </c>
      <c r="G828" s="5" t="s">
        <v>3200</v>
      </c>
      <c r="H828" s="5" t="s">
        <v>3201</v>
      </c>
      <c r="I828" s="5" t="s">
        <v>1664</v>
      </c>
      <c r="J828" s="5" t="s">
        <v>1715</v>
      </c>
      <c r="K828" s="5">
        <v>1.0</v>
      </c>
      <c r="L828" s="5">
        <v>2440.0</v>
      </c>
      <c r="M828" s="8"/>
      <c r="AO828" s="5" t="s">
        <v>3199</v>
      </c>
      <c r="AP828" s="5">
        <v>580.0</v>
      </c>
      <c r="AQ828" s="5" t="s">
        <v>1716</v>
      </c>
      <c r="AR828" s="5" t="s">
        <v>1717</v>
      </c>
      <c r="AS828" s="5" t="s">
        <v>1718</v>
      </c>
      <c r="AT828" s="5" t="s">
        <v>1719</v>
      </c>
      <c r="AU828" s="5" t="s">
        <v>1703</v>
      </c>
      <c r="AV828" s="5" t="s">
        <v>1720</v>
      </c>
      <c r="AW828" s="5" t="s">
        <v>1705</v>
      </c>
      <c r="AX828" s="5" t="s">
        <v>1965</v>
      </c>
      <c r="AY828" s="5">
        <v>51.6</v>
      </c>
      <c r="AZ828" s="5">
        <v>-126.7</v>
      </c>
      <c r="BA828" s="5">
        <v>1.0</v>
      </c>
    </row>
    <row r="829" ht="14.25" customHeight="1">
      <c r="B829" s="5">
        <v>12.0</v>
      </c>
      <c r="C829" s="5" t="s">
        <v>1711</v>
      </c>
      <c r="D829" s="5">
        <v>581.0</v>
      </c>
      <c r="E829" s="5">
        <v>2038.0</v>
      </c>
      <c r="F829" s="18" t="s">
        <v>3202</v>
      </c>
      <c r="G829" s="5" t="s">
        <v>3203</v>
      </c>
      <c r="H829" s="5" t="s">
        <v>3159</v>
      </c>
      <c r="I829" s="5" t="s">
        <v>1664</v>
      </c>
      <c r="J829" s="5" t="s">
        <v>1715</v>
      </c>
      <c r="K829" s="5">
        <v>1.0</v>
      </c>
      <c r="L829" s="5">
        <v>2441.0</v>
      </c>
      <c r="M829" s="8"/>
      <c r="AO829" s="5" t="s">
        <v>3202</v>
      </c>
      <c r="AP829" s="5">
        <v>581.0</v>
      </c>
      <c r="AQ829" s="5" t="s">
        <v>1716</v>
      </c>
      <c r="AR829" s="5" t="s">
        <v>1717</v>
      </c>
      <c r="AS829" s="5" t="s">
        <v>1718</v>
      </c>
      <c r="AT829" s="5" t="s">
        <v>1719</v>
      </c>
      <c r="AU829" s="5" t="s">
        <v>1703</v>
      </c>
      <c r="AV829" s="5" t="s">
        <v>1720</v>
      </c>
      <c r="AW829" s="5" t="s">
        <v>1705</v>
      </c>
      <c r="AX829" s="5" t="s">
        <v>1965</v>
      </c>
      <c r="AY829" s="5">
        <v>51.8</v>
      </c>
      <c r="AZ829" s="5">
        <v>-126.6</v>
      </c>
      <c r="BA829" s="5">
        <v>1.0</v>
      </c>
    </row>
    <row r="830" ht="14.25" customHeight="1">
      <c r="B830" s="5">
        <v>12.0</v>
      </c>
      <c r="C830" s="5" t="s">
        <v>1711</v>
      </c>
      <c r="D830" s="5">
        <v>582.0</v>
      </c>
      <c r="E830" s="5">
        <v>2039.0</v>
      </c>
      <c r="F830" s="18" t="s">
        <v>3204</v>
      </c>
      <c r="G830" s="5" t="s">
        <v>3205</v>
      </c>
      <c r="H830" s="5" t="s">
        <v>3159</v>
      </c>
      <c r="I830" s="5" t="s">
        <v>1664</v>
      </c>
      <c r="J830" s="5" t="s">
        <v>1715</v>
      </c>
      <c r="K830" s="5">
        <v>1.0</v>
      </c>
      <c r="L830" s="5">
        <v>2442.0</v>
      </c>
      <c r="M830" s="8"/>
      <c r="AO830" s="5" t="s">
        <v>3204</v>
      </c>
      <c r="AP830" s="5">
        <v>582.0</v>
      </c>
      <c r="AQ830" s="5" t="s">
        <v>1716</v>
      </c>
      <c r="AR830" s="5" t="s">
        <v>1717</v>
      </c>
      <c r="AS830" s="5" t="s">
        <v>1718</v>
      </c>
      <c r="AT830" s="5" t="s">
        <v>1719</v>
      </c>
      <c r="AU830" s="5" t="s">
        <v>1703</v>
      </c>
      <c r="AV830" s="5" t="s">
        <v>1720</v>
      </c>
      <c r="AW830" s="5" t="s">
        <v>1705</v>
      </c>
      <c r="AX830" s="5" t="s">
        <v>1965</v>
      </c>
      <c r="AY830" s="5">
        <v>51.8</v>
      </c>
      <c r="AZ830" s="5">
        <v>-126.7</v>
      </c>
      <c r="BA830" s="5">
        <v>1.0</v>
      </c>
    </row>
    <row r="831" ht="14.25" customHeight="1">
      <c r="B831" s="5">
        <v>12.0</v>
      </c>
      <c r="C831" s="5" t="s">
        <v>1711</v>
      </c>
      <c r="D831" s="5">
        <v>583.0</v>
      </c>
      <c r="E831" s="5">
        <v>2040.0</v>
      </c>
      <c r="F831" s="18" t="s">
        <v>3206</v>
      </c>
      <c r="G831" s="5" t="s">
        <v>3207</v>
      </c>
      <c r="H831" s="5" t="s">
        <v>3208</v>
      </c>
      <c r="I831" s="5" t="s">
        <v>1664</v>
      </c>
      <c r="J831" s="5" t="s">
        <v>1715</v>
      </c>
      <c r="K831" s="5">
        <v>1.0</v>
      </c>
      <c r="L831" s="5">
        <v>2443.0</v>
      </c>
      <c r="M831" s="8"/>
      <c r="AO831" s="5" t="s">
        <v>3206</v>
      </c>
      <c r="AP831" s="5">
        <v>583.0</v>
      </c>
      <c r="AQ831" s="5" t="s">
        <v>1716</v>
      </c>
      <c r="AR831" s="5" t="s">
        <v>1717</v>
      </c>
      <c r="AS831" s="5" t="s">
        <v>1718</v>
      </c>
      <c r="AT831" s="5" t="s">
        <v>1719</v>
      </c>
      <c r="AU831" s="5" t="s">
        <v>1703</v>
      </c>
      <c r="AV831" s="5" t="s">
        <v>1720</v>
      </c>
      <c r="AW831" s="5" t="s">
        <v>1705</v>
      </c>
      <c r="AX831" s="5" t="s">
        <v>1837</v>
      </c>
      <c r="AY831" s="5">
        <v>50.0</v>
      </c>
      <c r="AZ831" s="5">
        <v>-124.0</v>
      </c>
      <c r="BA831" s="5">
        <v>1.0</v>
      </c>
    </row>
    <row r="832" ht="14.25" customHeight="1">
      <c r="B832" s="5">
        <v>12.0</v>
      </c>
      <c r="C832" s="5" t="s">
        <v>1711</v>
      </c>
      <c r="D832" s="5">
        <v>584.0</v>
      </c>
      <c r="E832" s="5">
        <v>2041.0</v>
      </c>
      <c r="F832" s="18" t="s">
        <v>3209</v>
      </c>
      <c r="G832" s="5" t="s">
        <v>3210</v>
      </c>
      <c r="H832" s="5" t="s">
        <v>3211</v>
      </c>
      <c r="I832" s="5" t="s">
        <v>1664</v>
      </c>
      <c r="J832" s="5" t="s">
        <v>1715</v>
      </c>
      <c r="K832" s="5">
        <v>1.0</v>
      </c>
      <c r="L832" s="5">
        <v>2444.0</v>
      </c>
      <c r="M832" s="8"/>
      <c r="AO832" s="5" t="s">
        <v>3209</v>
      </c>
      <c r="AP832" s="5">
        <v>584.0</v>
      </c>
      <c r="AQ832" s="5" t="s">
        <v>1716</v>
      </c>
      <c r="AR832" s="5" t="s">
        <v>1717</v>
      </c>
      <c r="AS832" s="5" t="s">
        <v>1718</v>
      </c>
      <c r="AT832" s="5" t="s">
        <v>1719</v>
      </c>
      <c r="AU832" s="5" t="s">
        <v>1703</v>
      </c>
      <c r="AV832" s="5" t="s">
        <v>1720</v>
      </c>
      <c r="AW832" s="5" t="s">
        <v>1705</v>
      </c>
      <c r="AX832" s="5" t="s">
        <v>2153</v>
      </c>
      <c r="AY832" s="5">
        <v>53.5</v>
      </c>
      <c r="AZ832" s="5">
        <v>-127.4</v>
      </c>
      <c r="BA832" s="5">
        <v>19.0</v>
      </c>
    </row>
    <row r="833" ht="14.25" customHeight="1">
      <c r="B833" s="5">
        <v>12.0</v>
      </c>
      <c r="C833" s="5" t="s">
        <v>1711</v>
      </c>
      <c r="D833" s="5">
        <v>585.0</v>
      </c>
      <c r="E833" s="5">
        <v>2042.0</v>
      </c>
      <c r="F833" s="18" t="s">
        <v>3212</v>
      </c>
      <c r="G833" s="5" t="s">
        <v>3213</v>
      </c>
      <c r="H833" s="5" t="s">
        <v>3214</v>
      </c>
      <c r="I833" s="5" t="s">
        <v>641</v>
      </c>
      <c r="J833" s="5" t="s">
        <v>1746</v>
      </c>
      <c r="K833" s="5">
        <v>1.0</v>
      </c>
      <c r="L833" s="5">
        <v>2445.0</v>
      </c>
      <c r="M833" s="8"/>
      <c r="AO833" s="5" t="s">
        <v>3212</v>
      </c>
      <c r="AP833" s="5">
        <v>585.0</v>
      </c>
      <c r="AQ833" s="5" t="s">
        <v>1716</v>
      </c>
      <c r="AR833" s="5" t="s">
        <v>1717</v>
      </c>
      <c r="AS833" s="5" t="s">
        <v>1718</v>
      </c>
      <c r="AT833" s="5" t="s">
        <v>1719</v>
      </c>
      <c r="AU833" s="5" t="s">
        <v>1959</v>
      </c>
      <c r="AV833" s="5" t="s">
        <v>1720</v>
      </c>
      <c r="AW833" s="5" t="s">
        <v>1705</v>
      </c>
      <c r="AX833" s="5" t="s">
        <v>1965</v>
      </c>
      <c r="AY833" s="5">
        <v>52.3836</v>
      </c>
      <c r="AZ833" s="5">
        <v>-126.5913</v>
      </c>
      <c r="BA833" s="5">
        <v>50.0</v>
      </c>
    </row>
    <row r="834" ht="14.25" customHeight="1">
      <c r="B834" s="5">
        <v>12.0</v>
      </c>
      <c r="C834" s="5" t="s">
        <v>1711</v>
      </c>
      <c r="D834" s="5">
        <v>586.0</v>
      </c>
      <c r="E834" s="5">
        <v>2043.0</v>
      </c>
      <c r="F834" s="18" t="s">
        <v>3215</v>
      </c>
      <c r="G834" s="5" t="s">
        <v>3216</v>
      </c>
      <c r="H834" s="5" t="s">
        <v>3217</v>
      </c>
      <c r="I834" s="5" t="s">
        <v>1664</v>
      </c>
      <c r="J834" s="5" t="s">
        <v>1715</v>
      </c>
      <c r="K834" s="5">
        <v>1.0</v>
      </c>
      <c r="L834" s="5">
        <v>2446.0</v>
      </c>
      <c r="M834" s="8"/>
      <c r="AO834" s="5" t="s">
        <v>3215</v>
      </c>
      <c r="AP834" s="5">
        <v>586.0</v>
      </c>
      <c r="AQ834" s="5" t="s">
        <v>1716</v>
      </c>
      <c r="AR834" s="5" t="s">
        <v>1717</v>
      </c>
      <c r="AS834" s="5" t="s">
        <v>1718</v>
      </c>
      <c r="AT834" s="5" t="s">
        <v>1703</v>
      </c>
      <c r="AU834" s="5" t="s">
        <v>1703</v>
      </c>
      <c r="AV834" s="5" t="s">
        <v>1720</v>
      </c>
      <c r="AW834" s="5" t="s">
        <v>1705</v>
      </c>
      <c r="AX834" s="5" t="s">
        <v>1965</v>
      </c>
      <c r="AY834" s="5">
        <v>52.3</v>
      </c>
      <c r="AZ834" s="5">
        <v>-126.5</v>
      </c>
      <c r="BA834" s="5">
        <v>1.0</v>
      </c>
    </row>
    <row r="835" ht="14.25" customHeight="1">
      <c r="A835" s="5" t="s">
        <v>422</v>
      </c>
      <c r="B835" s="5">
        <v>12.0</v>
      </c>
      <c r="C835" s="5" t="s">
        <v>1711</v>
      </c>
      <c r="D835" s="5">
        <v>587.0</v>
      </c>
      <c r="E835" s="5">
        <v>2044.0</v>
      </c>
      <c r="F835" s="18" t="s">
        <v>3218</v>
      </c>
      <c r="G835" s="5" t="s">
        <v>3219</v>
      </c>
      <c r="H835" s="5" t="s">
        <v>3220</v>
      </c>
      <c r="I835" s="5" t="s">
        <v>1664</v>
      </c>
      <c r="J835" s="5" t="s">
        <v>1746</v>
      </c>
      <c r="K835" s="5">
        <v>1.0</v>
      </c>
      <c r="L835" s="5">
        <v>2447.0</v>
      </c>
      <c r="M835" s="8"/>
      <c r="AO835" s="5" t="s">
        <v>3218</v>
      </c>
      <c r="AP835" s="5">
        <v>587.0</v>
      </c>
      <c r="AQ835" s="5" t="s">
        <v>1716</v>
      </c>
      <c r="AR835" s="5" t="s">
        <v>1717</v>
      </c>
      <c r="AS835" s="5" t="s">
        <v>1718</v>
      </c>
      <c r="AT835" s="5" t="s">
        <v>1719</v>
      </c>
      <c r="AU835" s="5" t="s">
        <v>1703</v>
      </c>
      <c r="AV835" s="5" t="s">
        <v>1720</v>
      </c>
      <c r="AW835" s="5" t="s">
        <v>1705</v>
      </c>
      <c r="AX835" s="5" t="s">
        <v>1965</v>
      </c>
      <c r="AY835" s="5">
        <v>52.2</v>
      </c>
      <c r="AZ835" s="5">
        <v>-126.7</v>
      </c>
      <c r="BA835" s="5">
        <v>7.0</v>
      </c>
    </row>
    <row r="836" ht="14.25" customHeight="1">
      <c r="B836" s="5">
        <v>12.0</v>
      </c>
      <c r="C836" s="5" t="s">
        <v>1711</v>
      </c>
      <c r="D836" s="5">
        <v>588.0</v>
      </c>
      <c r="E836" s="5">
        <v>2045.0</v>
      </c>
      <c r="F836" s="18" t="s">
        <v>3221</v>
      </c>
      <c r="G836" s="5" t="s">
        <v>3222</v>
      </c>
      <c r="H836" s="5" t="s">
        <v>3223</v>
      </c>
      <c r="I836" s="5" t="s">
        <v>1664</v>
      </c>
      <c r="J836" s="5" t="s">
        <v>1746</v>
      </c>
      <c r="K836" s="5">
        <v>1.0</v>
      </c>
      <c r="L836" s="5">
        <v>2448.0</v>
      </c>
      <c r="M836" s="8"/>
      <c r="AO836" s="5" t="s">
        <v>3221</v>
      </c>
      <c r="AP836" s="5">
        <v>588.0</v>
      </c>
      <c r="AQ836" s="5" t="s">
        <v>1716</v>
      </c>
      <c r="AR836" s="5" t="s">
        <v>1717</v>
      </c>
      <c r="AS836" s="5" t="s">
        <v>1718</v>
      </c>
      <c r="AT836" s="5" t="s">
        <v>1719</v>
      </c>
      <c r="AU836" s="5" t="s">
        <v>1703</v>
      </c>
      <c r="AV836" s="5" t="s">
        <v>1720</v>
      </c>
      <c r="AW836" s="5" t="s">
        <v>1705</v>
      </c>
      <c r="AX836" s="5" t="s">
        <v>1965</v>
      </c>
      <c r="AY836" s="5">
        <v>52.12</v>
      </c>
      <c r="AZ836" s="5">
        <v>-127.933</v>
      </c>
      <c r="BA836" s="5">
        <v>5.0</v>
      </c>
    </row>
    <row r="837" ht="14.25" customHeight="1">
      <c r="B837" s="5">
        <v>12.0</v>
      </c>
      <c r="C837" s="5" t="s">
        <v>1711</v>
      </c>
      <c r="D837" s="5">
        <v>589.0</v>
      </c>
      <c r="E837" s="5">
        <v>2046.0</v>
      </c>
      <c r="F837" s="18" t="s">
        <v>3224</v>
      </c>
      <c r="G837" s="5" t="s">
        <v>3225</v>
      </c>
      <c r="H837" s="5" t="s">
        <v>3226</v>
      </c>
      <c r="I837" s="5" t="s">
        <v>1664</v>
      </c>
      <c r="J837" s="5" t="s">
        <v>1715</v>
      </c>
      <c r="K837" s="5">
        <v>1.0</v>
      </c>
      <c r="L837" s="5">
        <v>2449.0</v>
      </c>
      <c r="M837" s="8"/>
      <c r="AO837" s="5" t="s">
        <v>3224</v>
      </c>
      <c r="AP837" s="5">
        <v>589.0</v>
      </c>
      <c r="AQ837" s="5" t="s">
        <v>1716</v>
      </c>
      <c r="AR837" s="5" t="s">
        <v>1717</v>
      </c>
      <c r="AS837" s="5" t="s">
        <v>1718</v>
      </c>
      <c r="AT837" s="5" t="s">
        <v>1719</v>
      </c>
      <c r="AU837" s="5" t="s">
        <v>1703</v>
      </c>
      <c r="AV837" s="5" t="s">
        <v>1720</v>
      </c>
      <c r="AW837" s="5" t="s">
        <v>1947</v>
      </c>
      <c r="AX837" s="5" t="s">
        <v>1973</v>
      </c>
      <c r="AY837" s="5">
        <v>54.1</v>
      </c>
      <c r="AZ837" s="5">
        <v>-128.6</v>
      </c>
      <c r="BA837" s="5">
        <v>13.0</v>
      </c>
    </row>
    <row r="838" ht="14.25" customHeight="1">
      <c r="B838" s="5">
        <v>12.0</v>
      </c>
      <c r="C838" s="5" t="s">
        <v>1711</v>
      </c>
      <c r="D838" s="5">
        <v>590.0</v>
      </c>
      <c r="E838" s="5">
        <v>2047.0</v>
      </c>
      <c r="F838" s="18" t="s">
        <v>3227</v>
      </c>
      <c r="G838" s="5" t="s">
        <v>3228</v>
      </c>
      <c r="H838" s="5" t="s">
        <v>3229</v>
      </c>
      <c r="I838" s="5" t="s">
        <v>1664</v>
      </c>
      <c r="J838" s="5" t="s">
        <v>1715</v>
      </c>
      <c r="K838" s="5">
        <v>1.0</v>
      </c>
      <c r="L838" s="5">
        <v>2450.0</v>
      </c>
      <c r="M838" s="8"/>
      <c r="AO838" s="5" t="s">
        <v>3227</v>
      </c>
      <c r="AP838" s="5">
        <v>590.0</v>
      </c>
      <c r="AQ838" s="5" t="s">
        <v>1716</v>
      </c>
      <c r="AR838" s="5" t="s">
        <v>1717</v>
      </c>
      <c r="AS838" s="5" t="s">
        <v>1718</v>
      </c>
      <c r="AT838" s="5" t="s">
        <v>1719</v>
      </c>
      <c r="AU838" s="5" t="s">
        <v>1703</v>
      </c>
      <c r="AV838" s="5" t="s">
        <v>1720</v>
      </c>
      <c r="AW838" s="5" t="s">
        <v>1947</v>
      </c>
      <c r="AX838" s="5" t="s">
        <v>1973</v>
      </c>
      <c r="AY838" s="5">
        <v>53.8</v>
      </c>
      <c r="AZ838" s="5">
        <v>-128.4</v>
      </c>
      <c r="BA838" s="5">
        <v>5.0</v>
      </c>
    </row>
    <row r="839" ht="14.25" customHeight="1">
      <c r="B839" s="5">
        <v>12.0</v>
      </c>
      <c r="C839" s="5" t="s">
        <v>1711</v>
      </c>
      <c r="D839" s="5">
        <v>592.0</v>
      </c>
      <c r="E839" s="5">
        <v>2048.0</v>
      </c>
      <c r="F839" s="18" t="s">
        <v>3230</v>
      </c>
      <c r="G839" s="5" t="s">
        <v>3231</v>
      </c>
      <c r="H839" s="5" t="s">
        <v>3232</v>
      </c>
      <c r="I839" s="5" t="s">
        <v>1664</v>
      </c>
      <c r="J839" s="5" t="s">
        <v>1715</v>
      </c>
      <c r="K839" s="5">
        <v>1.0</v>
      </c>
      <c r="L839" s="5">
        <v>2451.0</v>
      </c>
      <c r="M839" s="8"/>
      <c r="AO839" s="5" t="s">
        <v>3230</v>
      </c>
      <c r="AP839" s="5">
        <v>592.0</v>
      </c>
      <c r="AQ839" s="5" t="s">
        <v>1716</v>
      </c>
      <c r="AR839" s="5" t="s">
        <v>1717</v>
      </c>
      <c r="AS839" s="5" t="s">
        <v>1718</v>
      </c>
      <c r="AT839" s="5" t="s">
        <v>1719</v>
      </c>
      <c r="AU839" s="5" t="s">
        <v>1703</v>
      </c>
      <c r="AV839" s="5" t="s">
        <v>1720</v>
      </c>
      <c r="AW839" s="5" t="s">
        <v>1947</v>
      </c>
      <c r="AX839" s="5" t="s">
        <v>1986</v>
      </c>
      <c r="AY839" s="5">
        <v>57.4</v>
      </c>
      <c r="AZ839" s="5">
        <v>-130.2</v>
      </c>
      <c r="BA839" s="5">
        <v>0.0</v>
      </c>
    </row>
    <row r="840" ht="14.25" customHeight="1">
      <c r="B840" s="5">
        <v>12.0</v>
      </c>
      <c r="C840" s="5" t="s">
        <v>1711</v>
      </c>
      <c r="D840" s="5">
        <v>593.0</v>
      </c>
      <c r="E840" s="5">
        <v>2049.0</v>
      </c>
      <c r="F840" s="18" t="s">
        <v>3233</v>
      </c>
      <c r="G840" s="5" t="s">
        <v>3234</v>
      </c>
      <c r="H840" s="5" t="s">
        <v>3235</v>
      </c>
      <c r="I840" s="5" t="s">
        <v>1664</v>
      </c>
      <c r="J840" s="5" t="s">
        <v>1746</v>
      </c>
      <c r="K840" s="5">
        <v>1.0</v>
      </c>
      <c r="L840" s="5">
        <v>2452.0</v>
      </c>
      <c r="M840" s="8"/>
      <c r="AO840" s="5" t="s">
        <v>3233</v>
      </c>
      <c r="AP840" s="5">
        <v>593.0</v>
      </c>
      <c r="AQ840" s="5" t="s">
        <v>1716</v>
      </c>
      <c r="AR840" s="5" t="s">
        <v>1717</v>
      </c>
      <c r="AS840" s="5" t="s">
        <v>1718</v>
      </c>
      <c r="AT840" s="5" t="s">
        <v>1719</v>
      </c>
      <c r="AU840" s="5" t="s">
        <v>1703</v>
      </c>
      <c r="AV840" s="5" t="s">
        <v>1720</v>
      </c>
      <c r="AW840" s="5" t="s">
        <v>1947</v>
      </c>
      <c r="AX840" s="5" t="s">
        <v>1986</v>
      </c>
      <c r="AY840" s="5">
        <v>56.6</v>
      </c>
      <c r="AZ840" s="5">
        <v>-131.1</v>
      </c>
      <c r="BA840" s="5">
        <v>2.0</v>
      </c>
    </row>
    <row r="841" ht="14.25" customHeight="1">
      <c r="B841" s="5">
        <v>12.0</v>
      </c>
      <c r="C841" s="5" t="s">
        <v>1711</v>
      </c>
      <c r="D841" s="5">
        <v>594.0</v>
      </c>
      <c r="E841" s="5">
        <v>2050.0</v>
      </c>
      <c r="F841" s="18" t="s">
        <v>3236</v>
      </c>
      <c r="G841" s="5" t="s">
        <v>3237</v>
      </c>
      <c r="H841" s="5" t="s">
        <v>3238</v>
      </c>
      <c r="I841" s="5" t="s">
        <v>1664</v>
      </c>
      <c r="J841" s="5" t="s">
        <v>1746</v>
      </c>
      <c r="K841" s="5">
        <v>1.0</v>
      </c>
      <c r="L841" s="5">
        <v>2453.0</v>
      </c>
      <c r="M841" s="8"/>
      <c r="AO841" s="5" t="s">
        <v>3236</v>
      </c>
      <c r="AP841" s="5">
        <v>594.0</v>
      </c>
      <c r="AQ841" s="5" t="s">
        <v>1716</v>
      </c>
      <c r="AR841" s="5" t="s">
        <v>1717</v>
      </c>
      <c r="AS841" s="5" t="s">
        <v>1718</v>
      </c>
      <c r="AT841" s="5" t="s">
        <v>1719</v>
      </c>
      <c r="AU841" s="5" t="s">
        <v>1703</v>
      </c>
      <c r="AV841" s="5" t="s">
        <v>1720</v>
      </c>
      <c r="AW841" s="5" t="s">
        <v>1947</v>
      </c>
      <c r="AX841" s="5" t="s">
        <v>1986</v>
      </c>
      <c r="AY841" s="5">
        <v>57.6</v>
      </c>
      <c r="AZ841" s="5">
        <v>-130.1</v>
      </c>
      <c r="BA841" s="5">
        <v>99.0</v>
      </c>
    </row>
    <row r="842" ht="14.25" customHeight="1">
      <c r="B842" s="5">
        <v>12.0</v>
      </c>
      <c r="C842" s="5" t="s">
        <v>1711</v>
      </c>
      <c r="D842" s="5">
        <v>598.0</v>
      </c>
      <c r="E842" s="5">
        <v>2054.0</v>
      </c>
      <c r="F842" s="18" t="s">
        <v>3239</v>
      </c>
      <c r="G842" s="5" t="s">
        <v>3240</v>
      </c>
      <c r="H842" s="5" t="s">
        <v>3241</v>
      </c>
      <c r="I842" s="5" t="s">
        <v>1664</v>
      </c>
      <c r="J842" s="5" t="s">
        <v>1715</v>
      </c>
      <c r="K842" s="5">
        <v>1.0</v>
      </c>
      <c r="L842" s="5">
        <v>2457.0</v>
      </c>
      <c r="M842" s="8"/>
      <c r="AO842" s="5" t="s">
        <v>3239</v>
      </c>
      <c r="AP842" s="5">
        <v>598.0</v>
      </c>
      <c r="AQ842" s="5" t="s">
        <v>1716</v>
      </c>
      <c r="AR842" s="5" t="s">
        <v>1717</v>
      </c>
      <c r="AS842" s="5" t="s">
        <v>1718</v>
      </c>
      <c r="AT842" s="5" t="s">
        <v>1719</v>
      </c>
      <c r="AU842" s="5" t="s">
        <v>1703</v>
      </c>
      <c r="AV842" s="5" t="s">
        <v>1720</v>
      </c>
      <c r="AW842" s="5" t="s">
        <v>2003</v>
      </c>
      <c r="AX842" s="5" t="s">
        <v>2009</v>
      </c>
      <c r="AY842" s="5">
        <v>58.4</v>
      </c>
      <c r="AZ842" s="5">
        <v>-122.4</v>
      </c>
      <c r="BA842" s="5">
        <v>4.0</v>
      </c>
    </row>
    <row r="843" ht="14.25" customHeight="1">
      <c r="A843" s="5" t="s">
        <v>88</v>
      </c>
      <c r="B843" s="5">
        <v>12.0</v>
      </c>
      <c r="C843" s="5" t="s">
        <v>1711</v>
      </c>
      <c r="D843" s="5">
        <v>599.0</v>
      </c>
      <c r="E843" s="5">
        <v>2055.0</v>
      </c>
      <c r="F843" s="5" t="s">
        <v>3242</v>
      </c>
      <c r="G843" s="10" t="s">
        <v>3243</v>
      </c>
      <c r="H843" s="5" t="s">
        <v>3244</v>
      </c>
      <c r="I843" s="5" t="s">
        <v>641</v>
      </c>
      <c r="J843" s="5" t="s">
        <v>1736</v>
      </c>
      <c r="K843" s="5">
        <v>1.0</v>
      </c>
      <c r="L843" s="5">
        <v>2458.0</v>
      </c>
      <c r="M843" s="8">
        <v>58.84147</v>
      </c>
      <c r="N843" s="5">
        <v>-122.57375</v>
      </c>
      <c r="O843" s="5" t="s">
        <v>2008</v>
      </c>
      <c r="P843" s="5">
        <v>599.0</v>
      </c>
      <c r="Q843" s="5">
        <v>1.0</v>
      </c>
      <c r="R843" s="5" t="s">
        <v>3242</v>
      </c>
      <c r="S843" s="5" t="s">
        <v>1737</v>
      </c>
      <c r="T843" s="5">
        <v>382.0</v>
      </c>
      <c r="W843" s="5">
        <v>36161.0</v>
      </c>
      <c r="X843" s="5" t="s">
        <v>1738</v>
      </c>
      <c r="AO843" s="5" t="s">
        <v>3242</v>
      </c>
      <c r="AP843" s="5">
        <v>599.0</v>
      </c>
      <c r="AQ843" s="5" t="s">
        <v>1700</v>
      </c>
      <c r="AR843" s="5" t="s">
        <v>1739</v>
      </c>
      <c r="AS843" s="5" t="s">
        <v>1740</v>
      </c>
      <c r="AT843" s="5" t="s">
        <v>1741</v>
      </c>
      <c r="AU843" s="5" t="s">
        <v>1959</v>
      </c>
      <c r="AV843" s="5" t="s">
        <v>1720</v>
      </c>
      <c r="AW843" s="5" t="s">
        <v>2003</v>
      </c>
      <c r="AX843" s="5" t="s">
        <v>2009</v>
      </c>
      <c r="AY843" s="5">
        <v>58.8418</v>
      </c>
      <c r="AZ843" s="5">
        <v>-122.5736</v>
      </c>
      <c r="BA843" s="5">
        <v>375.0</v>
      </c>
    </row>
    <row r="844" ht="14.25" customHeight="1">
      <c r="B844" s="5">
        <v>12.0</v>
      </c>
      <c r="C844" s="5" t="s">
        <v>1711</v>
      </c>
      <c r="D844" s="5">
        <v>600.0</v>
      </c>
      <c r="E844" s="5">
        <v>2056.0</v>
      </c>
      <c r="F844" s="18" t="s">
        <v>3245</v>
      </c>
      <c r="G844" s="5" t="s">
        <v>3246</v>
      </c>
      <c r="H844" s="5" t="s">
        <v>3247</v>
      </c>
      <c r="I844" s="5" t="s">
        <v>1664</v>
      </c>
      <c r="J844" s="5" t="s">
        <v>1746</v>
      </c>
      <c r="K844" s="5">
        <v>1.0</v>
      </c>
      <c r="L844" s="5">
        <v>2459.0</v>
      </c>
      <c r="M844" s="8"/>
      <c r="AO844" s="5" t="s">
        <v>3245</v>
      </c>
      <c r="AP844" s="5">
        <v>600.0</v>
      </c>
      <c r="AQ844" s="5" t="s">
        <v>1716</v>
      </c>
      <c r="AR844" s="5" t="s">
        <v>1717</v>
      </c>
      <c r="AS844" s="5" t="s">
        <v>1718</v>
      </c>
      <c r="AT844" s="5" t="s">
        <v>1719</v>
      </c>
      <c r="AU844" s="5" t="s">
        <v>1703</v>
      </c>
      <c r="AV844" s="5" t="s">
        <v>1720</v>
      </c>
      <c r="AW844" s="5" t="s">
        <v>2003</v>
      </c>
      <c r="AX844" s="5" t="s">
        <v>2024</v>
      </c>
      <c r="AY844" s="5">
        <v>55.4</v>
      </c>
      <c r="AZ844" s="5">
        <v>-122.3</v>
      </c>
      <c r="BA844" s="5">
        <v>12.0</v>
      </c>
    </row>
    <row r="845" ht="14.25" customHeight="1">
      <c r="B845" s="5">
        <v>12.0</v>
      </c>
      <c r="C845" s="5" t="s">
        <v>1711</v>
      </c>
      <c r="D845" s="5">
        <v>601.0</v>
      </c>
      <c r="E845" s="5">
        <v>2057.0</v>
      </c>
      <c r="F845" s="18" t="s">
        <v>3248</v>
      </c>
      <c r="G845" s="5" t="s">
        <v>3249</v>
      </c>
      <c r="H845" s="5" t="s">
        <v>3250</v>
      </c>
      <c r="I845" s="5" t="s">
        <v>1664</v>
      </c>
      <c r="J845" s="5" t="s">
        <v>1715</v>
      </c>
      <c r="K845" s="5">
        <v>1.0</v>
      </c>
      <c r="L845" s="5">
        <v>2460.0</v>
      </c>
      <c r="M845" s="8"/>
      <c r="AO845" s="5" t="s">
        <v>3248</v>
      </c>
      <c r="AP845" s="5">
        <v>601.0</v>
      </c>
      <c r="AQ845" s="5" t="s">
        <v>1716</v>
      </c>
      <c r="AR845" s="5" t="s">
        <v>1717</v>
      </c>
      <c r="AS845" s="5" t="s">
        <v>1718</v>
      </c>
      <c r="AT845" s="5" t="s">
        <v>1719</v>
      </c>
      <c r="AU845" s="5" t="s">
        <v>1703</v>
      </c>
      <c r="AV845" s="5" t="s">
        <v>1720</v>
      </c>
      <c r="AW845" s="5" t="s">
        <v>2003</v>
      </c>
      <c r="AX845" s="5" t="s">
        <v>2087</v>
      </c>
      <c r="AY845" s="5">
        <v>56.2</v>
      </c>
      <c r="AZ845" s="5">
        <v>-124.6</v>
      </c>
      <c r="BA845" s="5">
        <v>7.0</v>
      </c>
    </row>
    <row r="846" ht="14.25" customHeight="1">
      <c r="B846" s="5">
        <v>12.0</v>
      </c>
      <c r="C846" s="5" t="s">
        <v>1711</v>
      </c>
      <c r="D846" s="5">
        <v>602.0</v>
      </c>
      <c r="E846" s="5">
        <v>2058.0</v>
      </c>
      <c r="F846" s="18" t="s">
        <v>3251</v>
      </c>
      <c r="G846" s="5" t="s">
        <v>3252</v>
      </c>
      <c r="H846" s="5" t="s">
        <v>3253</v>
      </c>
      <c r="I846" s="5" t="s">
        <v>1664</v>
      </c>
      <c r="J846" s="5" t="s">
        <v>1715</v>
      </c>
      <c r="K846" s="5">
        <v>1.0</v>
      </c>
      <c r="L846" s="5">
        <v>2461.0</v>
      </c>
      <c r="M846" s="8"/>
      <c r="AO846" s="5" t="s">
        <v>3251</v>
      </c>
      <c r="AP846" s="5">
        <v>602.0</v>
      </c>
      <c r="AQ846" s="5" t="s">
        <v>1716</v>
      </c>
      <c r="AR846" s="5" t="s">
        <v>1717</v>
      </c>
      <c r="AS846" s="5" t="s">
        <v>1718</v>
      </c>
      <c r="AT846" s="5" t="s">
        <v>1719</v>
      </c>
      <c r="AU846" s="5" t="s">
        <v>1703</v>
      </c>
      <c r="AV846" s="5" t="s">
        <v>1720</v>
      </c>
      <c r="AW846" s="5" t="s">
        <v>2003</v>
      </c>
      <c r="AX846" s="5" t="s">
        <v>2087</v>
      </c>
      <c r="AY846" s="5">
        <v>55.0</v>
      </c>
      <c r="AZ846" s="5">
        <v>-123.7</v>
      </c>
      <c r="BA846" s="5">
        <v>10.0</v>
      </c>
    </row>
    <row r="847" ht="14.25" customHeight="1">
      <c r="B847" s="5">
        <v>12.0</v>
      </c>
      <c r="C847" s="5" t="s">
        <v>1711</v>
      </c>
      <c r="D847" s="5">
        <v>603.0</v>
      </c>
      <c r="E847" s="5">
        <v>2059.0</v>
      </c>
      <c r="F847" s="18" t="s">
        <v>3254</v>
      </c>
      <c r="G847" s="5" t="s">
        <v>3255</v>
      </c>
      <c r="H847" s="5" t="s">
        <v>3253</v>
      </c>
      <c r="I847" s="5" t="s">
        <v>1664</v>
      </c>
      <c r="J847" s="5" t="s">
        <v>1715</v>
      </c>
      <c r="K847" s="5">
        <v>1.0</v>
      </c>
      <c r="L847" s="5">
        <v>2462.0</v>
      </c>
      <c r="M847" s="8"/>
      <c r="AO847" s="5" t="s">
        <v>3254</v>
      </c>
      <c r="AP847" s="5">
        <v>603.0</v>
      </c>
      <c r="AQ847" s="5" t="s">
        <v>1716</v>
      </c>
      <c r="AR847" s="5" t="s">
        <v>1717</v>
      </c>
      <c r="AS847" s="5" t="s">
        <v>1718</v>
      </c>
      <c r="AT847" s="5" t="s">
        <v>1719</v>
      </c>
      <c r="AU847" s="5" t="s">
        <v>1703</v>
      </c>
      <c r="AV847" s="5" t="s">
        <v>1720</v>
      </c>
      <c r="AW847" s="5" t="s">
        <v>2003</v>
      </c>
      <c r="AX847" s="5" t="s">
        <v>2087</v>
      </c>
      <c r="AY847" s="5">
        <v>55.5</v>
      </c>
      <c r="AZ847" s="5">
        <v>-123.7</v>
      </c>
      <c r="BA847" s="5">
        <v>7.0</v>
      </c>
    </row>
    <row r="848" ht="14.25" customHeight="1">
      <c r="B848" s="5">
        <v>12.0</v>
      </c>
      <c r="C848" s="5" t="s">
        <v>1711</v>
      </c>
      <c r="D848" s="5">
        <v>604.0</v>
      </c>
      <c r="E848" s="5">
        <v>2060.0</v>
      </c>
      <c r="F848" s="18" t="s">
        <v>3256</v>
      </c>
      <c r="G848" s="5" t="s">
        <v>3257</v>
      </c>
      <c r="H848" s="5" t="s">
        <v>3258</v>
      </c>
      <c r="I848" s="5" t="s">
        <v>1664</v>
      </c>
      <c r="J848" s="5" t="s">
        <v>1715</v>
      </c>
      <c r="K848" s="5">
        <v>1.0</v>
      </c>
      <c r="L848" s="5">
        <v>2463.0</v>
      </c>
      <c r="M848" s="8"/>
      <c r="AO848" s="5" t="s">
        <v>3256</v>
      </c>
      <c r="AP848" s="5">
        <v>604.0</v>
      </c>
      <c r="AQ848" s="5" t="s">
        <v>1716</v>
      </c>
      <c r="AR848" s="5" t="s">
        <v>1717</v>
      </c>
      <c r="AS848" s="5" t="s">
        <v>1718</v>
      </c>
      <c r="AT848" s="5" t="s">
        <v>1719</v>
      </c>
      <c r="AU848" s="5" t="s">
        <v>1703</v>
      </c>
      <c r="AV848" s="5" t="s">
        <v>1720</v>
      </c>
      <c r="AW848" s="5" t="s">
        <v>2003</v>
      </c>
      <c r="AX848" s="5" t="s">
        <v>2087</v>
      </c>
      <c r="AY848" s="5">
        <v>55.3</v>
      </c>
      <c r="AZ848" s="5">
        <v>-123.9</v>
      </c>
      <c r="BA848" s="5">
        <v>10.0</v>
      </c>
    </row>
    <row r="849" ht="14.25" customHeight="1">
      <c r="B849" s="5">
        <v>12.0</v>
      </c>
      <c r="C849" s="5" t="s">
        <v>1711</v>
      </c>
      <c r="D849" s="5">
        <v>605.0</v>
      </c>
      <c r="E849" s="5">
        <v>2061.0</v>
      </c>
      <c r="F849" s="18" t="s">
        <v>3259</v>
      </c>
      <c r="G849" s="5" t="s">
        <v>3260</v>
      </c>
      <c r="H849" s="5" t="s">
        <v>3261</v>
      </c>
      <c r="I849" s="5" t="s">
        <v>1664</v>
      </c>
      <c r="J849" s="5" t="s">
        <v>1715</v>
      </c>
      <c r="K849" s="5">
        <v>1.0</v>
      </c>
      <c r="L849" s="5">
        <v>2464.0</v>
      </c>
      <c r="M849" s="8"/>
      <c r="AO849" s="5" t="s">
        <v>3259</v>
      </c>
      <c r="AP849" s="5">
        <v>605.0</v>
      </c>
      <c r="AQ849" s="5" t="s">
        <v>1716</v>
      </c>
      <c r="AR849" s="5" t="s">
        <v>1717</v>
      </c>
      <c r="AS849" s="5" t="s">
        <v>1718</v>
      </c>
      <c r="AT849" s="5" t="s">
        <v>1719</v>
      </c>
      <c r="AU849" s="5" t="s">
        <v>1703</v>
      </c>
      <c r="AV849" s="5" t="s">
        <v>1720</v>
      </c>
      <c r="AW849" s="5" t="s">
        <v>2003</v>
      </c>
      <c r="AX849" s="5" t="s">
        <v>2087</v>
      </c>
      <c r="AY849" s="5">
        <v>56.0</v>
      </c>
      <c r="AZ849" s="5">
        <v>-125.2</v>
      </c>
      <c r="BA849" s="5">
        <v>11.0</v>
      </c>
    </row>
    <row r="850" ht="14.25" customHeight="1">
      <c r="B850" s="5">
        <v>12.0</v>
      </c>
      <c r="C850" s="5" t="s">
        <v>1711</v>
      </c>
      <c r="D850" s="5">
        <v>606.0</v>
      </c>
      <c r="E850" s="5">
        <v>2062.0</v>
      </c>
      <c r="F850" s="18" t="s">
        <v>3262</v>
      </c>
      <c r="G850" s="5" t="s">
        <v>3263</v>
      </c>
      <c r="H850" s="5" t="s">
        <v>3264</v>
      </c>
      <c r="I850" s="5" t="s">
        <v>1664</v>
      </c>
      <c r="J850" s="5" t="s">
        <v>1715</v>
      </c>
      <c r="K850" s="5">
        <v>1.0</v>
      </c>
      <c r="L850" s="5">
        <v>2465.0</v>
      </c>
      <c r="M850" s="8"/>
      <c r="AO850" s="5" t="s">
        <v>3262</v>
      </c>
      <c r="AP850" s="5">
        <v>606.0</v>
      </c>
      <c r="AQ850" s="5" t="s">
        <v>1716</v>
      </c>
      <c r="AR850" s="5" t="s">
        <v>1717</v>
      </c>
      <c r="AS850" s="5" t="s">
        <v>1718</v>
      </c>
      <c r="AT850" s="5" t="s">
        <v>1719</v>
      </c>
      <c r="AU850" s="5" t="s">
        <v>1703</v>
      </c>
      <c r="AV850" s="5" t="s">
        <v>1720</v>
      </c>
      <c r="AW850" s="5" t="s">
        <v>2003</v>
      </c>
      <c r="AX850" s="5" t="s">
        <v>2153</v>
      </c>
      <c r="AY850" s="5">
        <v>55.1</v>
      </c>
      <c r="AZ850" s="5">
        <v>-125.9</v>
      </c>
      <c r="BA850" s="5">
        <v>88.0</v>
      </c>
    </row>
    <row r="851" ht="14.25" customHeight="1">
      <c r="B851" s="5">
        <v>12.0</v>
      </c>
      <c r="C851" s="5" t="s">
        <v>1711</v>
      </c>
      <c r="D851" s="5">
        <v>607.0</v>
      </c>
      <c r="E851" s="5">
        <v>2063.0</v>
      </c>
      <c r="F851" s="18" t="s">
        <v>3265</v>
      </c>
      <c r="G851" s="5" t="s">
        <v>3266</v>
      </c>
      <c r="H851" s="5" t="s">
        <v>3267</v>
      </c>
      <c r="I851" s="5" t="s">
        <v>1664</v>
      </c>
      <c r="J851" s="5" t="s">
        <v>1715</v>
      </c>
      <c r="K851" s="5">
        <v>1.0</v>
      </c>
      <c r="L851" s="5">
        <v>2466.0</v>
      </c>
      <c r="M851" s="8"/>
      <c r="AO851" s="5" t="s">
        <v>3265</v>
      </c>
      <c r="AP851" s="5">
        <v>607.0</v>
      </c>
      <c r="AQ851" s="5" t="s">
        <v>1716</v>
      </c>
      <c r="AR851" s="5" t="s">
        <v>1717</v>
      </c>
      <c r="AS851" s="5" t="s">
        <v>1718</v>
      </c>
      <c r="AT851" s="5" t="s">
        <v>1719</v>
      </c>
      <c r="AU851" s="5" t="s">
        <v>1703</v>
      </c>
      <c r="AV851" s="5" t="s">
        <v>1720</v>
      </c>
      <c r="AW851" s="5" t="s">
        <v>2003</v>
      </c>
      <c r="AX851" s="5" t="s">
        <v>2099</v>
      </c>
      <c r="AY851" s="5">
        <v>55.2</v>
      </c>
      <c r="AZ851" s="5">
        <v>-124.9</v>
      </c>
      <c r="BA851" s="5">
        <v>45.0</v>
      </c>
    </row>
    <row r="852" ht="14.25" customHeight="1">
      <c r="B852" s="5">
        <v>12.0</v>
      </c>
      <c r="C852" s="5" t="s">
        <v>1711</v>
      </c>
      <c r="D852" s="5">
        <v>608.0</v>
      </c>
      <c r="E852" s="5">
        <v>2064.0</v>
      </c>
      <c r="F852" s="18" t="s">
        <v>3268</v>
      </c>
      <c r="G852" s="5" t="s">
        <v>3269</v>
      </c>
      <c r="H852" s="5" t="s">
        <v>3270</v>
      </c>
      <c r="I852" s="5" t="s">
        <v>1664</v>
      </c>
      <c r="J852" s="5" t="s">
        <v>1715</v>
      </c>
      <c r="K852" s="5">
        <v>1.0</v>
      </c>
      <c r="L852" s="5">
        <v>2467.0</v>
      </c>
      <c r="M852" s="8"/>
      <c r="AO852" s="5" t="s">
        <v>3268</v>
      </c>
      <c r="AP852" s="5">
        <v>608.0</v>
      </c>
      <c r="AQ852" s="5" t="s">
        <v>1716</v>
      </c>
      <c r="AR852" s="5" t="s">
        <v>1717</v>
      </c>
      <c r="AS852" s="5" t="s">
        <v>1718</v>
      </c>
      <c r="AT852" s="5" t="s">
        <v>1719</v>
      </c>
      <c r="AU852" s="5" t="s">
        <v>1703</v>
      </c>
      <c r="AV852" s="5" t="s">
        <v>1720</v>
      </c>
      <c r="AW852" s="5" t="s">
        <v>2003</v>
      </c>
      <c r="AX852" s="5" t="s">
        <v>2099</v>
      </c>
      <c r="AY852" s="5">
        <v>54.9</v>
      </c>
      <c r="AZ852" s="5">
        <v>-123.8</v>
      </c>
      <c r="BA852" s="5">
        <v>33.0</v>
      </c>
    </row>
    <row r="853" ht="14.25" customHeight="1">
      <c r="B853" s="5">
        <v>12.0</v>
      </c>
      <c r="C853" s="5" t="s">
        <v>1711</v>
      </c>
      <c r="D853" s="5">
        <v>609.0</v>
      </c>
      <c r="E853" s="5">
        <v>2065.0</v>
      </c>
      <c r="F853" s="18" t="s">
        <v>3271</v>
      </c>
      <c r="G853" s="5" t="s">
        <v>3272</v>
      </c>
      <c r="H853" s="5" t="s">
        <v>3273</v>
      </c>
      <c r="I853" s="5" t="s">
        <v>1664</v>
      </c>
      <c r="J853" s="5" t="s">
        <v>1715</v>
      </c>
      <c r="K853" s="5">
        <v>1.0</v>
      </c>
      <c r="L853" s="5">
        <v>2468.0</v>
      </c>
      <c r="M853" s="8"/>
      <c r="AO853" s="5" t="s">
        <v>3271</v>
      </c>
      <c r="AP853" s="5">
        <v>609.0</v>
      </c>
      <c r="AQ853" s="5" t="s">
        <v>1716</v>
      </c>
      <c r="AR853" s="5" t="s">
        <v>1717</v>
      </c>
      <c r="AS853" s="5" t="s">
        <v>1718</v>
      </c>
      <c r="AT853" s="5" t="s">
        <v>1719</v>
      </c>
      <c r="AU853" s="5" t="s">
        <v>1703</v>
      </c>
      <c r="AV853" s="5" t="s">
        <v>1720</v>
      </c>
      <c r="AW853" s="5" t="s">
        <v>2003</v>
      </c>
      <c r="AX853" s="5" t="s">
        <v>2099</v>
      </c>
      <c r="AY853" s="5">
        <v>55.0</v>
      </c>
      <c r="AZ853" s="5">
        <v>-125.2</v>
      </c>
      <c r="BA853" s="5">
        <v>11.0</v>
      </c>
    </row>
    <row r="854" ht="14.25" customHeight="1">
      <c r="B854" s="5">
        <v>12.0</v>
      </c>
      <c r="C854" s="5" t="s">
        <v>1711</v>
      </c>
      <c r="D854" s="5">
        <v>610.0</v>
      </c>
      <c r="E854" s="5">
        <v>2066.0</v>
      </c>
      <c r="F854" s="18" t="s">
        <v>3274</v>
      </c>
      <c r="G854" s="5" t="s">
        <v>3275</v>
      </c>
      <c r="H854" s="5" t="s">
        <v>3276</v>
      </c>
      <c r="I854" s="5" t="s">
        <v>1664</v>
      </c>
      <c r="J854" s="5" t="s">
        <v>1715</v>
      </c>
      <c r="K854" s="5">
        <v>1.0</v>
      </c>
      <c r="L854" s="5">
        <v>2469.0</v>
      </c>
      <c r="M854" s="8"/>
      <c r="AO854" s="5" t="s">
        <v>3274</v>
      </c>
      <c r="AP854" s="5">
        <v>610.0</v>
      </c>
      <c r="AQ854" s="5" t="s">
        <v>1716</v>
      </c>
      <c r="AR854" s="5" t="s">
        <v>1717</v>
      </c>
      <c r="AS854" s="5" t="s">
        <v>1718</v>
      </c>
      <c r="AT854" s="5" t="s">
        <v>1719</v>
      </c>
      <c r="AU854" s="5" t="s">
        <v>1703</v>
      </c>
      <c r="AV854" s="5" t="s">
        <v>1720</v>
      </c>
      <c r="AW854" s="5" t="s">
        <v>2003</v>
      </c>
      <c r="AX854" s="5" t="s">
        <v>2099</v>
      </c>
      <c r="AY854" s="5">
        <v>54.6</v>
      </c>
      <c r="AZ854" s="5">
        <v>-124.0</v>
      </c>
      <c r="BA854" s="5">
        <v>8.0</v>
      </c>
    </row>
    <row r="855" ht="14.25" customHeight="1">
      <c r="B855" s="5">
        <v>12.0</v>
      </c>
      <c r="C855" s="5" t="s">
        <v>1711</v>
      </c>
      <c r="D855" s="5">
        <v>611.0</v>
      </c>
      <c r="E855" s="5">
        <v>2067.0</v>
      </c>
      <c r="F855" s="18" t="s">
        <v>3277</v>
      </c>
      <c r="G855" s="5" t="s">
        <v>3278</v>
      </c>
      <c r="H855" s="5" t="s">
        <v>3279</v>
      </c>
      <c r="I855" s="5" t="s">
        <v>1664</v>
      </c>
      <c r="J855" s="5" t="s">
        <v>1715</v>
      </c>
      <c r="K855" s="5">
        <v>1.0</v>
      </c>
      <c r="L855" s="5">
        <v>2470.0</v>
      </c>
      <c r="M855" s="8"/>
      <c r="AO855" s="5" t="s">
        <v>3277</v>
      </c>
      <c r="AP855" s="5">
        <v>611.0</v>
      </c>
      <c r="AQ855" s="5" t="s">
        <v>1716</v>
      </c>
      <c r="AR855" s="5" t="s">
        <v>1717</v>
      </c>
      <c r="AS855" s="5" t="s">
        <v>1718</v>
      </c>
      <c r="AT855" s="5" t="s">
        <v>1719</v>
      </c>
      <c r="AU855" s="5" t="s">
        <v>1703</v>
      </c>
      <c r="AV855" s="5" t="s">
        <v>1720</v>
      </c>
      <c r="AW855" s="5" t="s">
        <v>2003</v>
      </c>
      <c r="AX855" s="5" t="s">
        <v>2099</v>
      </c>
      <c r="AY855" s="5">
        <v>54.9</v>
      </c>
      <c r="AZ855" s="5">
        <v>-125.1</v>
      </c>
      <c r="BA855" s="5">
        <v>35.0</v>
      </c>
    </row>
    <row r="856" ht="14.25" customHeight="1">
      <c r="B856" s="5">
        <v>12.0</v>
      </c>
      <c r="C856" s="5" t="s">
        <v>1711</v>
      </c>
      <c r="D856" s="5">
        <v>612.0</v>
      </c>
      <c r="E856" s="5">
        <v>2068.0</v>
      </c>
      <c r="F856" s="18" t="s">
        <v>3280</v>
      </c>
      <c r="G856" s="5" t="s">
        <v>3281</v>
      </c>
      <c r="H856" s="5" t="s">
        <v>3273</v>
      </c>
      <c r="I856" s="5" t="s">
        <v>1664</v>
      </c>
      <c r="J856" s="5" t="s">
        <v>1715</v>
      </c>
      <c r="K856" s="5">
        <v>1.0</v>
      </c>
      <c r="L856" s="5">
        <v>2471.0</v>
      </c>
      <c r="M856" s="8"/>
      <c r="AO856" s="5" t="s">
        <v>3280</v>
      </c>
      <c r="AP856" s="5">
        <v>612.0</v>
      </c>
      <c r="AQ856" s="5" t="s">
        <v>1716</v>
      </c>
      <c r="AR856" s="5" t="s">
        <v>1717</v>
      </c>
      <c r="AS856" s="5" t="s">
        <v>1718</v>
      </c>
      <c r="AT856" s="5" t="s">
        <v>1719</v>
      </c>
      <c r="AU856" s="5" t="s">
        <v>1703</v>
      </c>
      <c r="AV856" s="5" t="s">
        <v>1720</v>
      </c>
      <c r="AW856" s="5" t="s">
        <v>2003</v>
      </c>
      <c r="AX856" s="5" t="s">
        <v>2099</v>
      </c>
      <c r="AY856" s="5">
        <v>54.4</v>
      </c>
      <c r="AZ856" s="5">
        <v>-123.7</v>
      </c>
      <c r="BA856" s="5">
        <v>79.0</v>
      </c>
    </row>
    <row r="857" ht="14.25" customHeight="1">
      <c r="B857" s="5">
        <v>12.0</v>
      </c>
      <c r="C857" s="5" t="s">
        <v>1711</v>
      </c>
      <c r="D857" s="5">
        <v>613.0</v>
      </c>
      <c r="E857" s="5">
        <v>2069.0</v>
      </c>
      <c r="F857" s="18" t="s">
        <v>3282</v>
      </c>
      <c r="G857" s="5" t="s">
        <v>3283</v>
      </c>
      <c r="H857" s="5" t="s">
        <v>3284</v>
      </c>
      <c r="I857" s="5" t="s">
        <v>1664</v>
      </c>
      <c r="J857" s="5" t="s">
        <v>1715</v>
      </c>
      <c r="K857" s="5">
        <v>1.0</v>
      </c>
      <c r="L857" s="5">
        <v>2472.0</v>
      </c>
      <c r="M857" s="8"/>
      <c r="AO857" s="5" t="s">
        <v>3282</v>
      </c>
      <c r="AP857" s="5">
        <v>613.0</v>
      </c>
      <c r="AQ857" s="5" t="s">
        <v>1716</v>
      </c>
      <c r="AR857" s="5" t="s">
        <v>1717</v>
      </c>
      <c r="AS857" s="5" t="s">
        <v>1718</v>
      </c>
      <c r="AT857" s="5" t="s">
        <v>1719</v>
      </c>
      <c r="AU857" s="5" t="s">
        <v>1703</v>
      </c>
      <c r="AV857" s="5" t="s">
        <v>1720</v>
      </c>
      <c r="AW857" s="5" t="s">
        <v>2003</v>
      </c>
      <c r="AX857" s="5" t="s">
        <v>2099</v>
      </c>
      <c r="AY857" s="5">
        <v>54.7</v>
      </c>
      <c r="AZ857" s="5">
        <v>-124.6</v>
      </c>
      <c r="BA857" s="5">
        <v>95.0</v>
      </c>
    </row>
    <row r="858" ht="14.25" customHeight="1">
      <c r="B858" s="5">
        <v>12.0</v>
      </c>
      <c r="C858" s="5" t="s">
        <v>1711</v>
      </c>
      <c r="D858" s="27">
        <v>614.0</v>
      </c>
      <c r="E858" s="5">
        <v>2070.0</v>
      </c>
      <c r="F858" s="18" t="s">
        <v>3285</v>
      </c>
      <c r="G858" s="5" t="s">
        <v>3286</v>
      </c>
      <c r="H858" s="5" t="s">
        <v>3287</v>
      </c>
      <c r="I858" s="5" t="s">
        <v>1664</v>
      </c>
      <c r="J858" s="5" t="s">
        <v>1715</v>
      </c>
      <c r="K858" s="5">
        <v>1.0</v>
      </c>
      <c r="L858" s="5">
        <v>2473.0</v>
      </c>
      <c r="M858" s="8"/>
      <c r="AO858" s="5" t="s">
        <v>3285</v>
      </c>
      <c r="AP858" s="5">
        <v>614.0</v>
      </c>
      <c r="AQ858" s="5" t="s">
        <v>1716</v>
      </c>
      <c r="AR858" s="5" t="s">
        <v>1717</v>
      </c>
      <c r="AS858" s="5" t="s">
        <v>1718</v>
      </c>
      <c r="AT858" s="5" t="s">
        <v>1719</v>
      </c>
      <c r="AU858" s="5" t="s">
        <v>1703</v>
      </c>
      <c r="AV858" s="5" t="s">
        <v>1720</v>
      </c>
      <c r="AW858" s="5" t="s">
        <v>2003</v>
      </c>
      <c r="AX858" s="5" t="s">
        <v>2087</v>
      </c>
      <c r="AY858" s="5">
        <v>56.5</v>
      </c>
      <c r="AZ858" s="5">
        <v>-124.4</v>
      </c>
      <c r="BA858" s="5">
        <v>7.0</v>
      </c>
    </row>
    <row r="859" ht="14.25" customHeight="1">
      <c r="B859" s="5">
        <v>12.0</v>
      </c>
      <c r="C859" s="5" t="s">
        <v>1711</v>
      </c>
      <c r="D859" s="5">
        <v>615.0</v>
      </c>
      <c r="E859" s="5">
        <v>2071.0</v>
      </c>
      <c r="F859" s="18" t="s">
        <v>3288</v>
      </c>
      <c r="G859" s="5" t="s">
        <v>3289</v>
      </c>
      <c r="H859" s="5" t="s">
        <v>3290</v>
      </c>
      <c r="I859" s="5" t="s">
        <v>1664</v>
      </c>
      <c r="J859" s="5" t="s">
        <v>1746</v>
      </c>
      <c r="K859" s="5">
        <v>1.0</v>
      </c>
      <c r="L859" s="5">
        <v>2474.0</v>
      </c>
      <c r="M859" s="8"/>
      <c r="AO859" s="5" t="s">
        <v>3288</v>
      </c>
      <c r="AP859" s="5">
        <v>615.0</v>
      </c>
      <c r="AQ859" s="5" t="s">
        <v>1716</v>
      </c>
      <c r="AR859" s="5" t="s">
        <v>1717</v>
      </c>
      <c r="AS859" s="5" t="s">
        <v>1718</v>
      </c>
      <c r="AT859" s="5" t="s">
        <v>1719</v>
      </c>
      <c r="AU859" s="5" t="s">
        <v>1703</v>
      </c>
      <c r="AV859" s="5" t="s">
        <v>1720</v>
      </c>
      <c r="AW859" s="5" t="s">
        <v>2003</v>
      </c>
      <c r="AX859" s="5" t="s">
        <v>2099</v>
      </c>
      <c r="AY859" s="5">
        <v>54.7</v>
      </c>
      <c r="AZ859" s="5">
        <v>-124.9</v>
      </c>
      <c r="BA859" s="5">
        <v>7.0</v>
      </c>
    </row>
    <row r="860" ht="14.25" customHeight="1">
      <c r="B860" s="5">
        <v>12.0</v>
      </c>
      <c r="C860" s="5" t="s">
        <v>1711</v>
      </c>
      <c r="D860" s="5">
        <v>616.0</v>
      </c>
      <c r="E860" s="5">
        <v>2072.0</v>
      </c>
      <c r="F860" s="18" t="s">
        <v>3291</v>
      </c>
      <c r="G860" s="5" t="s">
        <v>3292</v>
      </c>
      <c r="H860" s="5" t="s">
        <v>3293</v>
      </c>
      <c r="I860" s="5" t="s">
        <v>1664</v>
      </c>
      <c r="J860" s="5" t="s">
        <v>1746</v>
      </c>
      <c r="K860" s="5">
        <v>1.0</v>
      </c>
      <c r="L860" s="5">
        <v>2475.0</v>
      </c>
      <c r="M860" s="8"/>
      <c r="AO860" s="5" t="s">
        <v>3291</v>
      </c>
      <c r="AP860" s="5">
        <v>616.0</v>
      </c>
      <c r="AQ860" s="5" t="s">
        <v>1716</v>
      </c>
      <c r="AR860" s="5" t="s">
        <v>1717</v>
      </c>
      <c r="AS860" s="5" t="s">
        <v>1718</v>
      </c>
      <c r="AT860" s="5" t="s">
        <v>1719</v>
      </c>
      <c r="AU860" s="5" t="s">
        <v>1703</v>
      </c>
      <c r="AV860" s="5" t="s">
        <v>1720</v>
      </c>
      <c r="AW860" s="5" t="s">
        <v>2003</v>
      </c>
      <c r="AX860" s="5" t="s">
        <v>2087</v>
      </c>
      <c r="AY860" s="5">
        <v>56.3</v>
      </c>
      <c r="AZ860" s="5">
        <v>-124.5</v>
      </c>
      <c r="BA860" s="5">
        <v>10.0</v>
      </c>
    </row>
    <row r="861" ht="14.25" customHeight="1">
      <c r="B861" s="5">
        <v>12.0</v>
      </c>
      <c r="C861" s="5" t="s">
        <v>1711</v>
      </c>
      <c r="D861" s="5">
        <v>617.0</v>
      </c>
      <c r="E861" s="5">
        <v>2073.0</v>
      </c>
      <c r="F861" s="18" t="s">
        <v>3294</v>
      </c>
      <c r="G861" s="5" t="s">
        <v>3295</v>
      </c>
      <c r="H861" s="5" t="s">
        <v>3296</v>
      </c>
      <c r="I861" s="5" t="s">
        <v>1664</v>
      </c>
      <c r="J861" s="5" t="s">
        <v>1746</v>
      </c>
      <c r="K861" s="5">
        <v>1.0</v>
      </c>
      <c r="L861" s="5">
        <v>2476.0</v>
      </c>
      <c r="M861" s="8"/>
      <c r="AO861" s="5" t="s">
        <v>3294</v>
      </c>
      <c r="AP861" s="5">
        <v>617.0</v>
      </c>
      <c r="AQ861" s="5" t="s">
        <v>1716</v>
      </c>
      <c r="AR861" s="5" t="s">
        <v>1717</v>
      </c>
      <c r="AS861" s="5" t="s">
        <v>1718</v>
      </c>
      <c r="AT861" s="5" t="s">
        <v>1719</v>
      </c>
      <c r="AU861" s="5" t="s">
        <v>1703</v>
      </c>
      <c r="AV861" s="5" t="s">
        <v>1720</v>
      </c>
      <c r="AW861" s="5" t="s">
        <v>2003</v>
      </c>
      <c r="AX861" s="5" t="s">
        <v>2087</v>
      </c>
      <c r="AY861" s="5">
        <v>55.9</v>
      </c>
      <c r="AZ861" s="5">
        <v>-123.2</v>
      </c>
      <c r="BA861" s="5">
        <v>85.0</v>
      </c>
    </row>
    <row r="862" ht="14.25" customHeight="1">
      <c r="B862" s="5">
        <v>12.0</v>
      </c>
      <c r="C862" s="5" t="s">
        <v>1711</v>
      </c>
      <c r="D862" s="5">
        <v>618.0</v>
      </c>
      <c r="E862" s="5">
        <v>2074.0</v>
      </c>
      <c r="F862" s="18" t="s">
        <v>3297</v>
      </c>
      <c r="G862" s="5" t="s">
        <v>3298</v>
      </c>
      <c r="H862" s="5" t="s">
        <v>3299</v>
      </c>
      <c r="I862" s="5" t="s">
        <v>1664</v>
      </c>
      <c r="J862" s="5" t="s">
        <v>1715</v>
      </c>
      <c r="K862" s="5">
        <v>1.0</v>
      </c>
      <c r="L862" s="5">
        <v>2477.0</v>
      </c>
      <c r="M862" s="8"/>
      <c r="AO862" s="5" t="s">
        <v>3297</v>
      </c>
      <c r="AP862" s="5">
        <v>618.0</v>
      </c>
      <c r="AQ862" s="5" t="s">
        <v>1716</v>
      </c>
      <c r="AR862" s="5" t="s">
        <v>1717</v>
      </c>
      <c r="AS862" s="5" t="s">
        <v>1718</v>
      </c>
      <c r="AT862" s="5" t="s">
        <v>1719</v>
      </c>
      <c r="AU862" s="5" t="s">
        <v>1703</v>
      </c>
      <c r="AV862" s="5" t="s">
        <v>1720</v>
      </c>
      <c r="AW862" s="5" t="s">
        <v>1947</v>
      </c>
      <c r="AX862" s="5" t="s">
        <v>2133</v>
      </c>
      <c r="AY862" s="5">
        <v>54.8</v>
      </c>
      <c r="AZ862" s="5">
        <v>-127.4</v>
      </c>
      <c r="BA862" s="5">
        <v>9.0</v>
      </c>
    </row>
    <row r="863" ht="14.25" customHeight="1">
      <c r="B863" s="5">
        <v>12.0</v>
      </c>
      <c r="C863" s="5" t="s">
        <v>1711</v>
      </c>
      <c r="D863" s="5">
        <v>619.0</v>
      </c>
      <c r="E863" s="5">
        <v>2075.0</v>
      </c>
      <c r="F863" s="18" t="s">
        <v>3300</v>
      </c>
      <c r="G863" s="5" t="s">
        <v>3301</v>
      </c>
      <c r="H863" s="5" t="s">
        <v>3302</v>
      </c>
      <c r="I863" s="5" t="s">
        <v>641</v>
      </c>
      <c r="J863" s="5" t="s">
        <v>1746</v>
      </c>
      <c r="K863" s="5">
        <v>1.0</v>
      </c>
      <c r="L863" s="5">
        <v>2478.0</v>
      </c>
      <c r="M863" s="8"/>
      <c r="AO863" s="5" t="s">
        <v>3300</v>
      </c>
      <c r="AP863" s="5">
        <v>619.0</v>
      </c>
      <c r="AQ863" s="5" t="s">
        <v>1716</v>
      </c>
      <c r="AR863" s="5" t="s">
        <v>1717</v>
      </c>
      <c r="AS863" s="5" t="s">
        <v>1718</v>
      </c>
      <c r="AT863" s="5" t="s">
        <v>2161</v>
      </c>
      <c r="AU863" s="5" t="s">
        <v>2162</v>
      </c>
      <c r="AV863" s="5" t="s">
        <v>1720</v>
      </c>
      <c r="AW863" s="5" t="s">
        <v>1947</v>
      </c>
      <c r="AX863" s="5" t="s">
        <v>2133</v>
      </c>
      <c r="AY863" s="5">
        <v>54.8</v>
      </c>
      <c r="AZ863" s="5">
        <v>-127.2</v>
      </c>
      <c r="BA863" s="5">
        <v>522.0</v>
      </c>
    </row>
    <row r="864" ht="14.25" customHeight="1">
      <c r="B864" s="5">
        <v>12.0</v>
      </c>
      <c r="C864" s="5" t="s">
        <v>1711</v>
      </c>
      <c r="D864" s="5">
        <v>620.0</v>
      </c>
      <c r="E864" s="5">
        <v>2076.0</v>
      </c>
      <c r="F864" s="18" t="s">
        <v>3303</v>
      </c>
      <c r="G864" s="29" t="s">
        <v>3304</v>
      </c>
      <c r="H864" s="5" t="s">
        <v>3305</v>
      </c>
      <c r="I864" s="5" t="s">
        <v>1664</v>
      </c>
      <c r="J864" s="5" t="s">
        <v>1715</v>
      </c>
      <c r="K864" s="5">
        <v>1.0</v>
      </c>
      <c r="L864" s="5">
        <v>2479.0</v>
      </c>
      <c r="M864" s="8"/>
      <c r="AO864" s="5" t="s">
        <v>3303</v>
      </c>
      <c r="AP864" s="5">
        <v>620.0</v>
      </c>
      <c r="AQ864" s="5" t="s">
        <v>1716</v>
      </c>
      <c r="AR864" s="5" t="s">
        <v>1717</v>
      </c>
      <c r="AS864" s="5" t="s">
        <v>1718</v>
      </c>
      <c r="AT864" s="5" t="s">
        <v>1719</v>
      </c>
      <c r="AU864" s="5" t="s">
        <v>1703</v>
      </c>
      <c r="AV864" s="5" t="s">
        <v>1720</v>
      </c>
      <c r="AW864" s="5" t="s">
        <v>1947</v>
      </c>
      <c r="AX864" s="5" t="s">
        <v>2148</v>
      </c>
      <c r="AY864" s="5">
        <v>54.4</v>
      </c>
      <c r="AZ864" s="5">
        <v>-125.5</v>
      </c>
      <c r="BA864" s="5">
        <v>9.0</v>
      </c>
    </row>
    <row r="865" ht="14.25" customHeight="1">
      <c r="B865" s="5">
        <v>12.0</v>
      </c>
      <c r="C865" s="5" t="s">
        <v>1711</v>
      </c>
      <c r="D865" s="5">
        <v>621.0</v>
      </c>
      <c r="E865" s="5">
        <v>2077.0</v>
      </c>
      <c r="F865" s="18" t="s">
        <v>3306</v>
      </c>
      <c r="G865" s="5" t="s">
        <v>3307</v>
      </c>
      <c r="H865" s="5" t="s">
        <v>3308</v>
      </c>
      <c r="I865" s="5" t="s">
        <v>1664</v>
      </c>
      <c r="J865" s="5" t="s">
        <v>1715</v>
      </c>
      <c r="K865" s="5">
        <v>1.0</v>
      </c>
      <c r="L865" s="5">
        <v>2480.0</v>
      </c>
      <c r="M865" s="8"/>
      <c r="AO865" s="5" t="s">
        <v>3306</v>
      </c>
      <c r="AP865" s="5">
        <v>621.0</v>
      </c>
      <c r="AQ865" s="5" t="s">
        <v>1716</v>
      </c>
      <c r="AR865" s="5" t="s">
        <v>1717</v>
      </c>
      <c r="AS865" s="5" t="s">
        <v>1718</v>
      </c>
      <c r="AT865" s="5" t="s">
        <v>1719</v>
      </c>
      <c r="AU865" s="5" t="s">
        <v>1703</v>
      </c>
      <c r="AV865" s="5" t="s">
        <v>1720</v>
      </c>
      <c r="AW865" s="5" t="s">
        <v>1947</v>
      </c>
      <c r="AX865" s="5" t="s">
        <v>2148</v>
      </c>
      <c r="AY865" s="5">
        <v>54.2</v>
      </c>
      <c r="AZ865" s="5">
        <v>-126.0</v>
      </c>
      <c r="BA865" s="5">
        <v>9.0</v>
      </c>
    </row>
    <row r="866" ht="14.25" customHeight="1">
      <c r="A866" s="5" t="s">
        <v>422</v>
      </c>
      <c r="B866" s="5">
        <v>12.0</v>
      </c>
      <c r="C866" s="5" t="s">
        <v>1711</v>
      </c>
      <c r="D866" s="5">
        <v>622.0</v>
      </c>
      <c r="E866" s="5">
        <v>2078.0</v>
      </c>
      <c r="F866" s="18" t="s">
        <v>3309</v>
      </c>
      <c r="G866" s="29" t="s">
        <v>3310</v>
      </c>
      <c r="H866" s="5" t="s">
        <v>3311</v>
      </c>
      <c r="I866" s="5" t="s">
        <v>1664</v>
      </c>
      <c r="J866" s="5" t="s">
        <v>1746</v>
      </c>
      <c r="K866" s="5">
        <v>1.0</v>
      </c>
      <c r="L866" s="5">
        <v>2481.0</v>
      </c>
      <c r="M866" s="8"/>
      <c r="AO866" s="5" t="s">
        <v>3309</v>
      </c>
      <c r="AP866" s="5">
        <v>622.0</v>
      </c>
      <c r="AQ866" s="5" t="s">
        <v>1716</v>
      </c>
      <c r="AR866" s="5" t="s">
        <v>1717</v>
      </c>
      <c r="AS866" s="5" t="s">
        <v>1718</v>
      </c>
      <c r="AT866" s="5" t="s">
        <v>1719</v>
      </c>
      <c r="AU866" s="5" t="s">
        <v>1703</v>
      </c>
      <c r="AV866" s="5" t="s">
        <v>1720</v>
      </c>
      <c r="AW866" s="5" t="s">
        <v>1947</v>
      </c>
      <c r="AX866" s="5" t="s">
        <v>2148</v>
      </c>
      <c r="AY866" s="5">
        <v>54.3</v>
      </c>
      <c r="AZ866" s="5">
        <v>-125.5</v>
      </c>
      <c r="BA866" s="5">
        <v>9.0</v>
      </c>
    </row>
    <row r="867" ht="14.25" customHeight="1">
      <c r="B867" s="5">
        <v>12.0</v>
      </c>
      <c r="C867" s="5" t="s">
        <v>1711</v>
      </c>
      <c r="D867" s="5">
        <v>623.0</v>
      </c>
      <c r="E867" s="5">
        <v>2079.0</v>
      </c>
      <c r="F867" s="18" t="s">
        <v>3312</v>
      </c>
      <c r="G867" s="5" t="s">
        <v>3313</v>
      </c>
      <c r="H867" s="5" t="s">
        <v>3314</v>
      </c>
      <c r="I867" s="5" t="s">
        <v>1664</v>
      </c>
      <c r="J867" s="5" t="s">
        <v>1715</v>
      </c>
      <c r="K867" s="5">
        <v>1.0</v>
      </c>
      <c r="L867" s="5">
        <v>2482.0</v>
      </c>
      <c r="M867" s="8"/>
      <c r="AO867" s="5" t="s">
        <v>3312</v>
      </c>
      <c r="AP867" s="5">
        <v>623.0</v>
      </c>
      <c r="AQ867" s="5" t="s">
        <v>1716</v>
      </c>
      <c r="AR867" s="5" t="s">
        <v>1717</v>
      </c>
      <c r="AS867" s="5" t="s">
        <v>1718</v>
      </c>
      <c r="AT867" s="5" t="s">
        <v>1719</v>
      </c>
      <c r="AU867" s="5" t="s">
        <v>1703</v>
      </c>
      <c r="AV867" s="5" t="s">
        <v>1720</v>
      </c>
      <c r="AW867" s="5" t="s">
        <v>2003</v>
      </c>
      <c r="AX867" s="5" t="s">
        <v>2139</v>
      </c>
      <c r="AY867" s="5">
        <v>53.5</v>
      </c>
      <c r="AZ867" s="5">
        <v>-124.2</v>
      </c>
      <c r="BA867" s="5">
        <v>9.0</v>
      </c>
    </row>
    <row r="868" ht="14.25" customHeight="1">
      <c r="B868" s="5">
        <v>12.0</v>
      </c>
      <c r="C868" s="5" t="s">
        <v>1711</v>
      </c>
      <c r="D868" s="5">
        <v>624.0</v>
      </c>
      <c r="E868" s="5">
        <v>2080.0</v>
      </c>
      <c r="F868" s="18" t="s">
        <v>3315</v>
      </c>
      <c r="G868" s="5" t="s">
        <v>3316</v>
      </c>
      <c r="H868" s="5" t="s">
        <v>3317</v>
      </c>
      <c r="I868" s="5" t="s">
        <v>1664</v>
      </c>
      <c r="J868" s="5" t="s">
        <v>1715</v>
      </c>
      <c r="K868" s="5">
        <v>1.0</v>
      </c>
      <c r="L868" s="5">
        <v>2483.0</v>
      </c>
      <c r="M868" s="8"/>
      <c r="AO868" s="5" t="s">
        <v>3315</v>
      </c>
      <c r="AP868" s="5">
        <v>624.0</v>
      </c>
      <c r="AQ868" s="5" t="s">
        <v>1716</v>
      </c>
      <c r="AR868" s="5" t="s">
        <v>1717</v>
      </c>
      <c r="AS868" s="5" t="s">
        <v>1718</v>
      </c>
      <c r="AT868" s="5" t="s">
        <v>1719</v>
      </c>
      <c r="AU868" s="5" t="s">
        <v>1703</v>
      </c>
      <c r="AV868" s="5" t="s">
        <v>1720</v>
      </c>
      <c r="AW868" s="5" t="s">
        <v>2003</v>
      </c>
      <c r="AX868" s="5" t="s">
        <v>2139</v>
      </c>
      <c r="AY868" s="5">
        <v>54.1</v>
      </c>
      <c r="AZ868" s="5">
        <v>-124.3</v>
      </c>
      <c r="BA868" s="5">
        <v>9.0</v>
      </c>
    </row>
    <row r="869" ht="14.25" customHeight="1">
      <c r="B869" s="5">
        <v>12.0</v>
      </c>
      <c r="C869" s="5" t="s">
        <v>1711</v>
      </c>
      <c r="D869" s="5">
        <v>625.0</v>
      </c>
      <c r="E869" s="5">
        <v>2081.0</v>
      </c>
      <c r="F869" s="18" t="s">
        <v>3318</v>
      </c>
      <c r="G869" s="5" t="s">
        <v>3319</v>
      </c>
      <c r="H869" s="5" t="s">
        <v>3320</v>
      </c>
      <c r="I869" s="5" t="s">
        <v>1664</v>
      </c>
      <c r="J869" s="5" t="s">
        <v>1715</v>
      </c>
      <c r="K869" s="5">
        <v>1.0</v>
      </c>
      <c r="L869" s="5">
        <v>2484.0</v>
      </c>
      <c r="M869" s="8"/>
      <c r="AO869" s="5" t="s">
        <v>3318</v>
      </c>
      <c r="AP869" s="5">
        <v>625.0</v>
      </c>
      <c r="AQ869" s="5" t="s">
        <v>1716</v>
      </c>
      <c r="AR869" s="5" t="s">
        <v>1717</v>
      </c>
      <c r="AS869" s="5" t="s">
        <v>1718</v>
      </c>
      <c r="AT869" s="5" t="s">
        <v>1719</v>
      </c>
      <c r="AU869" s="5" t="s">
        <v>1703</v>
      </c>
      <c r="AV869" s="5" t="s">
        <v>1720</v>
      </c>
      <c r="AW869" s="5" t="s">
        <v>2003</v>
      </c>
      <c r="AX869" s="5" t="s">
        <v>2139</v>
      </c>
      <c r="AY869" s="5">
        <v>53.2</v>
      </c>
      <c r="AZ869" s="5">
        <v>-125.1</v>
      </c>
      <c r="BA869" s="5">
        <v>13.0</v>
      </c>
    </row>
    <row r="870" ht="14.25" customHeight="1">
      <c r="A870" s="5" t="s">
        <v>422</v>
      </c>
      <c r="B870" s="5">
        <v>12.0</v>
      </c>
      <c r="C870" s="5" t="s">
        <v>1711</v>
      </c>
      <c r="D870" s="5">
        <v>626.0</v>
      </c>
      <c r="E870" s="5">
        <v>2082.0</v>
      </c>
      <c r="F870" s="18" t="s">
        <v>3321</v>
      </c>
      <c r="G870" s="5" t="s">
        <v>3322</v>
      </c>
      <c r="H870" s="5" t="s">
        <v>3323</v>
      </c>
      <c r="I870" s="5" t="s">
        <v>1664</v>
      </c>
      <c r="J870" s="5" t="s">
        <v>1746</v>
      </c>
      <c r="K870" s="5">
        <v>1.0</v>
      </c>
      <c r="L870" s="5">
        <v>2485.0</v>
      </c>
      <c r="M870" s="8"/>
      <c r="AO870" s="5" t="s">
        <v>3321</v>
      </c>
      <c r="AP870" s="5">
        <v>626.0</v>
      </c>
      <c r="AQ870" s="5" t="s">
        <v>1716</v>
      </c>
      <c r="AR870" s="5" t="s">
        <v>1717</v>
      </c>
      <c r="AS870" s="5" t="s">
        <v>1718</v>
      </c>
      <c r="AT870" s="5" t="s">
        <v>1719</v>
      </c>
      <c r="AU870" s="5" t="s">
        <v>1703</v>
      </c>
      <c r="AV870" s="5" t="s">
        <v>1720</v>
      </c>
      <c r="AW870" s="5" t="s">
        <v>2003</v>
      </c>
      <c r="AX870" s="5" t="s">
        <v>2139</v>
      </c>
      <c r="AY870" s="5">
        <v>54.2</v>
      </c>
      <c r="AZ870" s="5">
        <v>-124.1</v>
      </c>
      <c r="BA870" s="5">
        <v>8.0</v>
      </c>
    </row>
    <row r="871" ht="14.25" customHeight="1">
      <c r="B871" s="5">
        <v>12.0</v>
      </c>
      <c r="C871" s="5" t="s">
        <v>1711</v>
      </c>
      <c r="D871" s="5">
        <v>627.0</v>
      </c>
      <c r="E871" s="5">
        <v>2083.0</v>
      </c>
      <c r="F871" s="18" t="s">
        <v>3324</v>
      </c>
      <c r="G871" s="5" t="s">
        <v>3325</v>
      </c>
      <c r="H871" s="5" t="s">
        <v>3326</v>
      </c>
      <c r="I871" s="5" t="s">
        <v>1664</v>
      </c>
      <c r="J871" s="5" t="s">
        <v>1715</v>
      </c>
      <c r="K871" s="5">
        <v>1.0</v>
      </c>
      <c r="L871" s="5">
        <v>2486.0</v>
      </c>
      <c r="M871" s="8"/>
      <c r="AO871" s="5" t="s">
        <v>3324</v>
      </c>
      <c r="AP871" s="5">
        <v>627.0</v>
      </c>
      <c r="AQ871" s="5" t="s">
        <v>1716</v>
      </c>
      <c r="AR871" s="5" t="s">
        <v>1717</v>
      </c>
      <c r="AS871" s="5" t="s">
        <v>1718</v>
      </c>
      <c r="AT871" s="5" t="s">
        <v>1719</v>
      </c>
      <c r="AU871" s="5" t="s">
        <v>1703</v>
      </c>
      <c r="AV871" s="5" t="s">
        <v>1720</v>
      </c>
      <c r="AW871" s="5" t="s">
        <v>2003</v>
      </c>
      <c r="AX871" s="5" t="s">
        <v>2139</v>
      </c>
      <c r="AY871" s="5">
        <v>53.6</v>
      </c>
      <c r="AZ871" s="5">
        <v>-124.1</v>
      </c>
      <c r="BA871" s="5">
        <v>12.0</v>
      </c>
    </row>
    <row r="872" ht="14.25" customHeight="1">
      <c r="B872" s="5">
        <v>12.0</v>
      </c>
      <c r="C872" s="5" t="s">
        <v>1711</v>
      </c>
      <c r="D872" s="5">
        <v>628.0</v>
      </c>
      <c r="E872" s="5">
        <v>2084.0</v>
      </c>
      <c r="F872" s="18" t="s">
        <v>3327</v>
      </c>
      <c r="G872" s="5" t="s">
        <v>3328</v>
      </c>
      <c r="H872" s="5" t="s">
        <v>3329</v>
      </c>
      <c r="I872" s="5" t="s">
        <v>1664</v>
      </c>
      <c r="J872" s="5" t="s">
        <v>1715</v>
      </c>
      <c r="K872" s="5">
        <v>1.0</v>
      </c>
      <c r="L872" s="5">
        <v>2487.0</v>
      </c>
      <c r="M872" s="8"/>
      <c r="AO872" s="5" t="s">
        <v>3327</v>
      </c>
      <c r="AP872" s="5">
        <v>628.0</v>
      </c>
      <c r="AQ872" s="5" t="s">
        <v>1716</v>
      </c>
      <c r="AR872" s="5" t="s">
        <v>1717</v>
      </c>
      <c r="AS872" s="5" t="s">
        <v>1718</v>
      </c>
      <c r="AT872" s="5" t="s">
        <v>1719</v>
      </c>
      <c r="AU872" s="5" t="s">
        <v>1703</v>
      </c>
      <c r="AV872" s="5" t="s">
        <v>1720</v>
      </c>
      <c r="AW872" s="5" t="s">
        <v>2003</v>
      </c>
      <c r="AX872" s="5" t="s">
        <v>2139</v>
      </c>
      <c r="AY872" s="5">
        <v>53.5</v>
      </c>
      <c r="AZ872" s="5">
        <v>-124.6</v>
      </c>
      <c r="BA872" s="5">
        <v>9.0</v>
      </c>
    </row>
    <row r="873" ht="14.25" customHeight="1">
      <c r="B873" s="5">
        <v>12.0</v>
      </c>
      <c r="C873" s="5" t="s">
        <v>1711</v>
      </c>
      <c r="D873" s="5">
        <v>629.0</v>
      </c>
      <c r="E873" s="5">
        <v>2085.0</v>
      </c>
      <c r="F873" s="18" t="s">
        <v>3330</v>
      </c>
      <c r="G873" s="5" t="s">
        <v>3331</v>
      </c>
      <c r="H873" s="5" t="s">
        <v>3332</v>
      </c>
      <c r="I873" s="5" t="s">
        <v>1664</v>
      </c>
      <c r="J873" s="5" t="s">
        <v>1746</v>
      </c>
      <c r="K873" s="5">
        <v>1.0</v>
      </c>
      <c r="L873" s="5">
        <v>2488.0</v>
      </c>
      <c r="M873" s="8"/>
      <c r="AO873" s="5" t="s">
        <v>3330</v>
      </c>
      <c r="AP873" s="5">
        <v>629.0</v>
      </c>
      <c r="AQ873" s="5" t="s">
        <v>1716</v>
      </c>
      <c r="AR873" s="5" t="s">
        <v>1717</v>
      </c>
      <c r="AS873" s="5" t="s">
        <v>1718</v>
      </c>
      <c r="AT873" s="5" t="s">
        <v>1719</v>
      </c>
      <c r="AU873" s="5" t="s">
        <v>1703</v>
      </c>
      <c r="AV873" s="5" t="s">
        <v>1720</v>
      </c>
      <c r="AW873" s="5" t="s">
        <v>1947</v>
      </c>
      <c r="AX873" s="5" t="s">
        <v>2148</v>
      </c>
      <c r="AY873" s="5">
        <v>53.4</v>
      </c>
      <c r="AZ873" s="5">
        <v>-125.3</v>
      </c>
      <c r="BA873" s="5">
        <v>0.0</v>
      </c>
    </row>
    <row r="874" ht="14.25" customHeight="1">
      <c r="A874" s="5" t="s">
        <v>422</v>
      </c>
      <c r="B874" s="5">
        <v>12.0</v>
      </c>
      <c r="C874" s="5" t="s">
        <v>1711</v>
      </c>
      <c r="D874" s="5">
        <v>631.0</v>
      </c>
      <c r="E874" s="5">
        <v>2086.0</v>
      </c>
      <c r="F874" s="18" t="s">
        <v>3333</v>
      </c>
      <c r="G874" s="5" t="s">
        <v>3334</v>
      </c>
      <c r="H874" s="5" t="s">
        <v>3335</v>
      </c>
      <c r="I874" s="5" t="s">
        <v>1664</v>
      </c>
      <c r="J874" s="5" t="s">
        <v>1746</v>
      </c>
      <c r="K874" s="5">
        <v>1.0</v>
      </c>
      <c r="L874" s="5">
        <v>2489.0</v>
      </c>
      <c r="M874" s="8"/>
      <c r="AO874" s="5" t="s">
        <v>3333</v>
      </c>
      <c r="AP874" s="5">
        <v>631.0</v>
      </c>
      <c r="AQ874" s="5" t="s">
        <v>1716</v>
      </c>
      <c r="AR874" s="5" t="s">
        <v>1717</v>
      </c>
      <c r="AS874" s="5" t="s">
        <v>1718</v>
      </c>
      <c r="AT874" s="5" t="s">
        <v>1719</v>
      </c>
      <c r="AU874" s="5" t="s">
        <v>1703</v>
      </c>
      <c r="AV874" s="5" t="s">
        <v>1720</v>
      </c>
      <c r="AW874" s="5" t="s">
        <v>2003</v>
      </c>
      <c r="AX874" s="5" t="s">
        <v>2139</v>
      </c>
      <c r="AY874" s="5">
        <v>53.1</v>
      </c>
      <c r="AZ874" s="5">
        <v>-125.1</v>
      </c>
      <c r="BA874" s="5">
        <v>14.0</v>
      </c>
    </row>
    <row r="875" ht="14.25" customHeight="1">
      <c r="A875" s="5" t="s">
        <v>422</v>
      </c>
      <c r="B875" s="5">
        <v>12.0</v>
      </c>
      <c r="C875" s="5" t="s">
        <v>1711</v>
      </c>
      <c r="D875" s="5">
        <v>632.0</v>
      </c>
      <c r="E875" s="5">
        <v>2087.0</v>
      </c>
      <c r="F875" s="18" t="s">
        <v>3336</v>
      </c>
      <c r="G875" s="5" t="s">
        <v>3337</v>
      </c>
      <c r="H875" s="5" t="s">
        <v>3338</v>
      </c>
      <c r="I875" s="5" t="s">
        <v>1664</v>
      </c>
      <c r="J875" s="5" t="s">
        <v>1746</v>
      </c>
      <c r="K875" s="5">
        <v>1.0</v>
      </c>
      <c r="L875" s="5">
        <v>2490.0</v>
      </c>
      <c r="M875" s="8"/>
      <c r="AO875" s="5" t="s">
        <v>3336</v>
      </c>
      <c r="AP875" s="5">
        <v>632.0</v>
      </c>
      <c r="AQ875" s="5" t="s">
        <v>1716</v>
      </c>
      <c r="AR875" s="5" t="s">
        <v>1717</v>
      </c>
      <c r="AS875" s="5" t="s">
        <v>1718</v>
      </c>
      <c r="AT875" s="5" t="s">
        <v>1719</v>
      </c>
      <c r="AU875" s="5" t="s">
        <v>1703</v>
      </c>
      <c r="AV875" s="5" t="s">
        <v>1720</v>
      </c>
      <c r="AW875" s="5" t="s">
        <v>2003</v>
      </c>
      <c r="AX875" s="5" t="s">
        <v>2139</v>
      </c>
      <c r="AY875" s="5">
        <v>53.3</v>
      </c>
      <c r="AZ875" s="5">
        <v>-125.1</v>
      </c>
      <c r="BA875" s="5">
        <v>10.0</v>
      </c>
    </row>
    <row r="876" ht="14.25" customHeight="1">
      <c r="B876" s="5">
        <v>12.0</v>
      </c>
      <c r="C876" s="5" t="s">
        <v>1711</v>
      </c>
      <c r="D876" s="5">
        <v>633.0</v>
      </c>
      <c r="E876" s="5">
        <v>2088.0</v>
      </c>
      <c r="F876" s="18" t="s">
        <v>3339</v>
      </c>
      <c r="G876" s="5" t="s">
        <v>3340</v>
      </c>
      <c r="H876" s="5" t="s">
        <v>3341</v>
      </c>
      <c r="I876" s="5" t="s">
        <v>1664</v>
      </c>
      <c r="J876" s="5" t="s">
        <v>1746</v>
      </c>
      <c r="K876" s="5">
        <v>1.0</v>
      </c>
      <c r="L876" s="5">
        <v>2491.0</v>
      </c>
      <c r="M876" s="8"/>
      <c r="AO876" s="5" t="s">
        <v>3339</v>
      </c>
      <c r="AP876" s="5">
        <v>633.0</v>
      </c>
      <c r="AQ876" s="5" t="s">
        <v>1716</v>
      </c>
      <c r="AR876" s="5" t="s">
        <v>1717</v>
      </c>
      <c r="AS876" s="5" t="s">
        <v>1718</v>
      </c>
      <c r="AT876" s="5" t="s">
        <v>1719</v>
      </c>
      <c r="AU876" s="5" t="s">
        <v>1703</v>
      </c>
      <c r="AV876" s="5" t="s">
        <v>1720</v>
      </c>
      <c r="AW876" s="5" t="s">
        <v>2003</v>
      </c>
      <c r="AX876" s="5" t="s">
        <v>2139</v>
      </c>
      <c r="AY876" s="5">
        <v>53.7</v>
      </c>
      <c r="AZ876" s="5">
        <v>-124.0</v>
      </c>
      <c r="BA876" s="5">
        <v>12.0</v>
      </c>
    </row>
    <row r="877" ht="14.25" customHeight="1">
      <c r="B877" s="5">
        <v>12.0</v>
      </c>
      <c r="C877" s="5" t="s">
        <v>1711</v>
      </c>
      <c r="D877" s="5">
        <v>634.0</v>
      </c>
      <c r="E877" s="5">
        <v>2089.0</v>
      </c>
      <c r="F877" s="18" t="s">
        <v>3342</v>
      </c>
      <c r="G877" s="5" t="s">
        <v>3343</v>
      </c>
      <c r="H877" s="5" t="s">
        <v>3344</v>
      </c>
      <c r="I877" s="5" t="s">
        <v>1664</v>
      </c>
      <c r="J877" s="5" t="s">
        <v>1715</v>
      </c>
      <c r="K877" s="5">
        <v>1.0</v>
      </c>
      <c r="L877" s="5">
        <v>2492.0</v>
      </c>
      <c r="M877" s="8"/>
      <c r="AO877" s="5" t="s">
        <v>3342</v>
      </c>
      <c r="AP877" s="5">
        <v>634.0</v>
      </c>
      <c r="AQ877" s="5" t="s">
        <v>1716</v>
      </c>
      <c r="AR877" s="5" t="s">
        <v>1717</v>
      </c>
      <c r="AS877" s="5" t="s">
        <v>1718</v>
      </c>
      <c r="AT877" s="5" t="s">
        <v>1719</v>
      </c>
      <c r="AU877" s="5" t="s">
        <v>1703</v>
      </c>
      <c r="AV877" s="5" t="s">
        <v>1720</v>
      </c>
      <c r="AW877" s="5" t="s">
        <v>1947</v>
      </c>
      <c r="AX877" s="5" t="s">
        <v>2153</v>
      </c>
      <c r="AY877" s="5">
        <v>54.6</v>
      </c>
      <c r="AZ877" s="5">
        <v>-126.2</v>
      </c>
      <c r="BA877" s="5">
        <v>12.0</v>
      </c>
    </row>
    <row r="878" ht="14.25" customHeight="1">
      <c r="B878" s="5">
        <v>12.0</v>
      </c>
      <c r="C878" s="5" t="s">
        <v>1711</v>
      </c>
      <c r="D878" s="5">
        <v>635.0</v>
      </c>
      <c r="E878" s="5">
        <v>2090.0</v>
      </c>
      <c r="F878" s="18" t="s">
        <v>3345</v>
      </c>
      <c r="G878" s="5" t="s">
        <v>3346</v>
      </c>
      <c r="H878" s="5" t="s">
        <v>3347</v>
      </c>
      <c r="I878" s="5" t="s">
        <v>1664</v>
      </c>
      <c r="J878" s="5" t="s">
        <v>1746</v>
      </c>
      <c r="K878" s="5">
        <v>1.0</v>
      </c>
      <c r="L878" s="5">
        <v>2493.0</v>
      </c>
      <c r="M878" s="8"/>
      <c r="AO878" s="5" t="s">
        <v>3345</v>
      </c>
      <c r="AP878" s="5">
        <v>635.0</v>
      </c>
      <c r="AQ878" s="5" t="s">
        <v>1716</v>
      </c>
      <c r="AR878" s="5" t="s">
        <v>1717</v>
      </c>
      <c r="AS878" s="5" t="s">
        <v>1718</v>
      </c>
      <c r="AT878" s="5" t="s">
        <v>1719</v>
      </c>
      <c r="AU878" s="5" t="s">
        <v>1703</v>
      </c>
      <c r="AV878" s="5" t="s">
        <v>1720</v>
      </c>
      <c r="AW878" s="5" t="s">
        <v>1947</v>
      </c>
      <c r="AX878" s="5" t="s">
        <v>2133</v>
      </c>
      <c r="AY878" s="5">
        <v>54.9</v>
      </c>
      <c r="AZ878" s="5">
        <v>-126.7</v>
      </c>
      <c r="BA878" s="5">
        <v>9.0</v>
      </c>
    </row>
    <row r="879" ht="14.25" customHeight="1">
      <c r="B879" s="5">
        <v>12.0</v>
      </c>
      <c r="C879" s="5" t="s">
        <v>1711</v>
      </c>
      <c r="D879" s="5">
        <v>636.0</v>
      </c>
      <c r="E879" s="5">
        <v>2091.0</v>
      </c>
      <c r="F879" s="18" t="s">
        <v>3348</v>
      </c>
      <c r="G879" s="5" t="s">
        <v>3349</v>
      </c>
      <c r="H879" s="5" t="s">
        <v>3350</v>
      </c>
      <c r="I879" s="5" t="s">
        <v>1664</v>
      </c>
      <c r="J879" s="5" t="s">
        <v>1746</v>
      </c>
      <c r="K879" s="5">
        <v>1.0</v>
      </c>
      <c r="L879" s="5">
        <v>2494.0</v>
      </c>
      <c r="M879" s="8"/>
      <c r="AO879" s="5" t="s">
        <v>3348</v>
      </c>
      <c r="AP879" s="5">
        <v>636.0</v>
      </c>
      <c r="AQ879" s="5" t="s">
        <v>1716</v>
      </c>
      <c r="AR879" s="5" t="s">
        <v>1717</v>
      </c>
      <c r="AS879" s="5" t="s">
        <v>1718</v>
      </c>
      <c r="AT879" s="5" t="s">
        <v>1719</v>
      </c>
      <c r="AU879" s="5" t="s">
        <v>1703</v>
      </c>
      <c r="AV879" s="5" t="s">
        <v>1720</v>
      </c>
      <c r="AW879" s="5" t="s">
        <v>1947</v>
      </c>
      <c r="AX879" s="5" t="s">
        <v>2153</v>
      </c>
      <c r="AY879" s="5">
        <v>55.2</v>
      </c>
      <c r="AZ879" s="5">
        <v>-126.2</v>
      </c>
      <c r="BA879" s="5">
        <v>9.0</v>
      </c>
    </row>
    <row r="880" ht="14.25" customHeight="1">
      <c r="B880" s="5">
        <v>12.0</v>
      </c>
      <c r="C880" s="5" t="s">
        <v>1711</v>
      </c>
      <c r="D880" s="5">
        <v>637.0</v>
      </c>
      <c r="E880" s="5">
        <v>2092.0</v>
      </c>
      <c r="F880" s="18" t="s">
        <v>3351</v>
      </c>
      <c r="G880" s="5" t="s">
        <v>3352</v>
      </c>
      <c r="H880" s="5" t="s">
        <v>3353</v>
      </c>
      <c r="I880" s="5" t="s">
        <v>1664</v>
      </c>
      <c r="J880" s="5" t="s">
        <v>1746</v>
      </c>
      <c r="K880" s="5">
        <v>1.0</v>
      </c>
      <c r="L880" s="5">
        <v>2495.0</v>
      </c>
      <c r="M880" s="8"/>
      <c r="AO880" s="5" t="s">
        <v>3351</v>
      </c>
      <c r="AP880" s="5">
        <v>637.0</v>
      </c>
      <c r="AQ880" s="5" t="s">
        <v>1716</v>
      </c>
      <c r="AR880" s="5" t="s">
        <v>1717</v>
      </c>
      <c r="AS880" s="5" t="s">
        <v>1718</v>
      </c>
      <c r="AT880" s="5" t="s">
        <v>1719</v>
      </c>
      <c r="AU880" s="5" t="s">
        <v>1703</v>
      </c>
      <c r="AV880" s="5" t="s">
        <v>1720</v>
      </c>
      <c r="AW880" s="5" t="s">
        <v>1947</v>
      </c>
      <c r="AX880" s="5" t="s">
        <v>2153</v>
      </c>
      <c r="AY880" s="5">
        <v>54.9</v>
      </c>
      <c r="AZ880" s="5">
        <v>-125.9</v>
      </c>
      <c r="BA880" s="5">
        <v>10.0</v>
      </c>
    </row>
    <row r="881" ht="14.25" customHeight="1">
      <c r="B881" s="5">
        <v>12.0</v>
      </c>
      <c r="C881" s="5" t="s">
        <v>1711</v>
      </c>
      <c r="D881" s="5">
        <v>638.0</v>
      </c>
      <c r="E881" s="5">
        <v>2093.0</v>
      </c>
      <c r="F881" s="18" t="s">
        <v>3354</v>
      </c>
      <c r="G881" s="5" t="s">
        <v>3355</v>
      </c>
      <c r="H881" s="5" t="s">
        <v>3356</v>
      </c>
      <c r="I881" s="5" t="s">
        <v>1664</v>
      </c>
      <c r="J881" s="5" t="s">
        <v>1746</v>
      </c>
      <c r="K881" s="5">
        <v>1.0</v>
      </c>
      <c r="L881" s="5">
        <v>2496.0</v>
      </c>
      <c r="M881" s="8"/>
      <c r="AO881" s="5" t="s">
        <v>3354</v>
      </c>
      <c r="AP881" s="5">
        <v>638.0</v>
      </c>
      <c r="AQ881" s="5" t="s">
        <v>1716</v>
      </c>
      <c r="AR881" s="5" t="s">
        <v>1717</v>
      </c>
      <c r="AS881" s="5" t="s">
        <v>1718</v>
      </c>
      <c r="AT881" s="5" t="s">
        <v>1719</v>
      </c>
      <c r="AU881" s="5" t="s">
        <v>1703</v>
      </c>
      <c r="AV881" s="5" t="s">
        <v>1720</v>
      </c>
      <c r="AW881" s="5" t="s">
        <v>1947</v>
      </c>
      <c r="AX881" s="5" t="s">
        <v>2153</v>
      </c>
      <c r="AY881" s="5">
        <v>54.2</v>
      </c>
      <c r="AZ881" s="5">
        <v>-126.4</v>
      </c>
      <c r="BA881" s="5">
        <v>14.0</v>
      </c>
    </row>
    <row r="882" ht="14.25" customHeight="1">
      <c r="B882" s="5">
        <v>12.0</v>
      </c>
      <c r="C882" s="5" t="s">
        <v>1711</v>
      </c>
      <c r="D882" s="5">
        <v>639.0</v>
      </c>
      <c r="E882" s="5">
        <v>2094.0</v>
      </c>
      <c r="F882" s="18" t="s">
        <v>3357</v>
      </c>
      <c r="G882" s="5" t="s">
        <v>3358</v>
      </c>
      <c r="H882" s="5" t="s">
        <v>3356</v>
      </c>
      <c r="I882" s="5" t="s">
        <v>1664</v>
      </c>
      <c r="J882" s="5" t="s">
        <v>1746</v>
      </c>
      <c r="K882" s="5">
        <v>1.0</v>
      </c>
      <c r="L882" s="5">
        <v>2497.0</v>
      </c>
      <c r="M882" s="8"/>
      <c r="AO882" s="5" t="s">
        <v>3357</v>
      </c>
      <c r="AP882" s="5">
        <v>639.0</v>
      </c>
      <c r="AQ882" s="5" t="s">
        <v>1716</v>
      </c>
      <c r="AR882" s="5" t="s">
        <v>1717</v>
      </c>
      <c r="AS882" s="5" t="s">
        <v>1740</v>
      </c>
      <c r="AT882" s="5" t="s">
        <v>1719</v>
      </c>
      <c r="AU882" s="5" t="s">
        <v>1772</v>
      </c>
      <c r="AV882" s="5" t="s">
        <v>1720</v>
      </c>
      <c r="AW882" s="5" t="s">
        <v>1947</v>
      </c>
      <c r="AX882" s="5" t="s">
        <v>2153</v>
      </c>
      <c r="AY882" s="5">
        <v>54.1</v>
      </c>
      <c r="AZ882" s="5">
        <v>-126.6</v>
      </c>
      <c r="BA882" s="5">
        <v>9.0</v>
      </c>
    </row>
    <row r="883" ht="14.25" customHeight="1">
      <c r="B883" s="5">
        <v>12.0</v>
      </c>
      <c r="C883" s="5" t="s">
        <v>1711</v>
      </c>
      <c r="D883" s="5">
        <v>640.0</v>
      </c>
      <c r="E883" s="5">
        <v>2095.0</v>
      </c>
      <c r="F883" s="18" t="s">
        <v>3359</v>
      </c>
      <c r="G883" s="5" t="s">
        <v>3360</v>
      </c>
      <c r="H883" s="5" t="s">
        <v>3356</v>
      </c>
      <c r="I883" s="5" t="s">
        <v>1664</v>
      </c>
      <c r="J883" s="5" t="s">
        <v>1746</v>
      </c>
      <c r="K883" s="5">
        <v>1.0</v>
      </c>
      <c r="L883" s="5">
        <v>2498.0</v>
      </c>
      <c r="M883" s="8"/>
      <c r="AO883" s="5" t="s">
        <v>3359</v>
      </c>
      <c r="AP883" s="5">
        <v>640.0</v>
      </c>
      <c r="AQ883" s="5" t="s">
        <v>1716</v>
      </c>
      <c r="AR883" s="5" t="s">
        <v>1717</v>
      </c>
      <c r="AS883" s="5" t="s">
        <v>1718</v>
      </c>
      <c r="AT883" s="5" t="s">
        <v>1719</v>
      </c>
      <c r="AU883" s="5" t="s">
        <v>1703</v>
      </c>
      <c r="AV883" s="5" t="s">
        <v>1720</v>
      </c>
      <c r="AW883" s="5" t="s">
        <v>1947</v>
      </c>
      <c r="AX883" s="5" t="s">
        <v>2153</v>
      </c>
      <c r="AY883" s="5">
        <v>54.4</v>
      </c>
      <c r="AZ883" s="5">
        <v>-126.9</v>
      </c>
      <c r="BA883" s="5">
        <v>10.0</v>
      </c>
    </row>
    <row r="884" ht="14.25" customHeight="1">
      <c r="B884" s="5">
        <v>12.0</v>
      </c>
      <c r="C884" s="5" t="s">
        <v>1711</v>
      </c>
      <c r="D884" s="5">
        <v>641.0</v>
      </c>
      <c r="E884" s="5">
        <v>2096.0</v>
      </c>
      <c r="F884" s="18" t="s">
        <v>3361</v>
      </c>
      <c r="G884" s="5" t="s">
        <v>3362</v>
      </c>
      <c r="H884" s="5" t="s">
        <v>3363</v>
      </c>
      <c r="I884" s="5" t="s">
        <v>1664</v>
      </c>
      <c r="J884" s="5" t="s">
        <v>1746</v>
      </c>
      <c r="K884" s="5">
        <v>1.0</v>
      </c>
      <c r="L884" s="5">
        <v>2499.0</v>
      </c>
      <c r="M884" s="8"/>
      <c r="AO884" s="5" t="s">
        <v>3361</v>
      </c>
      <c r="AP884" s="5">
        <v>641.0</v>
      </c>
      <c r="AQ884" s="5" t="s">
        <v>1716</v>
      </c>
      <c r="AR884" s="5" t="s">
        <v>1717</v>
      </c>
      <c r="AS884" s="5" t="s">
        <v>1718</v>
      </c>
      <c r="AT884" s="5" t="s">
        <v>1719</v>
      </c>
      <c r="AU884" s="5" t="s">
        <v>1703</v>
      </c>
      <c r="AV884" s="5" t="s">
        <v>1720</v>
      </c>
      <c r="AW884" s="5" t="s">
        <v>1947</v>
      </c>
      <c r="AX884" s="5" t="s">
        <v>2153</v>
      </c>
      <c r="AY884" s="5">
        <v>54.1</v>
      </c>
      <c r="AZ884" s="5">
        <v>-126.9</v>
      </c>
      <c r="BA884" s="5">
        <v>9.0</v>
      </c>
    </row>
    <row r="885" ht="14.25" customHeight="1">
      <c r="B885" s="5">
        <v>12.0</v>
      </c>
      <c r="C885" s="5" t="s">
        <v>1711</v>
      </c>
      <c r="D885" s="27">
        <v>642.0</v>
      </c>
      <c r="E885" s="5">
        <v>2097.0</v>
      </c>
      <c r="F885" s="18" t="s">
        <v>3364</v>
      </c>
      <c r="G885" s="5" t="s">
        <v>3365</v>
      </c>
      <c r="H885" s="5" t="s">
        <v>3366</v>
      </c>
      <c r="I885" s="5" t="s">
        <v>1664</v>
      </c>
      <c r="J885" s="5" t="s">
        <v>1746</v>
      </c>
      <c r="K885" s="5">
        <v>1.0</v>
      </c>
      <c r="L885" s="5">
        <v>2500.0</v>
      </c>
      <c r="M885" s="8"/>
      <c r="AO885" s="5" t="s">
        <v>3364</v>
      </c>
      <c r="AP885" s="5">
        <v>642.0</v>
      </c>
      <c r="AQ885" s="5" t="s">
        <v>1716</v>
      </c>
      <c r="AR885" s="5" t="s">
        <v>1717</v>
      </c>
      <c r="AS885" s="5" t="s">
        <v>1718</v>
      </c>
      <c r="AT885" s="5" t="s">
        <v>1719</v>
      </c>
      <c r="AU885" s="5" t="s">
        <v>1703</v>
      </c>
      <c r="AV885" s="5" t="s">
        <v>1720</v>
      </c>
      <c r="AW885" s="5" t="s">
        <v>1947</v>
      </c>
      <c r="AX885" s="5" t="s">
        <v>2153</v>
      </c>
      <c r="AY885" s="5">
        <v>54.3</v>
      </c>
      <c r="AZ885" s="5">
        <v>-127.4</v>
      </c>
      <c r="BA885" s="5">
        <v>10.0</v>
      </c>
    </row>
    <row r="886" ht="14.25" customHeight="1">
      <c r="B886" s="5">
        <v>12.0</v>
      </c>
      <c r="C886" s="5" t="s">
        <v>1711</v>
      </c>
      <c r="D886" s="5">
        <v>643.0</v>
      </c>
      <c r="E886" s="5">
        <v>2098.0</v>
      </c>
      <c r="F886" s="18" t="s">
        <v>3367</v>
      </c>
      <c r="G886" s="5" t="s">
        <v>3368</v>
      </c>
      <c r="H886" s="5" t="s">
        <v>3369</v>
      </c>
      <c r="I886" s="5" t="s">
        <v>1664</v>
      </c>
      <c r="J886" s="5" t="s">
        <v>1746</v>
      </c>
      <c r="K886" s="5">
        <v>1.0</v>
      </c>
      <c r="L886" s="5">
        <v>2501.0</v>
      </c>
      <c r="M886" s="8"/>
      <c r="AO886" s="5" t="s">
        <v>3367</v>
      </c>
      <c r="AP886" s="5">
        <v>643.0</v>
      </c>
      <c r="AQ886" s="5" t="s">
        <v>1716</v>
      </c>
      <c r="AR886" s="5" t="s">
        <v>1717</v>
      </c>
      <c r="AS886" s="5" t="s">
        <v>1718</v>
      </c>
      <c r="AT886" s="5" t="s">
        <v>1719</v>
      </c>
      <c r="AU886" s="5" t="s">
        <v>1703</v>
      </c>
      <c r="AV886" s="5" t="s">
        <v>1720</v>
      </c>
      <c r="AW886" s="5" t="s">
        <v>1947</v>
      </c>
      <c r="AX886" s="5" t="s">
        <v>2153</v>
      </c>
      <c r="AY886" s="5">
        <v>54.2</v>
      </c>
      <c r="AZ886" s="5">
        <v>-127.3</v>
      </c>
      <c r="BA886" s="5">
        <v>9.0</v>
      </c>
    </row>
    <row r="887" ht="14.25" customHeight="1">
      <c r="B887" s="5">
        <v>12.0</v>
      </c>
      <c r="C887" s="5" t="s">
        <v>1711</v>
      </c>
      <c r="D887" s="5">
        <v>644.0</v>
      </c>
      <c r="E887" s="5">
        <v>2099.0</v>
      </c>
      <c r="F887" s="18" t="s">
        <v>3370</v>
      </c>
      <c r="G887" s="5" t="s">
        <v>3371</v>
      </c>
      <c r="H887" s="5" t="s">
        <v>3356</v>
      </c>
      <c r="I887" s="5" t="s">
        <v>1664</v>
      </c>
      <c r="J887" s="5" t="s">
        <v>1746</v>
      </c>
      <c r="K887" s="5">
        <v>1.0</v>
      </c>
      <c r="L887" s="5">
        <v>2502.0</v>
      </c>
      <c r="M887" s="8"/>
      <c r="AO887" s="5" t="s">
        <v>3370</v>
      </c>
      <c r="AP887" s="5">
        <v>644.0</v>
      </c>
      <c r="AQ887" s="5" t="s">
        <v>1716</v>
      </c>
      <c r="AR887" s="5" t="s">
        <v>1717</v>
      </c>
      <c r="AS887" s="5" t="s">
        <v>1718</v>
      </c>
      <c r="AT887" s="5" t="s">
        <v>1719</v>
      </c>
      <c r="AU887" s="5" t="s">
        <v>1703</v>
      </c>
      <c r="AV887" s="5" t="s">
        <v>1720</v>
      </c>
      <c r="AW887" s="5" t="s">
        <v>1947</v>
      </c>
      <c r="AX887" s="5" t="s">
        <v>2153</v>
      </c>
      <c r="AY887" s="5">
        <v>54.3</v>
      </c>
      <c r="AZ887" s="5">
        <v>-127.4</v>
      </c>
      <c r="BA887" s="5">
        <v>9.0</v>
      </c>
    </row>
    <row r="888" ht="14.25" customHeight="1">
      <c r="B888" s="5">
        <v>12.0</v>
      </c>
      <c r="C888" s="5" t="s">
        <v>1711</v>
      </c>
      <c r="D888" s="5">
        <v>645.0</v>
      </c>
      <c r="E888" s="5">
        <v>2100.0</v>
      </c>
      <c r="F888" s="18" t="s">
        <v>3372</v>
      </c>
      <c r="G888" s="5" t="s">
        <v>3373</v>
      </c>
      <c r="H888" s="5" t="s">
        <v>3374</v>
      </c>
      <c r="I888" s="5" t="s">
        <v>1664</v>
      </c>
      <c r="J888" s="5" t="s">
        <v>1746</v>
      </c>
      <c r="K888" s="5">
        <v>1.0</v>
      </c>
      <c r="L888" s="5">
        <v>2503.0</v>
      </c>
      <c r="M888" s="8"/>
      <c r="AO888" s="5" t="s">
        <v>3372</v>
      </c>
      <c r="AP888" s="5">
        <v>645.0</v>
      </c>
      <c r="AQ888" s="5" t="s">
        <v>1716</v>
      </c>
      <c r="AR888" s="5" t="s">
        <v>1717</v>
      </c>
      <c r="AS888" s="5" t="s">
        <v>1718</v>
      </c>
      <c r="AT888" s="5" t="s">
        <v>1719</v>
      </c>
      <c r="AU888" s="5" t="s">
        <v>1703</v>
      </c>
      <c r="AV888" s="5" t="s">
        <v>1720</v>
      </c>
      <c r="AW888" s="5" t="s">
        <v>1947</v>
      </c>
      <c r="AX888" s="5" t="s">
        <v>2153</v>
      </c>
      <c r="AY888" s="5">
        <v>53.6</v>
      </c>
      <c r="AZ888" s="5">
        <v>-127.0</v>
      </c>
      <c r="BA888" s="5">
        <v>10.0</v>
      </c>
    </row>
    <row r="889" ht="14.25" customHeight="1">
      <c r="B889" s="5">
        <v>12.0</v>
      </c>
      <c r="C889" s="5" t="s">
        <v>1711</v>
      </c>
      <c r="D889" s="5">
        <v>646.0</v>
      </c>
      <c r="E889" s="5">
        <v>2101.0</v>
      </c>
      <c r="F889" s="18" t="s">
        <v>3375</v>
      </c>
      <c r="G889" s="29" t="s">
        <v>3376</v>
      </c>
      <c r="H889" s="5" t="s">
        <v>3377</v>
      </c>
      <c r="I889" s="5" t="s">
        <v>1664</v>
      </c>
      <c r="J889" s="5" t="s">
        <v>1715</v>
      </c>
      <c r="K889" s="5">
        <v>1.0</v>
      </c>
      <c r="L889" s="5">
        <v>2504.0</v>
      </c>
      <c r="M889" s="8"/>
      <c r="AO889" s="5" t="s">
        <v>3375</v>
      </c>
      <c r="AP889" s="5">
        <v>646.0</v>
      </c>
      <c r="AQ889" s="5" t="s">
        <v>1716</v>
      </c>
      <c r="AR889" s="5" t="s">
        <v>1717</v>
      </c>
      <c r="AS889" s="5" t="s">
        <v>1718</v>
      </c>
      <c r="AT889" s="5" t="s">
        <v>1719</v>
      </c>
      <c r="AU889" s="5" t="s">
        <v>1703</v>
      </c>
      <c r="AV889" s="5" t="s">
        <v>1720</v>
      </c>
      <c r="AW889" s="5" t="s">
        <v>2003</v>
      </c>
      <c r="AX889" s="5" t="s">
        <v>2139</v>
      </c>
      <c r="AY889" s="5">
        <v>53.5</v>
      </c>
      <c r="AZ889" s="5">
        <v>-124.9</v>
      </c>
      <c r="BA889" s="5">
        <v>10.0</v>
      </c>
    </row>
    <row r="890" ht="14.25" customHeight="1">
      <c r="B890" s="5">
        <v>12.0</v>
      </c>
      <c r="C890" s="5" t="s">
        <v>1711</v>
      </c>
      <c r="D890" s="5">
        <v>649.0</v>
      </c>
      <c r="E890" s="5">
        <v>2102.0</v>
      </c>
      <c r="F890" s="18" t="s">
        <v>3378</v>
      </c>
      <c r="G890" s="5" t="s">
        <v>3379</v>
      </c>
      <c r="H890" s="5" t="s">
        <v>3380</v>
      </c>
      <c r="I890" s="5" t="s">
        <v>1664</v>
      </c>
      <c r="J890" s="5" t="s">
        <v>1746</v>
      </c>
      <c r="K890" s="5">
        <v>1.0</v>
      </c>
      <c r="L890" s="5">
        <v>2505.0</v>
      </c>
      <c r="M890" s="8"/>
      <c r="AO890" s="5" t="s">
        <v>3378</v>
      </c>
      <c r="AP890" s="5">
        <v>649.0</v>
      </c>
      <c r="AQ890" s="5" t="s">
        <v>1716</v>
      </c>
      <c r="AR890" s="5" t="s">
        <v>1717</v>
      </c>
      <c r="AS890" s="5" t="s">
        <v>1718</v>
      </c>
      <c r="AT890" s="5" t="s">
        <v>1719</v>
      </c>
      <c r="AU890" s="5" t="s">
        <v>1703</v>
      </c>
      <c r="AV890" s="5" t="s">
        <v>1720</v>
      </c>
      <c r="AW890" s="5" t="s">
        <v>1947</v>
      </c>
      <c r="AX890" s="5" t="s">
        <v>2153</v>
      </c>
      <c r="AY890" s="5">
        <v>53.8</v>
      </c>
      <c r="AZ890" s="5">
        <v>-126.9</v>
      </c>
      <c r="BA890" s="5">
        <v>10.0</v>
      </c>
    </row>
    <row r="891" ht="14.25" customHeight="1">
      <c r="B891" s="5">
        <v>12.0</v>
      </c>
      <c r="C891" s="5" t="s">
        <v>1711</v>
      </c>
      <c r="D891" s="5">
        <v>650.0</v>
      </c>
      <c r="E891" s="5">
        <v>2103.0</v>
      </c>
      <c r="F891" s="18" t="s">
        <v>3381</v>
      </c>
      <c r="G891" s="5" t="s">
        <v>3382</v>
      </c>
      <c r="H891" s="5" t="s">
        <v>3383</v>
      </c>
      <c r="I891" s="5" t="s">
        <v>1664</v>
      </c>
      <c r="J891" s="5" t="s">
        <v>1746</v>
      </c>
      <c r="K891" s="5">
        <v>1.0</v>
      </c>
      <c r="L891" s="5">
        <v>2506.0</v>
      </c>
      <c r="M891" s="8"/>
      <c r="AO891" s="5" t="s">
        <v>3381</v>
      </c>
      <c r="AP891" s="5">
        <v>650.0</v>
      </c>
      <c r="AQ891" s="5" t="s">
        <v>1716</v>
      </c>
      <c r="AR891" s="5" t="s">
        <v>1717</v>
      </c>
      <c r="AS891" s="5" t="s">
        <v>1718</v>
      </c>
      <c r="AT891" s="5" t="s">
        <v>1719</v>
      </c>
      <c r="AU891" s="5" t="s">
        <v>1703</v>
      </c>
      <c r="AV891" s="5" t="s">
        <v>1720</v>
      </c>
      <c r="AW891" s="5" t="s">
        <v>1947</v>
      </c>
      <c r="AX891" s="5" t="s">
        <v>2148</v>
      </c>
      <c r="AY891" s="5">
        <v>54.4</v>
      </c>
      <c r="AZ891" s="5">
        <v>-126.3</v>
      </c>
      <c r="BA891" s="5">
        <v>10.0</v>
      </c>
    </row>
    <row r="892" ht="14.25" customHeight="1">
      <c r="A892" s="5" t="s">
        <v>422</v>
      </c>
      <c r="B892" s="5">
        <v>12.0</v>
      </c>
      <c r="C892" s="5" t="s">
        <v>1711</v>
      </c>
      <c r="D892" s="5">
        <v>651.0</v>
      </c>
      <c r="E892" s="5">
        <v>2104.0</v>
      </c>
      <c r="F892" s="18" t="s">
        <v>3384</v>
      </c>
      <c r="G892" s="5" t="s">
        <v>3385</v>
      </c>
      <c r="H892" s="5" t="s">
        <v>3386</v>
      </c>
      <c r="I892" s="5" t="s">
        <v>1664</v>
      </c>
      <c r="J892" s="5" t="s">
        <v>1746</v>
      </c>
      <c r="K892" s="5">
        <v>1.0</v>
      </c>
      <c r="L892" s="5">
        <v>2507.0</v>
      </c>
      <c r="M892" s="8"/>
      <c r="AO892" s="5" t="s">
        <v>3384</v>
      </c>
      <c r="AP892" s="5">
        <v>651.0</v>
      </c>
      <c r="AQ892" s="5" t="s">
        <v>1716</v>
      </c>
      <c r="AR892" s="5" t="s">
        <v>1717</v>
      </c>
      <c r="AS892" s="5" t="s">
        <v>1718</v>
      </c>
      <c r="AT892" s="5" t="s">
        <v>1719</v>
      </c>
      <c r="AU892" s="5" t="s">
        <v>1703</v>
      </c>
      <c r="AV892" s="5" t="s">
        <v>1720</v>
      </c>
      <c r="AW892" s="5" t="s">
        <v>1947</v>
      </c>
      <c r="AX892" s="5" t="s">
        <v>2133</v>
      </c>
      <c r="AY892" s="5">
        <v>55.8</v>
      </c>
      <c r="AZ892" s="5">
        <v>-127.1</v>
      </c>
      <c r="BA892" s="5">
        <v>9.0</v>
      </c>
    </row>
    <row r="893" ht="14.25" customHeight="1">
      <c r="A893" s="5" t="s">
        <v>422</v>
      </c>
      <c r="B893" s="5">
        <v>12.0</v>
      </c>
      <c r="C893" s="5" t="s">
        <v>1711</v>
      </c>
      <c r="D893" s="5">
        <v>652.0</v>
      </c>
      <c r="E893" s="5">
        <v>2105.0</v>
      </c>
      <c r="F893" s="18" t="s">
        <v>3387</v>
      </c>
      <c r="G893" s="5" t="s">
        <v>3388</v>
      </c>
      <c r="H893" s="5" t="s">
        <v>3389</v>
      </c>
      <c r="I893" s="5" t="s">
        <v>1664</v>
      </c>
      <c r="J893" s="5" t="s">
        <v>1746</v>
      </c>
      <c r="K893" s="5">
        <v>1.0</v>
      </c>
      <c r="L893" s="5">
        <v>2508.0</v>
      </c>
      <c r="M893" s="8"/>
      <c r="AO893" s="5" t="s">
        <v>3387</v>
      </c>
      <c r="AP893" s="5">
        <v>652.0</v>
      </c>
      <c r="AQ893" s="5" t="s">
        <v>1716</v>
      </c>
      <c r="AR893" s="5" t="s">
        <v>1717</v>
      </c>
      <c r="AS893" s="5" t="s">
        <v>1718</v>
      </c>
      <c r="AT893" s="5" t="s">
        <v>1719</v>
      </c>
      <c r="AU893" s="5" t="s">
        <v>1703</v>
      </c>
      <c r="AV893" s="5" t="s">
        <v>1720</v>
      </c>
      <c r="AW893" s="5" t="s">
        <v>1947</v>
      </c>
      <c r="AX893" s="5" t="s">
        <v>2153</v>
      </c>
      <c r="AY893" s="5">
        <v>53.5</v>
      </c>
      <c r="AZ893" s="5">
        <v>-126.9</v>
      </c>
      <c r="BA893" s="5">
        <v>9.0</v>
      </c>
    </row>
    <row r="894" ht="14.25" customHeight="1">
      <c r="B894" s="5">
        <v>12.0</v>
      </c>
      <c r="C894" s="5" t="s">
        <v>1711</v>
      </c>
      <c r="D894" s="5">
        <v>653.0</v>
      </c>
      <c r="E894" s="5">
        <v>2106.0</v>
      </c>
      <c r="F894" s="18" t="s">
        <v>3390</v>
      </c>
      <c r="G894" s="5" t="s">
        <v>3391</v>
      </c>
      <c r="H894" s="5" t="s">
        <v>3392</v>
      </c>
      <c r="I894" s="5" t="s">
        <v>1664</v>
      </c>
      <c r="J894" s="5" t="s">
        <v>1715</v>
      </c>
      <c r="K894" s="5">
        <v>1.0</v>
      </c>
      <c r="L894" s="5">
        <v>2509.0</v>
      </c>
      <c r="M894" s="8"/>
      <c r="AO894" s="5" t="s">
        <v>3390</v>
      </c>
      <c r="AP894" s="5">
        <v>653.0</v>
      </c>
      <c r="AQ894" s="5" t="s">
        <v>1716</v>
      </c>
      <c r="AR894" s="5" t="s">
        <v>1717</v>
      </c>
      <c r="AS894" s="5" t="s">
        <v>1718</v>
      </c>
      <c r="AT894" s="5" t="s">
        <v>1719</v>
      </c>
      <c r="AU894" s="5" t="s">
        <v>1703</v>
      </c>
      <c r="AV894" s="5" t="s">
        <v>1720</v>
      </c>
      <c r="AW894" s="5" t="s">
        <v>1947</v>
      </c>
      <c r="AX894" s="5" t="s">
        <v>2148</v>
      </c>
      <c r="AY894" s="5">
        <v>53.3</v>
      </c>
      <c r="AZ894" s="5">
        <v>-126.1</v>
      </c>
      <c r="BA894" s="5">
        <v>9.0</v>
      </c>
    </row>
    <row r="895" ht="14.25" customHeight="1">
      <c r="A895" s="5" t="s">
        <v>88</v>
      </c>
      <c r="B895" s="5">
        <v>12.0</v>
      </c>
      <c r="C895" s="5" t="s">
        <v>1711</v>
      </c>
      <c r="D895" s="5">
        <v>654.0</v>
      </c>
      <c r="E895" s="5">
        <v>2107.0</v>
      </c>
      <c r="F895" s="5" t="s">
        <v>2276</v>
      </c>
      <c r="G895" s="10" t="s">
        <v>3393</v>
      </c>
      <c r="H895" s="5" t="s">
        <v>3394</v>
      </c>
      <c r="I895" s="5" t="s">
        <v>641</v>
      </c>
      <c r="J895" s="5" t="s">
        <v>1736</v>
      </c>
      <c r="K895" s="5">
        <v>1.0</v>
      </c>
      <c r="L895" s="5">
        <v>2510.0</v>
      </c>
      <c r="M895" s="8"/>
      <c r="N895" s="11"/>
      <c r="AO895" s="5" t="s">
        <v>2276</v>
      </c>
      <c r="AP895" s="5">
        <v>654.0</v>
      </c>
      <c r="AQ895" s="5" t="s">
        <v>1700</v>
      </c>
      <c r="AR895" s="5" t="s">
        <v>1739</v>
      </c>
      <c r="AS895" s="5" t="s">
        <v>1740</v>
      </c>
      <c r="AT895" s="5" t="s">
        <v>1741</v>
      </c>
      <c r="AU895" s="5" t="s">
        <v>1959</v>
      </c>
      <c r="AV895" s="5" t="s">
        <v>1720</v>
      </c>
      <c r="AW895" s="5" t="s">
        <v>2003</v>
      </c>
      <c r="AX895" s="5" t="s">
        <v>2139</v>
      </c>
      <c r="AY895" s="5">
        <v>53.9362</v>
      </c>
      <c r="AZ895" s="5">
        <v>-124.7765</v>
      </c>
      <c r="BA895" s="5">
        <v>961.0</v>
      </c>
    </row>
    <row r="896" ht="14.25" customHeight="1">
      <c r="B896" s="5">
        <v>12.0</v>
      </c>
      <c r="C896" s="5" t="s">
        <v>1711</v>
      </c>
      <c r="D896" s="5">
        <v>655.0</v>
      </c>
      <c r="E896" s="5">
        <v>2108.0</v>
      </c>
      <c r="F896" s="18" t="s">
        <v>3395</v>
      </c>
      <c r="G896" s="5" t="s">
        <v>3396</v>
      </c>
      <c r="H896" s="5" t="s">
        <v>3397</v>
      </c>
      <c r="I896" s="5" t="s">
        <v>1664</v>
      </c>
      <c r="J896" s="5" t="s">
        <v>1746</v>
      </c>
      <c r="K896" s="5">
        <v>1.0</v>
      </c>
      <c r="L896" s="5">
        <v>2511.0</v>
      </c>
      <c r="M896" s="8"/>
      <c r="AO896" s="5" t="s">
        <v>3395</v>
      </c>
      <c r="AP896" s="5">
        <v>655.0</v>
      </c>
      <c r="AQ896" s="5" t="s">
        <v>1716</v>
      </c>
      <c r="AR896" s="5" t="s">
        <v>1717</v>
      </c>
      <c r="AS896" s="5" t="s">
        <v>1718</v>
      </c>
      <c r="AT896" s="5" t="s">
        <v>1719</v>
      </c>
      <c r="AU896" s="5" t="s">
        <v>1703</v>
      </c>
      <c r="AV896" s="5" t="s">
        <v>1720</v>
      </c>
      <c r="AW896" s="5" t="s">
        <v>2193</v>
      </c>
      <c r="AX896" s="5" t="s">
        <v>2194</v>
      </c>
      <c r="AY896" s="5">
        <v>53.0</v>
      </c>
      <c r="AZ896" s="5">
        <v>-122.0</v>
      </c>
      <c r="BA896" s="5">
        <v>12.0</v>
      </c>
    </row>
    <row r="897" ht="14.25" customHeight="1">
      <c r="B897" s="5">
        <v>12.0</v>
      </c>
      <c r="C897" s="5" t="s">
        <v>1711</v>
      </c>
      <c r="D897" s="5">
        <v>656.0</v>
      </c>
      <c r="E897" s="5">
        <v>2109.0</v>
      </c>
      <c r="F897" s="18" t="s">
        <v>3398</v>
      </c>
      <c r="G897" s="5" t="s">
        <v>3399</v>
      </c>
      <c r="H897" s="5" t="s">
        <v>3400</v>
      </c>
      <c r="I897" s="5" t="s">
        <v>1664</v>
      </c>
      <c r="J897" s="5" t="s">
        <v>1715</v>
      </c>
      <c r="K897" s="5">
        <v>1.0</v>
      </c>
      <c r="L897" s="5">
        <v>2512.0</v>
      </c>
      <c r="M897" s="8"/>
      <c r="AO897" s="5" t="s">
        <v>3398</v>
      </c>
      <c r="AP897" s="5">
        <v>656.0</v>
      </c>
      <c r="AQ897" s="5" t="s">
        <v>1716</v>
      </c>
      <c r="AR897" s="5" t="s">
        <v>1717</v>
      </c>
      <c r="AS897" s="5" t="s">
        <v>1718</v>
      </c>
      <c r="AT897" s="5" t="s">
        <v>1719</v>
      </c>
      <c r="AU897" s="5" t="s">
        <v>1703</v>
      </c>
      <c r="AV897" s="5" t="s">
        <v>1720</v>
      </c>
      <c r="AW897" s="5" t="s">
        <v>2193</v>
      </c>
      <c r="AX897" s="5" t="s">
        <v>2194</v>
      </c>
      <c r="AY897" s="5">
        <v>53.1</v>
      </c>
      <c r="AZ897" s="5">
        <v>-122.0</v>
      </c>
      <c r="BA897" s="5">
        <v>11.0</v>
      </c>
    </row>
    <row r="898" ht="14.25" customHeight="1">
      <c r="B898" s="5">
        <v>12.0</v>
      </c>
      <c r="C898" s="5" t="s">
        <v>1711</v>
      </c>
      <c r="D898" s="5">
        <v>657.0</v>
      </c>
      <c r="E898" s="5">
        <v>2110.0</v>
      </c>
      <c r="F898" s="18" t="s">
        <v>3401</v>
      </c>
      <c r="G898" s="5" t="s">
        <v>3402</v>
      </c>
      <c r="H898" s="5" t="s">
        <v>3403</v>
      </c>
      <c r="I898" s="5" t="s">
        <v>1664</v>
      </c>
      <c r="J898" s="5" t="s">
        <v>1746</v>
      </c>
      <c r="K898" s="5">
        <v>1.0</v>
      </c>
      <c r="L898" s="5">
        <v>2513.0</v>
      </c>
      <c r="M898" s="8"/>
      <c r="AO898" s="5" t="s">
        <v>3401</v>
      </c>
      <c r="AP898" s="5">
        <v>657.0</v>
      </c>
      <c r="AQ898" s="5" t="s">
        <v>1716</v>
      </c>
      <c r="AR898" s="5" t="s">
        <v>1717</v>
      </c>
      <c r="AS898" s="5" t="s">
        <v>1718</v>
      </c>
      <c r="AT898" s="5" t="s">
        <v>1719</v>
      </c>
      <c r="AU898" s="5" t="s">
        <v>1703</v>
      </c>
      <c r="AV898" s="5" t="s">
        <v>1720</v>
      </c>
      <c r="AW898" s="5" t="s">
        <v>2003</v>
      </c>
      <c r="AX898" s="5" t="s">
        <v>2258</v>
      </c>
      <c r="AY898" s="5">
        <v>53.0</v>
      </c>
      <c r="AZ898" s="5">
        <v>-120.0</v>
      </c>
      <c r="BA898" s="5">
        <v>23.0</v>
      </c>
    </row>
    <row r="899" ht="14.25" customHeight="1">
      <c r="A899" s="5" t="s">
        <v>422</v>
      </c>
      <c r="B899" s="5">
        <v>12.0</v>
      </c>
      <c r="C899" s="5" t="s">
        <v>1711</v>
      </c>
      <c r="D899" s="5">
        <v>658.0</v>
      </c>
      <c r="E899" s="5">
        <v>2111.0</v>
      </c>
      <c r="F899" s="18" t="s">
        <v>3404</v>
      </c>
      <c r="G899" s="5" t="s">
        <v>3405</v>
      </c>
      <c r="H899" s="5" t="s">
        <v>3406</v>
      </c>
      <c r="I899" s="5" t="s">
        <v>1664</v>
      </c>
      <c r="J899" s="5" t="s">
        <v>1746</v>
      </c>
      <c r="K899" s="5">
        <v>1.0</v>
      </c>
      <c r="L899" s="5">
        <v>2514.0</v>
      </c>
      <c r="M899" s="8"/>
      <c r="AO899" s="5" t="s">
        <v>3404</v>
      </c>
      <c r="AP899" s="5">
        <v>658.0</v>
      </c>
      <c r="AQ899" s="5" t="s">
        <v>1716</v>
      </c>
      <c r="AR899" s="5" t="s">
        <v>1717</v>
      </c>
      <c r="AS899" s="5" t="s">
        <v>1718</v>
      </c>
      <c r="AT899" s="5" t="s">
        <v>1719</v>
      </c>
      <c r="AU899" s="5" t="s">
        <v>1703</v>
      </c>
      <c r="AV899" s="5" t="s">
        <v>1720</v>
      </c>
      <c r="AW899" s="5" t="s">
        <v>2003</v>
      </c>
      <c r="AX899" s="5" t="s">
        <v>2258</v>
      </c>
      <c r="AY899" s="5">
        <v>52.4</v>
      </c>
      <c r="AZ899" s="5">
        <v>-118.4</v>
      </c>
      <c r="BA899" s="5">
        <v>9.0</v>
      </c>
    </row>
    <row r="900" ht="14.25" customHeight="1">
      <c r="B900" s="5">
        <v>12.0</v>
      </c>
      <c r="C900" s="5" t="s">
        <v>1711</v>
      </c>
      <c r="D900" s="5">
        <v>660.0</v>
      </c>
      <c r="E900" s="5">
        <v>2112.0</v>
      </c>
      <c r="F900" s="18" t="s">
        <v>3407</v>
      </c>
      <c r="G900" s="5" t="s">
        <v>3408</v>
      </c>
      <c r="H900" s="5" t="s">
        <v>3409</v>
      </c>
      <c r="I900" s="5" t="s">
        <v>1664</v>
      </c>
      <c r="J900" s="5" t="s">
        <v>1715</v>
      </c>
      <c r="K900" s="5">
        <v>1.0</v>
      </c>
      <c r="L900" s="5">
        <v>2515.0</v>
      </c>
      <c r="M900" s="8"/>
      <c r="AO900" s="5" t="s">
        <v>3407</v>
      </c>
      <c r="AP900" s="5">
        <v>660.0</v>
      </c>
      <c r="AQ900" s="5" t="s">
        <v>1716</v>
      </c>
      <c r="AR900" s="5" t="s">
        <v>1717</v>
      </c>
      <c r="AS900" s="5" t="s">
        <v>1718</v>
      </c>
      <c r="AT900" s="5" t="s">
        <v>1719</v>
      </c>
      <c r="AU900" s="5" t="s">
        <v>1703</v>
      </c>
      <c r="AV900" s="5" t="s">
        <v>1720</v>
      </c>
      <c r="AW900" s="5" t="s">
        <v>1947</v>
      </c>
      <c r="AX900" s="5" t="s">
        <v>2153</v>
      </c>
      <c r="AY900" s="5">
        <v>53.9</v>
      </c>
      <c r="AZ900" s="5">
        <v>-126.7</v>
      </c>
      <c r="BA900" s="5">
        <v>10.0</v>
      </c>
    </row>
    <row r="901" ht="14.25" customHeight="1">
      <c r="B901" s="5">
        <v>12.0</v>
      </c>
      <c r="C901" s="5" t="s">
        <v>1711</v>
      </c>
      <c r="D901" s="5">
        <v>661.0</v>
      </c>
      <c r="E901" s="5">
        <v>2113.0</v>
      </c>
      <c r="F901" s="18" t="s">
        <v>3410</v>
      </c>
      <c r="G901" s="5" t="s">
        <v>3411</v>
      </c>
      <c r="H901" s="5" t="s">
        <v>3412</v>
      </c>
      <c r="I901" s="5" t="s">
        <v>1664</v>
      </c>
      <c r="J901" s="5" t="s">
        <v>1715</v>
      </c>
      <c r="K901" s="5">
        <v>1.0</v>
      </c>
      <c r="L901" s="5">
        <v>2516.0</v>
      </c>
      <c r="M901" s="8"/>
      <c r="AO901" s="5" t="s">
        <v>3410</v>
      </c>
      <c r="AP901" s="5">
        <v>661.0</v>
      </c>
      <c r="AQ901" s="5" t="s">
        <v>1716</v>
      </c>
      <c r="AR901" s="5" t="s">
        <v>1717</v>
      </c>
      <c r="AS901" s="5" t="s">
        <v>1718</v>
      </c>
      <c r="AT901" s="5" t="s">
        <v>1719</v>
      </c>
      <c r="AU901" s="5" t="s">
        <v>1703</v>
      </c>
      <c r="AV901" s="5" t="s">
        <v>1720</v>
      </c>
      <c r="AW901" s="5" t="s">
        <v>2193</v>
      </c>
      <c r="AX901" s="5" t="s">
        <v>2283</v>
      </c>
      <c r="AY901" s="5">
        <v>51.3</v>
      </c>
      <c r="AZ901" s="5">
        <v>-123.6</v>
      </c>
      <c r="BA901" s="5">
        <v>14.0</v>
      </c>
    </row>
    <row r="902" ht="14.25" customHeight="1">
      <c r="A902" s="5" t="s">
        <v>422</v>
      </c>
      <c r="B902" s="5">
        <v>12.0</v>
      </c>
      <c r="C902" s="5" t="s">
        <v>1711</v>
      </c>
      <c r="D902" s="5">
        <v>662.0</v>
      </c>
      <c r="E902" s="5">
        <v>2114.0</v>
      </c>
      <c r="F902" s="18" t="s">
        <v>3413</v>
      </c>
      <c r="G902" s="29" t="s">
        <v>3414</v>
      </c>
      <c r="H902" s="5" t="s">
        <v>3415</v>
      </c>
      <c r="I902" s="5" t="s">
        <v>1664</v>
      </c>
      <c r="J902" s="5" t="s">
        <v>1746</v>
      </c>
      <c r="K902" s="5">
        <v>1.0</v>
      </c>
      <c r="L902" s="5">
        <v>2517.0</v>
      </c>
      <c r="M902" s="8"/>
      <c r="AO902" s="5" t="s">
        <v>3413</v>
      </c>
      <c r="AP902" s="5">
        <v>662.0</v>
      </c>
      <c r="AQ902" s="5" t="s">
        <v>1716</v>
      </c>
      <c r="AR902" s="5" t="s">
        <v>1717</v>
      </c>
      <c r="AS902" s="5" t="s">
        <v>1718</v>
      </c>
      <c r="AT902" s="5" t="s">
        <v>1719</v>
      </c>
      <c r="AU902" s="5" t="s">
        <v>1703</v>
      </c>
      <c r="AV902" s="5" t="s">
        <v>1720</v>
      </c>
      <c r="AW902" s="5" t="s">
        <v>2193</v>
      </c>
      <c r="AX902" s="5" t="s">
        <v>2283</v>
      </c>
      <c r="AY902" s="5">
        <v>52.0</v>
      </c>
      <c r="AZ902" s="5">
        <v>-125.1</v>
      </c>
      <c r="BA902" s="5">
        <v>35.0</v>
      </c>
    </row>
    <row r="903" ht="14.25" customHeight="1">
      <c r="B903" s="5">
        <v>12.0</v>
      </c>
      <c r="C903" s="5" t="s">
        <v>1711</v>
      </c>
      <c r="D903" s="5">
        <v>663.0</v>
      </c>
      <c r="E903" s="5">
        <v>2115.0</v>
      </c>
      <c r="F903" s="18" t="s">
        <v>3416</v>
      </c>
      <c r="G903" s="29" t="s">
        <v>3417</v>
      </c>
      <c r="H903" s="5" t="s">
        <v>3418</v>
      </c>
      <c r="I903" s="5" t="s">
        <v>1664</v>
      </c>
      <c r="J903" s="5" t="s">
        <v>1715</v>
      </c>
      <c r="K903" s="5">
        <v>1.0</v>
      </c>
      <c r="L903" s="5">
        <v>2518.0</v>
      </c>
      <c r="M903" s="8"/>
      <c r="AO903" s="5" t="s">
        <v>3416</v>
      </c>
      <c r="AP903" s="5">
        <v>663.0</v>
      </c>
      <c r="AQ903" s="5" t="s">
        <v>1716</v>
      </c>
      <c r="AR903" s="5" t="s">
        <v>1717</v>
      </c>
      <c r="AS903" s="5" t="s">
        <v>1718</v>
      </c>
      <c r="AT903" s="5" t="s">
        <v>1719</v>
      </c>
      <c r="AU903" s="5" t="s">
        <v>1703</v>
      </c>
      <c r="AV903" s="5" t="s">
        <v>1720</v>
      </c>
      <c r="AW903" s="5" t="s">
        <v>2193</v>
      </c>
      <c r="AX903" s="5" t="s">
        <v>2194</v>
      </c>
      <c r="AY903" s="5">
        <v>53.1</v>
      </c>
      <c r="AZ903" s="5">
        <v>-124.3</v>
      </c>
      <c r="BA903" s="5">
        <v>12.0</v>
      </c>
    </row>
    <row r="904" ht="14.25" customHeight="1">
      <c r="B904" s="5">
        <v>12.0</v>
      </c>
      <c r="C904" s="5" t="s">
        <v>1711</v>
      </c>
      <c r="D904" s="5">
        <v>664.0</v>
      </c>
      <c r="E904" s="5">
        <v>2116.0</v>
      </c>
      <c r="F904" s="18" t="s">
        <v>3419</v>
      </c>
      <c r="G904" s="5" t="s">
        <v>3420</v>
      </c>
      <c r="H904" s="5" t="s">
        <v>3421</v>
      </c>
      <c r="I904" s="5" t="s">
        <v>1664</v>
      </c>
      <c r="J904" s="5" t="s">
        <v>1746</v>
      </c>
      <c r="K904" s="5">
        <v>1.0</v>
      </c>
      <c r="L904" s="5">
        <v>2519.0</v>
      </c>
      <c r="M904" s="8"/>
      <c r="AO904" s="5" t="s">
        <v>3419</v>
      </c>
      <c r="AP904" s="5">
        <v>664.0</v>
      </c>
      <c r="AQ904" s="5" t="s">
        <v>1716</v>
      </c>
      <c r="AR904" s="5" t="s">
        <v>1717</v>
      </c>
      <c r="AS904" s="5" t="s">
        <v>1718</v>
      </c>
      <c r="AT904" s="5" t="s">
        <v>1719</v>
      </c>
      <c r="AU904" s="5" t="s">
        <v>1703</v>
      </c>
      <c r="AV904" s="5" t="s">
        <v>1720</v>
      </c>
      <c r="AW904" s="5" t="s">
        <v>2193</v>
      </c>
      <c r="AX904" s="5" t="s">
        <v>2194</v>
      </c>
      <c r="AY904" s="5">
        <v>53.2</v>
      </c>
      <c r="AZ904" s="5">
        <v>-122.1</v>
      </c>
      <c r="BA904" s="5">
        <v>9.0</v>
      </c>
    </row>
    <row r="905" ht="14.25" customHeight="1">
      <c r="A905" s="5" t="s">
        <v>422</v>
      </c>
      <c r="B905" s="5">
        <v>12.0</v>
      </c>
      <c r="C905" s="5" t="s">
        <v>1711</v>
      </c>
      <c r="D905" s="5">
        <v>665.0</v>
      </c>
      <c r="E905" s="5">
        <v>2117.0</v>
      </c>
      <c r="F905" s="18" t="s">
        <v>3422</v>
      </c>
      <c r="G905" s="29" t="s">
        <v>3423</v>
      </c>
      <c r="H905" s="5" t="s">
        <v>3424</v>
      </c>
      <c r="I905" s="5" t="s">
        <v>1664</v>
      </c>
      <c r="J905" s="5" t="s">
        <v>1746</v>
      </c>
      <c r="K905" s="5">
        <v>1.0</v>
      </c>
      <c r="L905" s="5">
        <v>2520.0</v>
      </c>
      <c r="M905" s="8"/>
      <c r="AO905" s="5" t="s">
        <v>3422</v>
      </c>
      <c r="AP905" s="5">
        <v>665.0</v>
      </c>
      <c r="AQ905" s="5" t="s">
        <v>1716</v>
      </c>
      <c r="AR905" s="5" t="s">
        <v>1717</v>
      </c>
      <c r="AS905" s="5" t="s">
        <v>1718</v>
      </c>
      <c r="AT905" s="5" t="s">
        <v>1719</v>
      </c>
      <c r="AU905" s="5" t="s">
        <v>1703</v>
      </c>
      <c r="AV905" s="5" t="s">
        <v>1720</v>
      </c>
      <c r="AW905" s="5" t="s">
        <v>2193</v>
      </c>
      <c r="AX905" s="5" t="s">
        <v>2194</v>
      </c>
      <c r="AY905" s="5">
        <v>53.2</v>
      </c>
      <c r="AZ905" s="5">
        <v>-122.6</v>
      </c>
      <c r="BA905" s="5">
        <v>8.0</v>
      </c>
    </row>
    <row r="906" ht="14.25" customHeight="1">
      <c r="B906" s="5">
        <v>12.0</v>
      </c>
      <c r="C906" s="5" t="s">
        <v>1711</v>
      </c>
      <c r="D906" s="5">
        <v>666.0</v>
      </c>
      <c r="E906" s="5">
        <v>2118.0</v>
      </c>
      <c r="F906" s="18" t="s">
        <v>3425</v>
      </c>
      <c r="G906" s="29" t="s">
        <v>3426</v>
      </c>
      <c r="H906" s="5" t="s">
        <v>3427</v>
      </c>
      <c r="I906" s="5" t="s">
        <v>1664</v>
      </c>
      <c r="J906" s="5" t="s">
        <v>1746</v>
      </c>
      <c r="K906" s="5">
        <v>1.0</v>
      </c>
      <c r="L906" s="5">
        <v>2521.0</v>
      </c>
      <c r="M906" s="8"/>
      <c r="AO906" s="5" t="s">
        <v>3425</v>
      </c>
      <c r="AP906" s="5">
        <v>666.0</v>
      </c>
      <c r="AQ906" s="5" t="s">
        <v>1716</v>
      </c>
      <c r="AR906" s="5" t="s">
        <v>1717</v>
      </c>
      <c r="AS906" s="5" t="s">
        <v>1718</v>
      </c>
      <c r="AT906" s="5" t="s">
        <v>1719</v>
      </c>
      <c r="AU906" s="5" t="s">
        <v>1703</v>
      </c>
      <c r="AV906" s="5" t="s">
        <v>1720</v>
      </c>
      <c r="AW906" s="5" t="s">
        <v>2368</v>
      </c>
      <c r="AX906" s="5" t="s">
        <v>2401</v>
      </c>
      <c r="AY906" s="5">
        <v>52.567</v>
      </c>
      <c r="AZ906" s="5">
        <v>-119.867</v>
      </c>
      <c r="BA906" s="5">
        <v>14.0</v>
      </c>
    </row>
    <row r="907" ht="14.25" customHeight="1">
      <c r="A907" s="5" t="s">
        <v>422</v>
      </c>
      <c r="B907" s="5">
        <v>12.0</v>
      </c>
      <c r="C907" s="5" t="s">
        <v>1711</v>
      </c>
      <c r="D907" s="5">
        <v>667.0</v>
      </c>
      <c r="E907" s="5">
        <v>2119.0</v>
      </c>
      <c r="F907" s="18" t="s">
        <v>3428</v>
      </c>
      <c r="G907" s="5" t="s">
        <v>3429</v>
      </c>
      <c r="H907" s="5" t="s">
        <v>3430</v>
      </c>
      <c r="I907" s="5" t="s">
        <v>1664</v>
      </c>
      <c r="J907" s="5" t="s">
        <v>1746</v>
      </c>
      <c r="K907" s="5">
        <v>1.0</v>
      </c>
      <c r="L907" s="5">
        <v>2522.0</v>
      </c>
      <c r="M907" s="8"/>
      <c r="AO907" s="5" t="s">
        <v>3428</v>
      </c>
      <c r="AP907" s="5">
        <v>667.0</v>
      </c>
      <c r="AQ907" s="5" t="s">
        <v>1716</v>
      </c>
      <c r="AR907" s="5" t="s">
        <v>1717</v>
      </c>
      <c r="AS907" s="5" t="s">
        <v>1718</v>
      </c>
      <c r="AT907" s="5" t="s">
        <v>1719</v>
      </c>
      <c r="AU907" s="5" t="s">
        <v>1703</v>
      </c>
      <c r="AV907" s="5" t="s">
        <v>1720</v>
      </c>
      <c r="AW907" s="5" t="s">
        <v>2368</v>
      </c>
      <c r="AX907" s="5" t="s">
        <v>2401</v>
      </c>
      <c r="AY907" s="5">
        <v>51.767</v>
      </c>
      <c r="AZ907" s="5">
        <v>-120.067</v>
      </c>
      <c r="BA907" s="5">
        <v>11.0</v>
      </c>
    </row>
    <row r="908" ht="14.25" customHeight="1">
      <c r="B908" s="5">
        <v>12.0</v>
      </c>
      <c r="C908" s="5" t="s">
        <v>1711</v>
      </c>
      <c r="D908" s="5">
        <v>668.0</v>
      </c>
      <c r="E908" s="5">
        <v>2120.0</v>
      </c>
      <c r="F908" s="18" t="s">
        <v>3431</v>
      </c>
      <c r="G908" s="29" t="s">
        <v>3432</v>
      </c>
      <c r="H908" s="5" t="s">
        <v>3433</v>
      </c>
      <c r="I908" s="5" t="s">
        <v>641</v>
      </c>
      <c r="J908" s="5" t="s">
        <v>1715</v>
      </c>
      <c r="K908" s="5">
        <v>1.0</v>
      </c>
      <c r="L908" s="5">
        <v>2523.0</v>
      </c>
      <c r="M908" s="8"/>
      <c r="AO908" s="5" t="s">
        <v>3431</v>
      </c>
      <c r="AP908" s="5">
        <v>668.0</v>
      </c>
      <c r="AQ908" s="5" t="s">
        <v>1716</v>
      </c>
      <c r="AR908" s="5" t="s">
        <v>1717</v>
      </c>
      <c r="AS908" s="5" t="s">
        <v>1718</v>
      </c>
      <c r="AT908" s="5" t="s">
        <v>1703</v>
      </c>
      <c r="AU908" s="5" t="s">
        <v>1703</v>
      </c>
      <c r="AV908" s="5" t="s">
        <v>1720</v>
      </c>
      <c r="AW908" s="5" t="s">
        <v>2193</v>
      </c>
      <c r="AX908" s="5" t="s">
        <v>2194</v>
      </c>
      <c r="AY908" s="5">
        <v>53.1867</v>
      </c>
      <c r="AZ908" s="5">
        <v>-122.0233</v>
      </c>
      <c r="BA908" s="5">
        <v>1400.0</v>
      </c>
    </row>
    <row r="909" ht="14.25" customHeight="1">
      <c r="B909" s="5">
        <v>12.0</v>
      </c>
      <c r="C909" s="5" t="s">
        <v>1711</v>
      </c>
      <c r="D909" s="5">
        <v>669.0</v>
      </c>
      <c r="E909" s="5">
        <v>2121.0</v>
      </c>
      <c r="F909" s="18" t="s">
        <v>3434</v>
      </c>
      <c r="G909" s="5" t="s">
        <v>3435</v>
      </c>
      <c r="H909" s="5" t="s">
        <v>3436</v>
      </c>
      <c r="I909" s="5" t="s">
        <v>641</v>
      </c>
      <c r="J909" s="5" t="s">
        <v>1746</v>
      </c>
      <c r="K909" s="5">
        <v>1.0</v>
      </c>
      <c r="L909" s="5">
        <v>2524.0</v>
      </c>
      <c r="M909" s="8"/>
      <c r="AO909" s="5" t="s">
        <v>3434</v>
      </c>
      <c r="AP909" s="5">
        <v>669.0</v>
      </c>
      <c r="AQ909" s="5" t="s">
        <v>1716</v>
      </c>
      <c r="AR909" s="5" t="s">
        <v>1717</v>
      </c>
      <c r="AS909" s="5" t="s">
        <v>1718</v>
      </c>
      <c r="AT909" s="5" t="s">
        <v>1703</v>
      </c>
      <c r="AU909" s="5" t="s">
        <v>1703</v>
      </c>
      <c r="AV909" s="5" t="s">
        <v>1720</v>
      </c>
      <c r="AW909" s="5" t="s">
        <v>2193</v>
      </c>
      <c r="AX909" s="5" t="s">
        <v>2194</v>
      </c>
      <c r="AY909" s="5">
        <v>53.248</v>
      </c>
      <c r="AZ909" s="5">
        <v>-121.416</v>
      </c>
      <c r="BA909" s="5">
        <v>1205.0</v>
      </c>
    </row>
    <row r="910" ht="14.25" customHeight="1">
      <c r="B910" s="5">
        <v>12.0</v>
      </c>
      <c r="C910" s="5" t="s">
        <v>1711</v>
      </c>
      <c r="D910" s="5">
        <v>670.0</v>
      </c>
      <c r="E910" s="5">
        <v>2122.0</v>
      </c>
      <c r="F910" s="18" t="s">
        <v>3437</v>
      </c>
      <c r="G910" s="29" t="s">
        <v>3438</v>
      </c>
      <c r="H910" s="5" t="s">
        <v>3439</v>
      </c>
      <c r="I910" s="5" t="s">
        <v>641</v>
      </c>
      <c r="J910" s="5" t="s">
        <v>1746</v>
      </c>
      <c r="K910" s="5">
        <v>1.0</v>
      </c>
      <c r="L910" s="5">
        <v>2525.0</v>
      </c>
      <c r="M910" s="8"/>
      <c r="AO910" s="5" t="s">
        <v>3437</v>
      </c>
      <c r="AP910" s="5">
        <v>670.0</v>
      </c>
      <c r="AQ910" s="5" t="s">
        <v>1716</v>
      </c>
      <c r="AR910" s="5" t="s">
        <v>1717</v>
      </c>
      <c r="AS910" s="5" t="s">
        <v>1718</v>
      </c>
      <c r="AT910" s="5" t="s">
        <v>1719</v>
      </c>
      <c r="AU910" s="5" t="s">
        <v>1959</v>
      </c>
      <c r="AV910" s="5" t="s">
        <v>1720</v>
      </c>
      <c r="AW910" s="5" t="s">
        <v>2193</v>
      </c>
      <c r="AX910" s="5" t="s">
        <v>2291</v>
      </c>
      <c r="AY910" s="5">
        <v>51.7898</v>
      </c>
      <c r="AZ910" s="5">
        <v>-122.6358</v>
      </c>
      <c r="BA910" s="5">
        <v>915.0</v>
      </c>
    </row>
    <row r="911" ht="14.25" customHeight="1">
      <c r="B911" s="5">
        <v>12.0</v>
      </c>
      <c r="C911" s="5" t="s">
        <v>1711</v>
      </c>
      <c r="D911" s="5">
        <v>671.0</v>
      </c>
      <c r="E911" s="5">
        <v>2123.0</v>
      </c>
      <c r="F911" s="18" t="s">
        <v>3440</v>
      </c>
      <c r="G911" s="29" t="s">
        <v>3441</v>
      </c>
      <c r="H911" s="5" t="s">
        <v>3442</v>
      </c>
      <c r="I911" s="5" t="s">
        <v>641</v>
      </c>
      <c r="J911" s="5" t="s">
        <v>1746</v>
      </c>
      <c r="K911" s="5">
        <v>1.0</v>
      </c>
      <c r="L911" s="5">
        <v>2526.0</v>
      </c>
      <c r="M911" s="8"/>
      <c r="AO911" s="5" t="s">
        <v>3440</v>
      </c>
      <c r="AP911" s="5">
        <v>671.0</v>
      </c>
      <c r="AQ911" s="5" t="s">
        <v>1716</v>
      </c>
      <c r="AR911" s="5" t="s">
        <v>1717</v>
      </c>
      <c r="AS911" s="5" t="s">
        <v>1718</v>
      </c>
      <c r="AT911" s="5" t="s">
        <v>1703</v>
      </c>
      <c r="AU911" s="5" t="s">
        <v>1703</v>
      </c>
      <c r="AV911" s="5" t="s">
        <v>1720</v>
      </c>
      <c r="AW911" s="5" t="s">
        <v>2193</v>
      </c>
      <c r="AX911" s="5" t="s">
        <v>2291</v>
      </c>
      <c r="AY911" s="5">
        <v>52.1</v>
      </c>
      <c r="AZ911" s="5">
        <v>-121.9</v>
      </c>
      <c r="BA911" s="5">
        <v>8.0</v>
      </c>
    </row>
    <row r="912" ht="14.25" customHeight="1">
      <c r="B912" s="5">
        <v>12.0</v>
      </c>
      <c r="C912" s="5" t="s">
        <v>1711</v>
      </c>
      <c r="D912" s="5">
        <v>672.0</v>
      </c>
      <c r="E912" s="5">
        <v>2124.0</v>
      </c>
      <c r="F912" s="18" t="s">
        <v>3443</v>
      </c>
      <c r="G912" s="5" t="s">
        <v>3444</v>
      </c>
      <c r="H912" s="5" t="s">
        <v>3445</v>
      </c>
      <c r="I912" s="5" t="s">
        <v>641</v>
      </c>
      <c r="J912" s="5" t="s">
        <v>1746</v>
      </c>
      <c r="K912" s="5">
        <v>1.0</v>
      </c>
      <c r="L912" s="5">
        <v>2527.0</v>
      </c>
      <c r="M912" s="8"/>
      <c r="AO912" s="5" t="s">
        <v>3443</v>
      </c>
      <c r="AP912" s="5">
        <v>672.0</v>
      </c>
      <c r="AQ912" s="5" t="s">
        <v>1716</v>
      </c>
      <c r="AR912" s="5" t="s">
        <v>1717</v>
      </c>
      <c r="AS912" s="5" t="s">
        <v>1718</v>
      </c>
      <c r="AT912" s="5" t="s">
        <v>1719</v>
      </c>
      <c r="AU912" s="5" t="s">
        <v>1959</v>
      </c>
      <c r="AV912" s="5" t="s">
        <v>1720</v>
      </c>
      <c r="AW912" s="5" t="s">
        <v>2193</v>
      </c>
      <c r="AX912" s="5" t="s">
        <v>2291</v>
      </c>
      <c r="AY912" s="5">
        <v>51.787</v>
      </c>
      <c r="AZ912" s="5">
        <v>-122.426</v>
      </c>
      <c r="BA912" s="5">
        <v>933.0</v>
      </c>
    </row>
    <row r="913" ht="14.25" customHeight="1">
      <c r="B913" s="5">
        <v>12.0</v>
      </c>
      <c r="C913" s="5" t="s">
        <v>1711</v>
      </c>
      <c r="D913" s="5">
        <v>673.0</v>
      </c>
      <c r="E913" s="5">
        <v>2125.0</v>
      </c>
      <c r="F913" s="18" t="s">
        <v>3446</v>
      </c>
      <c r="G913" s="5" t="s">
        <v>3447</v>
      </c>
      <c r="H913" s="5" t="s">
        <v>3448</v>
      </c>
      <c r="I913" s="5" t="s">
        <v>1664</v>
      </c>
      <c r="J913" s="5" t="s">
        <v>1746</v>
      </c>
      <c r="K913" s="5">
        <v>1.0</v>
      </c>
      <c r="L913" s="5">
        <v>2528.0</v>
      </c>
      <c r="M913" s="8"/>
      <c r="AO913" s="5" t="s">
        <v>3446</v>
      </c>
      <c r="AP913" s="5">
        <v>673.0</v>
      </c>
      <c r="AQ913" s="5" t="s">
        <v>1716</v>
      </c>
      <c r="AR913" s="5" t="s">
        <v>1717</v>
      </c>
      <c r="AS913" s="5" t="s">
        <v>1718</v>
      </c>
      <c r="AT913" s="5" t="s">
        <v>1719</v>
      </c>
      <c r="AU913" s="5" t="s">
        <v>1703</v>
      </c>
      <c r="AV913" s="5" t="s">
        <v>1720</v>
      </c>
      <c r="AW913" s="5" t="s">
        <v>2193</v>
      </c>
      <c r="AX913" s="5" t="s">
        <v>2194</v>
      </c>
      <c r="AY913" s="5">
        <v>53.0</v>
      </c>
      <c r="AZ913" s="5">
        <v>-122.0</v>
      </c>
      <c r="BA913" s="5">
        <v>8.0</v>
      </c>
    </row>
    <row r="914" ht="14.25" customHeight="1">
      <c r="A914" s="5" t="s">
        <v>422</v>
      </c>
      <c r="B914" s="5">
        <v>12.0</v>
      </c>
      <c r="C914" s="5" t="s">
        <v>1711</v>
      </c>
      <c r="D914" s="5">
        <v>674.0</v>
      </c>
      <c r="E914" s="5">
        <v>2126.0</v>
      </c>
      <c r="F914" s="18" t="s">
        <v>3449</v>
      </c>
      <c r="G914" s="5" t="s">
        <v>3450</v>
      </c>
      <c r="H914" s="5" t="s">
        <v>3451</v>
      </c>
      <c r="I914" s="5" t="s">
        <v>1664</v>
      </c>
      <c r="J914" s="5" t="s">
        <v>1746</v>
      </c>
      <c r="K914" s="5">
        <v>1.0</v>
      </c>
      <c r="L914" s="5">
        <v>2529.0</v>
      </c>
      <c r="M914" s="8"/>
      <c r="AO914" s="5" t="s">
        <v>3449</v>
      </c>
      <c r="AP914" s="5">
        <v>674.0</v>
      </c>
      <c r="AQ914" s="5" t="s">
        <v>1716</v>
      </c>
      <c r="AR914" s="5" t="s">
        <v>1717</v>
      </c>
      <c r="AS914" s="5" t="s">
        <v>1718</v>
      </c>
      <c r="AT914" s="5" t="s">
        <v>1719</v>
      </c>
      <c r="AU914" s="5" t="s">
        <v>1703</v>
      </c>
      <c r="AV914" s="5" t="s">
        <v>1720</v>
      </c>
      <c r="AW914" s="5" t="s">
        <v>2368</v>
      </c>
      <c r="AX914" s="5" t="s">
        <v>2287</v>
      </c>
      <c r="AY914" s="5">
        <v>52.1</v>
      </c>
      <c r="AZ914" s="5">
        <v>-121.1</v>
      </c>
      <c r="BA914" s="5">
        <v>15.0</v>
      </c>
    </row>
    <row r="915" ht="14.25" customHeight="1">
      <c r="A915" s="5" t="s">
        <v>422</v>
      </c>
      <c r="B915" s="5">
        <v>12.0</v>
      </c>
      <c r="C915" s="5" t="s">
        <v>1711</v>
      </c>
      <c r="D915" s="5">
        <v>675.0</v>
      </c>
      <c r="E915" s="5">
        <v>2127.0</v>
      </c>
      <c r="F915" s="18" t="s">
        <v>3452</v>
      </c>
      <c r="G915" s="5" t="s">
        <v>3453</v>
      </c>
      <c r="H915" s="5" t="s">
        <v>3454</v>
      </c>
      <c r="I915" s="5" t="s">
        <v>1664</v>
      </c>
      <c r="J915" s="5" t="s">
        <v>1746</v>
      </c>
      <c r="K915" s="5">
        <v>1.0</v>
      </c>
      <c r="L915" s="5">
        <v>2530.0</v>
      </c>
      <c r="M915" s="8"/>
      <c r="AO915" s="5" t="s">
        <v>3452</v>
      </c>
      <c r="AP915" s="5">
        <v>675.0</v>
      </c>
      <c r="AQ915" s="5" t="s">
        <v>1716</v>
      </c>
      <c r="AR915" s="5" t="s">
        <v>1717</v>
      </c>
      <c r="AS915" s="5" t="s">
        <v>1718</v>
      </c>
      <c r="AT915" s="5" t="s">
        <v>1719</v>
      </c>
      <c r="AU915" s="5" t="s">
        <v>1703</v>
      </c>
      <c r="AV915" s="5" t="s">
        <v>1720</v>
      </c>
      <c r="AW915" s="5" t="s">
        <v>2368</v>
      </c>
      <c r="AX915" s="5" t="s">
        <v>2401</v>
      </c>
      <c r="AY915" s="5">
        <v>51.4</v>
      </c>
      <c r="AZ915" s="5">
        <v>-119.4</v>
      </c>
      <c r="BA915" s="5">
        <v>16.0</v>
      </c>
    </row>
    <row r="916" ht="14.25" customHeight="1">
      <c r="B916" s="5">
        <v>12.0</v>
      </c>
      <c r="C916" s="5" t="s">
        <v>1711</v>
      </c>
      <c r="D916" s="5">
        <v>676.0</v>
      </c>
      <c r="E916" s="5">
        <v>2128.0</v>
      </c>
      <c r="F916" s="18" t="s">
        <v>3455</v>
      </c>
      <c r="G916" s="5" t="s">
        <v>3456</v>
      </c>
      <c r="H916" s="5" t="s">
        <v>3457</v>
      </c>
      <c r="I916" s="5" t="s">
        <v>1664</v>
      </c>
      <c r="J916" s="5" t="s">
        <v>1715</v>
      </c>
      <c r="K916" s="5">
        <v>1.0</v>
      </c>
      <c r="L916" s="5">
        <v>2531.0</v>
      </c>
      <c r="M916" s="8"/>
      <c r="AO916" s="5" t="s">
        <v>3455</v>
      </c>
      <c r="AP916" s="5">
        <v>676.0</v>
      </c>
      <c r="AQ916" s="5" t="s">
        <v>1716</v>
      </c>
      <c r="AR916" s="5" t="s">
        <v>1717</v>
      </c>
      <c r="AS916" s="5" t="s">
        <v>1718</v>
      </c>
      <c r="AT916" s="5" t="s">
        <v>1719</v>
      </c>
      <c r="AU916" s="5" t="s">
        <v>1703</v>
      </c>
      <c r="AV916" s="5" t="s">
        <v>1720</v>
      </c>
      <c r="AW916" s="5" t="s">
        <v>2193</v>
      </c>
      <c r="AX916" s="5" t="s">
        <v>2356</v>
      </c>
      <c r="AY916" s="5">
        <v>52.2</v>
      </c>
      <c r="AZ916" s="5">
        <v>-121.2</v>
      </c>
      <c r="BA916" s="5">
        <v>13.0</v>
      </c>
    </row>
    <row r="917" ht="14.25" customHeight="1">
      <c r="B917" s="5">
        <v>12.0</v>
      </c>
      <c r="C917" s="5" t="s">
        <v>1711</v>
      </c>
      <c r="D917" s="5">
        <v>677.0</v>
      </c>
      <c r="E917" s="5">
        <v>2129.0</v>
      </c>
      <c r="F917" s="18" t="s">
        <v>3458</v>
      </c>
      <c r="G917" s="5" t="s">
        <v>3459</v>
      </c>
      <c r="H917" s="5" t="s">
        <v>3460</v>
      </c>
      <c r="I917" s="5" t="s">
        <v>1664</v>
      </c>
      <c r="J917" s="5" t="s">
        <v>1715</v>
      </c>
      <c r="K917" s="5">
        <v>1.0</v>
      </c>
      <c r="L917" s="5">
        <v>2532.0</v>
      </c>
      <c r="M917" s="8"/>
      <c r="AO917" s="5" t="s">
        <v>3458</v>
      </c>
      <c r="AP917" s="5">
        <v>677.0</v>
      </c>
      <c r="AQ917" s="5" t="s">
        <v>1716</v>
      </c>
      <c r="AR917" s="5" t="s">
        <v>1717</v>
      </c>
      <c r="AS917" s="5" t="s">
        <v>1718</v>
      </c>
      <c r="AT917" s="5" t="s">
        <v>1719</v>
      </c>
      <c r="AU917" s="5" t="s">
        <v>1703</v>
      </c>
      <c r="AV917" s="5" t="s">
        <v>1720</v>
      </c>
      <c r="AW917" s="5" t="s">
        <v>2193</v>
      </c>
      <c r="AX917" s="5" t="s">
        <v>1837</v>
      </c>
      <c r="AY917" s="5">
        <v>50.0</v>
      </c>
      <c r="AZ917" s="5">
        <v>-124.0</v>
      </c>
      <c r="BA917" s="5">
        <v>14.0</v>
      </c>
    </row>
    <row r="918" ht="14.25" customHeight="1">
      <c r="B918" s="5">
        <v>12.0</v>
      </c>
      <c r="C918" s="5" t="s">
        <v>1711</v>
      </c>
      <c r="D918" s="5">
        <v>678.0</v>
      </c>
      <c r="E918" s="5">
        <v>2130.0</v>
      </c>
      <c r="F918" s="18" t="s">
        <v>3461</v>
      </c>
      <c r="G918" s="5" t="s">
        <v>3462</v>
      </c>
      <c r="H918" s="5" t="s">
        <v>3463</v>
      </c>
      <c r="I918" s="5" t="s">
        <v>1664</v>
      </c>
      <c r="J918" s="5" t="s">
        <v>1715</v>
      </c>
      <c r="K918" s="5">
        <v>1.0</v>
      </c>
      <c r="L918" s="5">
        <v>2533.0</v>
      </c>
      <c r="M918" s="8"/>
      <c r="AO918" s="5" t="s">
        <v>3461</v>
      </c>
      <c r="AP918" s="5">
        <v>678.0</v>
      </c>
      <c r="AQ918" s="5" t="s">
        <v>1716</v>
      </c>
      <c r="AR918" s="5" t="s">
        <v>1717</v>
      </c>
      <c r="AS918" s="5" t="s">
        <v>1718</v>
      </c>
      <c r="AT918" s="5" t="s">
        <v>1719</v>
      </c>
      <c r="AU918" s="5" t="s">
        <v>1703</v>
      </c>
      <c r="AV918" s="5" t="s">
        <v>1720</v>
      </c>
      <c r="AW918" s="5" t="s">
        <v>2193</v>
      </c>
      <c r="AX918" s="5" t="s">
        <v>2287</v>
      </c>
      <c r="AY918" s="5">
        <v>51.2</v>
      </c>
      <c r="AZ918" s="5">
        <v>-120.8</v>
      </c>
      <c r="BA918" s="5">
        <v>13.0</v>
      </c>
    </row>
    <row r="919" ht="14.25" customHeight="1">
      <c r="B919" s="5">
        <v>12.0</v>
      </c>
      <c r="C919" s="5" t="s">
        <v>1711</v>
      </c>
      <c r="D919" s="5">
        <v>680.0</v>
      </c>
      <c r="E919" s="5">
        <v>2131.0</v>
      </c>
      <c r="F919" s="18" t="s">
        <v>3464</v>
      </c>
      <c r="G919" s="5" t="s">
        <v>3465</v>
      </c>
      <c r="H919" s="5" t="s">
        <v>3466</v>
      </c>
      <c r="I919" s="5" t="s">
        <v>1664</v>
      </c>
      <c r="J919" s="5" t="s">
        <v>1746</v>
      </c>
      <c r="K919" s="5">
        <v>1.0</v>
      </c>
      <c r="L919" s="5">
        <v>2534.0</v>
      </c>
      <c r="M919" s="8"/>
      <c r="AO919" s="5" t="s">
        <v>3464</v>
      </c>
      <c r="AP919" s="5">
        <v>680.0</v>
      </c>
      <c r="AQ919" s="5" t="s">
        <v>1716</v>
      </c>
      <c r="AR919" s="5" t="s">
        <v>1717</v>
      </c>
      <c r="AS919" s="5" t="s">
        <v>1718</v>
      </c>
      <c r="AT919" s="5" t="s">
        <v>1719</v>
      </c>
      <c r="AU919" s="5" t="s">
        <v>1703</v>
      </c>
      <c r="AV919" s="5" t="s">
        <v>1720</v>
      </c>
      <c r="AW919" s="5" t="s">
        <v>2193</v>
      </c>
      <c r="AX919" s="5" t="s">
        <v>2287</v>
      </c>
      <c r="AY919" s="5">
        <v>52.0</v>
      </c>
      <c r="AZ919" s="5">
        <v>-120.4</v>
      </c>
      <c r="BA919" s="5">
        <v>12.0</v>
      </c>
    </row>
    <row r="920" ht="14.25" customHeight="1">
      <c r="B920" s="5">
        <v>12.0</v>
      </c>
      <c r="C920" s="5" t="s">
        <v>1711</v>
      </c>
      <c r="D920" s="5">
        <v>681.0</v>
      </c>
      <c r="E920" s="5">
        <v>2132.0</v>
      </c>
      <c r="F920" s="18" t="s">
        <v>3467</v>
      </c>
      <c r="G920" s="29" t="s">
        <v>3468</v>
      </c>
      <c r="H920" s="5" t="s">
        <v>3469</v>
      </c>
      <c r="I920" s="5" t="s">
        <v>1664</v>
      </c>
      <c r="J920" s="5" t="s">
        <v>1746</v>
      </c>
      <c r="K920" s="5">
        <v>1.0</v>
      </c>
      <c r="L920" s="5">
        <v>2535.0</v>
      </c>
      <c r="M920" s="8"/>
      <c r="AO920" s="5" t="s">
        <v>3467</v>
      </c>
      <c r="AP920" s="5">
        <v>681.0</v>
      </c>
      <c r="AQ920" s="5" t="s">
        <v>1716</v>
      </c>
      <c r="AR920" s="5" t="s">
        <v>1717</v>
      </c>
      <c r="AS920" s="5" t="s">
        <v>1718</v>
      </c>
      <c r="AT920" s="5" t="s">
        <v>1719</v>
      </c>
      <c r="AU920" s="5" t="s">
        <v>1703</v>
      </c>
      <c r="AV920" s="5" t="s">
        <v>1720</v>
      </c>
      <c r="AW920" s="5" t="s">
        <v>2368</v>
      </c>
      <c r="AX920" s="5" t="s">
        <v>2287</v>
      </c>
      <c r="AY920" s="5">
        <v>51.5</v>
      </c>
      <c r="AZ920" s="5">
        <v>-120.5</v>
      </c>
      <c r="BA920" s="5">
        <v>14.0</v>
      </c>
    </row>
    <row r="921" ht="14.25" customHeight="1">
      <c r="B921" s="5">
        <v>12.0</v>
      </c>
      <c r="C921" s="5" t="s">
        <v>1711</v>
      </c>
      <c r="D921" s="5">
        <v>682.0</v>
      </c>
      <c r="E921" s="5">
        <v>2133.0</v>
      </c>
      <c r="F921" s="18" t="s">
        <v>3470</v>
      </c>
      <c r="G921" s="29" t="s">
        <v>3471</v>
      </c>
      <c r="H921" s="5" t="s">
        <v>3472</v>
      </c>
      <c r="I921" s="5" t="s">
        <v>1664</v>
      </c>
      <c r="J921" s="5" t="s">
        <v>1746</v>
      </c>
      <c r="K921" s="5">
        <v>1.0</v>
      </c>
      <c r="L921" s="5">
        <v>2536.0</v>
      </c>
      <c r="M921" s="8"/>
      <c r="AO921" s="5" t="s">
        <v>3470</v>
      </c>
      <c r="AP921" s="5">
        <v>682.0</v>
      </c>
      <c r="AQ921" s="5" t="s">
        <v>1716</v>
      </c>
      <c r="AR921" s="5" t="s">
        <v>1717</v>
      </c>
      <c r="AS921" s="5" t="s">
        <v>1718</v>
      </c>
      <c r="AT921" s="5" t="s">
        <v>1719</v>
      </c>
      <c r="AU921" s="5" t="s">
        <v>1703</v>
      </c>
      <c r="AV921" s="5" t="s">
        <v>1720</v>
      </c>
      <c r="AW921" s="5" t="s">
        <v>2193</v>
      </c>
      <c r="AX921" s="5" t="s">
        <v>2287</v>
      </c>
      <c r="AY921" s="5">
        <v>51.7</v>
      </c>
      <c r="AZ921" s="5">
        <v>-121.3</v>
      </c>
      <c r="BA921" s="5">
        <v>10.0</v>
      </c>
    </row>
    <row r="922" ht="14.25" customHeight="1">
      <c r="A922" s="5" t="s">
        <v>422</v>
      </c>
      <c r="B922" s="5">
        <v>12.0</v>
      </c>
      <c r="C922" s="5" t="s">
        <v>1711</v>
      </c>
      <c r="D922" s="5">
        <v>683.0</v>
      </c>
      <c r="E922" s="5">
        <v>2134.0</v>
      </c>
      <c r="F922" s="18" t="s">
        <v>3473</v>
      </c>
      <c r="G922" s="29" t="s">
        <v>3474</v>
      </c>
      <c r="H922" s="5" t="s">
        <v>3475</v>
      </c>
      <c r="I922" s="5" t="s">
        <v>641</v>
      </c>
      <c r="J922" s="5" t="s">
        <v>1746</v>
      </c>
      <c r="K922" s="5">
        <v>1.0</v>
      </c>
      <c r="L922" s="5">
        <v>2537.0</v>
      </c>
      <c r="M922" s="8"/>
      <c r="AO922" s="5" t="s">
        <v>3473</v>
      </c>
      <c r="AP922" s="5">
        <v>683.0</v>
      </c>
      <c r="AQ922" s="5" t="s">
        <v>1716</v>
      </c>
      <c r="AR922" s="5" t="s">
        <v>1717</v>
      </c>
      <c r="AS922" s="5" t="s">
        <v>1718</v>
      </c>
      <c r="AT922" s="5" t="s">
        <v>1703</v>
      </c>
      <c r="AU922" s="5" t="s">
        <v>1703</v>
      </c>
      <c r="AV922" s="5" t="s">
        <v>1720</v>
      </c>
      <c r="AW922" s="5" t="s">
        <v>2368</v>
      </c>
      <c r="AX922" s="5" t="s">
        <v>2401</v>
      </c>
      <c r="AY922" s="5">
        <v>51.5</v>
      </c>
      <c r="AZ922" s="5">
        <v>-120.1</v>
      </c>
      <c r="BA922" s="5">
        <v>14.0</v>
      </c>
    </row>
    <row r="923" ht="14.25" customHeight="1">
      <c r="B923" s="5">
        <v>12.0</v>
      </c>
      <c r="C923" s="5" t="s">
        <v>1711</v>
      </c>
      <c r="D923" s="5">
        <v>684.0</v>
      </c>
      <c r="E923" s="5">
        <v>2135.0</v>
      </c>
      <c r="F923" s="18" t="s">
        <v>3476</v>
      </c>
      <c r="G923" s="5" t="s">
        <v>3459</v>
      </c>
      <c r="H923" s="5" t="s">
        <v>3477</v>
      </c>
      <c r="I923" s="5" t="s">
        <v>1664</v>
      </c>
      <c r="J923" s="5" t="s">
        <v>1746</v>
      </c>
      <c r="K923" s="5">
        <v>1.0</v>
      </c>
      <c r="L923" s="5">
        <v>2538.0</v>
      </c>
      <c r="M923" s="8"/>
      <c r="AO923" s="5" t="s">
        <v>3476</v>
      </c>
      <c r="AP923" s="5">
        <v>684.0</v>
      </c>
      <c r="AQ923" s="5" t="s">
        <v>1716</v>
      </c>
      <c r="AR923" s="5" t="s">
        <v>1717</v>
      </c>
      <c r="AS923" s="5" t="s">
        <v>1718</v>
      </c>
      <c r="AT923" s="5" t="s">
        <v>1719</v>
      </c>
      <c r="AU923" s="5" t="s">
        <v>1703</v>
      </c>
      <c r="AV923" s="5" t="s">
        <v>1720</v>
      </c>
      <c r="AW923" s="5" t="s">
        <v>2193</v>
      </c>
      <c r="AX923" s="5" t="s">
        <v>1837</v>
      </c>
      <c r="AY923" s="5">
        <v>50.0</v>
      </c>
      <c r="AZ923" s="5">
        <v>-124.0</v>
      </c>
      <c r="BA923" s="5">
        <v>14.0</v>
      </c>
    </row>
    <row r="924" ht="14.25" customHeight="1">
      <c r="B924" s="5">
        <v>12.0</v>
      </c>
      <c r="C924" s="5" t="s">
        <v>1711</v>
      </c>
      <c r="D924" s="5">
        <v>685.0</v>
      </c>
      <c r="E924" s="5">
        <v>2136.0</v>
      </c>
      <c r="F924" s="18" t="s">
        <v>3478</v>
      </c>
      <c r="G924" s="5" t="s">
        <v>3479</v>
      </c>
      <c r="H924" s="5" t="s">
        <v>3480</v>
      </c>
      <c r="I924" s="5" t="s">
        <v>1664</v>
      </c>
      <c r="J924" s="5" t="s">
        <v>1746</v>
      </c>
      <c r="K924" s="5">
        <v>1.0</v>
      </c>
      <c r="L924" s="5">
        <v>2539.0</v>
      </c>
      <c r="M924" s="8"/>
      <c r="AO924" s="5" t="s">
        <v>3478</v>
      </c>
      <c r="AP924" s="5">
        <v>685.0</v>
      </c>
      <c r="AQ924" s="5" t="s">
        <v>1716</v>
      </c>
      <c r="AR924" s="5" t="s">
        <v>1717</v>
      </c>
      <c r="AS924" s="5" t="s">
        <v>1718</v>
      </c>
      <c r="AT924" s="5" t="s">
        <v>1719</v>
      </c>
      <c r="AU924" s="5" t="s">
        <v>1703</v>
      </c>
      <c r="AV924" s="5" t="s">
        <v>1720</v>
      </c>
      <c r="AW924" s="5" t="s">
        <v>2368</v>
      </c>
      <c r="AX924" s="5" t="s">
        <v>2401</v>
      </c>
      <c r="AY924" s="5">
        <v>51.8</v>
      </c>
      <c r="AZ924" s="5">
        <v>-120.3</v>
      </c>
      <c r="BA924" s="5">
        <v>16.0</v>
      </c>
    </row>
    <row r="925" ht="14.25" customHeight="1">
      <c r="B925" s="5">
        <v>12.0</v>
      </c>
      <c r="C925" s="5" t="s">
        <v>1711</v>
      </c>
      <c r="D925" s="5">
        <v>686.0</v>
      </c>
      <c r="E925" s="5">
        <v>2137.0</v>
      </c>
      <c r="F925" s="18" t="s">
        <v>3481</v>
      </c>
      <c r="G925" s="5" t="s">
        <v>3482</v>
      </c>
      <c r="H925" s="5" t="s">
        <v>3483</v>
      </c>
      <c r="I925" s="5" t="s">
        <v>1664</v>
      </c>
      <c r="J925" s="5" t="s">
        <v>1746</v>
      </c>
      <c r="K925" s="5">
        <v>1.0</v>
      </c>
      <c r="L925" s="5">
        <v>2540.0</v>
      </c>
      <c r="M925" s="8"/>
      <c r="AO925" s="5" t="s">
        <v>3481</v>
      </c>
      <c r="AP925" s="5">
        <v>686.0</v>
      </c>
      <c r="AQ925" s="5" t="s">
        <v>1716</v>
      </c>
      <c r="AR925" s="5" t="s">
        <v>1717</v>
      </c>
      <c r="AS925" s="5" t="s">
        <v>1718</v>
      </c>
      <c r="AT925" s="5" t="s">
        <v>1719</v>
      </c>
      <c r="AU925" s="5" t="s">
        <v>1703</v>
      </c>
      <c r="AV925" s="5" t="s">
        <v>1720</v>
      </c>
      <c r="AW925" s="5" t="s">
        <v>2193</v>
      </c>
      <c r="AX925" s="5" t="s">
        <v>2401</v>
      </c>
      <c r="AY925" s="5">
        <v>51.9</v>
      </c>
      <c r="AZ925" s="5">
        <v>-120.5</v>
      </c>
      <c r="BA925" s="5">
        <v>11.0</v>
      </c>
    </row>
    <row r="926" ht="14.25" customHeight="1">
      <c r="B926" s="5">
        <v>12.0</v>
      </c>
      <c r="C926" s="5" t="s">
        <v>1711</v>
      </c>
      <c r="D926" s="5">
        <v>687.0</v>
      </c>
      <c r="E926" s="5">
        <v>2138.0</v>
      </c>
      <c r="F926" s="18" t="s">
        <v>3484</v>
      </c>
      <c r="G926" s="5" t="s">
        <v>3485</v>
      </c>
      <c r="H926" s="5" t="s">
        <v>3486</v>
      </c>
      <c r="I926" s="5" t="s">
        <v>1664</v>
      </c>
      <c r="J926" s="5" t="s">
        <v>1746</v>
      </c>
      <c r="K926" s="5">
        <v>1.0</v>
      </c>
      <c r="L926" s="5">
        <v>2541.0</v>
      </c>
      <c r="M926" s="8"/>
      <c r="AO926" s="5" t="s">
        <v>3484</v>
      </c>
      <c r="AP926" s="5">
        <v>687.0</v>
      </c>
      <c r="AQ926" s="5" t="s">
        <v>1716</v>
      </c>
      <c r="AR926" s="5" t="s">
        <v>1717</v>
      </c>
      <c r="AS926" s="5" t="s">
        <v>1718</v>
      </c>
      <c r="AT926" s="5" t="s">
        <v>1719</v>
      </c>
      <c r="AU926" s="5" t="s">
        <v>1703</v>
      </c>
      <c r="AV926" s="5" t="s">
        <v>1720</v>
      </c>
      <c r="AW926" s="5" t="s">
        <v>2193</v>
      </c>
      <c r="AX926" s="5" t="s">
        <v>2194</v>
      </c>
      <c r="AY926" s="5">
        <v>53.1</v>
      </c>
      <c r="AZ926" s="5">
        <v>-123.4</v>
      </c>
      <c r="BA926" s="5">
        <v>8.0</v>
      </c>
    </row>
    <row r="927" ht="14.25" customHeight="1">
      <c r="A927" s="5" t="s">
        <v>422</v>
      </c>
      <c r="B927" s="5">
        <v>12.0</v>
      </c>
      <c r="C927" s="5" t="s">
        <v>1711</v>
      </c>
      <c r="D927" s="5">
        <v>688.0</v>
      </c>
      <c r="E927" s="5">
        <v>2139.0</v>
      </c>
      <c r="F927" s="18" t="s">
        <v>3487</v>
      </c>
      <c r="G927" s="5" t="s">
        <v>3488</v>
      </c>
      <c r="H927" s="5" t="s">
        <v>3489</v>
      </c>
      <c r="I927" s="5" t="s">
        <v>1664</v>
      </c>
      <c r="J927" s="5" t="s">
        <v>1746</v>
      </c>
      <c r="K927" s="5">
        <v>1.0</v>
      </c>
      <c r="L927" s="5">
        <v>2542.0</v>
      </c>
      <c r="M927" s="8"/>
      <c r="AO927" s="5" t="s">
        <v>3487</v>
      </c>
      <c r="AP927" s="5">
        <v>688.0</v>
      </c>
      <c r="AQ927" s="5" t="s">
        <v>1716</v>
      </c>
      <c r="AR927" s="5" t="s">
        <v>1717</v>
      </c>
      <c r="AS927" s="5" t="s">
        <v>1718</v>
      </c>
      <c r="AT927" s="5" t="s">
        <v>1719</v>
      </c>
      <c r="AU927" s="5" t="s">
        <v>1703</v>
      </c>
      <c r="AV927" s="5" t="s">
        <v>1720</v>
      </c>
      <c r="AW927" s="5" t="s">
        <v>2193</v>
      </c>
      <c r="AX927" s="5" t="s">
        <v>2356</v>
      </c>
      <c r="AY927" s="5">
        <v>52.2</v>
      </c>
      <c r="AZ927" s="5">
        <v>-120.7</v>
      </c>
      <c r="BA927" s="5">
        <v>0.0</v>
      </c>
    </row>
    <row r="928" ht="14.25" customHeight="1">
      <c r="A928" s="5" t="s">
        <v>422</v>
      </c>
      <c r="B928" s="5">
        <v>12.0</v>
      </c>
      <c r="C928" s="5" t="s">
        <v>1711</v>
      </c>
      <c r="D928" s="5">
        <v>689.0</v>
      </c>
      <c r="E928" s="5">
        <v>2140.0</v>
      </c>
      <c r="F928" s="18" t="s">
        <v>3490</v>
      </c>
      <c r="G928" s="29" t="s">
        <v>3491</v>
      </c>
      <c r="H928" s="5" t="s">
        <v>3492</v>
      </c>
      <c r="I928" s="5" t="s">
        <v>641</v>
      </c>
      <c r="J928" s="5" t="s">
        <v>1746</v>
      </c>
      <c r="K928" s="5">
        <v>1.0</v>
      </c>
      <c r="L928" s="5">
        <v>2543.0</v>
      </c>
      <c r="M928" s="8"/>
      <c r="AO928" s="5" t="s">
        <v>3490</v>
      </c>
      <c r="AP928" s="5">
        <v>689.0</v>
      </c>
      <c r="AQ928" s="5" t="s">
        <v>1716</v>
      </c>
      <c r="AR928" s="5" t="s">
        <v>1717</v>
      </c>
      <c r="AS928" s="5" t="s">
        <v>1718</v>
      </c>
      <c r="AT928" s="5" t="s">
        <v>1719</v>
      </c>
      <c r="AU928" s="5" t="s">
        <v>1703</v>
      </c>
      <c r="AV928" s="5" t="s">
        <v>1720</v>
      </c>
      <c r="AW928" s="5" t="s">
        <v>2193</v>
      </c>
      <c r="AX928" s="5" t="s">
        <v>2356</v>
      </c>
      <c r="AY928" s="5">
        <v>52.5</v>
      </c>
      <c r="AZ928" s="5">
        <v>-121.5</v>
      </c>
      <c r="BA928" s="5">
        <v>0.0</v>
      </c>
    </row>
    <row r="929" ht="14.25" customHeight="1">
      <c r="B929" s="5">
        <v>12.0</v>
      </c>
      <c r="C929" s="5" t="s">
        <v>1711</v>
      </c>
      <c r="D929" s="5">
        <v>690.0</v>
      </c>
      <c r="E929" s="5">
        <v>2141.0</v>
      </c>
      <c r="F929" s="18" t="s">
        <v>3493</v>
      </c>
      <c r="G929" s="5" t="s">
        <v>3494</v>
      </c>
      <c r="H929" s="5" t="s">
        <v>3495</v>
      </c>
      <c r="I929" s="5" t="s">
        <v>1664</v>
      </c>
      <c r="J929" s="5" t="s">
        <v>1746</v>
      </c>
      <c r="K929" s="5">
        <v>1.0</v>
      </c>
      <c r="L929" s="5">
        <v>2544.0</v>
      </c>
      <c r="M929" s="8"/>
      <c r="AO929" s="5" t="s">
        <v>3493</v>
      </c>
      <c r="AP929" s="5">
        <v>690.0</v>
      </c>
      <c r="AQ929" s="5" t="s">
        <v>1716</v>
      </c>
      <c r="AR929" s="5" t="s">
        <v>1717</v>
      </c>
      <c r="AS929" s="5" t="s">
        <v>1718</v>
      </c>
      <c r="AT929" s="5" t="s">
        <v>1719</v>
      </c>
      <c r="AU929" s="5" t="s">
        <v>1703</v>
      </c>
      <c r="AV929" s="5" t="s">
        <v>1720</v>
      </c>
      <c r="AW929" s="5" t="s">
        <v>2193</v>
      </c>
      <c r="AX929" s="5" t="s">
        <v>2401</v>
      </c>
      <c r="AY929" s="5">
        <v>52.0</v>
      </c>
      <c r="AZ929" s="5">
        <v>-120.2</v>
      </c>
      <c r="BA929" s="5">
        <v>14.0</v>
      </c>
    </row>
    <row r="930" ht="14.25" customHeight="1">
      <c r="A930" s="5" t="s">
        <v>422</v>
      </c>
      <c r="B930" s="5">
        <v>12.0</v>
      </c>
      <c r="C930" s="5" t="s">
        <v>1711</v>
      </c>
      <c r="D930" s="5">
        <v>691.0</v>
      </c>
      <c r="E930" s="5">
        <v>2142.0</v>
      </c>
      <c r="F930" s="18" t="s">
        <v>3496</v>
      </c>
      <c r="G930" s="5" t="s">
        <v>3497</v>
      </c>
      <c r="H930" s="5" t="s">
        <v>3498</v>
      </c>
      <c r="I930" s="5" t="s">
        <v>1664</v>
      </c>
      <c r="J930" s="5" t="s">
        <v>1746</v>
      </c>
      <c r="K930" s="5">
        <v>1.0</v>
      </c>
      <c r="L930" s="5">
        <v>2545.0</v>
      </c>
      <c r="M930" s="8"/>
      <c r="AO930" s="5" t="s">
        <v>3496</v>
      </c>
      <c r="AP930" s="5">
        <v>691.0</v>
      </c>
      <c r="AQ930" s="5" t="s">
        <v>1716</v>
      </c>
      <c r="AR930" s="5" t="s">
        <v>1717</v>
      </c>
      <c r="AS930" s="5" t="s">
        <v>1718</v>
      </c>
      <c r="AT930" s="5" t="s">
        <v>1719</v>
      </c>
      <c r="AU930" s="5" t="s">
        <v>1703</v>
      </c>
      <c r="AV930" s="5" t="s">
        <v>1720</v>
      </c>
      <c r="AW930" s="5" t="s">
        <v>2368</v>
      </c>
      <c r="AX930" s="5" t="s">
        <v>2401</v>
      </c>
      <c r="AY930" s="5">
        <v>51.8</v>
      </c>
      <c r="AZ930" s="5">
        <v>-119.4</v>
      </c>
      <c r="BA930" s="5">
        <v>11.0</v>
      </c>
    </row>
    <row r="931" ht="14.25" customHeight="1">
      <c r="B931" s="5">
        <v>12.0</v>
      </c>
      <c r="C931" s="5" t="s">
        <v>1711</v>
      </c>
      <c r="D931" s="5">
        <v>692.0</v>
      </c>
      <c r="E931" s="5">
        <v>2143.0</v>
      </c>
      <c r="F931" s="18" t="s">
        <v>3499</v>
      </c>
      <c r="G931" s="5" t="s">
        <v>3500</v>
      </c>
      <c r="H931" s="5" t="s">
        <v>3501</v>
      </c>
      <c r="I931" s="5" t="s">
        <v>1664</v>
      </c>
      <c r="J931" s="5" t="s">
        <v>1715</v>
      </c>
      <c r="K931" s="5">
        <v>1.0</v>
      </c>
      <c r="L931" s="5">
        <v>2546.0</v>
      </c>
      <c r="M931" s="8"/>
      <c r="AO931" s="5" t="s">
        <v>3499</v>
      </c>
      <c r="AP931" s="5">
        <v>692.0</v>
      </c>
      <c r="AQ931" s="5" t="s">
        <v>1716</v>
      </c>
      <c r="AR931" s="5" t="s">
        <v>1717</v>
      </c>
      <c r="AS931" s="5" t="s">
        <v>1718</v>
      </c>
      <c r="AT931" s="5" t="s">
        <v>1719</v>
      </c>
      <c r="AU931" s="5" t="s">
        <v>1703</v>
      </c>
      <c r="AV931" s="5" t="s">
        <v>1720</v>
      </c>
      <c r="AW931" s="5" t="s">
        <v>2193</v>
      </c>
      <c r="AX931" s="5" t="s">
        <v>2287</v>
      </c>
      <c r="AY931" s="5">
        <v>51.6</v>
      </c>
      <c r="AZ931" s="5">
        <v>-120.9</v>
      </c>
      <c r="BA931" s="5">
        <v>13.0</v>
      </c>
    </row>
    <row r="932" ht="14.25" customHeight="1">
      <c r="A932" s="5" t="s">
        <v>422</v>
      </c>
      <c r="B932" s="5">
        <v>12.0</v>
      </c>
      <c r="C932" s="5" t="s">
        <v>1711</v>
      </c>
      <c r="D932" s="5">
        <v>693.0</v>
      </c>
      <c r="E932" s="5">
        <v>2144.0</v>
      </c>
      <c r="F932" s="18" t="s">
        <v>3502</v>
      </c>
      <c r="G932" s="5" t="s">
        <v>3503</v>
      </c>
      <c r="H932" s="5" t="s">
        <v>3504</v>
      </c>
      <c r="I932" s="5" t="s">
        <v>1664</v>
      </c>
      <c r="J932" s="5" t="s">
        <v>1746</v>
      </c>
      <c r="K932" s="5">
        <v>1.0</v>
      </c>
      <c r="L932" s="5">
        <v>2547.0</v>
      </c>
      <c r="M932" s="8"/>
      <c r="AO932" s="5" t="s">
        <v>3502</v>
      </c>
      <c r="AP932" s="5">
        <v>693.0</v>
      </c>
      <c r="AQ932" s="5" t="s">
        <v>1716</v>
      </c>
      <c r="AR932" s="5" t="s">
        <v>1717</v>
      </c>
      <c r="AS932" s="5" t="s">
        <v>1718</v>
      </c>
      <c r="AT932" s="5" t="s">
        <v>1719</v>
      </c>
      <c r="AU932" s="5" t="s">
        <v>1703</v>
      </c>
      <c r="AV932" s="5" t="s">
        <v>1720</v>
      </c>
      <c r="AW932" s="5" t="s">
        <v>2368</v>
      </c>
      <c r="AX932" s="5" t="s">
        <v>2401</v>
      </c>
      <c r="AY932" s="5">
        <v>51.7</v>
      </c>
      <c r="AZ932" s="5">
        <v>-119.6</v>
      </c>
      <c r="BA932" s="5">
        <v>13.0</v>
      </c>
    </row>
    <row r="933" ht="14.25" customHeight="1">
      <c r="B933" s="5">
        <v>12.0</v>
      </c>
      <c r="C933" s="5" t="s">
        <v>1711</v>
      </c>
      <c r="D933" s="5">
        <v>694.0</v>
      </c>
      <c r="E933" s="5">
        <v>2145.0</v>
      </c>
      <c r="F933" s="18" t="s">
        <v>3505</v>
      </c>
      <c r="G933" s="5" t="s">
        <v>3506</v>
      </c>
      <c r="H933" s="5" t="s">
        <v>3507</v>
      </c>
      <c r="I933" s="5" t="s">
        <v>1664</v>
      </c>
      <c r="J933" s="5" t="s">
        <v>1746</v>
      </c>
      <c r="K933" s="5">
        <v>1.0</v>
      </c>
      <c r="L933" s="5">
        <v>2548.0</v>
      </c>
      <c r="M933" s="8"/>
      <c r="AO933" s="5" t="s">
        <v>3505</v>
      </c>
      <c r="AP933" s="5">
        <v>694.0</v>
      </c>
      <c r="AQ933" s="5" t="s">
        <v>1716</v>
      </c>
      <c r="AR933" s="5" t="s">
        <v>1717</v>
      </c>
      <c r="AS933" s="5" t="s">
        <v>1718</v>
      </c>
      <c r="AT933" s="5" t="s">
        <v>1719</v>
      </c>
      <c r="AU933" s="5" t="s">
        <v>1703</v>
      </c>
      <c r="AV933" s="5" t="s">
        <v>1720</v>
      </c>
      <c r="AW933" s="5" t="s">
        <v>2193</v>
      </c>
      <c r="AX933" s="5" t="s">
        <v>2287</v>
      </c>
      <c r="AY933" s="5">
        <v>52.0</v>
      </c>
      <c r="AZ933" s="5">
        <v>-120.8</v>
      </c>
      <c r="BA933" s="5">
        <v>13.0</v>
      </c>
    </row>
    <row r="934" ht="14.25" customHeight="1">
      <c r="B934" s="5">
        <v>12.0</v>
      </c>
      <c r="C934" s="5" t="s">
        <v>1711</v>
      </c>
      <c r="D934" s="5">
        <v>695.0</v>
      </c>
      <c r="E934" s="5">
        <v>2146.0</v>
      </c>
      <c r="F934" s="18" t="s">
        <v>3508</v>
      </c>
      <c r="G934" s="5" t="s">
        <v>3509</v>
      </c>
      <c r="H934" s="5" t="s">
        <v>3510</v>
      </c>
      <c r="I934" s="5" t="s">
        <v>1664</v>
      </c>
      <c r="J934" s="5" t="s">
        <v>1715</v>
      </c>
      <c r="K934" s="5">
        <v>1.0</v>
      </c>
      <c r="L934" s="5">
        <v>2549.0</v>
      </c>
      <c r="M934" s="8"/>
      <c r="AO934" s="5" t="s">
        <v>3508</v>
      </c>
      <c r="AP934" s="5">
        <v>695.0</v>
      </c>
      <c r="AQ934" s="5" t="s">
        <v>1716</v>
      </c>
      <c r="AR934" s="5" t="s">
        <v>1717</v>
      </c>
      <c r="AS934" s="5" t="s">
        <v>1718</v>
      </c>
      <c r="AT934" s="5" t="s">
        <v>1719</v>
      </c>
      <c r="AU934" s="5" t="s">
        <v>1703</v>
      </c>
      <c r="AV934" s="5" t="s">
        <v>1720</v>
      </c>
      <c r="AW934" s="5" t="s">
        <v>2193</v>
      </c>
      <c r="AX934" s="5" t="s">
        <v>2194</v>
      </c>
      <c r="AY934" s="5">
        <v>52.9</v>
      </c>
      <c r="AZ934" s="5">
        <v>-121.7</v>
      </c>
      <c r="BA934" s="5">
        <v>13.0</v>
      </c>
    </row>
    <row r="935" ht="14.25" customHeight="1">
      <c r="B935" s="5">
        <v>12.0</v>
      </c>
      <c r="C935" s="5" t="s">
        <v>1711</v>
      </c>
      <c r="D935" s="5">
        <v>696.0</v>
      </c>
      <c r="E935" s="5">
        <v>2147.0</v>
      </c>
      <c r="F935" s="18" t="s">
        <v>3511</v>
      </c>
      <c r="G935" s="5" t="s">
        <v>3512</v>
      </c>
      <c r="H935" s="5" t="s">
        <v>3513</v>
      </c>
      <c r="I935" s="5" t="s">
        <v>1664</v>
      </c>
      <c r="J935" s="5" t="s">
        <v>1746</v>
      </c>
      <c r="K935" s="5">
        <v>1.0</v>
      </c>
      <c r="L935" s="5">
        <v>2550.0</v>
      </c>
      <c r="M935" s="8"/>
      <c r="AO935" s="5" t="s">
        <v>3511</v>
      </c>
      <c r="AP935" s="5">
        <v>696.0</v>
      </c>
      <c r="AQ935" s="5" t="s">
        <v>1716</v>
      </c>
      <c r="AR935" s="5" t="s">
        <v>1717</v>
      </c>
      <c r="AS935" s="5" t="s">
        <v>1718</v>
      </c>
      <c r="AT935" s="5" t="s">
        <v>1719</v>
      </c>
      <c r="AU935" s="5" t="s">
        <v>1703</v>
      </c>
      <c r="AV935" s="5" t="s">
        <v>1720</v>
      </c>
      <c r="AW935" s="5" t="s">
        <v>2368</v>
      </c>
      <c r="AX935" s="5" t="s">
        <v>2369</v>
      </c>
      <c r="AY935" s="5">
        <v>51.0</v>
      </c>
      <c r="AZ935" s="5">
        <v>-120.0</v>
      </c>
      <c r="BA935" s="5">
        <v>13.0</v>
      </c>
    </row>
    <row r="936" ht="14.25" customHeight="1">
      <c r="B936" s="5">
        <v>12.0</v>
      </c>
      <c r="C936" s="5" t="s">
        <v>1711</v>
      </c>
      <c r="D936" s="5">
        <v>697.0</v>
      </c>
      <c r="E936" s="5">
        <v>2148.0</v>
      </c>
      <c r="F936" s="18" t="s">
        <v>3514</v>
      </c>
      <c r="G936" s="5" t="s">
        <v>3515</v>
      </c>
      <c r="H936" s="5" t="s">
        <v>3516</v>
      </c>
      <c r="I936" s="5" t="s">
        <v>1664</v>
      </c>
      <c r="J936" s="5" t="s">
        <v>1746</v>
      </c>
      <c r="K936" s="5">
        <v>1.0</v>
      </c>
      <c r="L936" s="5">
        <v>2551.0</v>
      </c>
      <c r="M936" s="8"/>
      <c r="AO936" s="5" t="s">
        <v>3514</v>
      </c>
      <c r="AP936" s="5">
        <v>697.0</v>
      </c>
      <c r="AQ936" s="5" t="s">
        <v>1716</v>
      </c>
      <c r="AR936" s="5" t="s">
        <v>1717</v>
      </c>
      <c r="AS936" s="5" t="s">
        <v>1718</v>
      </c>
      <c r="AT936" s="5" t="s">
        <v>1719</v>
      </c>
      <c r="AU936" s="5" t="s">
        <v>1703</v>
      </c>
      <c r="AV936" s="5" t="s">
        <v>1720</v>
      </c>
      <c r="AW936" s="5" t="s">
        <v>2193</v>
      </c>
      <c r="AX936" s="5" t="s">
        <v>2194</v>
      </c>
      <c r="AY936" s="5">
        <v>53.0</v>
      </c>
      <c r="AZ936" s="5">
        <v>-121.0</v>
      </c>
      <c r="BA936" s="5">
        <v>13.0</v>
      </c>
    </row>
    <row r="937" ht="14.25" customHeight="1">
      <c r="B937" s="5">
        <v>12.0</v>
      </c>
      <c r="C937" s="5" t="s">
        <v>1711</v>
      </c>
      <c r="D937" s="5">
        <v>698.0</v>
      </c>
      <c r="E937" s="5">
        <v>2149.0</v>
      </c>
      <c r="F937" s="18" t="s">
        <v>3517</v>
      </c>
      <c r="G937" s="5" t="s">
        <v>3518</v>
      </c>
      <c r="H937" s="5" t="s">
        <v>3041</v>
      </c>
      <c r="I937" s="5" t="s">
        <v>1664</v>
      </c>
      <c r="J937" s="5" t="s">
        <v>1715</v>
      </c>
      <c r="K937" s="5">
        <v>1.0</v>
      </c>
      <c r="L937" s="5">
        <v>2552.0</v>
      </c>
      <c r="M937" s="8"/>
      <c r="AO937" s="5" t="s">
        <v>3517</v>
      </c>
      <c r="AP937" s="5">
        <v>698.0</v>
      </c>
      <c r="AQ937" s="5" t="s">
        <v>1716</v>
      </c>
      <c r="AR937" s="5" t="s">
        <v>1717</v>
      </c>
      <c r="AS937" s="5" t="s">
        <v>1718</v>
      </c>
      <c r="AT937" s="5" t="s">
        <v>1719</v>
      </c>
      <c r="AU937" s="5" t="s">
        <v>1703</v>
      </c>
      <c r="AV937" s="5" t="s">
        <v>1720</v>
      </c>
      <c r="AW937" s="5" t="s">
        <v>2193</v>
      </c>
      <c r="AX937" s="5" t="s">
        <v>2287</v>
      </c>
      <c r="AY937" s="5">
        <v>52.0</v>
      </c>
      <c r="AZ937" s="5">
        <v>-121.0</v>
      </c>
      <c r="BA937" s="5">
        <v>13.0</v>
      </c>
    </row>
    <row r="938" ht="14.25" customHeight="1">
      <c r="B938" s="5">
        <v>12.0</v>
      </c>
      <c r="C938" s="5" t="s">
        <v>1711</v>
      </c>
      <c r="D938" s="5">
        <v>700.0</v>
      </c>
      <c r="E938" s="5">
        <v>2150.0</v>
      </c>
      <c r="F938" s="18" t="s">
        <v>3519</v>
      </c>
      <c r="G938" s="5" t="s">
        <v>3520</v>
      </c>
      <c r="H938" s="5" t="s">
        <v>3521</v>
      </c>
      <c r="I938" s="5" t="s">
        <v>1664</v>
      </c>
      <c r="J938" s="5" t="s">
        <v>1746</v>
      </c>
      <c r="K938" s="5">
        <v>1.0</v>
      </c>
      <c r="L938" s="5">
        <v>2553.0</v>
      </c>
      <c r="M938" s="8"/>
      <c r="AO938" s="5" t="s">
        <v>3519</v>
      </c>
      <c r="AP938" s="5">
        <v>700.0</v>
      </c>
      <c r="AQ938" s="5" t="s">
        <v>1716</v>
      </c>
      <c r="AR938" s="5" t="s">
        <v>1717</v>
      </c>
      <c r="AS938" s="5" t="s">
        <v>1718</v>
      </c>
      <c r="AT938" s="5" t="s">
        <v>1719</v>
      </c>
      <c r="AU938" s="5" t="s">
        <v>1703</v>
      </c>
      <c r="AV938" s="5" t="s">
        <v>1720</v>
      </c>
      <c r="AW938" s="5" t="s">
        <v>2193</v>
      </c>
      <c r="AX938" s="5" t="s">
        <v>2369</v>
      </c>
      <c r="AY938" s="5">
        <v>50.5</v>
      </c>
      <c r="AZ938" s="5">
        <v>-120.3</v>
      </c>
      <c r="BA938" s="5">
        <v>9.0</v>
      </c>
    </row>
    <row r="939" ht="14.25" customHeight="1">
      <c r="B939" s="5">
        <v>12.0</v>
      </c>
      <c r="C939" s="5" t="s">
        <v>1711</v>
      </c>
      <c r="D939" s="5">
        <v>701.0</v>
      </c>
      <c r="E939" s="5">
        <v>2151.0</v>
      </c>
      <c r="F939" s="18" t="s">
        <v>3522</v>
      </c>
      <c r="G939" s="5" t="s">
        <v>3523</v>
      </c>
      <c r="H939" s="5" t="s">
        <v>3524</v>
      </c>
      <c r="I939" s="5" t="s">
        <v>1664</v>
      </c>
      <c r="J939" s="5" t="s">
        <v>1715</v>
      </c>
      <c r="K939" s="5">
        <v>1.0</v>
      </c>
      <c r="L939" s="5">
        <v>2554.0</v>
      </c>
      <c r="M939" s="8"/>
      <c r="AO939" s="5" t="s">
        <v>3522</v>
      </c>
      <c r="AP939" s="5">
        <v>701.0</v>
      </c>
      <c r="AQ939" s="5" t="s">
        <v>1716</v>
      </c>
      <c r="AR939" s="5" t="s">
        <v>1717</v>
      </c>
      <c r="AS939" s="5" t="s">
        <v>1718</v>
      </c>
      <c r="AT939" s="5" t="s">
        <v>1719</v>
      </c>
      <c r="AU939" s="5" t="s">
        <v>1703</v>
      </c>
      <c r="AV939" s="5" t="s">
        <v>1720</v>
      </c>
      <c r="AW939" s="5" t="s">
        <v>2193</v>
      </c>
      <c r="AX939" s="5" t="s">
        <v>2356</v>
      </c>
      <c r="AY939" s="5">
        <v>52.5</v>
      </c>
      <c r="AZ939" s="5">
        <v>-121.5</v>
      </c>
      <c r="BA939" s="5">
        <v>98.0</v>
      </c>
    </row>
    <row r="940" ht="14.25" customHeight="1">
      <c r="B940" s="5">
        <v>12.0</v>
      </c>
      <c r="C940" s="5" t="s">
        <v>1711</v>
      </c>
      <c r="D940" s="5">
        <v>702.0</v>
      </c>
      <c r="E940" s="5">
        <v>2152.0</v>
      </c>
      <c r="F940" s="18" t="s">
        <v>3525</v>
      </c>
      <c r="G940" s="5" t="s">
        <v>3526</v>
      </c>
      <c r="H940" s="5" t="s">
        <v>3527</v>
      </c>
      <c r="I940" s="5" t="s">
        <v>1664</v>
      </c>
      <c r="J940" s="5" t="s">
        <v>1746</v>
      </c>
      <c r="K940" s="5">
        <v>1.0</v>
      </c>
      <c r="L940" s="5">
        <v>2555.0</v>
      </c>
      <c r="M940" s="8"/>
      <c r="AO940" s="5" t="s">
        <v>3525</v>
      </c>
      <c r="AP940" s="5">
        <v>702.0</v>
      </c>
      <c r="AQ940" s="5" t="s">
        <v>1716</v>
      </c>
      <c r="AR940" s="5" t="s">
        <v>1717</v>
      </c>
      <c r="AS940" s="5" t="s">
        <v>1718</v>
      </c>
      <c r="AT940" s="5" t="s">
        <v>1719</v>
      </c>
      <c r="AU940" s="5" t="s">
        <v>1703</v>
      </c>
      <c r="AV940" s="5" t="s">
        <v>1720</v>
      </c>
      <c r="AW940" s="5" t="s">
        <v>2193</v>
      </c>
      <c r="AX940" s="5" t="s">
        <v>1879</v>
      </c>
      <c r="AY940" s="5">
        <v>50.0</v>
      </c>
      <c r="AZ940" s="5">
        <v>-123.0</v>
      </c>
      <c r="BA940" s="5">
        <v>0.0</v>
      </c>
    </row>
    <row r="941" ht="14.25" customHeight="1">
      <c r="B941" s="5">
        <v>12.0</v>
      </c>
      <c r="C941" s="5" t="s">
        <v>1711</v>
      </c>
      <c r="D941" s="5">
        <v>703.0</v>
      </c>
      <c r="E941" s="5">
        <v>2153.0</v>
      </c>
      <c r="F941" s="18" t="s">
        <v>3528</v>
      </c>
      <c r="G941" s="5" t="s">
        <v>3529</v>
      </c>
      <c r="H941" s="5" t="s">
        <v>3530</v>
      </c>
      <c r="I941" s="5" t="s">
        <v>641</v>
      </c>
      <c r="J941" s="5" t="s">
        <v>1746</v>
      </c>
      <c r="K941" s="5">
        <v>1.0</v>
      </c>
      <c r="L941" s="5">
        <v>2556.0</v>
      </c>
      <c r="M941" s="8"/>
      <c r="AO941" s="5" t="s">
        <v>3528</v>
      </c>
      <c r="AP941" s="5">
        <v>703.0</v>
      </c>
      <c r="AQ941" s="5" t="s">
        <v>1716</v>
      </c>
      <c r="AR941" s="5" t="s">
        <v>1717</v>
      </c>
      <c r="AS941" s="5" t="s">
        <v>1718</v>
      </c>
      <c r="AT941" s="5" t="s">
        <v>1703</v>
      </c>
      <c r="AU941" s="5" t="s">
        <v>1703</v>
      </c>
      <c r="AV941" s="5" t="s">
        <v>1720</v>
      </c>
      <c r="AW941" s="5" t="s">
        <v>2368</v>
      </c>
      <c r="AX941" s="5" t="s">
        <v>2258</v>
      </c>
      <c r="AY941" s="5">
        <v>52.5</v>
      </c>
      <c r="AZ941" s="5">
        <v>-119.1</v>
      </c>
      <c r="BA941" s="5">
        <v>9.0</v>
      </c>
    </row>
    <row r="942" ht="14.25" customHeight="1">
      <c r="A942" s="5" t="s">
        <v>422</v>
      </c>
      <c r="B942" s="5">
        <v>12.0</v>
      </c>
      <c r="C942" s="5" t="s">
        <v>1711</v>
      </c>
      <c r="D942" s="5">
        <v>704.0</v>
      </c>
      <c r="E942" s="5">
        <v>2154.0</v>
      </c>
      <c r="F942" s="18" t="s">
        <v>3531</v>
      </c>
      <c r="G942" s="5" t="s">
        <v>3532</v>
      </c>
      <c r="H942" s="5" t="s">
        <v>3533</v>
      </c>
      <c r="I942" s="5" t="s">
        <v>641</v>
      </c>
      <c r="J942" s="5" t="s">
        <v>1746</v>
      </c>
      <c r="K942" s="5">
        <v>1.0</v>
      </c>
      <c r="L942" s="5">
        <v>2557.0</v>
      </c>
      <c r="M942" s="8"/>
      <c r="AO942" s="5" t="s">
        <v>3531</v>
      </c>
      <c r="AP942" s="5">
        <v>704.0</v>
      </c>
      <c r="AQ942" s="5" t="s">
        <v>1716</v>
      </c>
      <c r="AR942" s="5" t="s">
        <v>1717</v>
      </c>
      <c r="AS942" s="5" t="s">
        <v>1718</v>
      </c>
      <c r="AT942" s="5" t="s">
        <v>1719</v>
      </c>
      <c r="AU942" s="5" t="s">
        <v>1703</v>
      </c>
      <c r="AV942" s="5" t="s">
        <v>1720</v>
      </c>
      <c r="AW942" s="5" t="s">
        <v>2368</v>
      </c>
      <c r="AX942" s="5" t="s">
        <v>2258</v>
      </c>
      <c r="AY942" s="5">
        <v>52.5</v>
      </c>
      <c r="AZ942" s="5">
        <v>-119.0</v>
      </c>
      <c r="BA942" s="5">
        <v>7.0</v>
      </c>
    </row>
    <row r="943" ht="14.25" customHeight="1">
      <c r="B943" s="5">
        <v>12.0</v>
      </c>
      <c r="C943" s="5" t="s">
        <v>1711</v>
      </c>
      <c r="D943" s="5">
        <v>705.0</v>
      </c>
      <c r="E943" s="5">
        <v>2155.0</v>
      </c>
      <c r="F943" s="18" t="s">
        <v>3534</v>
      </c>
      <c r="G943" s="29" t="s">
        <v>3535</v>
      </c>
      <c r="H943" s="5" t="s">
        <v>3536</v>
      </c>
      <c r="I943" s="5" t="s">
        <v>1664</v>
      </c>
      <c r="J943" s="5" t="s">
        <v>1746</v>
      </c>
      <c r="K943" s="5">
        <v>1.0</v>
      </c>
      <c r="L943" s="5">
        <v>2558.0</v>
      </c>
      <c r="M943" s="8"/>
      <c r="AO943" s="5" t="s">
        <v>3534</v>
      </c>
      <c r="AP943" s="5">
        <v>705.0</v>
      </c>
      <c r="AQ943" s="5" t="s">
        <v>1716</v>
      </c>
      <c r="AR943" s="5" t="s">
        <v>1717</v>
      </c>
      <c r="AS943" s="5" t="s">
        <v>1718</v>
      </c>
      <c r="AT943" s="5" t="s">
        <v>1719</v>
      </c>
      <c r="AU943" s="5" t="s">
        <v>1703</v>
      </c>
      <c r="AV943" s="5" t="s">
        <v>1720</v>
      </c>
      <c r="AW943" s="5" t="s">
        <v>2193</v>
      </c>
      <c r="AX943" s="5" t="s">
        <v>2356</v>
      </c>
      <c r="AY943" s="5">
        <v>52.3</v>
      </c>
      <c r="AZ943" s="5">
        <v>-121.4</v>
      </c>
      <c r="BA943" s="5">
        <v>0.0</v>
      </c>
    </row>
    <row r="944" ht="14.25" customHeight="1">
      <c r="A944" s="5" t="s">
        <v>422</v>
      </c>
      <c r="B944" s="5">
        <v>12.0</v>
      </c>
      <c r="C944" s="5" t="s">
        <v>1711</v>
      </c>
      <c r="D944" s="5">
        <v>706.0</v>
      </c>
      <c r="E944" s="5">
        <v>2156.0</v>
      </c>
      <c r="F944" s="18" t="s">
        <v>3537</v>
      </c>
      <c r="G944" s="29" t="s">
        <v>3538</v>
      </c>
      <c r="H944" s="5" t="s">
        <v>3539</v>
      </c>
      <c r="I944" s="5" t="s">
        <v>1664</v>
      </c>
      <c r="J944" s="5" t="s">
        <v>1746</v>
      </c>
      <c r="K944" s="5">
        <v>1.0</v>
      </c>
      <c r="L944" s="5">
        <v>2559.0</v>
      </c>
      <c r="M944" s="8"/>
      <c r="AO944" s="5" t="s">
        <v>3537</v>
      </c>
      <c r="AP944" s="5">
        <v>706.0</v>
      </c>
      <c r="AQ944" s="5" t="s">
        <v>1716</v>
      </c>
      <c r="AR944" s="5" t="s">
        <v>1717</v>
      </c>
      <c r="AS944" s="5" t="s">
        <v>1718</v>
      </c>
      <c r="AT944" s="5" t="s">
        <v>1719</v>
      </c>
      <c r="AU944" s="5" t="s">
        <v>1703</v>
      </c>
      <c r="AV944" s="5" t="s">
        <v>1720</v>
      </c>
      <c r="AW944" s="5" t="s">
        <v>2193</v>
      </c>
      <c r="AX944" s="5" t="s">
        <v>2401</v>
      </c>
      <c r="AY944" s="5">
        <v>52.5</v>
      </c>
      <c r="AZ944" s="5">
        <v>-120.5</v>
      </c>
      <c r="BA944" s="5">
        <v>30.0</v>
      </c>
    </row>
    <row r="945" ht="14.25" customHeight="1">
      <c r="B945" s="5">
        <v>12.0</v>
      </c>
      <c r="C945" s="5" t="s">
        <v>1711</v>
      </c>
      <c r="D945" s="5">
        <v>707.0</v>
      </c>
      <c r="E945" s="5">
        <v>2157.0</v>
      </c>
      <c r="F945" s="18" t="s">
        <v>3540</v>
      </c>
      <c r="G945" s="5" t="s">
        <v>3541</v>
      </c>
      <c r="H945" s="5" t="s">
        <v>3542</v>
      </c>
      <c r="I945" s="5" t="s">
        <v>1664</v>
      </c>
      <c r="J945" s="5" t="s">
        <v>1746</v>
      </c>
      <c r="K945" s="5">
        <v>1.0</v>
      </c>
      <c r="L945" s="5">
        <v>2560.0</v>
      </c>
      <c r="M945" s="8"/>
      <c r="AO945" s="5" t="s">
        <v>3540</v>
      </c>
      <c r="AP945" s="5">
        <v>707.0</v>
      </c>
      <c r="AQ945" s="5" t="s">
        <v>1716</v>
      </c>
      <c r="AR945" s="5" t="s">
        <v>1717</v>
      </c>
      <c r="AS945" s="5" t="s">
        <v>1718</v>
      </c>
      <c r="AT945" s="5" t="s">
        <v>1719</v>
      </c>
      <c r="AU945" s="5" t="s">
        <v>1703</v>
      </c>
      <c r="AV945" s="5" t="s">
        <v>1720</v>
      </c>
      <c r="AW945" s="5" t="s">
        <v>2193</v>
      </c>
      <c r="AX945" s="5" t="s">
        <v>2194</v>
      </c>
      <c r="AY945" s="5">
        <v>52.4</v>
      </c>
      <c r="AZ945" s="5">
        <v>-122.8</v>
      </c>
      <c r="BA945" s="5">
        <v>13.0</v>
      </c>
    </row>
    <row r="946" ht="14.25" customHeight="1">
      <c r="A946" s="5" t="s">
        <v>422</v>
      </c>
      <c r="B946" s="5">
        <v>12.0</v>
      </c>
      <c r="C946" s="5" t="s">
        <v>1711</v>
      </c>
      <c r="D946" s="5">
        <v>708.0</v>
      </c>
      <c r="E946" s="5">
        <v>2158.0</v>
      </c>
      <c r="F946" s="18" t="s">
        <v>3543</v>
      </c>
      <c r="G946" s="5" t="s">
        <v>3544</v>
      </c>
      <c r="H946" s="5" t="s">
        <v>3545</v>
      </c>
      <c r="I946" s="5" t="s">
        <v>1664</v>
      </c>
      <c r="J946" s="5" t="s">
        <v>1746</v>
      </c>
      <c r="K946" s="5">
        <v>1.0</v>
      </c>
      <c r="L946" s="5">
        <v>2561.0</v>
      </c>
      <c r="M946" s="8"/>
      <c r="AO946" s="5" t="s">
        <v>3543</v>
      </c>
      <c r="AP946" s="5">
        <v>708.0</v>
      </c>
      <c r="AQ946" s="5" t="s">
        <v>1716</v>
      </c>
      <c r="AR946" s="5" t="s">
        <v>1717</v>
      </c>
      <c r="AS946" s="5" t="s">
        <v>1718</v>
      </c>
      <c r="AT946" s="5" t="s">
        <v>1719</v>
      </c>
      <c r="AU946" s="5" t="s">
        <v>1703</v>
      </c>
      <c r="AV946" s="5" t="s">
        <v>1720</v>
      </c>
      <c r="AW946" s="5" t="s">
        <v>2368</v>
      </c>
      <c r="AX946" s="5" t="s">
        <v>2258</v>
      </c>
      <c r="AY946" s="5">
        <v>52.1</v>
      </c>
      <c r="AZ946" s="5">
        <v>-119.4</v>
      </c>
      <c r="BA946" s="5">
        <v>10.0</v>
      </c>
    </row>
    <row r="947" ht="14.25" customHeight="1">
      <c r="B947" s="5">
        <v>12.0</v>
      </c>
      <c r="C947" s="5" t="s">
        <v>1711</v>
      </c>
      <c r="D947" s="5">
        <v>709.0</v>
      </c>
      <c r="E947" s="5">
        <v>2159.0</v>
      </c>
      <c r="F947" s="18" t="s">
        <v>3546</v>
      </c>
      <c r="G947" s="29" t="s">
        <v>3547</v>
      </c>
      <c r="H947" s="5" t="s">
        <v>3548</v>
      </c>
      <c r="I947" s="5" t="s">
        <v>1664</v>
      </c>
      <c r="J947" s="5" t="s">
        <v>1746</v>
      </c>
      <c r="K947" s="5">
        <v>1.0</v>
      </c>
      <c r="L947" s="5">
        <v>2562.0</v>
      </c>
      <c r="M947" s="8"/>
      <c r="AO947" s="5" t="s">
        <v>3546</v>
      </c>
      <c r="AP947" s="5">
        <v>709.0</v>
      </c>
      <c r="AQ947" s="5" t="s">
        <v>1716</v>
      </c>
      <c r="AR947" s="5" t="s">
        <v>1717</v>
      </c>
      <c r="AS947" s="5" t="s">
        <v>1718</v>
      </c>
      <c r="AT947" s="5" t="s">
        <v>1719</v>
      </c>
      <c r="AU947" s="5" t="s">
        <v>1703</v>
      </c>
      <c r="AV947" s="5" t="s">
        <v>1720</v>
      </c>
      <c r="AW947" s="5" t="s">
        <v>2193</v>
      </c>
      <c r="AX947" s="5" t="s">
        <v>2356</v>
      </c>
      <c r="AY947" s="5">
        <v>52.5</v>
      </c>
      <c r="AZ947" s="5">
        <v>-121.4</v>
      </c>
      <c r="BA947" s="5">
        <v>9.0</v>
      </c>
    </row>
    <row r="948" ht="14.25" customHeight="1">
      <c r="B948" s="5">
        <v>12.0</v>
      </c>
      <c r="C948" s="5" t="s">
        <v>1711</v>
      </c>
      <c r="D948" s="5">
        <v>710.0</v>
      </c>
      <c r="E948" s="5">
        <v>2160.0</v>
      </c>
      <c r="F948" s="18" t="s">
        <v>3549</v>
      </c>
      <c r="G948" s="5" t="s">
        <v>3550</v>
      </c>
      <c r="H948" s="5" t="s">
        <v>3551</v>
      </c>
      <c r="I948" s="5" t="s">
        <v>1664</v>
      </c>
      <c r="J948" s="5" t="s">
        <v>1746</v>
      </c>
      <c r="K948" s="5">
        <v>1.0</v>
      </c>
      <c r="L948" s="5">
        <v>2563.0</v>
      </c>
      <c r="M948" s="8"/>
      <c r="AO948" s="5" t="s">
        <v>3549</v>
      </c>
      <c r="AP948" s="5">
        <v>710.0</v>
      </c>
      <c r="AQ948" s="5" t="s">
        <v>1716</v>
      </c>
      <c r="AR948" s="5" t="s">
        <v>1717</v>
      </c>
      <c r="AS948" s="5" t="s">
        <v>1718</v>
      </c>
      <c r="AT948" s="5" t="s">
        <v>1719</v>
      </c>
      <c r="AU948" s="5" t="s">
        <v>1703</v>
      </c>
      <c r="AV948" s="5" t="s">
        <v>1720</v>
      </c>
      <c r="AW948" s="5" t="s">
        <v>2368</v>
      </c>
      <c r="AX948" s="5" t="s">
        <v>2258</v>
      </c>
      <c r="AY948" s="5">
        <v>52.5</v>
      </c>
      <c r="AZ948" s="5">
        <v>-119.35</v>
      </c>
      <c r="BA948" s="5">
        <v>14.0</v>
      </c>
    </row>
    <row r="949" ht="14.25" customHeight="1">
      <c r="B949" s="5">
        <v>12.0</v>
      </c>
      <c r="C949" s="5" t="s">
        <v>1711</v>
      </c>
      <c r="D949" s="5">
        <v>711.0</v>
      </c>
      <c r="E949" s="5">
        <v>2161.0</v>
      </c>
      <c r="F949" s="18" t="s">
        <v>3552</v>
      </c>
      <c r="G949" s="5" t="s">
        <v>3553</v>
      </c>
      <c r="H949" s="5" t="s">
        <v>3554</v>
      </c>
      <c r="I949" s="5" t="s">
        <v>1664</v>
      </c>
      <c r="J949" s="5" t="s">
        <v>1715</v>
      </c>
      <c r="K949" s="5">
        <v>1.0</v>
      </c>
      <c r="L949" s="5">
        <v>2564.0</v>
      </c>
      <c r="M949" s="8"/>
      <c r="AO949" s="5" t="s">
        <v>3552</v>
      </c>
      <c r="AP949" s="5">
        <v>711.0</v>
      </c>
      <c r="AQ949" s="5" t="s">
        <v>1716</v>
      </c>
      <c r="AR949" s="5" t="s">
        <v>1717</v>
      </c>
      <c r="AS949" s="5" t="s">
        <v>1718</v>
      </c>
      <c r="AT949" s="5" t="s">
        <v>1719</v>
      </c>
      <c r="AU949" s="5" t="s">
        <v>1703</v>
      </c>
      <c r="AV949" s="5" t="s">
        <v>1720</v>
      </c>
      <c r="AW949" s="5" t="s">
        <v>2368</v>
      </c>
      <c r="AX949" s="5" t="s">
        <v>2401</v>
      </c>
      <c r="AY949" s="5">
        <v>51.8</v>
      </c>
      <c r="AZ949" s="5">
        <v>-119.1</v>
      </c>
      <c r="BA949" s="5">
        <v>8.0</v>
      </c>
    </row>
    <row r="950" ht="14.25" customHeight="1">
      <c r="B950" s="5">
        <v>12.0</v>
      </c>
      <c r="C950" s="5" t="s">
        <v>1711</v>
      </c>
      <c r="D950" s="5">
        <v>712.0</v>
      </c>
      <c r="E950" s="5">
        <v>2162.0</v>
      </c>
      <c r="F950" s="18" t="s">
        <v>3555</v>
      </c>
      <c r="G950" s="5" t="s">
        <v>3556</v>
      </c>
      <c r="H950" s="5" t="s">
        <v>3557</v>
      </c>
      <c r="I950" s="5" t="s">
        <v>1664</v>
      </c>
      <c r="J950" s="5" t="s">
        <v>1715</v>
      </c>
      <c r="K950" s="5">
        <v>1.0</v>
      </c>
      <c r="L950" s="5">
        <v>2565.0</v>
      </c>
      <c r="M950" s="8"/>
      <c r="AO950" s="5" t="s">
        <v>3555</v>
      </c>
      <c r="AP950" s="5">
        <v>712.0</v>
      </c>
      <c r="AQ950" s="5" t="s">
        <v>1716</v>
      </c>
      <c r="AR950" s="5" t="s">
        <v>1717</v>
      </c>
      <c r="AS950" s="5" t="s">
        <v>1718</v>
      </c>
      <c r="AT950" s="5" t="s">
        <v>1719</v>
      </c>
      <c r="AU950" s="5" t="s">
        <v>1703</v>
      </c>
      <c r="AV950" s="5" t="s">
        <v>1720</v>
      </c>
      <c r="AW950" s="5" t="s">
        <v>2193</v>
      </c>
      <c r="AX950" s="5" t="s">
        <v>2356</v>
      </c>
      <c r="AY950" s="5">
        <v>52.7</v>
      </c>
      <c r="AZ950" s="5">
        <v>-120.9</v>
      </c>
      <c r="BA950" s="5">
        <v>9.0</v>
      </c>
    </row>
    <row r="951" ht="14.25" customHeight="1">
      <c r="B951" s="5">
        <v>12.0</v>
      </c>
      <c r="C951" s="5" t="s">
        <v>1711</v>
      </c>
      <c r="D951" s="5">
        <v>713.0</v>
      </c>
      <c r="E951" s="5">
        <v>2163.0</v>
      </c>
      <c r="F951" s="18" t="s">
        <v>3558</v>
      </c>
      <c r="G951" s="5" t="s">
        <v>3559</v>
      </c>
      <c r="H951" s="5" t="s">
        <v>3560</v>
      </c>
      <c r="I951" s="5" t="s">
        <v>641</v>
      </c>
      <c r="J951" s="5" t="s">
        <v>1715</v>
      </c>
      <c r="K951" s="5">
        <v>1.0</v>
      </c>
      <c r="L951" s="5">
        <v>2566.0</v>
      </c>
      <c r="M951" s="8"/>
      <c r="AO951" s="5" t="s">
        <v>3558</v>
      </c>
      <c r="AP951" s="5">
        <v>713.0</v>
      </c>
      <c r="AQ951" s="5" t="s">
        <v>1716</v>
      </c>
      <c r="AR951" s="5" t="s">
        <v>1717</v>
      </c>
      <c r="AS951" s="5" t="s">
        <v>1718</v>
      </c>
      <c r="AT951" s="5" t="s">
        <v>1703</v>
      </c>
      <c r="AU951" s="5" t="s">
        <v>1703</v>
      </c>
      <c r="AV951" s="5" t="s">
        <v>1720</v>
      </c>
      <c r="AW951" s="5" t="s">
        <v>2368</v>
      </c>
      <c r="AX951" s="5" t="s">
        <v>2258</v>
      </c>
      <c r="AY951" s="5">
        <v>52.3</v>
      </c>
      <c r="AZ951" s="5">
        <v>-119.1</v>
      </c>
      <c r="BA951" s="5">
        <v>5.0</v>
      </c>
    </row>
    <row r="952" ht="14.25" customHeight="1">
      <c r="A952" s="5" t="s">
        <v>422</v>
      </c>
      <c r="B952" s="5">
        <v>12.0</v>
      </c>
      <c r="C952" s="5" t="s">
        <v>1711</v>
      </c>
      <c r="D952" s="5">
        <v>714.0</v>
      </c>
      <c r="E952" s="5">
        <v>2164.0</v>
      </c>
      <c r="F952" s="18" t="s">
        <v>3561</v>
      </c>
      <c r="G952" s="5" t="s">
        <v>3562</v>
      </c>
      <c r="H952" s="5" t="s">
        <v>3563</v>
      </c>
      <c r="I952" s="5" t="s">
        <v>1664</v>
      </c>
      <c r="J952" s="5" t="s">
        <v>1746</v>
      </c>
      <c r="K952" s="5">
        <v>1.0</v>
      </c>
      <c r="L952" s="5">
        <v>2567.0</v>
      </c>
      <c r="M952" s="8"/>
      <c r="AO952" s="5" t="s">
        <v>3561</v>
      </c>
      <c r="AP952" s="5">
        <v>714.0</v>
      </c>
      <c r="AQ952" s="5" t="s">
        <v>1716</v>
      </c>
      <c r="AR952" s="5" t="s">
        <v>1717</v>
      </c>
      <c r="AS952" s="5" t="s">
        <v>1718</v>
      </c>
      <c r="AT952" s="5" t="s">
        <v>1719</v>
      </c>
      <c r="AU952" s="5" t="s">
        <v>1703</v>
      </c>
      <c r="AV952" s="5" t="s">
        <v>1720</v>
      </c>
      <c r="AW952" s="5" t="s">
        <v>2193</v>
      </c>
      <c r="AX952" s="5" t="s">
        <v>2287</v>
      </c>
      <c r="AY952" s="5">
        <v>52.133</v>
      </c>
      <c r="AZ952" s="5">
        <v>-120.683</v>
      </c>
      <c r="BA952" s="5">
        <v>12.0</v>
      </c>
    </row>
    <row r="953" ht="14.25" customHeight="1">
      <c r="B953" s="5">
        <v>12.0</v>
      </c>
      <c r="C953" s="5" t="s">
        <v>1711</v>
      </c>
      <c r="D953" s="5">
        <v>715.0</v>
      </c>
      <c r="E953" s="5">
        <v>2165.0</v>
      </c>
      <c r="F953" s="18" t="s">
        <v>3564</v>
      </c>
      <c r="G953" s="5" t="s">
        <v>3544</v>
      </c>
      <c r="H953" s="5" t="s">
        <v>3565</v>
      </c>
      <c r="I953" s="5" t="s">
        <v>1664</v>
      </c>
      <c r="J953" s="5" t="s">
        <v>1746</v>
      </c>
      <c r="K953" s="5">
        <v>1.0</v>
      </c>
      <c r="L953" s="5">
        <v>2568.0</v>
      </c>
      <c r="M953" s="8"/>
      <c r="AO953" s="5" t="s">
        <v>3564</v>
      </c>
      <c r="AP953" s="5">
        <v>715.0</v>
      </c>
      <c r="AQ953" s="5" t="s">
        <v>1716</v>
      </c>
      <c r="AR953" s="5" t="s">
        <v>1717</v>
      </c>
      <c r="AS953" s="5" t="s">
        <v>1718</v>
      </c>
      <c r="AT953" s="5" t="s">
        <v>1719</v>
      </c>
      <c r="AU953" s="5" t="s">
        <v>1703</v>
      </c>
      <c r="AV953" s="5" t="s">
        <v>1720</v>
      </c>
      <c r="AW953" s="5" t="s">
        <v>2368</v>
      </c>
      <c r="AX953" s="5" t="s">
        <v>2258</v>
      </c>
      <c r="AY953" s="5">
        <v>52.1</v>
      </c>
      <c r="AZ953" s="5">
        <v>-119.4</v>
      </c>
      <c r="BA953" s="5">
        <v>10.0</v>
      </c>
    </row>
    <row r="954" ht="14.25" customHeight="1">
      <c r="B954" s="5">
        <v>12.0</v>
      </c>
      <c r="C954" s="5" t="s">
        <v>1711</v>
      </c>
      <c r="D954" s="5">
        <v>716.0</v>
      </c>
      <c r="E954" s="5">
        <v>2166.0</v>
      </c>
      <c r="F954" s="18" t="s">
        <v>3566</v>
      </c>
      <c r="G954" s="5" t="s">
        <v>3567</v>
      </c>
      <c r="H954" s="5" t="s">
        <v>3568</v>
      </c>
      <c r="I954" s="5" t="s">
        <v>1664</v>
      </c>
      <c r="J954" s="5" t="s">
        <v>1746</v>
      </c>
      <c r="K954" s="5">
        <v>1.0</v>
      </c>
      <c r="L954" s="5">
        <v>2569.0</v>
      </c>
      <c r="M954" s="8"/>
      <c r="AO954" s="5" t="s">
        <v>3566</v>
      </c>
      <c r="AP954" s="5">
        <v>716.0</v>
      </c>
      <c r="AQ954" s="5" t="s">
        <v>1716</v>
      </c>
      <c r="AR954" s="5" t="s">
        <v>1717</v>
      </c>
      <c r="AS954" s="5" t="s">
        <v>1718</v>
      </c>
      <c r="AT954" s="5" t="s">
        <v>1719</v>
      </c>
      <c r="AU954" s="5" t="s">
        <v>1703</v>
      </c>
      <c r="AV954" s="5" t="s">
        <v>1720</v>
      </c>
      <c r="AW954" s="5" t="s">
        <v>2368</v>
      </c>
      <c r="AX954" s="5" t="s">
        <v>2707</v>
      </c>
      <c r="AY954" s="5">
        <v>51.3</v>
      </c>
      <c r="AZ954" s="5">
        <v>-119.1</v>
      </c>
      <c r="BA954" s="5">
        <v>13.0</v>
      </c>
    </row>
    <row r="955" ht="14.25" customHeight="1">
      <c r="A955" s="5" t="s">
        <v>422</v>
      </c>
      <c r="B955" s="5">
        <v>12.0</v>
      </c>
      <c r="C955" s="5" t="s">
        <v>1711</v>
      </c>
      <c r="D955" s="5">
        <v>717.0</v>
      </c>
      <c r="E955" s="5">
        <v>2167.0</v>
      </c>
      <c r="F955" s="18" t="s">
        <v>3569</v>
      </c>
      <c r="G955" s="5" t="s">
        <v>3570</v>
      </c>
      <c r="H955" s="5" t="s">
        <v>3571</v>
      </c>
      <c r="I955" s="5" t="s">
        <v>1664</v>
      </c>
      <c r="J955" s="5" t="s">
        <v>1746</v>
      </c>
      <c r="K955" s="5">
        <v>1.0</v>
      </c>
      <c r="L955" s="5">
        <v>2570.0</v>
      </c>
      <c r="M955" s="8"/>
      <c r="AO955" s="5" t="s">
        <v>3569</v>
      </c>
      <c r="AP955" s="5">
        <v>717.0</v>
      </c>
      <c r="AQ955" s="5" t="s">
        <v>1716</v>
      </c>
      <c r="AR955" s="5" t="s">
        <v>1717</v>
      </c>
      <c r="AS955" s="5" t="s">
        <v>1718</v>
      </c>
      <c r="AT955" s="5" t="s">
        <v>1719</v>
      </c>
      <c r="AU955" s="5" t="s">
        <v>1703</v>
      </c>
      <c r="AV955" s="5" t="s">
        <v>1720</v>
      </c>
      <c r="AW955" s="5" t="s">
        <v>2193</v>
      </c>
      <c r="AX955" s="5" t="s">
        <v>2356</v>
      </c>
      <c r="AY955" s="5">
        <v>52.233</v>
      </c>
      <c r="AZ955" s="5">
        <v>-121.016</v>
      </c>
      <c r="BA955" s="5">
        <v>15.0</v>
      </c>
    </row>
    <row r="956" ht="14.25" customHeight="1">
      <c r="A956" s="5" t="s">
        <v>422</v>
      </c>
      <c r="B956" s="5">
        <v>12.0</v>
      </c>
      <c r="C956" s="5" t="s">
        <v>1711</v>
      </c>
      <c r="D956" s="5">
        <v>718.0</v>
      </c>
      <c r="E956" s="5">
        <v>2168.0</v>
      </c>
      <c r="F956" s="18" t="s">
        <v>3572</v>
      </c>
      <c r="G956" s="5" t="s">
        <v>3573</v>
      </c>
      <c r="H956" s="5" t="s">
        <v>3574</v>
      </c>
      <c r="I956" s="5" t="s">
        <v>641</v>
      </c>
      <c r="J956" s="5" t="s">
        <v>1746</v>
      </c>
      <c r="K956" s="5">
        <v>1.0</v>
      </c>
      <c r="L956" s="5">
        <v>2571.0</v>
      </c>
      <c r="M956" s="8"/>
      <c r="AO956" s="5" t="s">
        <v>3572</v>
      </c>
      <c r="AP956" s="5">
        <v>718.0</v>
      </c>
      <c r="AQ956" s="5" t="s">
        <v>1716</v>
      </c>
      <c r="AR956" s="5" t="s">
        <v>1717</v>
      </c>
      <c r="AS956" s="5" t="s">
        <v>1718</v>
      </c>
      <c r="AT956" s="5" t="s">
        <v>1703</v>
      </c>
      <c r="AU956" s="5" t="s">
        <v>1703</v>
      </c>
      <c r="AV956" s="5" t="s">
        <v>1720</v>
      </c>
      <c r="AW956" s="5" t="s">
        <v>2368</v>
      </c>
      <c r="AX956" s="5" t="s">
        <v>2492</v>
      </c>
      <c r="AY956" s="5">
        <v>49.5482</v>
      </c>
      <c r="AZ956" s="5">
        <v>-120.7699</v>
      </c>
      <c r="BA956" s="5">
        <v>876.0</v>
      </c>
    </row>
    <row r="957" ht="14.25" customHeight="1">
      <c r="B957" s="5">
        <v>12.0</v>
      </c>
      <c r="C957" s="5" t="s">
        <v>1711</v>
      </c>
      <c r="D957" s="5">
        <v>719.0</v>
      </c>
      <c r="E957" s="5">
        <v>2169.0</v>
      </c>
      <c r="F957" s="18" t="s">
        <v>3575</v>
      </c>
      <c r="G957" s="5" t="s">
        <v>3576</v>
      </c>
      <c r="H957" s="5" t="s">
        <v>3577</v>
      </c>
      <c r="I957" s="5" t="s">
        <v>1664</v>
      </c>
      <c r="J957" s="5" t="s">
        <v>1715</v>
      </c>
      <c r="K957" s="5">
        <v>1.0</v>
      </c>
      <c r="L957" s="5">
        <v>2572.0</v>
      </c>
      <c r="M957" s="8"/>
      <c r="AO957" s="5" t="s">
        <v>3575</v>
      </c>
      <c r="AP957" s="5">
        <v>719.0</v>
      </c>
      <c r="AQ957" s="5" t="s">
        <v>1716</v>
      </c>
      <c r="AR957" s="5" t="s">
        <v>1717</v>
      </c>
      <c r="AS957" s="5" t="s">
        <v>1718</v>
      </c>
      <c r="AT957" s="5" t="s">
        <v>1719</v>
      </c>
      <c r="AU957" s="5" t="s">
        <v>1703</v>
      </c>
      <c r="AV957" s="5" t="s">
        <v>1720</v>
      </c>
      <c r="AW957" s="5" t="s">
        <v>1705</v>
      </c>
      <c r="AX957" s="5" t="s">
        <v>1883</v>
      </c>
      <c r="AY957" s="5">
        <v>49.8</v>
      </c>
      <c r="AZ957" s="5">
        <v>-121.3</v>
      </c>
      <c r="BA957" s="5">
        <v>11.0</v>
      </c>
    </row>
    <row r="958" ht="14.25" customHeight="1">
      <c r="B958" s="5">
        <v>12.0</v>
      </c>
      <c r="C958" s="5" t="s">
        <v>1711</v>
      </c>
      <c r="D958" s="5">
        <v>720.0</v>
      </c>
      <c r="E958" s="5">
        <v>2170.0</v>
      </c>
      <c r="F958" s="18" t="s">
        <v>3578</v>
      </c>
      <c r="G958" s="5" t="s">
        <v>3579</v>
      </c>
      <c r="H958" s="5" t="s">
        <v>3580</v>
      </c>
      <c r="I958" s="5" t="s">
        <v>1664</v>
      </c>
      <c r="J958" s="5" t="s">
        <v>1715</v>
      </c>
      <c r="K958" s="5">
        <v>1.0</v>
      </c>
      <c r="L958" s="5">
        <v>2573.0</v>
      </c>
      <c r="M958" s="8"/>
      <c r="AO958" s="5" t="s">
        <v>3578</v>
      </c>
      <c r="AP958" s="5">
        <v>720.0</v>
      </c>
      <c r="AQ958" s="5" t="s">
        <v>1716</v>
      </c>
      <c r="AR958" s="5" t="s">
        <v>1717</v>
      </c>
      <c r="AS958" s="5" t="s">
        <v>1718</v>
      </c>
      <c r="AT958" s="5" t="s">
        <v>1719</v>
      </c>
      <c r="AU958" s="5" t="s">
        <v>1703</v>
      </c>
      <c r="AV958" s="5" t="s">
        <v>1720</v>
      </c>
      <c r="AW958" s="5" t="s">
        <v>1705</v>
      </c>
      <c r="AX958" s="5" t="s">
        <v>1883</v>
      </c>
      <c r="AY958" s="5">
        <v>49.7</v>
      </c>
      <c r="AZ958" s="5">
        <v>-121.5</v>
      </c>
      <c r="BA958" s="5">
        <v>10.0</v>
      </c>
    </row>
    <row r="959" ht="14.25" customHeight="1">
      <c r="A959" s="5" t="s">
        <v>422</v>
      </c>
      <c r="B959" s="5">
        <v>12.0</v>
      </c>
      <c r="C959" s="5" t="s">
        <v>1711</v>
      </c>
      <c r="D959" s="5">
        <v>722.0</v>
      </c>
      <c r="E959" s="5">
        <v>2171.0</v>
      </c>
      <c r="F959" s="18" t="s">
        <v>3581</v>
      </c>
      <c r="G959" s="5" t="s">
        <v>3582</v>
      </c>
      <c r="H959" s="5" t="s">
        <v>3583</v>
      </c>
      <c r="I959" s="5" t="s">
        <v>641</v>
      </c>
      <c r="J959" s="5" t="s">
        <v>1746</v>
      </c>
      <c r="K959" s="5">
        <v>1.0</v>
      </c>
      <c r="L959" s="5">
        <v>2574.0</v>
      </c>
      <c r="M959" s="8"/>
      <c r="AO959" s="5" t="s">
        <v>3581</v>
      </c>
      <c r="AP959" s="5">
        <v>722.0</v>
      </c>
      <c r="AQ959" s="5" t="s">
        <v>1716</v>
      </c>
      <c r="AR959" s="5" t="s">
        <v>1717</v>
      </c>
      <c r="AS959" s="5" t="s">
        <v>1718</v>
      </c>
      <c r="AT959" s="5" t="s">
        <v>1719</v>
      </c>
      <c r="AU959" s="5" t="s">
        <v>1959</v>
      </c>
      <c r="AV959" s="5" t="s">
        <v>1720</v>
      </c>
      <c r="AW959" s="5" t="s">
        <v>2368</v>
      </c>
      <c r="AX959" s="5" t="s">
        <v>2505</v>
      </c>
      <c r="AY959" s="5">
        <v>51.0619</v>
      </c>
      <c r="AZ959" s="5">
        <v>-122.751</v>
      </c>
      <c r="BA959" s="5">
        <v>0.0</v>
      </c>
    </row>
    <row r="960" ht="14.25" customHeight="1">
      <c r="A960" s="5" t="s">
        <v>422</v>
      </c>
      <c r="B960" s="5">
        <v>12.0</v>
      </c>
      <c r="C960" s="5" t="s">
        <v>1711</v>
      </c>
      <c r="D960" s="5">
        <v>723.0</v>
      </c>
      <c r="E960" s="5">
        <v>2172.0</v>
      </c>
      <c r="F960" s="18" t="s">
        <v>3584</v>
      </c>
      <c r="G960" s="5" t="s">
        <v>3585</v>
      </c>
      <c r="H960" s="5" t="s">
        <v>3586</v>
      </c>
      <c r="I960" s="5" t="s">
        <v>641</v>
      </c>
      <c r="J960" s="5" t="s">
        <v>1746</v>
      </c>
      <c r="K960" s="5">
        <v>1.0</v>
      </c>
      <c r="L960" s="5">
        <v>2575.0</v>
      </c>
      <c r="M960" s="8"/>
      <c r="AO960" s="5" t="s">
        <v>3584</v>
      </c>
      <c r="AP960" s="5">
        <v>723.0</v>
      </c>
      <c r="AQ960" s="5" t="s">
        <v>1716</v>
      </c>
      <c r="AR960" s="5" t="s">
        <v>1717</v>
      </c>
      <c r="AS960" s="5" t="s">
        <v>1718</v>
      </c>
      <c r="AT960" s="5" t="s">
        <v>1719</v>
      </c>
      <c r="AU960" s="5" t="s">
        <v>1959</v>
      </c>
      <c r="AV960" s="5" t="s">
        <v>1720</v>
      </c>
      <c r="AW960" s="5" t="s">
        <v>2368</v>
      </c>
      <c r="AX960" s="5" t="s">
        <v>2505</v>
      </c>
      <c r="AY960" s="5">
        <v>50.684</v>
      </c>
      <c r="AZ960" s="5">
        <v>-122.645</v>
      </c>
      <c r="BA960" s="5">
        <v>0.0</v>
      </c>
    </row>
    <row r="961" ht="14.25" customHeight="1">
      <c r="B961" s="5">
        <v>12.0</v>
      </c>
      <c r="C961" s="5" t="s">
        <v>1711</v>
      </c>
      <c r="D961" s="5">
        <v>724.0</v>
      </c>
      <c r="E961" s="5">
        <v>2173.0</v>
      </c>
      <c r="F961" s="18" t="s">
        <v>3587</v>
      </c>
      <c r="G961" s="5" t="s">
        <v>3588</v>
      </c>
      <c r="H961" s="5" t="s">
        <v>3589</v>
      </c>
      <c r="I961" s="5" t="s">
        <v>641</v>
      </c>
      <c r="J961" s="5" t="s">
        <v>1746</v>
      </c>
      <c r="K961" s="5">
        <v>1.0</v>
      </c>
      <c r="L961" s="5">
        <v>2576.0</v>
      </c>
      <c r="M961" s="8"/>
      <c r="AO961" s="5" t="s">
        <v>3587</v>
      </c>
      <c r="AP961" s="5">
        <v>724.0</v>
      </c>
      <c r="AQ961" s="5" t="s">
        <v>1716</v>
      </c>
      <c r="AR961" s="5" t="s">
        <v>1717</v>
      </c>
      <c r="AS961" s="5" t="s">
        <v>1718</v>
      </c>
      <c r="AT961" s="5" t="s">
        <v>1719</v>
      </c>
      <c r="AU961" s="5" t="s">
        <v>1959</v>
      </c>
      <c r="AV961" s="5" t="s">
        <v>1720</v>
      </c>
      <c r="AW961" s="5" t="s">
        <v>2368</v>
      </c>
      <c r="AX961" s="5" t="s">
        <v>2369</v>
      </c>
      <c r="AY961" s="5">
        <v>50.46</v>
      </c>
      <c r="AZ961" s="5">
        <v>-120.38</v>
      </c>
      <c r="BA961" s="5">
        <v>443.0</v>
      </c>
    </row>
    <row r="962" ht="14.25" customHeight="1">
      <c r="B962" s="5">
        <v>12.0</v>
      </c>
      <c r="C962" s="5" t="s">
        <v>1711</v>
      </c>
      <c r="D962" s="5">
        <v>725.0</v>
      </c>
      <c r="E962" s="5">
        <v>2174.0</v>
      </c>
      <c r="F962" s="18" t="s">
        <v>3590</v>
      </c>
      <c r="G962" s="5" t="s">
        <v>3591</v>
      </c>
      <c r="H962" s="5" t="s">
        <v>3592</v>
      </c>
      <c r="I962" s="5" t="s">
        <v>641</v>
      </c>
      <c r="J962" s="5" t="s">
        <v>1746</v>
      </c>
      <c r="K962" s="5">
        <v>1.0</v>
      </c>
      <c r="L962" s="5">
        <v>2577.0</v>
      </c>
      <c r="M962" s="8"/>
      <c r="AO962" s="5" t="s">
        <v>3590</v>
      </c>
      <c r="AP962" s="5">
        <v>725.0</v>
      </c>
      <c r="AQ962" s="5" t="s">
        <v>1716</v>
      </c>
      <c r="AR962" s="5" t="s">
        <v>1717</v>
      </c>
      <c r="AS962" s="5" t="s">
        <v>1718</v>
      </c>
      <c r="AT962" s="5" t="s">
        <v>1719</v>
      </c>
      <c r="AU962" s="5" t="s">
        <v>1959</v>
      </c>
      <c r="AV962" s="5" t="s">
        <v>1720</v>
      </c>
      <c r="AW962" s="5" t="s">
        <v>1705</v>
      </c>
      <c r="AX962" s="5" t="s">
        <v>1879</v>
      </c>
      <c r="AY962" s="5">
        <v>50.1966</v>
      </c>
      <c r="AZ962" s="5">
        <v>-122.345</v>
      </c>
      <c r="BA962" s="5">
        <v>950.0</v>
      </c>
    </row>
    <row r="963" ht="14.25" customHeight="1">
      <c r="A963" s="5" t="s">
        <v>422</v>
      </c>
      <c r="B963" s="5">
        <v>12.0</v>
      </c>
      <c r="C963" s="5" t="s">
        <v>1711</v>
      </c>
      <c r="D963" s="5">
        <v>727.0</v>
      </c>
      <c r="E963" s="5">
        <v>2175.0</v>
      </c>
      <c r="F963" s="18" t="s">
        <v>3593</v>
      </c>
      <c r="G963" s="5" t="s">
        <v>3594</v>
      </c>
      <c r="H963" s="5" t="s">
        <v>3595</v>
      </c>
      <c r="I963" s="5" t="s">
        <v>641</v>
      </c>
      <c r="J963" s="5" t="s">
        <v>1746</v>
      </c>
      <c r="K963" s="5">
        <v>1.0</v>
      </c>
      <c r="L963" s="5">
        <v>2578.0</v>
      </c>
      <c r="M963" s="8"/>
      <c r="AO963" s="5" t="s">
        <v>3593</v>
      </c>
      <c r="AP963" s="5">
        <v>727.0</v>
      </c>
      <c r="AQ963" s="5" t="s">
        <v>1716</v>
      </c>
      <c r="AR963" s="5" t="s">
        <v>1717</v>
      </c>
      <c r="AS963" s="5" t="s">
        <v>1718</v>
      </c>
      <c r="AT963" s="5" t="s">
        <v>1719</v>
      </c>
      <c r="AU963" s="5" t="s">
        <v>1703</v>
      </c>
      <c r="AV963" s="5" t="s">
        <v>1720</v>
      </c>
      <c r="AW963" s="5" t="s">
        <v>2368</v>
      </c>
      <c r="AX963" s="5" t="s">
        <v>2401</v>
      </c>
      <c r="AY963" s="5">
        <v>51.6</v>
      </c>
      <c r="AZ963" s="5">
        <v>-120.0</v>
      </c>
      <c r="BA963" s="5">
        <v>14.0</v>
      </c>
    </row>
    <row r="964" ht="14.25" customHeight="1">
      <c r="B964" s="5">
        <v>12.0</v>
      </c>
      <c r="C964" s="5" t="s">
        <v>1711</v>
      </c>
      <c r="D964" s="5">
        <v>728.0</v>
      </c>
      <c r="E964" s="5">
        <v>2176.0</v>
      </c>
      <c r="F964" s="18" t="s">
        <v>3596</v>
      </c>
      <c r="G964" s="5" t="s">
        <v>3597</v>
      </c>
      <c r="H964" s="5" t="s">
        <v>3598</v>
      </c>
      <c r="I964" s="5" t="s">
        <v>1664</v>
      </c>
      <c r="J964" s="5" t="s">
        <v>1715</v>
      </c>
      <c r="K964" s="5">
        <v>1.0</v>
      </c>
      <c r="L964" s="5">
        <v>2579.0</v>
      </c>
      <c r="M964" s="8"/>
      <c r="AO964" s="5" t="s">
        <v>3596</v>
      </c>
      <c r="AP964" s="5">
        <v>728.0</v>
      </c>
      <c r="AQ964" s="5" t="s">
        <v>1716</v>
      </c>
      <c r="AR964" s="5" t="s">
        <v>1717</v>
      </c>
      <c r="AS964" s="5" t="s">
        <v>1718</v>
      </c>
      <c r="AT964" s="5" t="s">
        <v>1719</v>
      </c>
      <c r="AU964" s="5" t="s">
        <v>1703</v>
      </c>
      <c r="AV964" s="5" t="s">
        <v>1720</v>
      </c>
      <c r="AW964" s="5" t="s">
        <v>2368</v>
      </c>
      <c r="AX964" s="5" t="s">
        <v>2505</v>
      </c>
      <c r="AY964" s="5">
        <v>50.3</v>
      </c>
      <c r="AZ964" s="5">
        <v>-122.3</v>
      </c>
      <c r="BA964" s="5">
        <v>4.0</v>
      </c>
    </row>
    <row r="965" ht="14.25" customHeight="1">
      <c r="B965" s="5">
        <v>12.0</v>
      </c>
      <c r="C965" s="5" t="s">
        <v>1711</v>
      </c>
      <c r="D965" s="5">
        <v>729.0</v>
      </c>
      <c r="E965" s="5">
        <v>2177.0</v>
      </c>
      <c r="F965" s="18" t="s">
        <v>3599</v>
      </c>
      <c r="G965" s="5" t="s">
        <v>3600</v>
      </c>
      <c r="H965" s="5" t="s">
        <v>3601</v>
      </c>
      <c r="I965" s="5" t="s">
        <v>1664</v>
      </c>
      <c r="J965" s="5" t="s">
        <v>1715</v>
      </c>
      <c r="K965" s="5">
        <v>1.0</v>
      </c>
      <c r="L965" s="5">
        <v>2580.0</v>
      </c>
      <c r="M965" s="8"/>
      <c r="AO965" s="5" t="s">
        <v>3599</v>
      </c>
      <c r="AP965" s="5">
        <v>729.0</v>
      </c>
      <c r="AQ965" s="5" t="s">
        <v>1716</v>
      </c>
      <c r="AR965" s="5" t="s">
        <v>1717</v>
      </c>
      <c r="AS965" s="5" t="s">
        <v>1718</v>
      </c>
      <c r="AT965" s="5" t="s">
        <v>1719</v>
      </c>
      <c r="AU965" s="5" t="s">
        <v>1703</v>
      </c>
      <c r="AV965" s="5" t="s">
        <v>1720</v>
      </c>
      <c r="AW965" s="5" t="s">
        <v>2368</v>
      </c>
      <c r="AX965" s="5" t="s">
        <v>2492</v>
      </c>
      <c r="AY965" s="5">
        <v>50.0</v>
      </c>
      <c r="AZ965" s="5">
        <v>-121.0</v>
      </c>
      <c r="BA965" s="5">
        <v>13.0</v>
      </c>
    </row>
    <row r="966" ht="14.25" customHeight="1">
      <c r="A966" s="5" t="s">
        <v>422</v>
      </c>
      <c r="B966" s="5">
        <v>12.0</v>
      </c>
      <c r="C966" s="5" t="s">
        <v>1711</v>
      </c>
      <c r="D966" s="5">
        <v>730.0</v>
      </c>
      <c r="E966" s="5">
        <v>2178.0</v>
      </c>
      <c r="F966" s="18" t="s">
        <v>3602</v>
      </c>
      <c r="G966" s="5" t="s">
        <v>3603</v>
      </c>
      <c r="H966" s="5" t="s">
        <v>3604</v>
      </c>
      <c r="I966" s="5" t="s">
        <v>1664</v>
      </c>
      <c r="J966" s="5" t="s">
        <v>1746</v>
      </c>
      <c r="K966" s="5">
        <v>1.0</v>
      </c>
      <c r="L966" s="5">
        <v>2581.0</v>
      </c>
      <c r="M966" s="8"/>
      <c r="AO966" s="5" t="s">
        <v>3602</v>
      </c>
      <c r="AP966" s="5">
        <v>730.0</v>
      </c>
      <c r="AQ966" s="5" t="s">
        <v>1716</v>
      </c>
      <c r="AR966" s="5" t="s">
        <v>1717</v>
      </c>
      <c r="AS966" s="5" t="s">
        <v>1718</v>
      </c>
      <c r="AT966" s="5" t="s">
        <v>1719</v>
      </c>
      <c r="AU966" s="5" t="s">
        <v>1703</v>
      </c>
      <c r="AV966" s="5" t="s">
        <v>1720</v>
      </c>
      <c r="AW966" s="5" t="s">
        <v>2368</v>
      </c>
      <c r="AX966" s="5" t="s">
        <v>1879</v>
      </c>
      <c r="AY966" s="5">
        <v>50.0</v>
      </c>
      <c r="AZ966" s="5">
        <v>-123.0</v>
      </c>
      <c r="BA966" s="5">
        <v>13.0</v>
      </c>
    </row>
    <row r="967" ht="14.25" customHeight="1">
      <c r="A967" s="5" t="s">
        <v>422</v>
      </c>
      <c r="B967" s="5">
        <v>12.0</v>
      </c>
      <c r="C967" s="5" t="s">
        <v>1711</v>
      </c>
      <c r="D967" s="5">
        <v>731.0</v>
      </c>
      <c r="E967" s="5">
        <v>2179.0</v>
      </c>
      <c r="F967" s="18" t="s">
        <v>3605</v>
      </c>
      <c r="G967" s="5" t="s">
        <v>3606</v>
      </c>
      <c r="H967" s="5" t="s">
        <v>3607</v>
      </c>
      <c r="I967" s="5" t="s">
        <v>1664</v>
      </c>
      <c r="J967" s="5" t="s">
        <v>1746</v>
      </c>
      <c r="K967" s="5">
        <v>1.0</v>
      </c>
      <c r="L967" s="5">
        <v>2582.0</v>
      </c>
      <c r="AO967" s="5" t="s">
        <v>3605</v>
      </c>
      <c r="AP967" s="5">
        <v>731.0</v>
      </c>
      <c r="AQ967" s="5" t="s">
        <v>1716</v>
      </c>
      <c r="AR967" s="5" t="s">
        <v>1717</v>
      </c>
      <c r="AS967" s="5" t="s">
        <v>1718</v>
      </c>
      <c r="AT967" s="5" t="s">
        <v>1719</v>
      </c>
      <c r="AU967" s="5" t="s">
        <v>1703</v>
      </c>
      <c r="AV967" s="5" t="s">
        <v>1720</v>
      </c>
      <c r="AW967" s="5" t="s">
        <v>2368</v>
      </c>
      <c r="AX967" s="5" t="s">
        <v>1883</v>
      </c>
      <c r="AY967" s="5">
        <v>50.0</v>
      </c>
      <c r="AZ967" s="5">
        <v>-122.0</v>
      </c>
      <c r="BA967" s="5">
        <v>14.0</v>
      </c>
    </row>
    <row r="968" ht="14.25" customHeight="1">
      <c r="A968" s="5" t="s">
        <v>422</v>
      </c>
      <c r="B968" s="5">
        <v>12.0</v>
      </c>
      <c r="C968" s="5" t="s">
        <v>1711</v>
      </c>
      <c r="D968" s="5">
        <v>732.0</v>
      </c>
      <c r="E968" s="5">
        <v>2180.0</v>
      </c>
      <c r="F968" s="18" t="s">
        <v>3608</v>
      </c>
      <c r="G968" s="5" t="s">
        <v>3609</v>
      </c>
      <c r="H968" s="5" t="s">
        <v>3610</v>
      </c>
      <c r="I968" s="5" t="s">
        <v>1664</v>
      </c>
      <c r="J968" s="5" t="s">
        <v>1746</v>
      </c>
      <c r="K968" s="5">
        <v>1.0</v>
      </c>
      <c r="L968" s="5">
        <v>2583.0</v>
      </c>
      <c r="M968" s="8"/>
      <c r="AO968" s="5" t="s">
        <v>3608</v>
      </c>
      <c r="AP968" s="5">
        <v>732.0</v>
      </c>
      <c r="AQ968" s="5" t="s">
        <v>1716</v>
      </c>
      <c r="AR968" s="5" t="s">
        <v>1717</v>
      </c>
      <c r="AS968" s="5" t="s">
        <v>1718</v>
      </c>
      <c r="AT968" s="5" t="s">
        <v>1719</v>
      </c>
      <c r="AU968" s="5" t="s">
        <v>1703</v>
      </c>
      <c r="AV968" s="5" t="s">
        <v>1720</v>
      </c>
      <c r="AW968" s="5" t="s">
        <v>2368</v>
      </c>
      <c r="AX968" s="5" t="s">
        <v>1883</v>
      </c>
      <c r="AY968" s="5">
        <v>50.0</v>
      </c>
      <c r="AZ968" s="5">
        <v>-122.0</v>
      </c>
      <c r="BA968" s="5">
        <v>4.0</v>
      </c>
    </row>
    <row r="969" ht="14.25" customHeight="1">
      <c r="A969" s="5" t="s">
        <v>422</v>
      </c>
      <c r="B969" s="5">
        <v>12.0</v>
      </c>
      <c r="C969" s="5" t="s">
        <v>1711</v>
      </c>
      <c r="D969" s="5">
        <v>733.0</v>
      </c>
      <c r="E969" s="5">
        <v>2181.0</v>
      </c>
      <c r="F969" s="18" t="s">
        <v>3611</v>
      </c>
      <c r="G969" s="5" t="s">
        <v>3609</v>
      </c>
      <c r="H969" s="5" t="s">
        <v>3612</v>
      </c>
      <c r="I969" s="5" t="s">
        <v>1664</v>
      </c>
      <c r="J969" s="5" t="s">
        <v>1746</v>
      </c>
      <c r="K969" s="5">
        <v>1.0</v>
      </c>
      <c r="L969" s="5">
        <v>2584.0</v>
      </c>
      <c r="M969" s="8"/>
      <c r="AK969" s="9"/>
      <c r="AO969" s="5" t="s">
        <v>3611</v>
      </c>
      <c r="AP969" s="5">
        <v>733.0</v>
      </c>
      <c r="AQ969" s="5" t="s">
        <v>1716</v>
      </c>
      <c r="AR969" s="5" t="s">
        <v>1717</v>
      </c>
      <c r="AS969" s="5" t="s">
        <v>1718</v>
      </c>
      <c r="AT969" s="5" t="s">
        <v>1719</v>
      </c>
      <c r="AU969" s="5" t="s">
        <v>1703</v>
      </c>
      <c r="AV969" s="5" t="s">
        <v>1720</v>
      </c>
      <c r="AW969" s="5" t="s">
        <v>2368</v>
      </c>
      <c r="AX969" s="5" t="s">
        <v>1883</v>
      </c>
      <c r="AY969" s="5">
        <v>50.0</v>
      </c>
      <c r="AZ969" s="5">
        <v>-122.0</v>
      </c>
      <c r="BA969" s="5">
        <v>4.0</v>
      </c>
    </row>
    <row r="970" ht="14.25" customHeight="1">
      <c r="A970" s="5" t="s">
        <v>422</v>
      </c>
      <c r="B970" s="5">
        <v>12.0</v>
      </c>
      <c r="C970" s="5" t="s">
        <v>1711</v>
      </c>
      <c r="D970" s="5">
        <v>734.0</v>
      </c>
      <c r="E970" s="5">
        <v>2182.0</v>
      </c>
      <c r="F970" s="18" t="s">
        <v>3613</v>
      </c>
      <c r="G970" s="5" t="s">
        <v>3614</v>
      </c>
      <c r="H970" s="5" t="s">
        <v>3615</v>
      </c>
      <c r="I970" s="5" t="s">
        <v>1664</v>
      </c>
      <c r="J970" s="5" t="s">
        <v>1746</v>
      </c>
      <c r="K970" s="5">
        <v>1.0</v>
      </c>
      <c r="L970" s="5">
        <v>2585.0</v>
      </c>
      <c r="M970" s="8"/>
      <c r="AK970" s="9"/>
      <c r="AO970" s="5" t="s">
        <v>3613</v>
      </c>
      <c r="AP970" s="5">
        <v>734.0</v>
      </c>
      <c r="AQ970" s="5" t="s">
        <v>1716</v>
      </c>
      <c r="AR970" s="5" t="s">
        <v>1717</v>
      </c>
      <c r="AS970" s="5" t="s">
        <v>1718</v>
      </c>
      <c r="AT970" s="5" t="s">
        <v>1719</v>
      </c>
      <c r="AU970" s="5" t="s">
        <v>1703</v>
      </c>
      <c r="AV970" s="5" t="s">
        <v>1720</v>
      </c>
      <c r="AW970" s="5" t="s">
        <v>2368</v>
      </c>
      <c r="AX970" s="5" t="s">
        <v>2505</v>
      </c>
      <c r="AY970" s="5">
        <v>50.5</v>
      </c>
      <c r="AZ970" s="5">
        <v>-122.0</v>
      </c>
      <c r="BA970" s="5">
        <v>16.0</v>
      </c>
    </row>
    <row r="971" ht="14.25" customHeight="1">
      <c r="B971" s="5">
        <v>12.0</v>
      </c>
      <c r="C971" s="5" t="s">
        <v>1711</v>
      </c>
      <c r="D971" s="5">
        <v>735.0</v>
      </c>
      <c r="E971" s="5">
        <v>2183.0</v>
      </c>
      <c r="F971" s="18" t="s">
        <v>3616</v>
      </c>
      <c r="G971" s="5" t="s">
        <v>3617</v>
      </c>
      <c r="H971" s="5" t="s">
        <v>3618</v>
      </c>
      <c r="I971" s="5" t="s">
        <v>1664</v>
      </c>
      <c r="J971" s="5" t="s">
        <v>1746</v>
      </c>
      <c r="K971" s="5">
        <v>1.0</v>
      </c>
      <c r="L971" s="5">
        <v>2586.0</v>
      </c>
      <c r="M971" s="8"/>
      <c r="AK971" s="9"/>
      <c r="AO971" s="5" t="s">
        <v>3616</v>
      </c>
      <c r="AP971" s="5">
        <v>735.0</v>
      </c>
      <c r="AQ971" s="5" t="s">
        <v>1716</v>
      </c>
      <c r="AR971" s="5" t="s">
        <v>1717</v>
      </c>
      <c r="AS971" s="5" t="s">
        <v>1718</v>
      </c>
      <c r="AT971" s="5" t="s">
        <v>1719</v>
      </c>
      <c r="AU971" s="5" t="s">
        <v>1703</v>
      </c>
      <c r="AV971" s="5" t="s">
        <v>1720</v>
      </c>
      <c r="AW971" s="5" t="s">
        <v>2368</v>
      </c>
      <c r="AX971" s="5" t="s">
        <v>2505</v>
      </c>
      <c r="AY971" s="5">
        <v>50.4</v>
      </c>
      <c r="AZ971" s="5">
        <v>-122.4</v>
      </c>
      <c r="BA971" s="5">
        <v>16.0</v>
      </c>
    </row>
    <row r="972" ht="14.25" customHeight="1">
      <c r="B972" s="5">
        <v>12.0</v>
      </c>
      <c r="C972" s="5" t="s">
        <v>1711</v>
      </c>
      <c r="D972" s="5">
        <v>736.0</v>
      </c>
      <c r="E972" s="5">
        <v>2184.0</v>
      </c>
      <c r="F972" s="18" t="s">
        <v>3619</v>
      </c>
      <c r="G972" s="5" t="s">
        <v>3620</v>
      </c>
      <c r="H972" s="5" t="s">
        <v>3621</v>
      </c>
      <c r="I972" s="5" t="s">
        <v>1664</v>
      </c>
      <c r="J972" s="5" t="s">
        <v>1746</v>
      </c>
      <c r="K972" s="5">
        <v>1.0</v>
      </c>
      <c r="L972" s="5">
        <v>2587.0</v>
      </c>
      <c r="M972" s="8"/>
      <c r="AK972" s="9"/>
      <c r="AO972" s="5" t="s">
        <v>3619</v>
      </c>
      <c r="AP972" s="5">
        <v>736.0</v>
      </c>
      <c r="AQ972" s="5" t="s">
        <v>1716</v>
      </c>
      <c r="AR972" s="5" t="s">
        <v>1717</v>
      </c>
      <c r="AS972" s="5" t="s">
        <v>1718</v>
      </c>
      <c r="AT972" s="5" t="s">
        <v>1719</v>
      </c>
      <c r="AU972" s="5" t="s">
        <v>1703</v>
      </c>
      <c r="AV972" s="5" t="s">
        <v>1720</v>
      </c>
      <c r="AW972" s="5" t="s">
        <v>2368</v>
      </c>
      <c r="AX972" s="5" t="s">
        <v>2505</v>
      </c>
      <c r="AY972" s="5">
        <v>50.6</v>
      </c>
      <c r="AZ972" s="5">
        <v>-122.2</v>
      </c>
      <c r="BA972" s="5">
        <v>12.0</v>
      </c>
    </row>
    <row r="973" ht="14.25" customHeight="1">
      <c r="A973" s="5" t="s">
        <v>422</v>
      </c>
      <c r="B973" s="5">
        <v>12.0</v>
      </c>
      <c r="C973" s="5" t="s">
        <v>1711</v>
      </c>
      <c r="D973" s="5">
        <v>737.0</v>
      </c>
      <c r="E973" s="5">
        <v>2185.0</v>
      </c>
      <c r="F973" s="18" t="s">
        <v>3622</v>
      </c>
      <c r="G973" s="5" t="s">
        <v>3623</v>
      </c>
      <c r="H973" s="5" t="s">
        <v>3624</v>
      </c>
      <c r="I973" s="5" t="s">
        <v>1664</v>
      </c>
      <c r="J973" s="5" t="s">
        <v>1746</v>
      </c>
      <c r="K973" s="5">
        <v>1.0</v>
      </c>
      <c r="L973" s="5">
        <v>2588.0</v>
      </c>
      <c r="M973" s="8"/>
      <c r="AK973" s="9"/>
      <c r="AO973" s="5" t="s">
        <v>3622</v>
      </c>
      <c r="AP973" s="5">
        <v>737.0</v>
      </c>
      <c r="AQ973" s="5" t="s">
        <v>1716</v>
      </c>
      <c r="AR973" s="5" t="s">
        <v>1717</v>
      </c>
      <c r="AS973" s="5" t="s">
        <v>1718</v>
      </c>
      <c r="AT973" s="5" t="s">
        <v>1719</v>
      </c>
      <c r="AU973" s="5" t="s">
        <v>1703</v>
      </c>
      <c r="AV973" s="5" t="s">
        <v>1720</v>
      </c>
      <c r="AW973" s="5" t="s">
        <v>2368</v>
      </c>
      <c r="AX973" s="5" t="s">
        <v>2505</v>
      </c>
      <c r="AY973" s="5">
        <v>51.2</v>
      </c>
      <c r="AZ973" s="5">
        <v>-122.2</v>
      </c>
      <c r="BA973" s="5">
        <v>3.0</v>
      </c>
    </row>
    <row r="974" ht="14.25" customHeight="1">
      <c r="B974" s="5">
        <v>12.0</v>
      </c>
      <c r="C974" s="5" t="s">
        <v>1711</v>
      </c>
      <c r="D974" s="5">
        <v>738.0</v>
      </c>
      <c r="E974" s="5">
        <v>2186.0</v>
      </c>
      <c r="F974" s="18" t="s">
        <v>3625</v>
      </c>
      <c r="G974" s="5" t="s">
        <v>3626</v>
      </c>
      <c r="H974" s="5" t="s">
        <v>3627</v>
      </c>
      <c r="I974" s="5" t="s">
        <v>1664</v>
      </c>
      <c r="J974" s="5" t="s">
        <v>1715</v>
      </c>
      <c r="K974" s="5">
        <v>1.0</v>
      </c>
      <c r="L974" s="5">
        <v>2589.0</v>
      </c>
      <c r="M974" s="8"/>
      <c r="AK974" s="9"/>
      <c r="AO974" s="5" t="s">
        <v>3625</v>
      </c>
      <c r="AP974" s="5">
        <v>738.0</v>
      </c>
      <c r="AQ974" s="5" t="s">
        <v>1716</v>
      </c>
      <c r="AR974" s="5" t="s">
        <v>1717</v>
      </c>
      <c r="AS974" s="5" t="s">
        <v>1718</v>
      </c>
      <c r="AT974" s="5" t="s">
        <v>1719</v>
      </c>
      <c r="AU974" s="5" t="s">
        <v>1703</v>
      </c>
      <c r="AV974" s="5" t="s">
        <v>1720</v>
      </c>
      <c r="AW974" s="5" t="s">
        <v>2368</v>
      </c>
      <c r="AX974" s="5" t="s">
        <v>2516</v>
      </c>
      <c r="AY974" s="5">
        <v>49.3</v>
      </c>
      <c r="AZ974" s="5">
        <v>-119.3</v>
      </c>
      <c r="BA974" s="5">
        <v>18.0</v>
      </c>
    </row>
    <row r="975" ht="14.25" customHeight="1">
      <c r="A975" s="5" t="s">
        <v>422</v>
      </c>
      <c r="B975" s="5">
        <v>12.0</v>
      </c>
      <c r="C975" s="5" t="s">
        <v>1711</v>
      </c>
      <c r="D975" s="5">
        <v>739.0</v>
      </c>
      <c r="E975" s="5">
        <v>2187.0</v>
      </c>
      <c r="F975" s="18" t="s">
        <v>3628</v>
      </c>
      <c r="G975" s="5" t="s">
        <v>3629</v>
      </c>
      <c r="H975" s="5" t="s">
        <v>3630</v>
      </c>
      <c r="I975" s="5" t="s">
        <v>641</v>
      </c>
      <c r="J975" s="5" t="s">
        <v>1746</v>
      </c>
      <c r="K975" s="5">
        <v>1.0</v>
      </c>
      <c r="L975" s="5">
        <v>2590.0</v>
      </c>
      <c r="M975" s="8"/>
      <c r="AK975" s="9"/>
      <c r="AO975" s="5" t="s">
        <v>3628</v>
      </c>
      <c r="AP975" s="5">
        <v>739.0</v>
      </c>
      <c r="AQ975" s="5" t="s">
        <v>1716</v>
      </c>
      <c r="AR975" s="5" t="s">
        <v>1717</v>
      </c>
      <c r="AS975" s="5" t="s">
        <v>1718</v>
      </c>
      <c r="AT975" s="5" t="s">
        <v>1719</v>
      </c>
      <c r="AU975" s="5" t="s">
        <v>1703</v>
      </c>
      <c r="AV975" s="5" t="s">
        <v>1720</v>
      </c>
      <c r="AW975" s="5" t="s">
        <v>2368</v>
      </c>
      <c r="AY975" s="5">
        <v>49.0</v>
      </c>
      <c r="AZ975" s="5">
        <v>-119.0</v>
      </c>
      <c r="BA975" s="5">
        <v>15.0</v>
      </c>
    </row>
    <row r="976" ht="14.25" customHeight="1">
      <c r="A976" s="5" t="s">
        <v>422</v>
      </c>
      <c r="B976" s="5">
        <v>12.0</v>
      </c>
      <c r="C976" s="5" t="s">
        <v>1711</v>
      </c>
      <c r="D976" s="5">
        <v>740.0</v>
      </c>
      <c r="E976" s="5">
        <v>2188.0</v>
      </c>
      <c r="F976" s="18" t="s">
        <v>3631</v>
      </c>
      <c r="G976" s="5" t="s">
        <v>3632</v>
      </c>
      <c r="H976" s="5" t="s">
        <v>3633</v>
      </c>
      <c r="I976" s="5" t="s">
        <v>1664</v>
      </c>
      <c r="J976" s="5" t="s">
        <v>1746</v>
      </c>
      <c r="K976" s="5">
        <v>1.0</v>
      </c>
      <c r="L976" s="5">
        <v>2591.0</v>
      </c>
      <c r="M976" s="8"/>
      <c r="AK976" s="9"/>
      <c r="AO976" s="5" t="s">
        <v>3631</v>
      </c>
      <c r="AP976" s="5">
        <v>740.0</v>
      </c>
      <c r="AQ976" s="5" t="s">
        <v>1716</v>
      </c>
      <c r="AR976" s="5" t="s">
        <v>1717</v>
      </c>
      <c r="AS976" s="5" t="s">
        <v>1718</v>
      </c>
      <c r="AT976" s="5" t="s">
        <v>1719</v>
      </c>
      <c r="AU976" s="5" t="s">
        <v>1703</v>
      </c>
      <c r="AV976" s="5" t="s">
        <v>1720</v>
      </c>
      <c r="AW976" s="5" t="s">
        <v>2368</v>
      </c>
      <c r="AY976" s="5">
        <v>49.0</v>
      </c>
      <c r="AZ976" s="5">
        <v>-119.0</v>
      </c>
      <c r="BA976" s="5">
        <v>16.0</v>
      </c>
    </row>
    <row r="977" ht="14.25" customHeight="1">
      <c r="A977" s="5" t="s">
        <v>422</v>
      </c>
      <c r="B977" s="5">
        <v>12.0</v>
      </c>
      <c r="C977" s="5" t="s">
        <v>1711</v>
      </c>
      <c r="D977" s="5">
        <v>741.0</v>
      </c>
      <c r="E977" s="5">
        <v>2189.0</v>
      </c>
      <c r="F977" s="18" t="s">
        <v>3634</v>
      </c>
      <c r="G977" s="5" t="s">
        <v>3635</v>
      </c>
      <c r="H977" s="5" t="s">
        <v>3636</v>
      </c>
      <c r="I977" s="5" t="s">
        <v>1664</v>
      </c>
      <c r="J977" s="5" t="s">
        <v>1746</v>
      </c>
      <c r="K977" s="5">
        <v>1.0</v>
      </c>
      <c r="L977" s="5">
        <v>2592.0</v>
      </c>
      <c r="M977" s="64"/>
      <c r="N977" s="36"/>
      <c r="P977" s="36"/>
      <c r="AK977" s="9"/>
      <c r="AO977" s="5" t="s">
        <v>3634</v>
      </c>
      <c r="AP977" s="5">
        <v>741.0</v>
      </c>
      <c r="AQ977" s="5" t="s">
        <v>1716</v>
      </c>
      <c r="AR977" s="5" t="s">
        <v>1717</v>
      </c>
      <c r="AS977" s="5" t="s">
        <v>1718</v>
      </c>
      <c r="AT977" s="5" t="s">
        <v>1719</v>
      </c>
      <c r="AU977" s="5" t="s">
        <v>1703</v>
      </c>
      <c r="AV977" s="5" t="s">
        <v>1720</v>
      </c>
      <c r="AW977" s="5" t="s">
        <v>2368</v>
      </c>
      <c r="AX977" s="5" t="s">
        <v>2492</v>
      </c>
      <c r="AY977" s="5">
        <v>50.1</v>
      </c>
      <c r="AZ977" s="5">
        <v>-121.1</v>
      </c>
      <c r="BA977" s="5">
        <v>10.0</v>
      </c>
    </row>
    <row r="978" ht="14.25" customHeight="1">
      <c r="A978" s="5" t="s">
        <v>422</v>
      </c>
      <c r="B978" s="5">
        <v>12.0</v>
      </c>
      <c r="C978" s="5" t="s">
        <v>1711</v>
      </c>
      <c r="D978" s="5">
        <v>742.0</v>
      </c>
      <c r="E978" s="5">
        <v>2190.0</v>
      </c>
      <c r="F978" s="18" t="s">
        <v>3637</v>
      </c>
      <c r="G978" s="5" t="s">
        <v>3638</v>
      </c>
      <c r="H978" s="5" t="s">
        <v>3639</v>
      </c>
      <c r="I978" s="5" t="s">
        <v>641</v>
      </c>
      <c r="J978" s="5" t="s">
        <v>1746</v>
      </c>
      <c r="K978" s="5">
        <v>1.0</v>
      </c>
      <c r="L978" s="5">
        <v>2593.0</v>
      </c>
      <c r="M978" s="8"/>
      <c r="AK978" s="9"/>
      <c r="AO978" s="5" t="s">
        <v>3637</v>
      </c>
      <c r="AP978" s="5">
        <v>742.0</v>
      </c>
      <c r="AQ978" s="5" t="s">
        <v>1716</v>
      </c>
      <c r="AR978" s="5" t="s">
        <v>1717</v>
      </c>
      <c r="AS978" s="5" t="s">
        <v>1718</v>
      </c>
      <c r="AT978" s="5" t="s">
        <v>1703</v>
      </c>
      <c r="AU978" s="5" t="s">
        <v>1703</v>
      </c>
      <c r="AV978" s="5" t="s">
        <v>1720</v>
      </c>
      <c r="AW978" s="5" t="s">
        <v>2368</v>
      </c>
      <c r="AX978" s="5" t="s">
        <v>2516</v>
      </c>
      <c r="AY978" s="5">
        <v>49.9596</v>
      </c>
      <c r="AZ978" s="5">
        <v>-119.7076</v>
      </c>
      <c r="BA978" s="5">
        <v>1150.0</v>
      </c>
    </row>
    <row r="979" ht="14.25" customHeight="1">
      <c r="A979" s="5" t="s">
        <v>422</v>
      </c>
      <c r="B979" s="5">
        <v>12.0</v>
      </c>
      <c r="C979" s="5" t="s">
        <v>1711</v>
      </c>
      <c r="D979" s="5">
        <v>743.0</v>
      </c>
      <c r="E979" s="5">
        <v>2191.0</v>
      </c>
      <c r="F979" s="18" t="s">
        <v>3640</v>
      </c>
      <c r="G979" s="5" t="s">
        <v>3641</v>
      </c>
      <c r="H979" s="5" t="s">
        <v>3639</v>
      </c>
      <c r="I979" s="5" t="s">
        <v>641</v>
      </c>
      <c r="J979" s="5" t="s">
        <v>1746</v>
      </c>
      <c r="K979" s="5">
        <v>1.0</v>
      </c>
      <c r="L979" s="5">
        <v>2594.0</v>
      </c>
      <c r="M979" s="8"/>
      <c r="AK979" s="9"/>
      <c r="AO979" s="5" t="s">
        <v>3640</v>
      </c>
      <c r="AP979" s="5">
        <v>743.0</v>
      </c>
      <c r="AQ979" s="5" t="s">
        <v>1716</v>
      </c>
      <c r="AR979" s="5" t="s">
        <v>1717</v>
      </c>
      <c r="AS979" s="5" t="s">
        <v>1718</v>
      </c>
      <c r="AT979" s="5" t="s">
        <v>1703</v>
      </c>
      <c r="AU979" s="5" t="s">
        <v>1703</v>
      </c>
      <c r="AV979" s="5" t="s">
        <v>1720</v>
      </c>
      <c r="AW979" s="5" t="s">
        <v>2368</v>
      </c>
      <c r="AX979" s="5" t="s">
        <v>2516</v>
      </c>
      <c r="AY979" s="5">
        <v>49.959</v>
      </c>
      <c r="AZ979" s="5">
        <v>-119.7096</v>
      </c>
      <c r="BA979" s="5">
        <v>1150.0</v>
      </c>
    </row>
    <row r="980" ht="14.25" customHeight="1">
      <c r="A980" s="5" t="s">
        <v>422</v>
      </c>
      <c r="B980" s="5">
        <v>12.0</v>
      </c>
      <c r="C980" s="5" t="s">
        <v>1711</v>
      </c>
      <c r="D980" s="5">
        <v>744.0</v>
      </c>
      <c r="E980" s="5">
        <v>2192.0</v>
      </c>
      <c r="F980" s="18" t="s">
        <v>3642</v>
      </c>
      <c r="G980" s="5" t="s">
        <v>3643</v>
      </c>
      <c r="H980" s="5" t="s">
        <v>3644</v>
      </c>
      <c r="I980" s="5" t="s">
        <v>1664</v>
      </c>
      <c r="J980" s="5" t="s">
        <v>1746</v>
      </c>
      <c r="K980" s="5">
        <v>1.0</v>
      </c>
      <c r="L980" s="5">
        <v>2595.0</v>
      </c>
      <c r="M980" s="8"/>
      <c r="AK980" s="9"/>
      <c r="AO980" s="5" t="s">
        <v>3642</v>
      </c>
      <c r="AP980" s="5">
        <v>744.0</v>
      </c>
      <c r="AQ980" s="5" t="s">
        <v>1716</v>
      </c>
      <c r="AR980" s="5" t="s">
        <v>1717</v>
      </c>
      <c r="AS980" s="5" t="s">
        <v>1718</v>
      </c>
      <c r="AT980" s="5" t="s">
        <v>1719</v>
      </c>
      <c r="AU980" s="5" t="s">
        <v>1703</v>
      </c>
      <c r="AV980" s="5" t="s">
        <v>1720</v>
      </c>
      <c r="AW980" s="5" t="s">
        <v>2368</v>
      </c>
      <c r="AX980" s="5" t="s">
        <v>2827</v>
      </c>
      <c r="AY980" s="5">
        <v>49.2</v>
      </c>
      <c r="AZ980" s="5">
        <v>-119.2</v>
      </c>
      <c r="BA980" s="5">
        <v>14.0</v>
      </c>
    </row>
    <row r="981" ht="14.25" customHeight="1">
      <c r="B981" s="5">
        <v>12.0</v>
      </c>
      <c r="C981" s="5" t="s">
        <v>1711</v>
      </c>
      <c r="D981" s="5">
        <v>745.0</v>
      </c>
      <c r="E981" s="5">
        <v>2193.0</v>
      </c>
      <c r="F981" s="18" t="s">
        <v>3645</v>
      </c>
      <c r="G981" s="5" t="s">
        <v>3646</v>
      </c>
      <c r="H981" s="5" t="s">
        <v>3647</v>
      </c>
      <c r="I981" s="5" t="s">
        <v>641</v>
      </c>
      <c r="J981" s="5" t="s">
        <v>1715</v>
      </c>
      <c r="K981" s="5">
        <v>1.0</v>
      </c>
      <c r="L981" s="5">
        <v>2596.0</v>
      </c>
      <c r="M981" s="8"/>
      <c r="AK981" s="9"/>
      <c r="AO981" s="5" t="s">
        <v>3645</v>
      </c>
      <c r="AP981" s="5">
        <v>745.0</v>
      </c>
      <c r="AQ981" s="5" t="s">
        <v>1716</v>
      </c>
      <c r="AR981" s="5" t="s">
        <v>1717</v>
      </c>
      <c r="AS981" s="5" t="s">
        <v>1718</v>
      </c>
      <c r="AT981" s="5" t="s">
        <v>1719</v>
      </c>
      <c r="AU981" s="5" t="s">
        <v>1703</v>
      </c>
      <c r="AV981" s="5" t="s">
        <v>1720</v>
      </c>
      <c r="AW981" s="5" t="s">
        <v>2368</v>
      </c>
      <c r="AX981" s="5" t="s">
        <v>2516</v>
      </c>
      <c r="AY981" s="5">
        <v>49.967</v>
      </c>
      <c r="AZ981" s="5">
        <v>-119.717</v>
      </c>
      <c r="BA981" s="5">
        <v>1100.0</v>
      </c>
    </row>
    <row r="982" ht="14.25" customHeight="1">
      <c r="A982" s="5" t="s">
        <v>422</v>
      </c>
      <c r="B982" s="5">
        <v>12.0</v>
      </c>
      <c r="C982" s="5" t="s">
        <v>1711</v>
      </c>
      <c r="D982" s="5">
        <v>746.0</v>
      </c>
      <c r="E982" s="5">
        <v>2194.0</v>
      </c>
      <c r="F982" s="18" t="s">
        <v>3648</v>
      </c>
      <c r="G982" s="5" t="s">
        <v>3649</v>
      </c>
      <c r="H982" s="5" t="s">
        <v>3650</v>
      </c>
      <c r="I982" s="5" t="s">
        <v>641</v>
      </c>
      <c r="J982" s="5" t="s">
        <v>1746</v>
      </c>
      <c r="K982" s="5">
        <v>1.0</v>
      </c>
      <c r="L982" s="5">
        <v>2597.0</v>
      </c>
      <c r="M982" s="8"/>
      <c r="AK982" s="9"/>
      <c r="AO982" s="5" t="s">
        <v>3648</v>
      </c>
      <c r="AP982" s="5">
        <v>746.0</v>
      </c>
      <c r="AQ982" s="5" t="s">
        <v>1716</v>
      </c>
      <c r="AR982" s="5" t="s">
        <v>1717</v>
      </c>
      <c r="AS982" s="5" t="s">
        <v>1718</v>
      </c>
      <c r="AT982" s="5" t="s">
        <v>1719</v>
      </c>
      <c r="AU982" s="5" t="s">
        <v>1959</v>
      </c>
      <c r="AV982" s="5" t="s">
        <v>1720</v>
      </c>
      <c r="AW982" s="5" t="s">
        <v>2368</v>
      </c>
      <c r="AX982" s="5" t="s">
        <v>2522</v>
      </c>
      <c r="AY982" s="5">
        <v>50.4442</v>
      </c>
      <c r="AZ982" s="5">
        <v>-118.8957</v>
      </c>
      <c r="BA982" s="5">
        <v>1180.0</v>
      </c>
    </row>
    <row r="983" ht="14.25" customHeight="1">
      <c r="A983" s="5" t="s">
        <v>422</v>
      </c>
      <c r="B983" s="5">
        <v>12.0</v>
      </c>
      <c r="C983" s="5" t="s">
        <v>1711</v>
      </c>
      <c r="D983" s="5">
        <v>747.0</v>
      </c>
      <c r="E983" s="5">
        <v>2195.0</v>
      </c>
      <c r="F983" s="18" t="s">
        <v>3651</v>
      </c>
      <c r="G983" s="5" t="s">
        <v>3652</v>
      </c>
      <c r="H983" s="5" t="s">
        <v>3653</v>
      </c>
      <c r="I983" s="5" t="s">
        <v>641</v>
      </c>
      <c r="J983" s="5" t="s">
        <v>1746</v>
      </c>
      <c r="K983" s="5">
        <v>1.0</v>
      </c>
      <c r="L983" s="5">
        <v>2598.0</v>
      </c>
      <c r="M983" s="8"/>
      <c r="AK983" s="9"/>
      <c r="AO983" s="5" t="s">
        <v>3651</v>
      </c>
      <c r="AP983" s="5">
        <v>747.0</v>
      </c>
      <c r="AQ983" s="5" t="s">
        <v>1716</v>
      </c>
      <c r="AR983" s="5" t="s">
        <v>1717</v>
      </c>
      <c r="AS983" s="5" t="s">
        <v>1718</v>
      </c>
      <c r="AT983" s="5" t="s">
        <v>1719</v>
      </c>
      <c r="AU983" s="5" t="s">
        <v>1703</v>
      </c>
      <c r="AV983" s="5" t="s">
        <v>1720</v>
      </c>
      <c r="AW983" s="5" t="s">
        <v>2368</v>
      </c>
      <c r="AX983" s="5" t="s">
        <v>2522</v>
      </c>
      <c r="AY983" s="5">
        <v>50.2055</v>
      </c>
      <c r="AZ983" s="5">
        <v>-119.57</v>
      </c>
      <c r="BA983" s="5">
        <v>1100.0</v>
      </c>
    </row>
    <row r="984" ht="14.25" customHeight="1">
      <c r="B984" s="5">
        <v>12.0</v>
      </c>
      <c r="C984" s="5" t="s">
        <v>1711</v>
      </c>
      <c r="D984" s="5">
        <v>748.0</v>
      </c>
      <c r="E984" s="5">
        <v>2196.0</v>
      </c>
      <c r="F984" s="18" t="s">
        <v>3654</v>
      </c>
      <c r="G984" s="5" t="s">
        <v>3655</v>
      </c>
      <c r="H984" s="5" t="s">
        <v>3656</v>
      </c>
      <c r="I984" s="5" t="s">
        <v>1664</v>
      </c>
      <c r="J984" s="5" t="s">
        <v>1715</v>
      </c>
      <c r="K984" s="5">
        <v>1.0</v>
      </c>
      <c r="L984" s="5">
        <v>2599.0</v>
      </c>
      <c r="M984" s="8"/>
      <c r="AK984" s="9"/>
      <c r="AO984" s="5" t="s">
        <v>3654</v>
      </c>
      <c r="AP984" s="5">
        <v>748.0</v>
      </c>
      <c r="AQ984" s="5" t="s">
        <v>1716</v>
      </c>
      <c r="AR984" s="5" t="s">
        <v>1717</v>
      </c>
      <c r="AS984" s="5" t="s">
        <v>1718</v>
      </c>
      <c r="AT984" s="5" t="s">
        <v>1719</v>
      </c>
      <c r="AU984" s="5" t="s">
        <v>1703</v>
      </c>
      <c r="AV984" s="5" t="s">
        <v>1720</v>
      </c>
      <c r="AW984" s="5" t="s">
        <v>2368</v>
      </c>
      <c r="AX984" s="5" t="s">
        <v>2401</v>
      </c>
      <c r="AY984" s="5">
        <v>52.0</v>
      </c>
      <c r="AZ984" s="5">
        <v>-119.0</v>
      </c>
      <c r="BA984" s="5">
        <v>5.0</v>
      </c>
    </row>
    <row r="985" ht="14.25" customHeight="1">
      <c r="B985" s="5">
        <v>12.0</v>
      </c>
      <c r="C985" s="5" t="s">
        <v>1711</v>
      </c>
      <c r="D985" s="5">
        <v>749.0</v>
      </c>
      <c r="E985" s="5">
        <v>2197.0</v>
      </c>
      <c r="F985" s="18" t="s">
        <v>3657</v>
      </c>
      <c r="G985" s="5" t="s">
        <v>3658</v>
      </c>
      <c r="H985" s="5" t="s">
        <v>3308</v>
      </c>
      <c r="I985" s="5" t="s">
        <v>1664</v>
      </c>
      <c r="J985" s="5" t="s">
        <v>1715</v>
      </c>
      <c r="K985" s="5">
        <v>1.0</v>
      </c>
      <c r="L985" s="5">
        <v>2600.0</v>
      </c>
      <c r="M985" s="8"/>
      <c r="AK985" s="9"/>
      <c r="AO985" s="5" t="s">
        <v>3657</v>
      </c>
      <c r="AP985" s="5">
        <v>749.0</v>
      </c>
      <c r="AQ985" s="5" t="s">
        <v>1716</v>
      </c>
      <c r="AR985" s="5" t="s">
        <v>1717</v>
      </c>
      <c r="AS985" s="5" t="s">
        <v>1718</v>
      </c>
      <c r="AT985" s="5" t="s">
        <v>1719</v>
      </c>
      <c r="AU985" s="5" t="s">
        <v>1703</v>
      </c>
      <c r="AV985" s="5" t="s">
        <v>1720</v>
      </c>
      <c r="AW985" s="5" t="s">
        <v>2368</v>
      </c>
      <c r="AX985" s="5" t="s">
        <v>2401</v>
      </c>
      <c r="AY985" s="5">
        <v>52.0</v>
      </c>
      <c r="AZ985" s="5">
        <v>-119.1</v>
      </c>
      <c r="BA985" s="5">
        <v>12.0</v>
      </c>
    </row>
    <row r="986" ht="14.25" customHeight="1">
      <c r="A986" s="5" t="s">
        <v>422</v>
      </c>
      <c r="B986" s="5">
        <v>12.0</v>
      </c>
      <c r="C986" s="5" t="s">
        <v>1711</v>
      </c>
      <c r="D986" s="5">
        <v>750.0</v>
      </c>
      <c r="E986" s="5">
        <v>2198.0</v>
      </c>
      <c r="F986" s="18" t="s">
        <v>3659</v>
      </c>
      <c r="G986" s="5" t="s">
        <v>3660</v>
      </c>
      <c r="H986" s="5" t="s">
        <v>3661</v>
      </c>
      <c r="I986" s="5" t="s">
        <v>1664</v>
      </c>
      <c r="J986" s="5" t="s">
        <v>1746</v>
      </c>
      <c r="K986" s="5">
        <v>1.0</v>
      </c>
      <c r="L986" s="5">
        <v>2601.0</v>
      </c>
      <c r="M986" s="8"/>
      <c r="AK986" s="9"/>
      <c r="AO986" s="5" t="s">
        <v>3659</v>
      </c>
      <c r="AP986" s="5">
        <v>750.0</v>
      </c>
      <c r="AQ986" s="5" t="s">
        <v>1716</v>
      </c>
      <c r="AR986" s="5" t="s">
        <v>1717</v>
      </c>
      <c r="AS986" s="5" t="s">
        <v>1718</v>
      </c>
      <c r="AT986" s="5" t="s">
        <v>1719</v>
      </c>
      <c r="AU986" s="5" t="s">
        <v>1703</v>
      </c>
      <c r="AV986" s="5" t="s">
        <v>1720</v>
      </c>
      <c r="AW986" s="5" t="s">
        <v>2698</v>
      </c>
      <c r="AX986" s="5" t="s">
        <v>2801</v>
      </c>
      <c r="AY986" s="5">
        <v>50.8</v>
      </c>
      <c r="AZ986" s="5">
        <v>-117.0</v>
      </c>
      <c r="BA986" s="5">
        <v>12.0</v>
      </c>
    </row>
    <row r="987" ht="14.25" customHeight="1">
      <c r="A987" s="5" t="s">
        <v>422</v>
      </c>
      <c r="B987" s="5">
        <v>12.0</v>
      </c>
      <c r="C987" s="5" t="s">
        <v>1711</v>
      </c>
      <c r="D987" s="5">
        <v>751.0</v>
      </c>
      <c r="E987" s="5">
        <v>2199.0</v>
      </c>
      <c r="F987" s="18" t="s">
        <v>3662</v>
      </c>
      <c r="G987" s="5" t="s">
        <v>3663</v>
      </c>
      <c r="H987" s="5" t="s">
        <v>3664</v>
      </c>
      <c r="I987" s="5" t="s">
        <v>1664</v>
      </c>
      <c r="J987" s="5" t="s">
        <v>1746</v>
      </c>
      <c r="K987" s="5">
        <v>1.0</v>
      </c>
      <c r="L987" s="5">
        <v>2602.0</v>
      </c>
      <c r="M987" s="8"/>
      <c r="AK987" s="9"/>
      <c r="AO987" s="5" t="s">
        <v>3662</v>
      </c>
      <c r="AP987" s="5">
        <v>751.0</v>
      </c>
      <c r="AQ987" s="5" t="s">
        <v>1716</v>
      </c>
      <c r="AR987" s="5" t="s">
        <v>1717</v>
      </c>
      <c r="AS987" s="5" t="s">
        <v>1718</v>
      </c>
      <c r="AT987" s="5" t="s">
        <v>1719</v>
      </c>
      <c r="AU987" s="5" t="s">
        <v>1703</v>
      </c>
      <c r="AV987" s="5" t="s">
        <v>1720</v>
      </c>
      <c r="AW987" s="5" t="s">
        <v>2368</v>
      </c>
      <c r="AX987" s="5" t="s">
        <v>2401</v>
      </c>
      <c r="AY987" s="5">
        <v>51.7</v>
      </c>
      <c r="AZ987" s="5">
        <v>-119.3</v>
      </c>
      <c r="BA987" s="5">
        <v>13.0</v>
      </c>
    </row>
    <row r="988" ht="14.25" customHeight="1">
      <c r="A988" s="5" t="s">
        <v>422</v>
      </c>
      <c r="B988" s="5">
        <v>12.0</v>
      </c>
      <c r="C988" s="5" t="s">
        <v>1711</v>
      </c>
      <c r="D988" s="5">
        <v>753.0</v>
      </c>
      <c r="E988" s="5">
        <v>2201.0</v>
      </c>
      <c r="F988" s="18" t="s">
        <v>3665</v>
      </c>
      <c r="G988" s="5" t="s">
        <v>3666</v>
      </c>
      <c r="H988" s="5" t="s">
        <v>3667</v>
      </c>
      <c r="I988" s="5" t="s">
        <v>1664</v>
      </c>
      <c r="J988" s="5" t="s">
        <v>1746</v>
      </c>
      <c r="K988" s="5">
        <v>1.0</v>
      </c>
      <c r="L988" s="5">
        <v>2604.0</v>
      </c>
      <c r="M988" s="8"/>
      <c r="AK988" s="9"/>
      <c r="AO988" s="29" t="s">
        <v>3665</v>
      </c>
      <c r="AP988" s="5">
        <v>753.0</v>
      </c>
      <c r="AQ988" s="5" t="s">
        <v>1716</v>
      </c>
      <c r="AR988" s="5" t="s">
        <v>1717</v>
      </c>
      <c r="AS988" s="5" t="s">
        <v>2257</v>
      </c>
      <c r="AT988" s="5" t="s">
        <v>1703</v>
      </c>
      <c r="AU988" s="5" t="s">
        <v>3668</v>
      </c>
      <c r="AV988" s="5" t="s">
        <v>1720</v>
      </c>
      <c r="AW988" s="5" t="s">
        <v>2698</v>
      </c>
      <c r="AX988" s="5" t="s">
        <v>2699</v>
      </c>
      <c r="AY988" s="5">
        <v>51.35</v>
      </c>
      <c r="AZ988" s="5">
        <v>-118.16</v>
      </c>
      <c r="BA988" s="5">
        <v>1000.0</v>
      </c>
    </row>
    <row r="989" ht="14.25" customHeight="1">
      <c r="A989" s="5" t="s">
        <v>422</v>
      </c>
      <c r="B989" s="5">
        <v>12.0</v>
      </c>
      <c r="C989" s="5" t="s">
        <v>1711</v>
      </c>
      <c r="D989" s="5">
        <v>754.0</v>
      </c>
      <c r="E989" s="5">
        <v>2202.0</v>
      </c>
      <c r="F989" s="18" t="s">
        <v>3669</v>
      </c>
      <c r="G989" s="5" t="s">
        <v>3670</v>
      </c>
      <c r="H989" s="5" t="s">
        <v>3671</v>
      </c>
      <c r="I989" s="5" t="s">
        <v>1664</v>
      </c>
      <c r="J989" s="5" t="s">
        <v>1746</v>
      </c>
      <c r="K989" s="5">
        <v>1.0</v>
      </c>
      <c r="L989" s="5">
        <v>2605.0</v>
      </c>
      <c r="M989" s="8"/>
      <c r="AK989" s="9"/>
      <c r="AO989" s="5" t="s">
        <v>3669</v>
      </c>
      <c r="AP989" s="5">
        <v>754.0</v>
      </c>
      <c r="AQ989" s="5" t="s">
        <v>1716</v>
      </c>
      <c r="AR989" s="5" t="s">
        <v>1717</v>
      </c>
      <c r="AS989" s="5" t="s">
        <v>2257</v>
      </c>
      <c r="AT989" s="5" t="s">
        <v>1703</v>
      </c>
      <c r="AU989" s="5" t="s">
        <v>3668</v>
      </c>
      <c r="AV989" s="5" t="s">
        <v>1720</v>
      </c>
      <c r="AW989" s="5" t="s">
        <v>2698</v>
      </c>
      <c r="AX989" s="5" t="s">
        <v>2699</v>
      </c>
      <c r="AY989" s="5">
        <v>51.12</v>
      </c>
      <c r="AZ989" s="5">
        <v>-118.16</v>
      </c>
      <c r="BA989" s="5">
        <v>1000.0</v>
      </c>
    </row>
    <row r="990" ht="14.25" customHeight="1">
      <c r="B990" s="5">
        <v>12.0</v>
      </c>
      <c r="C990" s="5" t="s">
        <v>1711</v>
      </c>
      <c r="D990" s="5">
        <v>755.0</v>
      </c>
      <c r="E990" s="5">
        <v>2203.0</v>
      </c>
      <c r="F990" s="18" t="s">
        <v>3672</v>
      </c>
      <c r="G990" s="5" t="s">
        <v>3673</v>
      </c>
      <c r="H990" s="5" t="s">
        <v>3279</v>
      </c>
      <c r="I990" s="5" t="s">
        <v>1664</v>
      </c>
      <c r="J990" s="5" t="s">
        <v>1715</v>
      </c>
      <c r="K990" s="5">
        <v>1.0</v>
      </c>
      <c r="L990" s="5">
        <v>2606.0</v>
      </c>
      <c r="M990" s="8"/>
      <c r="AK990" s="9"/>
      <c r="AO990" s="5" t="s">
        <v>3672</v>
      </c>
      <c r="AP990" s="5">
        <v>755.0</v>
      </c>
      <c r="AQ990" s="5" t="s">
        <v>1716</v>
      </c>
      <c r="AR990" s="5" t="s">
        <v>1717</v>
      </c>
      <c r="AS990" s="5" t="s">
        <v>1718</v>
      </c>
      <c r="AT990" s="5" t="s">
        <v>1719</v>
      </c>
      <c r="AU990" s="5" t="s">
        <v>1703</v>
      </c>
      <c r="AV990" s="5" t="s">
        <v>1720</v>
      </c>
      <c r="AW990" s="5" t="s">
        <v>2698</v>
      </c>
      <c r="AX990" s="5" t="s">
        <v>2699</v>
      </c>
      <c r="AY990" s="5">
        <v>51.5</v>
      </c>
      <c r="AZ990" s="5">
        <v>-118.5</v>
      </c>
      <c r="BA990" s="5">
        <v>13.0</v>
      </c>
    </row>
    <row r="991" ht="14.25" customHeight="1">
      <c r="A991" s="5" t="s">
        <v>422</v>
      </c>
      <c r="B991" s="5">
        <v>12.0</v>
      </c>
      <c r="C991" s="5" t="s">
        <v>1711</v>
      </c>
      <c r="D991" s="5">
        <v>756.0</v>
      </c>
      <c r="E991" s="5">
        <v>2204.0</v>
      </c>
      <c r="F991" s="18" t="s">
        <v>3674</v>
      </c>
      <c r="G991" s="5" t="s">
        <v>3675</v>
      </c>
      <c r="H991" s="5" t="s">
        <v>3676</v>
      </c>
      <c r="I991" s="5" t="s">
        <v>1664</v>
      </c>
      <c r="J991" s="5" t="s">
        <v>1746</v>
      </c>
      <c r="K991" s="5">
        <v>1.0</v>
      </c>
      <c r="L991" s="5">
        <v>2607.0</v>
      </c>
      <c r="M991" s="8"/>
      <c r="AK991" s="9"/>
      <c r="AO991" s="5" t="s">
        <v>3674</v>
      </c>
      <c r="AP991" s="5">
        <v>756.0</v>
      </c>
      <c r="AQ991" s="5" t="s">
        <v>1716</v>
      </c>
      <c r="AR991" s="5" t="s">
        <v>1717</v>
      </c>
      <c r="AS991" s="5" t="s">
        <v>1718</v>
      </c>
      <c r="AT991" s="5" t="s">
        <v>1719</v>
      </c>
      <c r="AU991" s="5" t="s">
        <v>1703</v>
      </c>
      <c r="AV991" s="5" t="s">
        <v>1720</v>
      </c>
      <c r="AW991" s="5" t="s">
        <v>2003</v>
      </c>
      <c r="AX991" s="5" t="s">
        <v>2699</v>
      </c>
      <c r="AY991" s="5">
        <v>52.0</v>
      </c>
      <c r="AZ991" s="5">
        <v>-118.0</v>
      </c>
      <c r="BA991" s="5">
        <v>35.0</v>
      </c>
    </row>
    <row r="992" ht="14.25" customHeight="1">
      <c r="A992" s="5" t="s">
        <v>422</v>
      </c>
      <c r="B992" s="5">
        <v>12.0</v>
      </c>
      <c r="C992" s="5" t="s">
        <v>1711</v>
      </c>
      <c r="D992" s="5">
        <v>757.0</v>
      </c>
      <c r="E992" s="5">
        <v>2205.0</v>
      </c>
      <c r="F992" s="18" t="s">
        <v>3677</v>
      </c>
      <c r="G992" s="5" t="s">
        <v>3678</v>
      </c>
      <c r="H992" s="5" t="s">
        <v>3679</v>
      </c>
      <c r="I992" s="5" t="s">
        <v>641</v>
      </c>
      <c r="J992" s="5" t="s">
        <v>1746</v>
      </c>
      <c r="K992" s="5">
        <v>1.0</v>
      </c>
      <c r="L992" s="5">
        <v>2608.0</v>
      </c>
      <c r="M992" s="8"/>
      <c r="AK992" s="9"/>
      <c r="AO992" s="67" t="s">
        <v>3677</v>
      </c>
      <c r="AP992" s="5">
        <v>757.0</v>
      </c>
      <c r="AQ992" s="5" t="s">
        <v>1716</v>
      </c>
      <c r="AR992" s="5" t="s">
        <v>1717</v>
      </c>
      <c r="AS992" s="5" t="s">
        <v>1718</v>
      </c>
      <c r="AT992" s="5" t="s">
        <v>1703</v>
      </c>
      <c r="AU992" s="5" t="s">
        <v>1703</v>
      </c>
      <c r="AV992" s="5" t="s">
        <v>1720</v>
      </c>
      <c r="AW992" s="5" t="s">
        <v>2003</v>
      </c>
      <c r="AX992" s="5" t="s">
        <v>2707</v>
      </c>
      <c r="AY992" s="5">
        <v>50.659</v>
      </c>
      <c r="AZ992" s="5">
        <v>-119.496</v>
      </c>
      <c r="BA992" s="5">
        <v>1768.0</v>
      </c>
    </row>
    <row r="993" ht="14.25" customHeight="1">
      <c r="B993" s="5">
        <v>12.0</v>
      </c>
      <c r="C993" s="5" t="s">
        <v>1711</v>
      </c>
      <c r="D993" s="5">
        <v>758.0</v>
      </c>
      <c r="E993" s="5">
        <v>2206.0</v>
      </c>
      <c r="F993" s="18" t="s">
        <v>3680</v>
      </c>
      <c r="G993" s="5" t="s">
        <v>3681</v>
      </c>
      <c r="H993" s="5" t="s">
        <v>3682</v>
      </c>
      <c r="I993" s="5" t="s">
        <v>1664</v>
      </c>
      <c r="J993" s="5" t="s">
        <v>1746</v>
      </c>
      <c r="K993" s="5">
        <v>1.0</v>
      </c>
      <c r="L993" s="5">
        <v>2609.0</v>
      </c>
      <c r="M993" s="8"/>
      <c r="AK993" s="9"/>
      <c r="AO993" s="29" t="s">
        <v>3680</v>
      </c>
      <c r="AP993" s="5">
        <v>758.0</v>
      </c>
      <c r="AQ993" s="5" t="s">
        <v>1716</v>
      </c>
      <c r="AR993" s="5" t="s">
        <v>1717</v>
      </c>
      <c r="AS993" s="5" t="s">
        <v>1718</v>
      </c>
      <c r="AT993" s="5" t="s">
        <v>1719</v>
      </c>
      <c r="AU993" s="5" t="s">
        <v>1703</v>
      </c>
      <c r="AV993" s="5" t="s">
        <v>1720</v>
      </c>
      <c r="AW993" s="5" t="s">
        <v>2698</v>
      </c>
      <c r="AX993" s="5" t="s">
        <v>2699</v>
      </c>
      <c r="AY993" s="5">
        <v>51.5</v>
      </c>
      <c r="AZ993" s="5">
        <v>-117.2</v>
      </c>
      <c r="BA993" s="5">
        <v>8.0</v>
      </c>
    </row>
    <row r="994" ht="14.25" customHeight="1">
      <c r="A994" s="5" t="s">
        <v>422</v>
      </c>
      <c r="B994" s="5">
        <v>12.0</v>
      </c>
      <c r="C994" s="5" t="s">
        <v>1711</v>
      </c>
      <c r="D994" s="5">
        <v>759.0</v>
      </c>
      <c r="E994" s="5">
        <v>2207.0</v>
      </c>
      <c r="F994" s="18" t="s">
        <v>3683</v>
      </c>
      <c r="G994" s="5" t="s">
        <v>3684</v>
      </c>
      <c r="H994" s="5" t="s">
        <v>3685</v>
      </c>
      <c r="I994" s="5" t="s">
        <v>641</v>
      </c>
      <c r="J994" s="5" t="s">
        <v>1746</v>
      </c>
      <c r="K994" s="5">
        <v>1.0</v>
      </c>
      <c r="L994" s="5">
        <v>2610.0</v>
      </c>
      <c r="M994" s="8"/>
      <c r="AK994" s="9"/>
      <c r="AO994" s="5" t="s">
        <v>3683</v>
      </c>
      <c r="AP994" s="5">
        <v>759.0</v>
      </c>
      <c r="AQ994" s="5" t="s">
        <v>1716</v>
      </c>
      <c r="AR994" s="5" t="s">
        <v>1717</v>
      </c>
      <c r="AS994" s="5" t="s">
        <v>1718</v>
      </c>
      <c r="AT994" s="5" t="s">
        <v>1719</v>
      </c>
      <c r="AU994" s="5" t="s">
        <v>1703</v>
      </c>
      <c r="AV994" s="5" t="s">
        <v>1720</v>
      </c>
      <c r="AW994" s="5" t="s">
        <v>2698</v>
      </c>
      <c r="AX994" s="5" t="s">
        <v>2699</v>
      </c>
      <c r="AY994" s="5">
        <v>51.0</v>
      </c>
      <c r="AZ994" s="5">
        <v>-116.2</v>
      </c>
      <c r="BA994" s="5">
        <v>14.0</v>
      </c>
    </row>
    <row r="995" ht="14.25" customHeight="1">
      <c r="B995" s="5">
        <v>12.0</v>
      </c>
      <c r="C995" s="5" t="s">
        <v>1711</v>
      </c>
      <c r="D995" s="5">
        <v>760.0</v>
      </c>
      <c r="E995" s="5">
        <v>2208.0</v>
      </c>
      <c r="F995" s="18" t="s">
        <v>3686</v>
      </c>
      <c r="G995" s="5" t="s">
        <v>3687</v>
      </c>
      <c r="H995" s="5" t="s">
        <v>3688</v>
      </c>
      <c r="I995" s="5" t="s">
        <v>1664</v>
      </c>
      <c r="J995" s="5" t="s">
        <v>1715</v>
      </c>
      <c r="K995" s="5">
        <v>1.0</v>
      </c>
      <c r="L995" s="5">
        <v>2611.0</v>
      </c>
      <c r="M995" s="8"/>
      <c r="AK995" s="9"/>
      <c r="AO995" s="5" t="s">
        <v>3686</v>
      </c>
      <c r="AP995" s="5">
        <v>760.0</v>
      </c>
      <c r="AQ995" s="5" t="s">
        <v>1716</v>
      </c>
      <c r="AR995" s="5" t="s">
        <v>1717</v>
      </c>
      <c r="AS995" s="5" t="s">
        <v>1718</v>
      </c>
      <c r="AT995" s="5" t="s">
        <v>1719</v>
      </c>
      <c r="AU995" s="5" t="s">
        <v>1703</v>
      </c>
      <c r="AV995" s="5" t="s">
        <v>1720</v>
      </c>
      <c r="AW995" s="5" t="s">
        <v>2698</v>
      </c>
      <c r="AX995" s="5" t="s">
        <v>2699</v>
      </c>
      <c r="AY995" s="5">
        <v>51.2</v>
      </c>
      <c r="AZ995" s="5">
        <v>-117.3</v>
      </c>
      <c r="BA995" s="5">
        <v>13.0</v>
      </c>
    </row>
    <row r="996" ht="14.25" customHeight="1">
      <c r="B996" s="5">
        <v>12.0</v>
      </c>
      <c r="C996" s="5" t="s">
        <v>1711</v>
      </c>
      <c r="D996" s="5">
        <v>761.0</v>
      </c>
      <c r="E996" s="5">
        <v>2209.0</v>
      </c>
      <c r="F996" s="18" t="s">
        <v>3689</v>
      </c>
      <c r="G996" s="5" t="s">
        <v>3690</v>
      </c>
      <c r="H996" s="5" t="s">
        <v>3691</v>
      </c>
      <c r="I996" s="5" t="s">
        <v>1664</v>
      </c>
      <c r="J996" s="5" t="s">
        <v>1715</v>
      </c>
      <c r="K996" s="5">
        <v>1.0</v>
      </c>
      <c r="L996" s="5">
        <v>2612.0</v>
      </c>
      <c r="M996" s="8"/>
      <c r="AK996" s="9"/>
      <c r="AO996" s="29" t="s">
        <v>3689</v>
      </c>
      <c r="AP996" s="5">
        <v>761.0</v>
      </c>
      <c r="AQ996" s="5" t="s">
        <v>1716</v>
      </c>
      <c r="AR996" s="5" t="s">
        <v>1717</v>
      </c>
      <c r="AS996" s="5" t="s">
        <v>1718</v>
      </c>
      <c r="AT996" s="5" t="s">
        <v>1719</v>
      </c>
      <c r="AU996" s="5" t="s">
        <v>1703</v>
      </c>
      <c r="AV996" s="5" t="s">
        <v>1720</v>
      </c>
      <c r="AW996" s="5" t="s">
        <v>2698</v>
      </c>
      <c r="AX996" s="5" t="s">
        <v>2768</v>
      </c>
      <c r="AY996" s="5">
        <v>51.2</v>
      </c>
      <c r="AZ996" s="5">
        <v>-117.2</v>
      </c>
      <c r="BA996" s="5">
        <v>14.0</v>
      </c>
    </row>
    <row r="997" ht="14.25" customHeight="1">
      <c r="B997" s="5">
        <v>12.0</v>
      </c>
      <c r="C997" s="5" t="s">
        <v>1711</v>
      </c>
      <c r="D997" s="5">
        <v>762.0</v>
      </c>
      <c r="E997" s="5">
        <v>2210.0</v>
      </c>
      <c r="F997" s="18" t="s">
        <v>3692</v>
      </c>
      <c r="G997" s="5" t="s">
        <v>3693</v>
      </c>
      <c r="H997" s="5" t="s">
        <v>3694</v>
      </c>
      <c r="I997" s="5" t="s">
        <v>1664</v>
      </c>
      <c r="J997" s="5" t="s">
        <v>1715</v>
      </c>
      <c r="K997" s="5">
        <v>1.0</v>
      </c>
      <c r="L997" s="5">
        <v>2613.0</v>
      </c>
      <c r="M997" s="8"/>
      <c r="AK997" s="9"/>
      <c r="AO997" s="5" t="s">
        <v>3692</v>
      </c>
      <c r="AP997" s="5">
        <v>762.0</v>
      </c>
      <c r="AQ997" s="5" t="s">
        <v>1716</v>
      </c>
      <c r="AR997" s="5" t="s">
        <v>1717</v>
      </c>
      <c r="AS997" s="5" t="s">
        <v>1718</v>
      </c>
      <c r="AT997" s="5" t="s">
        <v>1719</v>
      </c>
      <c r="AU997" s="5" t="s">
        <v>1703</v>
      </c>
      <c r="AV997" s="5" t="s">
        <v>1720</v>
      </c>
      <c r="AW997" s="5" t="s">
        <v>2698</v>
      </c>
      <c r="AX997" s="5" t="s">
        <v>2699</v>
      </c>
      <c r="AY997" s="5">
        <v>51.4</v>
      </c>
      <c r="AZ997" s="5">
        <v>-117.4</v>
      </c>
      <c r="BA997" s="5">
        <v>13.0</v>
      </c>
    </row>
    <row r="998" ht="14.25" customHeight="1">
      <c r="B998" s="5">
        <v>12.0</v>
      </c>
      <c r="C998" s="5" t="s">
        <v>1711</v>
      </c>
      <c r="D998" s="5">
        <v>764.0</v>
      </c>
      <c r="E998" s="5">
        <v>2212.0</v>
      </c>
      <c r="F998" s="18" t="s">
        <v>3695</v>
      </c>
      <c r="G998" s="5" t="s">
        <v>3696</v>
      </c>
      <c r="H998" s="5" t="s">
        <v>3697</v>
      </c>
      <c r="I998" s="5" t="s">
        <v>1664</v>
      </c>
      <c r="J998" s="5" t="s">
        <v>1715</v>
      </c>
      <c r="K998" s="5">
        <v>1.0</v>
      </c>
      <c r="L998" s="5">
        <v>2615.0</v>
      </c>
      <c r="M998" s="8"/>
      <c r="AK998" s="9"/>
      <c r="AO998" s="5" t="s">
        <v>3695</v>
      </c>
      <c r="AP998" s="5">
        <v>764.0</v>
      </c>
      <c r="AQ998" s="5" t="s">
        <v>1716</v>
      </c>
      <c r="AR998" s="5" t="s">
        <v>1717</v>
      </c>
      <c r="AS998" s="5" t="s">
        <v>1718</v>
      </c>
      <c r="AT998" s="5" t="s">
        <v>1719</v>
      </c>
      <c r="AU998" s="5" t="s">
        <v>1703</v>
      </c>
      <c r="AV998" s="5" t="s">
        <v>1720</v>
      </c>
      <c r="AW998" s="5" t="s">
        <v>2698</v>
      </c>
      <c r="AX998" s="5" t="s">
        <v>2768</v>
      </c>
      <c r="AY998" s="5">
        <v>51.1</v>
      </c>
      <c r="AZ998" s="5">
        <v>-117.1</v>
      </c>
      <c r="BA998" s="5">
        <v>16.0</v>
      </c>
    </row>
    <row r="999" ht="14.25" customHeight="1">
      <c r="B999" s="5">
        <v>12.0</v>
      </c>
      <c r="C999" s="5" t="s">
        <v>1711</v>
      </c>
      <c r="D999" s="5">
        <v>765.0</v>
      </c>
      <c r="E999" s="5">
        <v>2213.0</v>
      </c>
      <c r="F999" s="18" t="s">
        <v>3698</v>
      </c>
      <c r="G999" s="5" t="s">
        <v>3699</v>
      </c>
      <c r="H999" s="5" t="s">
        <v>3700</v>
      </c>
      <c r="I999" s="5" t="s">
        <v>1664</v>
      </c>
      <c r="J999" s="5" t="s">
        <v>1715</v>
      </c>
      <c r="K999" s="5">
        <v>1.0</v>
      </c>
      <c r="L999" s="5">
        <v>2616.0</v>
      </c>
      <c r="M999" s="8"/>
      <c r="AK999" s="9"/>
      <c r="AO999" s="5" t="s">
        <v>3698</v>
      </c>
      <c r="AP999" s="5">
        <v>765.0</v>
      </c>
      <c r="AQ999" s="5" t="s">
        <v>1716</v>
      </c>
      <c r="AR999" s="5" t="s">
        <v>1717</v>
      </c>
      <c r="AS999" s="5" t="s">
        <v>1718</v>
      </c>
      <c r="AT999" s="5" t="s">
        <v>1719</v>
      </c>
      <c r="AU999" s="5" t="s">
        <v>1703</v>
      </c>
      <c r="AV999" s="5" t="s">
        <v>1720</v>
      </c>
      <c r="AW999" s="5" t="s">
        <v>2698</v>
      </c>
      <c r="AX999" s="5" t="s">
        <v>2768</v>
      </c>
      <c r="AY999" s="5">
        <v>51.0</v>
      </c>
      <c r="AZ999" s="5">
        <v>-117.0</v>
      </c>
      <c r="BA999" s="5">
        <v>13.0</v>
      </c>
    </row>
    <row r="1000" ht="14.25" customHeight="1">
      <c r="B1000" s="5">
        <v>12.0</v>
      </c>
      <c r="C1000" s="5" t="s">
        <v>1711</v>
      </c>
      <c r="D1000" s="5">
        <v>766.0</v>
      </c>
      <c r="E1000" s="5">
        <v>2214.0</v>
      </c>
      <c r="F1000" s="18" t="s">
        <v>3701</v>
      </c>
      <c r="G1000" s="5" t="s">
        <v>3702</v>
      </c>
      <c r="H1000" s="5" t="s">
        <v>3703</v>
      </c>
      <c r="I1000" s="5" t="s">
        <v>1664</v>
      </c>
      <c r="J1000" s="5" t="s">
        <v>1746</v>
      </c>
      <c r="K1000" s="5">
        <v>1.0</v>
      </c>
      <c r="L1000" s="5">
        <v>2617.0</v>
      </c>
      <c r="M1000" s="8"/>
      <c r="AK1000" s="9"/>
      <c r="AO1000" s="5" t="s">
        <v>3701</v>
      </c>
      <c r="AP1000" s="5">
        <v>766.0</v>
      </c>
      <c r="AQ1000" s="5" t="s">
        <v>1716</v>
      </c>
      <c r="AR1000" s="5" t="s">
        <v>1717</v>
      </c>
      <c r="AS1000" s="5" t="s">
        <v>1718</v>
      </c>
      <c r="AT1000" s="5" t="s">
        <v>1719</v>
      </c>
      <c r="AU1000" s="5" t="s">
        <v>1703</v>
      </c>
      <c r="AV1000" s="5" t="s">
        <v>1720</v>
      </c>
      <c r="AW1000" s="5" t="s">
        <v>2698</v>
      </c>
      <c r="AX1000" s="5" t="s">
        <v>2699</v>
      </c>
      <c r="AY1000" s="5">
        <v>51.4</v>
      </c>
      <c r="AZ1000" s="5">
        <v>-117.4</v>
      </c>
      <c r="BA1000" s="5">
        <v>15.0</v>
      </c>
    </row>
    <row r="1001" ht="14.25" customHeight="1">
      <c r="B1001" s="5">
        <v>12.0</v>
      </c>
      <c r="C1001" s="5" t="s">
        <v>1711</v>
      </c>
      <c r="D1001" s="5">
        <v>767.0</v>
      </c>
      <c r="E1001" s="5">
        <v>2215.0</v>
      </c>
      <c r="F1001" s="18" t="s">
        <v>3704</v>
      </c>
      <c r="G1001" s="5" t="s">
        <v>3705</v>
      </c>
      <c r="H1001" s="5" t="s">
        <v>3706</v>
      </c>
      <c r="I1001" s="5" t="s">
        <v>1664</v>
      </c>
      <c r="J1001" s="5" t="s">
        <v>1715</v>
      </c>
      <c r="K1001" s="5">
        <v>1.0</v>
      </c>
      <c r="L1001" s="5">
        <v>2618.0</v>
      </c>
      <c r="M1001" s="8"/>
      <c r="AK1001" s="9"/>
      <c r="AO1001" s="5" t="s">
        <v>3704</v>
      </c>
      <c r="AP1001" s="5">
        <v>767.0</v>
      </c>
      <c r="AQ1001" s="5" t="s">
        <v>1716</v>
      </c>
      <c r="AR1001" s="5" t="s">
        <v>1717</v>
      </c>
      <c r="AS1001" s="5" t="s">
        <v>1718</v>
      </c>
      <c r="AT1001" s="5" t="s">
        <v>1719</v>
      </c>
      <c r="AU1001" s="5" t="s">
        <v>1703</v>
      </c>
      <c r="AV1001" s="5" t="s">
        <v>1720</v>
      </c>
      <c r="AW1001" s="5" t="s">
        <v>2698</v>
      </c>
      <c r="AX1001" s="5" t="s">
        <v>2699</v>
      </c>
      <c r="AY1001" s="5">
        <v>51.7</v>
      </c>
      <c r="AZ1001" s="5">
        <v>-117.1</v>
      </c>
      <c r="BA1001" s="5">
        <v>8.0</v>
      </c>
    </row>
    <row r="1002" ht="14.25" customHeight="1">
      <c r="B1002" s="5">
        <v>12.0</v>
      </c>
      <c r="C1002" s="5" t="s">
        <v>1711</v>
      </c>
      <c r="D1002" s="5">
        <v>768.0</v>
      </c>
      <c r="E1002" s="5">
        <v>2216.0</v>
      </c>
      <c r="F1002" s="18" t="s">
        <v>3707</v>
      </c>
      <c r="G1002" s="5" t="s">
        <v>3708</v>
      </c>
      <c r="H1002" s="5" t="s">
        <v>3709</v>
      </c>
      <c r="I1002" s="5" t="s">
        <v>1664</v>
      </c>
      <c r="J1002" s="5" t="s">
        <v>1715</v>
      </c>
      <c r="K1002" s="5">
        <v>1.0</v>
      </c>
      <c r="L1002" s="5">
        <v>2619.0</v>
      </c>
      <c r="M1002" s="8"/>
      <c r="AK1002" s="9"/>
      <c r="AO1002" s="5" t="s">
        <v>3707</v>
      </c>
      <c r="AP1002" s="5">
        <v>768.0</v>
      </c>
      <c r="AQ1002" s="5" t="s">
        <v>1716</v>
      </c>
      <c r="AR1002" s="5" t="s">
        <v>1717</v>
      </c>
      <c r="AS1002" s="5" t="s">
        <v>1718</v>
      </c>
      <c r="AT1002" s="5" t="s">
        <v>1719</v>
      </c>
      <c r="AU1002" s="5" t="s">
        <v>1703</v>
      </c>
      <c r="AV1002" s="5" t="s">
        <v>1720</v>
      </c>
      <c r="AW1002" s="5" t="s">
        <v>2698</v>
      </c>
      <c r="AX1002" s="5" t="s">
        <v>2699</v>
      </c>
      <c r="AY1002" s="5">
        <v>52.0</v>
      </c>
      <c r="AZ1002" s="5">
        <v>-117.9</v>
      </c>
      <c r="BA1002" s="5">
        <v>8.0</v>
      </c>
    </row>
    <row r="1003" ht="14.25" customHeight="1">
      <c r="A1003" s="5" t="s">
        <v>422</v>
      </c>
      <c r="B1003" s="5">
        <v>12.0</v>
      </c>
      <c r="C1003" s="5" t="s">
        <v>1711</v>
      </c>
      <c r="D1003" s="5">
        <v>770.0</v>
      </c>
      <c r="E1003" s="5">
        <v>2217.0</v>
      </c>
      <c r="F1003" s="18" t="s">
        <v>3710</v>
      </c>
      <c r="G1003" s="5" t="s">
        <v>3711</v>
      </c>
      <c r="H1003" s="5" t="s">
        <v>3712</v>
      </c>
      <c r="I1003" s="5" t="s">
        <v>1664</v>
      </c>
      <c r="J1003" s="5" t="s">
        <v>1746</v>
      </c>
      <c r="K1003" s="5">
        <v>1.0</v>
      </c>
      <c r="L1003" s="5">
        <v>2620.0</v>
      </c>
      <c r="M1003" s="8"/>
      <c r="AK1003" s="9"/>
      <c r="AO1003" s="5" t="s">
        <v>3710</v>
      </c>
      <c r="AP1003" s="5">
        <v>770.0</v>
      </c>
      <c r="AQ1003" s="5" t="s">
        <v>1716</v>
      </c>
      <c r="AR1003" s="5" t="s">
        <v>1717</v>
      </c>
      <c r="AS1003" s="5" t="s">
        <v>1718</v>
      </c>
      <c r="AT1003" s="5" t="s">
        <v>1719</v>
      </c>
      <c r="AU1003" s="5" t="s">
        <v>1703</v>
      </c>
      <c r="AV1003" s="5" t="s">
        <v>1720</v>
      </c>
      <c r="AW1003" s="5" t="s">
        <v>2698</v>
      </c>
      <c r="AX1003" s="5" t="s">
        <v>2768</v>
      </c>
      <c r="AY1003" s="5">
        <v>51.0</v>
      </c>
      <c r="AZ1003" s="5">
        <v>-117.0</v>
      </c>
      <c r="BA1003" s="5">
        <v>10.0</v>
      </c>
    </row>
    <row r="1004" ht="14.25" customHeight="1">
      <c r="B1004" s="5">
        <v>12.0</v>
      </c>
      <c r="C1004" s="5" t="s">
        <v>1711</v>
      </c>
      <c r="D1004" s="5">
        <v>771.0</v>
      </c>
      <c r="E1004" s="5">
        <v>2218.0</v>
      </c>
      <c r="F1004" s="18" t="s">
        <v>3713</v>
      </c>
      <c r="G1004" s="5" t="s">
        <v>3714</v>
      </c>
      <c r="H1004" s="5" t="s">
        <v>3715</v>
      </c>
      <c r="I1004" s="5" t="s">
        <v>1664</v>
      </c>
      <c r="J1004" s="5" t="s">
        <v>1746</v>
      </c>
      <c r="K1004" s="5">
        <v>1.0</v>
      </c>
      <c r="L1004" s="5">
        <v>2621.0</v>
      </c>
      <c r="M1004" s="8"/>
      <c r="AK1004" s="9"/>
      <c r="AO1004" s="5" t="s">
        <v>3713</v>
      </c>
      <c r="AP1004" s="5">
        <v>771.0</v>
      </c>
      <c r="AQ1004" s="5" t="s">
        <v>1716</v>
      </c>
      <c r="AR1004" s="5" t="s">
        <v>1717</v>
      </c>
      <c r="AS1004" s="5" t="s">
        <v>1718</v>
      </c>
      <c r="AT1004" s="5" t="s">
        <v>1719</v>
      </c>
      <c r="AU1004" s="5" t="s">
        <v>1703</v>
      </c>
      <c r="AV1004" s="5" t="s">
        <v>1720</v>
      </c>
      <c r="AW1004" s="5" t="s">
        <v>2698</v>
      </c>
      <c r="AX1004" s="5" t="s">
        <v>2699</v>
      </c>
      <c r="AY1004" s="5">
        <v>51.5</v>
      </c>
      <c r="AZ1004" s="5">
        <v>-117.1</v>
      </c>
      <c r="BA1004" s="5">
        <v>11.0</v>
      </c>
    </row>
    <row r="1005" ht="14.25" customHeight="1">
      <c r="A1005" s="5" t="s">
        <v>422</v>
      </c>
      <c r="B1005" s="5">
        <v>12.0</v>
      </c>
      <c r="C1005" s="5" t="s">
        <v>1711</v>
      </c>
      <c r="D1005" s="5">
        <v>772.0</v>
      </c>
      <c r="E1005" s="5">
        <v>2219.0</v>
      </c>
      <c r="F1005" s="18" t="s">
        <v>3716</v>
      </c>
      <c r="G1005" s="5" t="s">
        <v>3717</v>
      </c>
      <c r="H1005" s="5" t="s">
        <v>3718</v>
      </c>
      <c r="I1005" s="5" t="s">
        <v>1664</v>
      </c>
      <c r="J1005" s="5" t="s">
        <v>1746</v>
      </c>
      <c r="K1005" s="5">
        <v>1.0</v>
      </c>
      <c r="L1005" s="5">
        <v>2622.0</v>
      </c>
      <c r="M1005" s="8"/>
      <c r="AK1005" s="9"/>
      <c r="AO1005" s="5" t="s">
        <v>3716</v>
      </c>
      <c r="AP1005" s="5">
        <v>772.0</v>
      </c>
      <c r="AQ1005" s="5" t="s">
        <v>1716</v>
      </c>
      <c r="AR1005" s="5" t="s">
        <v>1717</v>
      </c>
      <c r="AS1005" s="5" t="s">
        <v>1718</v>
      </c>
      <c r="AT1005" s="5" t="s">
        <v>1719</v>
      </c>
      <c r="AU1005" s="5" t="s">
        <v>1703</v>
      </c>
      <c r="AV1005" s="5" t="s">
        <v>1720</v>
      </c>
      <c r="AW1005" s="5" t="s">
        <v>2698</v>
      </c>
      <c r="AX1005" s="5" t="s">
        <v>2699</v>
      </c>
      <c r="AY1005" s="5">
        <v>51.8</v>
      </c>
      <c r="AZ1005" s="5">
        <v>-117.9</v>
      </c>
      <c r="BA1005" s="5">
        <v>11.0</v>
      </c>
    </row>
    <row r="1006" ht="14.25" customHeight="1">
      <c r="B1006" s="5">
        <v>12.0</v>
      </c>
      <c r="C1006" s="5" t="s">
        <v>1711</v>
      </c>
      <c r="D1006" s="5">
        <v>773.0</v>
      </c>
      <c r="E1006" s="5">
        <v>2220.0</v>
      </c>
      <c r="F1006" s="18" t="s">
        <v>3719</v>
      </c>
      <c r="G1006" s="5" t="s">
        <v>3720</v>
      </c>
      <c r="H1006" s="5" t="s">
        <v>3721</v>
      </c>
      <c r="I1006" s="5" t="s">
        <v>1664</v>
      </c>
      <c r="J1006" s="5" t="s">
        <v>1715</v>
      </c>
      <c r="K1006" s="5">
        <v>1.0</v>
      </c>
      <c r="L1006" s="5">
        <v>2623.0</v>
      </c>
      <c r="M1006" s="8"/>
      <c r="AK1006" s="9"/>
      <c r="AO1006" s="5" t="s">
        <v>3719</v>
      </c>
      <c r="AP1006" s="5">
        <v>773.0</v>
      </c>
      <c r="AQ1006" s="5" t="s">
        <v>1716</v>
      </c>
      <c r="AR1006" s="5" t="s">
        <v>1717</v>
      </c>
      <c r="AS1006" s="5" t="s">
        <v>1718</v>
      </c>
      <c r="AT1006" s="5" t="s">
        <v>1719</v>
      </c>
      <c r="AU1006" s="5" t="s">
        <v>1703</v>
      </c>
      <c r="AV1006" s="5" t="s">
        <v>1720</v>
      </c>
      <c r="AW1006" s="5" t="s">
        <v>2698</v>
      </c>
      <c r="AX1006" s="5" t="s">
        <v>2699</v>
      </c>
      <c r="AY1006" s="5">
        <v>51.5</v>
      </c>
      <c r="AZ1006" s="5">
        <v>-117.9</v>
      </c>
      <c r="BA1006" s="5">
        <v>13.0</v>
      </c>
    </row>
    <row r="1007" ht="14.25" customHeight="1">
      <c r="B1007" s="5">
        <v>12.0</v>
      </c>
      <c r="C1007" s="5" t="s">
        <v>1711</v>
      </c>
      <c r="D1007" s="5">
        <v>774.0</v>
      </c>
      <c r="E1007" s="5">
        <v>2221.0</v>
      </c>
      <c r="F1007" s="18" t="s">
        <v>3722</v>
      </c>
      <c r="G1007" s="5" t="s">
        <v>3723</v>
      </c>
      <c r="H1007" s="5" t="s">
        <v>3724</v>
      </c>
      <c r="I1007" s="5" t="s">
        <v>1664</v>
      </c>
      <c r="J1007" s="5" t="s">
        <v>1715</v>
      </c>
      <c r="K1007" s="5">
        <v>1.0</v>
      </c>
      <c r="L1007" s="5">
        <v>2624.0</v>
      </c>
      <c r="M1007" s="8"/>
      <c r="AK1007" s="9"/>
      <c r="AO1007" s="29" t="s">
        <v>3722</v>
      </c>
      <c r="AP1007" s="5">
        <v>774.0</v>
      </c>
      <c r="AQ1007" s="5" t="s">
        <v>1716</v>
      </c>
      <c r="AR1007" s="5" t="s">
        <v>1717</v>
      </c>
      <c r="AS1007" s="5" t="s">
        <v>1718</v>
      </c>
      <c r="AT1007" s="5" t="s">
        <v>1719</v>
      </c>
      <c r="AU1007" s="5" t="s">
        <v>1703</v>
      </c>
      <c r="AV1007" s="5" t="s">
        <v>1720</v>
      </c>
      <c r="AW1007" s="5" t="s">
        <v>2698</v>
      </c>
      <c r="AX1007" s="5" t="s">
        <v>2768</v>
      </c>
      <c r="AY1007" s="5">
        <v>50.9</v>
      </c>
      <c r="AZ1007" s="5">
        <v>-116.9</v>
      </c>
      <c r="BA1007" s="5">
        <v>14.0</v>
      </c>
    </row>
    <row r="1008" ht="14.25" customHeight="1">
      <c r="B1008" s="5">
        <v>12.0</v>
      </c>
      <c r="C1008" s="5" t="s">
        <v>1711</v>
      </c>
      <c r="D1008" s="5">
        <v>775.0</v>
      </c>
      <c r="E1008" s="5">
        <v>2222.0</v>
      </c>
      <c r="F1008" s="18" t="s">
        <v>3725</v>
      </c>
      <c r="G1008" s="5" t="s">
        <v>3726</v>
      </c>
      <c r="H1008" s="5" t="s">
        <v>3727</v>
      </c>
      <c r="I1008" s="5" t="s">
        <v>1664</v>
      </c>
      <c r="J1008" s="5" t="s">
        <v>1715</v>
      </c>
      <c r="K1008" s="5">
        <v>1.0</v>
      </c>
      <c r="L1008" s="5">
        <v>2625.0</v>
      </c>
      <c r="M1008" s="8"/>
      <c r="AK1008" s="9"/>
      <c r="AO1008" s="5" t="s">
        <v>3725</v>
      </c>
      <c r="AP1008" s="5">
        <v>775.0</v>
      </c>
      <c r="AQ1008" s="5" t="s">
        <v>1716</v>
      </c>
      <c r="AR1008" s="5" t="s">
        <v>1717</v>
      </c>
      <c r="AS1008" s="5" t="s">
        <v>1718</v>
      </c>
      <c r="AT1008" s="5" t="s">
        <v>1719</v>
      </c>
      <c r="AU1008" s="5" t="s">
        <v>1703</v>
      </c>
      <c r="AV1008" s="5" t="s">
        <v>1720</v>
      </c>
      <c r="AW1008" s="5" t="s">
        <v>2698</v>
      </c>
      <c r="AX1008" s="5" t="s">
        <v>2699</v>
      </c>
      <c r="AY1008" s="5">
        <v>51.5</v>
      </c>
      <c r="AZ1008" s="5">
        <v>-117.2</v>
      </c>
      <c r="BA1008" s="5">
        <v>9.0</v>
      </c>
    </row>
    <row r="1009" ht="14.25" customHeight="1">
      <c r="B1009" s="5">
        <v>12.0</v>
      </c>
      <c r="C1009" s="5" t="s">
        <v>1711</v>
      </c>
      <c r="D1009" s="5">
        <v>776.0</v>
      </c>
      <c r="E1009" s="5">
        <v>2223.0</v>
      </c>
      <c r="F1009" s="18" t="s">
        <v>3728</v>
      </c>
      <c r="G1009" s="5" t="s">
        <v>3729</v>
      </c>
      <c r="H1009" s="5" t="s">
        <v>3730</v>
      </c>
      <c r="I1009" s="5" t="s">
        <v>1664</v>
      </c>
      <c r="J1009" s="5" t="s">
        <v>1715</v>
      </c>
      <c r="K1009" s="5">
        <v>1.0</v>
      </c>
      <c r="L1009" s="5">
        <v>2626.0</v>
      </c>
      <c r="M1009" s="8"/>
      <c r="AK1009" s="9"/>
      <c r="AO1009" s="5" t="s">
        <v>3728</v>
      </c>
      <c r="AP1009" s="5">
        <v>776.0</v>
      </c>
      <c r="AQ1009" s="5" t="s">
        <v>1716</v>
      </c>
      <c r="AR1009" s="5" t="s">
        <v>1717</v>
      </c>
      <c r="AS1009" s="5" t="s">
        <v>1718</v>
      </c>
      <c r="AT1009" s="5" t="s">
        <v>1719</v>
      </c>
      <c r="AU1009" s="5" t="s">
        <v>1703</v>
      </c>
      <c r="AV1009" s="5" t="s">
        <v>1720</v>
      </c>
      <c r="AW1009" s="5" t="s">
        <v>2698</v>
      </c>
      <c r="AX1009" s="5" t="s">
        <v>2699</v>
      </c>
      <c r="AY1009" s="5">
        <v>51.4</v>
      </c>
      <c r="AZ1009" s="5">
        <v>-117.5</v>
      </c>
      <c r="BA1009" s="5">
        <v>11.0</v>
      </c>
    </row>
    <row r="1010" ht="14.25" customHeight="1">
      <c r="B1010" s="5">
        <v>12.0</v>
      </c>
      <c r="C1010" s="5" t="s">
        <v>1711</v>
      </c>
      <c r="D1010" s="5">
        <v>777.0</v>
      </c>
      <c r="E1010" s="5">
        <v>2224.0</v>
      </c>
      <c r="F1010" s="18" t="s">
        <v>3731</v>
      </c>
      <c r="G1010" s="5" t="s">
        <v>3732</v>
      </c>
      <c r="H1010" s="5" t="s">
        <v>3733</v>
      </c>
      <c r="I1010" s="5" t="s">
        <v>1664</v>
      </c>
      <c r="J1010" s="5" t="s">
        <v>1715</v>
      </c>
      <c r="K1010" s="5">
        <v>1.0</v>
      </c>
      <c r="L1010" s="5">
        <v>2627.0</v>
      </c>
      <c r="M1010" s="8"/>
      <c r="AK1010" s="9"/>
      <c r="AO1010" s="5" t="s">
        <v>3731</v>
      </c>
      <c r="AP1010" s="5">
        <v>777.0</v>
      </c>
      <c r="AQ1010" s="5" t="s">
        <v>1716</v>
      </c>
      <c r="AR1010" s="5" t="s">
        <v>1717</v>
      </c>
      <c r="AS1010" s="5" t="s">
        <v>1718</v>
      </c>
      <c r="AT1010" s="5" t="s">
        <v>1719</v>
      </c>
      <c r="AU1010" s="5" t="s">
        <v>1703</v>
      </c>
      <c r="AV1010" s="5" t="s">
        <v>1720</v>
      </c>
      <c r="AW1010" s="5" t="s">
        <v>2698</v>
      </c>
      <c r="AX1010" s="5" t="s">
        <v>2699</v>
      </c>
      <c r="AY1010" s="5">
        <v>51.5</v>
      </c>
      <c r="AZ1010" s="5">
        <v>-117.5</v>
      </c>
      <c r="BA1010" s="5">
        <v>5.0</v>
      </c>
    </row>
    <row r="1011" ht="14.25" customHeight="1">
      <c r="B1011" s="5">
        <v>12.0</v>
      </c>
      <c r="C1011" s="5" t="s">
        <v>1711</v>
      </c>
      <c r="D1011" s="5">
        <v>779.0</v>
      </c>
      <c r="E1011" s="5">
        <v>2226.0</v>
      </c>
      <c r="F1011" s="18" t="s">
        <v>3734</v>
      </c>
      <c r="G1011" s="5" t="s">
        <v>3735</v>
      </c>
      <c r="H1011" s="5" t="s">
        <v>3736</v>
      </c>
      <c r="I1011" s="5" t="s">
        <v>1664</v>
      </c>
      <c r="J1011" s="5" t="s">
        <v>1746</v>
      </c>
      <c r="K1011" s="5">
        <v>1.0</v>
      </c>
      <c r="L1011" s="5">
        <v>2629.0</v>
      </c>
      <c r="M1011" s="64"/>
      <c r="N1011" s="36"/>
      <c r="P1011" s="36"/>
      <c r="R1011" s="36"/>
      <c r="T1011" s="37"/>
      <c r="W1011" s="36"/>
      <c r="AK1011" s="9"/>
      <c r="AO1011" s="5" t="s">
        <v>3734</v>
      </c>
      <c r="AP1011" s="5">
        <v>779.0</v>
      </c>
      <c r="AQ1011" s="5" t="s">
        <v>1716</v>
      </c>
      <c r="AR1011" s="5" t="s">
        <v>1717</v>
      </c>
      <c r="AS1011" s="5" t="s">
        <v>1718</v>
      </c>
      <c r="AT1011" s="5" t="s">
        <v>1719</v>
      </c>
      <c r="AU1011" s="5" t="s">
        <v>1703</v>
      </c>
      <c r="AV1011" s="5" t="s">
        <v>1720</v>
      </c>
      <c r="AW1011" s="5" t="s">
        <v>2698</v>
      </c>
      <c r="AX1011" s="5" t="s">
        <v>2699</v>
      </c>
      <c r="AY1011" s="5">
        <v>51.4</v>
      </c>
      <c r="AZ1011" s="5">
        <v>-117.1</v>
      </c>
      <c r="BA1011" s="5">
        <v>13.0</v>
      </c>
    </row>
    <row r="1012" ht="14.25" customHeight="1">
      <c r="A1012" s="5" t="s">
        <v>422</v>
      </c>
      <c r="B1012" s="5">
        <v>12.0</v>
      </c>
      <c r="C1012" s="5" t="s">
        <v>1711</v>
      </c>
      <c r="D1012" s="5">
        <v>780.0</v>
      </c>
      <c r="E1012" s="5">
        <v>2227.0</v>
      </c>
      <c r="F1012" s="18" t="s">
        <v>3737</v>
      </c>
      <c r="G1012" s="5" t="s">
        <v>3738</v>
      </c>
      <c r="H1012" s="5" t="s">
        <v>3739</v>
      </c>
      <c r="I1012" s="5" t="s">
        <v>1664</v>
      </c>
      <c r="J1012" s="5" t="s">
        <v>1746</v>
      </c>
      <c r="K1012" s="5">
        <v>1.0</v>
      </c>
      <c r="L1012" s="5">
        <v>2630.0</v>
      </c>
      <c r="M1012" s="8"/>
      <c r="AK1012" s="9"/>
      <c r="AO1012" s="5" t="s">
        <v>3737</v>
      </c>
      <c r="AP1012" s="5">
        <v>780.0</v>
      </c>
      <c r="AQ1012" s="5" t="s">
        <v>1716</v>
      </c>
      <c r="AR1012" s="5" t="s">
        <v>1717</v>
      </c>
      <c r="AS1012" s="5" t="s">
        <v>1718</v>
      </c>
      <c r="AT1012" s="5" t="s">
        <v>1719</v>
      </c>
      <c r="AU1012" s="5" t="s">
        <v>1703</v>
      </c>
      <c r="AV1012" s="5" t="s">
        <v>1720</v>
      </c>
      <c r="AW1012" s="5" t="s">
        <v>2698</v>
      </c>
      <c r="AX1012" s="5" t="s">
        <v>2797</v>
      </c>
      <c r="AY1012" s="5">
        <v>50.8</v>
      </c>
      <c r="AZ1012" s="5">
        <v>-117.8</v>
      </c>
      <c r="BA1012" s="5">
        <v>12.0</v>
      </c>
    </row>
    <row r="1013" ht="14.25" customHeight="1">
      <c r="A1013" s="5" t="s">
        <v>422</v>
      </c>
      <c r="B1013" s="5">
        <v>12.0</v>
      </c>
      <c r="C1013" s="5" t="s">
        <v>1711</v>
      </c>
      <c r="D1013" s="5">
        <v>781.0</v>
      </c>
      <c r="E1013" s="5">
        <v>2228.0</v>
      </c>
      <c r="F1013" s="18" t="s">
        <v>3740</v>
      </c>
      <c r="G1013" s="5" t="s">
        <v>3741</v>
      </c>
      <c r="H1013" s="5" t="s">
        <v>3742</v>
      </c>
      <c r="I1013" s="5" t="s">
        <v>1664</v>
      </c>
      <c r="J1013" s="5" t="s">
        <v>1746</v>
      </c>
      <c r="K1013" s="5">
        <v>1.0</v>
      </c>
      <c r="L1013" s="5">
        <v>2631.0</v>
      </c>
      <c r="M1013" s="8"/>
      <c r="W1013" s="36"/>
      <c r="AK1013" s="9"/>
      <c r="AO1013" s="5" t="s">
        <v>3740</v>
      </c>
      <c r="AP1013" s="5">
        <v>781.0</v>
      </c>
      <c r="AQ1013" s="5" t="s">
        <v>1716</v>
      </c>
      <c r="AR1013" s="5" t="s">
        <v>1717</v>
      </c>
      <c r="AS1013" s="5" t="s">
        <v>1718</v>
      </c>
      <c r="AT1013" s="5" t="s">
        <v>1719</v>
      </c>
      <c r="AU1013" s="5" t="s">
        <v>1703</v>
      </c>
      <c r="AV1013" s="5" t="s">
        <v>1720</v>
      </c>
      <c r="AW1013" s="5" t="s">
        <v>2698</v>
      </c>
      <c r="AX1013" s="5" t="s">
        <v>2699</v>
      </c>
      <c r="AY1013" s="5">
        <v>51.5</v>
      </c>
      <c r="AZ1013" s="5">
        <v>-117.2</v>
      </c>
      <c r="BA1013" s="5">
        <v>13.0</v>
      </c>
    </row>
    <row r="1014" ht="14.25" customHeight="1">
      <c r="A1014" s="5" t="s">
        <v>422</v>
      </c>
      <c r="B1014" s="5">
        <v>12.0</v>
      </c>
      <c r="C1014" s="5" t="s">
        <v>1711</v>
      </c>
      <c r="D1014" s="5">
        <v>782.0</v>
      </c>
      <c r="E1014" s="5">
        <v>2229.0</v>
      </c>
      <c r="F1014" s="18" t="s">
        <v>3743</v>
      </c>
      <c r="G1014" s="5" t="s">
        <v>3744</v>
      </c>
      <c r="H1014" s="5" t="s">
        <v>3745</v>
      </c>
      <c r="I1014" s="5" t="s">
        <v>1664</v>
      </c>
      <c r="J1014" s="5" t="s">
        <v>1746</v>
      </c>
      <c r="K1014" s="5">
        <v>1.0</v>
      </c>
      <c r="L1014" s="5">
        <v>2632.0</v>
      </c>
      <c r="M1014" s="64"/>
      <c r="N1014" s="36"/>
      <c r="P1014" s="36"/>
      <c r="R1014" s="36"/>
      <c r="T1014" s="37"/>
      <c r="AK1014" s="9"/>
      <c r="AO1014" s="5" t="s">
        <v>3743</v>
      </c>
      <c r="AP1014" s="5">
        <v>782.0</v>
      </c>
      <c r="AQ1014" s="5" t="s">
        <v>1716</v>
      </c>
      <c r="AR1014" s="5" t="s">
        <v>1717</v>
      </c>
      <c r="AS1014" s="5" t="s">
        <v>1718</v>
      </c>
      <c r="AT1014" s="5" t="s">
        <v>1719</v>
      </c>
      <c r="AU1014" s="5" t="s">
        <v>1703</v>
      </c>
      <c r="AV1014" s="5" t="s">
        <v>1720</v>
      </c>
      <c r="AW1014" s="5" t="s">
        <v>2698</v>
      </c>
      <c r="AX1014" s="5" t="s">
        <v>2699</v>
      </c>
      <c r="AY1014" s="5">
        <v>52.0</v>
      </c>
      <c r="AZ1014" s="5">
        <v>-117.5</v>
      </c>
      <c r="BA1014" s="5">
        <v>10.0</v>
      </c>
    </row>
    <row r="1015" ht="14.25" customHeight="1">
      <c r="A1015" s="5" t="s">
        <v>422</v>
      </c>
      <c r="B1015" s="5">
        <v>12.0</v>
      </c>
      <c r="C1015" s="5" t="s">
        <v>1711</v>
      </c>
      <c r="D1015" s="5">
        <v>783.0</v>
      </c>
      <c r="E1015" s="5">
        <v>2230.0</v>
      </c>
      <c r="F1015" s="18" t="s">
        <v>3746</v>
      </c>
      <c r="G1015" s="5" t="s">
        <v>3747</v>
      </c>
      <c r="H1015" s="5" t="s">
        <v>3748</v>
      </c>
      <c r="I1015" s="5" t="s">
        <v>1664</v>
      </c>
      <c r="J1015" s="5" t="s">
        <v>1746</v>
      </c>
      <c r="K1015" s="5">
        <v>1.0</v>
      </c>
      <c r="L1015" s="5">
        <v>2633.0</v>
      </c>
      <c r="M1015" s="8"/>
      <c r="AK1015" s="9"/>
      <c r="AO1015" s="5" t="s">
        <v>3746</v>
      </c>
      <c r="AP1015" s="5">
        <v>783.0</v>
      </c>
      <c r="AQ1015" s="5" t="s">
        <v>1716</v>
      </c>
      <c r="AR1015" s="5" t="s">
        <v>1717</v>
      </c>
      <c r="AS1015" s="5" t="s">
        <v>1718</v>
      </c>
      <c r="AT1015" s="5" t="s">
        <v>1719</v>
      </c>
      <c r="AU1015" s="5" t="s">
        <v>1703</v>
      </c>
      <c r="AV1015" s="5" t="s">
        <v>1720</v>
      </c>
      <c r="AW1015" s="5" t="s">
        <v>2698</v>
      </c>
      <c r="AX1015" s="5" t="s">
        <v>2801</v>
      </c>
      <c r="AY1015" s="5">
        <v>50.0</v>
      </c>
      <c r="AZ1015" s="5">
        <v>-117.0</v>
      </c>
      <c r="BA1015" s="5">
        <v>11.0</v>
      </c>
    </row>
    <row r="1016" ht="14.25" customHeight="1">
      <c r="B1016" s="5">
        <v>12.0</v>
      </c>
      <c r="C1016" s="5" t="s">
        <v>1711</v>
      </c>
      <c r="D1016" s="5">
        <v>784.0</v>
      </c>
      <c r="E1016" s="5">
        <v>2231.0</v>
      </c>
      <c r="F1016" s="18" t="s">
        <v>3749</v>
      </c>
      <c r="G1016" s="5" t="s">
        <v>3750</v>
      </c>
      <c r="H1016" s="5" t="s">
        <v>3751</v>
      </c>
      <c r="I1016" s="5" t="s">
        <v>1664</v>
      </c>
      <c r="J1016" s="5" t="s">
        <v>1715</v>
      </c>
      <c r="K1016" s="5">
        <v>1.0</v>
      </c>
      <c r="L1016" s="5">
        <v>2634.0</v>
      </c>
      <c r="M1016" s="64"/>
      <c r="N1016" s="36"/>
      <c r="R1016" s="36"/>
      <c r="T1016" s="37"/>
      <c r="W1016" s="36"/>
      <c r="AK1016" s="9"/>
      <c r="AO1016" s="5" t="s">
        <v>3749</v>
      </c>
      <c r="AP1016" s="5">
        <v>784.0</v>
      </c>
      <c r="AQ1016" s="5" t="s">
        <v>1716</v>
      </c>
      <c r="AR1016" s="5" t="s">
        <v>1717</v>
      </c>
      <c r="AS1016" s="5" t="s">
        <v>1718</v>
      </c>
      <c r="AT1016" s="5" t="s">
        <v>1719</v>
      </c>
      <c r="AU1016" s="5" t="s">
        <v>1703</v>
      </c>
      <c r="AV1016" s="5" t="s">
        <v>1720</v>
      </c>
      <c r="AW1016" s="5" t="s">
        <v>2698</v>
      </c>
      <c r="AX1016" s="5" t="s">
        <v>2827</v>
      </c>
      <c r="AY1016" s="5">
        <v>49.2</v>
      </c>
      <c r="AZ1016" s="5">
        <v>-118.4</v>
      </c>
      <c r="BA1016" s="5">
        <v>10.0</v>
      </c>
    </row>
    <row r="1017" ht="14.25" customHeight="1">
      <c r="B1017" s="5">
        <v>12.0</v>
      </c>
      <c r="C1017" s="5" t="s">
        <v>1711</v>
      </c>
      <c r="D1017" s="5">
        <v>785.0</v>
      </c>
      <c r="E1017" s="5">
        <v>2232.0</v>
      </c>
      <c r="F1017" s="18" t="s">
        <v>3752</v>
      </c>
      <c r="G1017" s="5" t="s">
        <v>3753</v>
      </c>
      <c r="H1017" s="5" t="s">
        <v>3253</v>
      </c>
      <c r="I1017" s="5" t="s">
        <v>1664</v>
      </c>
      <c r="J1017" s="5" t="s">
        <v>1715</v>
      </c>
      <c r="K1017" s="5">
        <v>1.0</v>
      </c>
      <c r="L1017" s="5">
        <v>2635.0</v>
      </c>
      <c r="M1017" s="64"/>
      <c r="N1017" s="36"/>
      <c r="R1017" s="36"/>
      <c r="T1017" s="37"/>
      <c r="W1017" s="36"/>
      <c r="AK1017" s="9"/>
      <c r="AO1017" s="5" t="s">
        <v>3752</v>
      </c>
      <c r="AP1017" s="5">
        <v>785.0</v>
      </c>
      <c r="AQ1017" s="5" t="s">
        <v>1716</v>
      </c>
      <c r="AR1017" s="5" t="s">
        <v>1717</v>
      </c>
      <c r="AS1017" s="5" t="s">
        <v>1718</v>
      </c>
      <c r="AT1017" s="5" t="s">
        <v>1719</v>
      </c>
      <c r="AU1017" s="5" t="s">
        <v>1703</v>
      </c>
      <c r="AV1017" s="5" t="s">
        <v>1720</v>
      </c>
      <c r="AW1017" s="5" t="s">
        <v>2698</v>
      </c>
      <c r="AX1017" s="5" t="s">
        <v>2827</v>
      </c>
      <c r="AY1017" s="5">
        <v>49.1</v>
      </c>
      <c r="AZ1017" s="5">
        <v>-118.1</v>
      </c>
      <c r="BA1017" s="5">
        <v>11.0</v>
      </c>
    </row>
    <row r="1018" ht="14.25" customHeight="1">
      <c r="B1018" s="5">
        <v>12.0</v>
      </c>
      <c r="C1018" s="5" t="s">
        <v>1711</v>
      </c>
      <c r="D1018" s="5">
        <v>786.0</v>
      </c>
      <c r="E1018" s="5">
        <v>2233.0</v>
      </c>
      <c r="F1018" s="18" t="s">
        <v>3754</v>
      </c>
      <c r="G1018" s="5" t="s">
        <v>3755</v>
      </c>
      <c r="H1018" s="5" t="s">
        <v>3756</v>
      </c>
      <c r="I1018" s="5" t="s">
        <v>1664</v>
      </c>
      <c r="J1018" s="5" t="s">
        <v>1746</v>
      </c>
      <c r="K1018" s="5">
        <v>1.0</v>
      </c>
      <c r="L1018" s="5">
        <v>2636.0</v>
      </c>
      <c r="M1018" s="8"/>
      <c r="W1018" s="36"/>
      <c r="AK1018" s="9"/>
      <c r="AO1018" s="5" t="s">
        <v>3754</v>
      </c>
      <c r="AP1018" s="5">
        <v>786.0</v>
      </c>
      <c r="AQ1018" s="5" t="s">
        <v>1716</v>
      </c>
      <c r="AR1018" s="5" t="s">
        <v>1717</v>
      </c>
      <c r="AS1018" s="5" t="s">
        <v>1718</v>
      </c>
      <c r="AT1018" s="5" t="s">
        <v>1719</v>
      </c>
      <c r="AU1018" s="5" t="s">
        <v>1703</v>
      </c>
      <c r="AV1018" s="5" t="s">
        <v>1720</v>
      </c>
      <c r="AW1018" s="5" t="s">
        <v>2698</v>
      </c>
      <c r="AX1018" s="5" t="s">
        <v>2827</v>
      </c>
      <c r="AY1018" s="5">
        <v>49.2</v>
      </c>
      <c r="AZ1018" s="5">
        <v>-118.5</v>
      </c>
      <c r="BA1018" s="5">
        <v>8.0</v>
      </c>
    </row>
    <row r="1019" ht="14.25" customHeight="1">
      <c r="B1019" s="5">
        <v>12.0</v>
      </c>
      <c r="C1019" s="5" t="s">
        <v>1711</v>
      </c>
      <c r="D1019" s="5">
        <v>787.0</v>
      </c>
      <c r="E1019" s="5">
        <v>2234.0</v>
      </c>
      <c r="F1019" s="18" t="s">
        <v>3757</v>
      </c>
      <c r="G1019" s="5" t="s">
        <v>3758</v>
      </c>
      <c r="H1019" s="5" t="s">
        <v>3759</v>
      </c>
      <c r="I1019" s="5" t="s">
        <v>641</v>
      </c>
      <c r="J1019" s="5" t="s">
        <v>1715</v>
      </c>
      <c r="K1019" s="5">
        <v>1.0</v>
      </c>
      <c r="L1019" s="5">
        <v>2637.0</v>
      </c>
      <c r="M1019" s="64"/>
      <c r="N1019" s="36"/>
      <c r="R1019" s="36"/>
      <c r="T1019" s="37"/>
      <c r="W1019" s="36"/>
      <c r="AK1019" s="9"/>
      <c r="AO1019" s="5" t="s">
        <v>3757</v>
      </c>
      <c r="AP1019" s="5">
        <v>787.0</v>
      </c>
      <c r="AQ1019" s="5" t="s">
        <v>1716</v>
      </c>
      <c r="AR1019" s="5" t="s">
        <v>1717</v>
      </c>
      <c r="AS1019" s="5" t="s">
        <v>1718</v>
      </c>
      <c r="AT1019" s="5" t="s">
        <v>1703</v>
      </c>
      <c r="AU1019" s="5" t="s">
        <v>1703</v>
      </c>
      <c r="AV1019" s="5" t="s">
        <v>1720</v>
      </c>
      <c r="AW1019" s="5" t="s">
        <v>2698</v>
      </c>
      <c r="AX1019" s="5" t="s">
        <v>2801</v>
      </c>
      <c r="AY1019" s="5">
        <v>49.04</v>
      </c>
      <c r="AZ1019" s="5">
        <v>-116.9383</v>
      </c>
      <c r="BA1019" s="5">
        <v>1507.0</v>
      </c>
    </row>
    <row r="1020" ht="14.25" customHeight="1">
      <c r="A1020" s="5" t="s">
        <v>88</v>
      </c>
      <c r="B1020" s="5">
        <v>12.0</v>
      </c>
      <c r="C1020" s="5" t="s">
        <v>1711</v>
      </c>
      <c r="D1020" s="5">
        <v>788.0</v>
      </c>
      <c r="E1020" s="5">
        <v>2235.0</v>
      </c>
      <c r="F1020" s="5" t="s">
        <v>3760</v>
      </c>
      <c r="G1020" s="28" t="s">
        <v>3761</v>
      </c>
      <c r="H1020" s="5" t="s">
        <v>3762</v>
      </c>
      <c r="I1020" s="5" t="s">
        <v>641</v>
      </c>
      <c r="J1020" s="5" t="s">
        <v>1891</v>
      </c>
      <c r="K1020" s="5">
        <v>1.0</v>
      </c>
      <c r="L1020" s="5">
        <v>2638.0</v>
      </c>
      <c r="M1020" s="64">
        <v>50.0867</v>
      </c>
      <c r="N1020" s="36">
        <v>-114.8997</v>
      </c>
      <c r="O1020" s="11" t="s">
        <v>170</v>
      </c>
      <c r="P1020" s="11">
        <v>788.0</v>
      </c>
      <c r="Q1020" s="22">
        <v>5.0</v>
      </c>
      <c r="R1020" s="36" t="s">
        <v>3760</v>
      </c>
      <c r="S1020" s="11" t="s">
        <v>1737</v>
      </c>
      <c r="T1020" s="37">
        <v>1647.0</v>
      </c>
      <c r="U1020" s="11"/>
      <c r="V1020" s="11"/>
      <c r="W1020" s="23">
        <v>36892.0</v>
      </c>
      <c r="X1020" s="11" t="s">
        <v>1738</v>
      </c>
      <c r="AK1020" s="9"/>
      <c r="AO1020" s="5" t="s">
        <v>3760</v>
      </c>
      <c r="AP1020" s="5">
        <v>788.0</v>
      </c>
      <c r="AQ1020" s="5" t="s">
        <v>1700</v>
      </c>
      <c r="AR1020" s="5" t="s">
        <v>1739</v>
      </c>
      <c r="AS1020" s="5" t="s">
        <v>1740</v>
      </c>
      <c r="AT1020" s="5" t="s">
        <v>1741</v>
      </c>
      <c r="AU1020" s="5" t="s">
        <v>1959</v>
      </c>
      <c r="AV1020" s="5" t="s">
        <v>1720</v>
      </c>
      <c r="AW1020" s="5" t="s">
        <v>2698</v>
      </c>
      <c r="AX1020" s="5" t="s">
        <v>2902</v>
      </c>
      <c r="AY1020" s="5">
        <v>50.082</v>
      </c>
      <c r="AZ1020" s="5">
        <v>-114.9004</v>
      </c>
      <c r="BA1020" s="5">
        <v>1647.0</v>
      </c>
    </row>
    <row r="1021" ht="14.25" customHeight="1">
      <c r="A1021" s="5" t="s">
        <v>2037</v>
      </c>
      <c r="B1021" s="5">
        <v>12.0</v>
      </c>
      <c r="C1021" s="5" t="s">
        <v>1711</v>
      </c>
      <c r="D1021" s="5">
        <v>789.0</v>
      </c>
      <c r="E1021" s="5">
        <v>2236.0</v>
      </c>
      <c r="F1021" s="10" t="s">
        <v>3763</v>
      </c>
      <c r="G1021" s="5" t="s">
        <v>3764</v>
      </c>
      <c r="H1021" s="5" t="s">
        <v>3765</v>
      </c>
      <c r="I1021" s="5" t="s">
        <v>641</v>
      </c>
      <c r="J1021" s="5" t="s">
        <v>1891</v>
      </c>
      <c r="K1021" s="5">
        <v>1.0</v>
      </c>
      <c r="L1021" s="5">
        <v>2639.0</v>
      </c>
      <c r="M1021" s="8">
        <v>49.4539</v>
      </c>
      <c r="N1021" s="11">
        <v>-115.9872</v>
      </c>
      <c r="O1021" s="11" t="s">
        <v>170</v>
      </c>
      <c r="P1021" s="11">
        <v>789.0</v>
      </c>
      <c r="Q1021" s="22">
        <v>5.0</v>
      </c>
      <c r="R1021" s="11" t="s">
        <v>3766</v>
      </c>
      <c r="S1021" s="11" t="s">
        <v>1737</v>
      </c>
      <c r="T1021" s="11">
        <v>1572.0</v>
      </c>
      <c r="U1021" s="11"/>
      <c r="V1021" s="11"/>
      <c r="W1021" s="68">
        <v>36892.0</v>
      </c>
      <c r="X1021" s="11" t="s">
        <v>1738</v>
      </c>
      <c r="AK1021" s="9"/>
      <c r="AO1021" s="5" t="s">
        <v>3767</v>
      </c>
      <c r="AP1021" s="5">
        <v>789.0</v>
      </c>
      <c r="AQ1021" s="5" t="s">
        <v>1716</v>
      </c>
      <c r="AR1021" s="5" t="s">
        <v>2441</v>
      </c>
      <c r="AS1021" s="5" t="s">
        <v>1740</v>
      </c>
      <c r="AT1021" s="5" t="s">
        <v>1835</v>
      </c>
      <c r="AU1021" s="5" t="s">
        <v>1959</v>
      </c>
      <c r="AV1021" s="5" t="s">
        <v>1720</v>
      </c>
      <c r="AW1021" s="5" t="s">
        <v>2698</v>
      </c>
      <c r="AX1021" s="5" t="s">
        <v>2902</v>
      </c>
      <c r="AY1021" s="5">
        <v>49.4539</v>
      </c>
      <c r="AZ1021" s="5">
        <v>-115.9872</v>
      </c>
      <c r="BA1021" s="5">
        <v>1572.0</v>
      </c>
    </row>
    <row r="1022" ht="14.25" customHeight="1">
      <c r="A1022" s="5" t="s">
        <v>88</v>
      </c>
      <c r="B1022" s="5">
        <v>12.0</v>
      </c>
      <c r="C1022" s="5" t="s">
        <v>1711</v>
      </c>
      <c r="D1022" s="5">
        <v>790.0</v>
      </c>
      <c r="E1022" s="5">
        <v>2237.0</v>
      </c>
      <c r="F1022" s="5" t="s">
        <v>3768</v>
      </c>
      <c r="G1022" s="10" t="s">
        <v>3769</v>
      </c>
      <c r="H1022" s="5" t="s">
        <v>3770</v>
      </c>
      <c r="I1022" s="5" t="s">
        <v>641</v>
      </c>
      <c r="J1022" s="5" t="s">
        <v>1865</v>
      </c>
      <c r="K1022" s="5">
        <v>1.0</v>
      </c>
      <c r="L1022" s="5">
        <v>2640.0</v>
      </c>
      <c r="M1022" s="8">
        <v>50.185</v>
      </c>
      <c r="N1022" s="11">
        <v>-115.266</v>
      </c>
      <c r="O1022" s="11" t="s">
        <v>170</v>
      </c>
      <c r="P1022" s="11">
        <v>790.0</v>
      </c>
      <c r="Q1022" s="22">
        <v>4.0</v>
      </c>
      <c r="R1022" s="11" t="s">
        <v>3768</v>
      </c>
      <c r="S1022" s="11" t="s">
        <v>1737</v>
      </c>
      <c r="T1022" s="11">
        <v>1357.0</v>
      </c>
      <c r="U1022" s="11"/>
      <c r="V1022" s="11"/>
      <c r="W1022" s="23">
        <v>32509.0</v>
      </c>
      <c r="AK1022" s="9"/>
      <c r="AO1022" s="5" t="s">
        <v>3768</v>
      </c>
      <c r="AP1022" s="5">
        <v>790.0</v>
      </c>
      <c r="AQ1022" s="5" t="s">
        <v>1716</v>
      </c>
      <c r="AR1022" s="5" t="s">
        <v>1739</v>
      </c>
      <c r="AS1022" s="5" t="s">
        <v>1740</v>
      </c>
      <c r="AT1022" s="5" t="s">
        <v>1741</v>
      </c>
      <c r="AU1022" s="5" t="s">
        <v>1742</v>
      </c>
      <c r="AV1022" s="5" t="s">
        <v>1720</v>
      </c>
      <c r="AW1022" s="5" t="s">
        <v>2698</v>
      </c>
      <c r="AX1022" s="5" t="s">
        <v>2768</v>
      </c>
      <c r="AY1022" s="5">
        <v>50.185</v>
      </c>
      <c r="AZ1022" s="5">
        <v>-115.2676</v>
      </c>
      <c r="BA1022" s="5">
        <v>1357.0</v>
      </c>
    </row>
    <row r="1023" ht="14.25" customHeight="1">
      <c r="B1023" s="5">
        <v>12.0</v>
      </c>
      <c r="C1023" s="5" t="s">
        <v>1711</v>
      </c>
      <c r="D1023" s="5">
        <v>791.0</v>
      </c>
      <c r="E1023" s="5">
        <v>2238.0</v>
      </c>
      <c r="F1023" s="5" t="s">
        <v>3771</v>
      </c>
      <c r="G1023" s="5" t="s">
        <v>3772</v>
      </c>
      <c r="H1023" s="5" t="s">
        <v>3773</v>
      </c>
      <c r="I1023" s="5" t="s">
        <v>641</v>
      </c>
      <c r="J1023" s="5" t="s">
        <v>1865</v>
      </c>
      <c r="K1023" s="5">
        <v>1.0</v>
      </c>
      <c r="L1023" s="5">
        <v>2641.0</v>
      </c>
      <c r="M1023" s="8">
        <v>49.188</v>
      </c>
      <c r="N1023" s="11">
        <v>-115.542</v>
      </c>
      <c r="O1023" s="11" t="s">
        <v>170</v>
      </c>
      <c r="P1023" s="11">
        <v>791.0</v>
      </c>
      <c r="Q1023" s="22">
        <v>4.0</v>
      </c>
      <c r="R1023" s="11" t="s">
        <v>3771</v>
      </c>
      <c r="S1023" s="11" t="s">
        <v>1737</v>
      </c>
      <c r="T1023" s="11">
        <v>1372.0</v>
      </c>
      <c r="U1023" s="11"/>
      <c r="V1023" s="11"/>
      <c r="W1023" s="23">
        <v>32509.0</v>
      </c>
      <c r="X1023" s="11" t="s">
        <v>1738</v>
      </c>
      <c r="AK1023" s="9"/>
      <c r="AO1023" s="5" t="s">
        <v>3771</v>
      </c>
      <c r="AP1023" s="5">
        <v>791.0</v>
      </c>
      <c r="AQ1023" s="5" t="s">
        <v>1700</v>
      </c>
      <c r="AR1023" s="5" t="s">
        <v>1739</v>
      </c>
      <c r="AS1023" s="5" t="s">
        <v>1740</v>
      </c>
      <c r="AT1023" s="5" t="s">
        <v>1741</v>
      </c>
      <c r="AU1023" s="5" t="s">
        <v>1959</v>
      </c>
      <c r="AV1023" s="5" t="s">
        <v>1720</v>
      </c>
      <c r="AW1023" s="5" t="s">
        <v>2698</v>
      </c>
      <c r="AX1023" s="5" t="s">
        <v>2902</v>
      </c>
      <c r="AY1023" s="5">
        <v>49.1878</v>
      </c>
      <c r="AZ1023" s="5">
        <v>-115.5417</v>
      </c>
      <c r="BA1023" s="5">
        <v>1372.0</v>
      </c>
    </row>
    <row r="1024" ht="14.25" customHeight="1">
      <c r="B1024" s="5">
        <v>12.0</v>
      </c>
      <c r="C1024" s="5" t="s">
        <v>1711</v>
      </c>
      <c r="D1024" s="5">
        <v>792.0</v>
      </c>
      <c r="E1024" s="5">
        <v>2239.0</v>
      </c>
      <c r="F1024" s="18" t="s">
        <v>3774</v>
      </c>
      <c r="G1024" s="5" t="s">
        <v>3775</v>
      </c>
      <c r="H1024" s="5" t="s">
        <v>3776</v>
      </c>
      <c r="I1024" s="5" t="s">
        <v>1664</v>
      </c>
      <c r="J1024" s="5" t="s">
        <v>1715</v>
      </c>
      <c r="K1024" s="5">
        <v>1.0</v>
      </c>
      <c r="L1024" s="5">
        <v>2642.0</v>
      </c>
      <c r="M1024" s="64"/>
      <c r="N1024" s="36"/>
      <c r="R1024" s="36"/>
      <c r="T1024" s="37"/>
      <c r="AK1024" s="9"/>
      <c r="AO1024" s="5" t="s">
        <v>3774</v>
      </c>
      <c r="AP1024" s="5">
        <v>792.0</v>
      </c>
      <c r="AQ1024" s="5" t="s">
        <v>1716</v>
      </c>
      <c r="AR1024" s="5" t="s">
        <v>1717</v>
      </c>
      <c r="AS1024" s="5" t="s">
        <v>1718</v>
      </c>
      <c r="AT1024" s="5" t="s">
        <v>1719</v>
      </c>
      <c r="AU1024" s="5" t="s">
        <v>1703</v>
      </c>
      <c r="AV1024" s="5" t="s">
        <v>1720</v>
      </c>
      <c r="AW1024" s="5" t="s">
        <v>2698</v>
      </c>
      <c r="AX1024" s="5" t="s">
        <v>2768</v>
      </c>
      <c r="AY1024" s="5">
        <v>50.3</v>
      </c>
      <c r="AZ1024" s="5">
        <v>-115.3</v>
      </c>
      <c r="BA1024" s="5">
        <v>16.0</v>
      </c>
    </row>
    <row r="1025" ht="14.25" customHeight="1">
      <c r="A1025" s="5" t="s">
        <v>88</v>
      </c>
      <c r="B1025" s="5">
        <v>12.0</v>
      </c>
      <c r="C1025" s="5" t="s">
        <v>1711</v>
      </c>
      <c r="D1025" s="5">
        <v>793.0</v>
      </c>
      <c r="E1025" s="5">
        <v>2240.0</v>
      </c>
      <c r="F1025" s="5" t="s">
        <v>3777</v>
      </c>
      <c r="G1025" s="10" t="s">
        <v>3778</v>
      </c>
      <c r="H1025" s="5" t="s">
        <v>3779</v>
      </c>
      <c r="I1025" s="5" t="s">
        <v>641</v>
      </c>
      <c r="J1025" s="5" t="s">
        <v>1829</v>
      </c>
      <c r="K1025" s="5">
        <v>1.0</v>
      </c>
      <c r="L1025" s="5">
        <v>2643.0</v>
      </c>
      <c r="M1025" s="64">
        <v>51.1767</v>
      </c>
      <c r="N1025" s="36">
        <v>-117.2303</v>
      </c>
      <c r="O1025" s="5" t="s">
        <v>170</v>
      </c>
      <c r="P1025" s="5">
        <v>793.0</v>
      </c>
      <c r="Q1025" s="5">
        <v>4.0</v>
      </c>
      <c r="R1025" s="36" t="s">
        <v>3780</v>
      </c>
      <c r="S1025" s="5" t="s">
        <v>1737</v>
      </c>
      <c r="T1025" s="37">
        <v>1518.0</v>
      </c>
      <c r="W1025" s="36">
        <v>36892.0</v>
      </c>
      <c r="X1025" s="5" t="s">
        <v>1738</v>
      </c>
      <c r="AK1025" s="9"/>
      <c r="AO1025" s="5" t="s">
        <v>3781</v>
      </c>
      <c r="AP1025" s="5">
        <v>793.0</v>
      </c>
      <c r="AQ1025" s="5" t="s">
        <v>1716</v>
      </c>
      <c r="AR1025" s="5" t="s">
        <v>1717</v>
      </c>
      <c r="AS1025" s="5" t="s">
        <v>1718</v>
      </c>
      <c r="AT1025" s="5" t="s">
        <v>1835</v>
      </c>
      <c r="AU1025" s="5" t="s">
        <v>1836</v>
      </c>
      <c r="AV1025" s="5" t="s">
        <v>1720</v>
      </c>
      <c r="AW1025" s="5" t="s">
        <v>2698</v>
      </c>
      <c r="AX1025" s="5" t="s">
        <v>2768</v>
      </c>
      <c r="AY1025" s="5">
        <v>51.1764</v>
      </c>
      <c r="AZ1025" s="5">
        <v>-117.2317</v>
      </c>
      <c r="BA1025" s="5">
        <v>1518.0</v>
      </c>
    </row>
    <row r="1026" ht="14.25" customHeight="1">
      <c r="B1026" s="5">
        <v>12.0</v>
      </c>
      <c r="C1026" s="5" t="s">
        <v>1711</v>
      </c>
      <c r="D1026" s="5">
        <v>794.0</v>
      </c>
      <c r="E1026" s="5">
        <v>2241.0</v>
      </c>
      <c r="F1026" s="18" t="s">
        <v>3782</v>
      </c>
      <c r="G1026" s="5" t="s">
        <v>3783</v>
      </c>
      <c r="H1026" s="5" t="s">
        <v>3784</v>
      </c>
      <c r="I1026" s="5" t="s">
        <v>1664</v>
      </c>
      <c r="J1026" s="5" t="s">
        <v>1715</v>
      </c>
      <c r="K1026" s="5">
        <v>1.0</v>
      </c>
      <c r="L1026" s="5">
        <v>2644.0</v>
      </c>
      <c r="M1026" s="64"/>
      <c r="N1026" s="36"/>
      <c r="R1026" s="36"/>
      <c r="T1026" s="37"/>
      <c r="W1026" s="36"/>
      <c r="AK1026" s="9"/>
      <c r="AO1026" s="5" t="s">
        <v>3782</v>
      </c>
      <c r="AP1026" s="5">
        <v>794.0</v>
      </c>
      <c r="AQ1026" s="5" t="s">
        <v>1716</v>
      </c>
      <c r="AR1026" s="5" t="s">
        <v>1717</v>
      </c>
      <c r="AS1026" s="5" t="s">
        <v>1718</v>
      </c>
      <c r="AT1026" s="5" t="s">
        <v>1719</v>
      </c>
      <c r="AU1026" s="5" t="s">
        <v>1703</v>
      </c>
      <c r="AV1026" s="5" t="s">
        <v>1720</v>
      </c>
      <c r="AW1026" s="5" t="s">
        <v>2698</v>
      </c>
      <c r="AX1026" s="5" t="s">
        <v>2801</v>
      </c>
      <c r="AY1026" s="5">
        <v>49.3</v>
      </c>
      <c r="AZ1026" s="5">
        <v>-116.2</v>
      </c>
      <c r="BA1026" s="5">
        <v>15.0</v>
      </c>
    </row>
    <row r="1027" ht="14.25" customHeight="1">
      <c r="B1027" s="5">
        <v>12.0</v>
      </c>
      <c r="C1027" s="5" t="s">
        <v>1711</v>
      </c>
      <c r="D1027" s="5">
        <v>795.0</v>
      </c>
      <c r="E1027" s="5">
        <v>2242.0</v>
      </c>
      <c r="F1027" s="18" t="s">
        <v>3785</v>
      </c>
      <c r="G1027" s="69" t="s">
        <v>3786</v>
      </c>
      <c r="H1027" s="5" t="s">
        <v>3787</v>
      </c>
      <c r="I1027" s="5" t="s">
        <v>1664</v>
      </c>
      <c r="J1027" s="5" t="s">
        <v>1746</v>
      </c>
      <c r="K1027" s="5">
        <v>1.0</v>
      </c>
      <c r="L1027" s="5">
        <v>2645.0</v>
      </c>
      <c r="M1027" s="64"/>
      <c r="N1027" s="36"/>
      <c r="R1027" s="36"/>
      <c r="T1027" s="37"/>
      <c r="W1027" s="36"/>
      <c r="AK1027" s="9"/>
      <c r="AO1027" s="5" t="s">
        <v>3785</v>
      </c>
      <c r="AP1027" s="5">
        <v>795.0</v>
      </c>
      <c r="AQ1027" s="5" t="s">
        <v>1716</v>
      </c>
      <c r="AR1027" s="5" t="s">
        <v>1717</v>
      </c>
      <c r="AS1027" s="5" t="s">
        <v>1718</v>
      </c>
      <c r="AT1027" s="5" t="s">
        <v>1719</v>
      </c>
      <c r="AU1027" s="5" t="s">
        <v>1703</v>
      </c>
      <c r="AV1027" s="5" t="s">
        <v>1720</v>
      </c>
      <c r="AW1027" s="5" t="s">
        <v>2698</v>
      </c>
      <c r="AX1027" s="5" t="s">
        <v>2902</v>
      </c>
      <c r="AY1027" s="5">
        <v>49.2</v>
      </c>
      <c r="AZ1027" s="5">
        <v>-115.5</v>
      </c>
      <c r="BA1027" s="5">
        <v>15.0</v>
      </c>
    </row>
    <row r="1028" ht="14.25" customHeight="1">
      <c r="A1028" s="5" t="s">
        <v>422</v>
      </c>
      <c r="B1028" s="5">
        <v>12.0</v>
      </c>
      <c r="C1028" s="5" t="s">
        <v>1711</v>
      </c>
      <c r="D1028" s="5">
        <v>797.0</v>
      </c>
      <c r="E1028" s="5">
        <v>2244.0</v>
      </c>
      <c r="F1028" s="18" t="s">
        <v>3788</v>
      </c>
      <c r="G1028" s="5" t="s">
        <v>3789</v>
      </c>
      <c r="H1028" s="5" t="s">
        <v>3790</v>
      </c>
      <c r="I1028" s="5" t="s">
        <v>1664</v>
      </c>
      <c r="J1028" s="5" t="s">
        <v>1746</v>
      </c>
      <c r="K1028" s="5">
        <v>1.0</v>
      </c>
      <c r="L1028" s="5">
        <v>2647.0</v>
      </c>
      <c r="M1028" s="8"/>
      <c r="AK1028" s="9"/>
      <c r="AO1028" s="5" t="s">
        <v>3788</v>
      </c>
      <c r="AP1028" s="5">
        <v>797.0</v>
      </c>
      <c r="AQ1028" s="5" t="s">
        <v>1716</v>
      </c>
      <c r="AR1028" s="5" t="s">
        <v>1717</v>
      </c>
      <c r="AS1028" s="5" t="s">
        <v>1718</v>
      </c>
      <c r="AT1028" s="5" t="s">
        <v>1719</v>
      </c>
      <c r="AU1028" s="5" t="s">
        <v>1703</v>
      </c>
      <c r="AV1028" s="5" t="s">
        <v>1720</v>
      </c>
      <c r="AW1028" s="5" t="s">
        <v>2698</v>
      </c>
      <c r="AX1028" s="5" t="s">
        <v>2768</v>
      </c>
      <c r="AY1028" s="5">
        <v>50.3</v>
      </c>
      <c r="AZ1028" s="5">
        <v>-116.3</v>
      </c>
      <c r="BA1028" s="5">
        <v>18.0</v>
      </c>
    </row>
    <row r="1029" ht="14.25" customHeight="1">
      <c r="A1029" s="5" t="s">
        <v>422</v>
      </c>
      <c r="B1029" s="5">
        <v>12.0</v>
      </c>
      <c r="C1029" s="5" t="s">
        <v>1711</v>
      </c>
      <c r="D1029" s="5">
        <v>798.0</v>
      </c>
      <c r="E1029" s="5">
        <v>2245.0</v>
      </c>
      <c r="F1029" s="18" t="s">
        <v>3791</v>
      </c>
      <c r="G1029" s="5" t="s">
        <v>3792</v>
      </c>
      <c r="H1029" s="5" t="s">
        <v>3793</v>
      </c>
      <c r="I1029" s="5" t="s">
        <v>1664</v>
      </c>
      <c r="J1029" s="5" t="s">
        <v>1746</v>
      </c>
      <c r="K1029" s="5">
        <v>1.0</v>
      </c>
      <c r="L1029" s="5">
        <v>2648.0</v>
      </c>
      <c r="M1029" s="64"/>
      <c r="N1029" s="36"/>
      <c r="P1029" s="36"/>
      <c r="R1029" s="36"/>
      <c r="T1029" s="37"/>
      <c r="AK1029" s="9"/>
      <c r="AO1029" s="5" t="s">
        <v>3791</v>
      </c>
      <c r="AP1029" s="5">
        <v>798.0</v>
      </c>
      <c r="AQ1029" s="5" t="s">
        <v>1716</v>
      </c>
      <c r="AR1029" s="5" t="s">
        <v>1717</v>
      </c>
      <c r="AS1029" s="5" t="s">
        <v>1718</v>
      </c>
      <c r="AT1029" s="5" t="s">
        <v>1719</v>
      </c>
      <c r="AU1029" s="5" t="s">
        <v>1703</v>
      </c>
      <c r="AV1029" s="5" t="s">
        <v>1720</v>
      </c>
      <c r="AW1029" s="5" t="s">
        <v>2698</v>
      </c>
      <c r="AX1029" s="5" t="s">
        <v>2768</v>
      </c>
      <c r="AY1029" s="5">
        <v>50.3</v>
      </c>
      <c r="AZ1029" s="5">
        <v>-115.8</v>
      </c>
      <c r="BA1029" s="5">
        <v>16.0</v>
      </c>
    </row>
    <row r="1030" ht="14.25" customHeight="1">
      <c r="B1030" s="5">
        <v>12.0</v>
      </c>
      <c r="C1030" s="5" t="s">
        <v>1711</v>
      </c>
      <c r="D1030" s="5">
        <v>799.0</v>
      </c>
      <c r="E1030" s="5">
        <v>2246.0</v>
      </c>
      <c r="F1030" s="18" t="s">
        <v>3794</v>
      </c>
      <c r="G1030" s="5" t="s">
        <v>3795</v>
      </c>
      <c r="H1030" s="5" t="s">
        <v>3796</v>
      </c>
      <c r="I1030" s="5" t="s">
        <v>1664</v>
      </c>
      <c r="J1030" s="5" t="s">
        <v>1746</v>
      </c>
      <c r="K1030" s="5">
        <v>1.0</v>
      </c>
      <c r="L1030" s="5">
        <v>2649.0</v>
      </c>
      <c r="M1030" s="64"/>
      <c r="N1030" s="36"/>
      <c r="P1030" s="36"/>
      <c r="R1030" s="36"/>
      <c r="T1030" s="37"/>
      <c r="AK1030" s="9"/>
      <c r="AO1030" s="5" t="s">
        <v>3794</v>
      </c>
      <c r="AP1030" s="5">
        <v>799.0</v>
      </c>
      <c r="AQ1030" s="5" t="s">
        <v>1716</v>
      </c>
      <c r="AR1030" s="5" t="s">
        <v>1717</v>
      </c>
      <c r="AS1030" s="5" t="s">
        <v>1718</v>
      </c>
      <c r="AT1030" s="5" t="s">
        <v>1719</v>
      </c>
      <c r="AU1030" s="5" t="s">
        <v>1703</v>
      </c>
      <c r="AV1030" s="5" t="s">
        <v>1720</v>
      </c>
      <c r="AW1030" s="5" t="s">
        <v>2698</v>
      </c>
      <c r="AX1030" s="5" t="s">
        <v>2768</v>
      </c>
      <c r="AY1030" s="5">
        <v>50.3</v>
      </c>
      <c r="AZ1030" s="5">
        <v>-115.2</v>
      </c>
      <c r="BA1030" s="5">
        <v>15.0</v>
      </c>
    </row>
    <row r="1031" ht="14.25" customHeight="1">
      <c r="B1031" s="5">
        <v>12.0</v>
      </c>
      <c r="C1031" s="5" t="s">
        <v>1711</v>
      </c>
      <c r="D1031" s="5">
        <v>800.0</v>
      </c>
      <c r="E1031" s="5">
        <v>2247.0</v>
      </c>
      <c r="F1031" s="18" t="s">
        <v>3797</v>
      </c>
      <c r="G1031" s="5" t="s">
        <v>3798</v>
      </c>
      <c r="H1031" s="5" t="s">
        <v>3799</v>
      </c>
      <c r="I1031" s="5" t="s">
        <v>1664</v>
      </c>
      <c r="J1031" s="5" t="s">
        <v>1715</v>
      </c>
      <c r="K1031" s="5">
        <v>1.0</v>
      </c>
      <c r="L1031" s="5">
        <v>2650.0</v>
      </c>
      <c r="M1031" s="64"/>
      <c r="N1031" s="36"/>
      <c r="P1031" s="36"/>
      <c r="R1031" s="36"/>
      <c r="T1031" s="37"/>
      <c r="W1031" s="36"/>
      <c r="AK1031" s="9"/>
      <c r="AO1031" s="5" t="s">
        <v>3797</v>
      </c>
      <c r="AP1031" s="5">
        <v>800.0</v>
      </c>
      <c r="AQ1031" s="5" t="s">
        <v>1716</v>
      </c>
      <c r="AR1031" s="5" t="s">
        <v>1717</v>
      </c>
      <c r="AS1031" s="5" t="s">
        <v>1718</v>
      </c>
      <c r="AT1031" s="5" t="s">
        <v>1719</v>
      </c>
      <c r="AU1031" s="5" t="s">
        <v>1703</v>
      </c>
      <c r="AV1031" s="5" t="s">
        <v>1720</v>
      </c>
      <c r="AW1031" s="5" t="s">
        <v>2698</v>
      </c>
      <c r="AX1031" s="5" t="s">
        <v>2768</v>
      </c>
      <c r="AY1031" s="5">
        <v>50.4</v>
      </c>
      <c r="AZ1031" s="5">
        <v>-116.1</v>
      </c>
      <c r="BA1031" s="5">
        <v>16.0</v>
      </c>
    </row>
    <row r="1032" ht="14.25" customHeight="1">
      <c r="A1032" s="5" t="s">
        <v>422</v>
      </c>
      <c r="B1032" s="5">
        <v>12.0</v>
      </c>
      <c r="C1032" s="5" t="s">
        <v>1711</v>
      </c>
      <c r="D1032" s="5">
        <v>801.0</v>
      </c>
      <c r="E1032" s="5">
        <v>2248.0</v>
      </c>
      <c r="F1032" s="18" t="s">
        <v>3800</v>
      </c>
      <c r="G1032" s="5" t="s">
        <v>3801</v>
      </c>
      <c r="H1032" s="5" t="s">
        <v>3802</v>
      </c>
      <c r="I1032" s="5" t="s">
        <v>1664</v>
      </c>
      <c r="J1032" s="5" t="s">
        <v>1746</v>
      </c>
      <c r="K1032" s="5">
        <v>1.0</v>
      </c>
      <c r="L1032" s="5">
        <v>2651.0</v>
      </c>
      <c r="M1032" s="64"/>
      <c r="N1032" s="36"/>
      <c r="P1032" s="36"/>
      <c r="R1032" s="36"/>
      <c r="T1032" s="37"/>
      <c r="W1032" s="36"/>
      <c r="AK1032" s="9"/>
      <c r="AO1032" s="29" t="s">
        <v>3800</v>
      </c>
      <c r="AP1032" s="5">
        <v>801.0</v>
      </c>
      <c r="AQ1032" s="5" t="s">
        <v>1716</v>
      </c>
      <c r="AR1032" s="5" t="s">
        <v>1717</v>
      </c>
      <c r="AS1032" s="5" t="s">
        <v>1718</v>
      </c>
      <c r="AT1032" s="5" t="s">
        <v>1719</v>
      </c>
      <c r="AU1032" s="5" t="s">
        <v>1703</v>
      </c>
      <c r="AV1032" s="5" t="s">
        <v>1720</v>
      </c>
      <c r="AW1032" s="5" t="s">
        <v>2698</v>
      </c>
      <c r="AX1032" s="5" t="s">
        <v>2768</v>
      </c>
      <c r="AY1032" s="5">
        <v>49.9</v>
      </c>
      <c r="AZ1032" s="5">
        <v>-115.8</v>
      </c>
      <c r="BA1032" s="5">
        <v>9.0</v>
      </c>
    </row>
    <row r="1033" ht="14.25" customHeight="1">
      <c r="B1033" s="5">
        <v>12.0</v>
      </c>
      <c r="C1033" s="5" t="s">
        <v>1711</v>
      </c>
      <c r="D1033" s="5">
        <v>802.0</v>
      </c>
      <c r="E1033" s="5">
        <v>2249.0</v>
      </c>
      <c r="F1033" s="18" t="s">
        <v>3803</v>
      </c>
      <c r="G1033" s="5" t="s">
        <v>3804</v>
      </c>
      <c r="H1033" s="5" t="s">
        <v>3805</v>
      </c>
      <c r="I1033" s="5" t="s">
        <v>1664</v>
      </c>
      <c r="J1033" s="5" t="s">
        <v>1715</v>
      </c>
      <c r="K1033" s="5">
        <v>1.0</v>
      </c>
      <c r="L1033" s="5">
        <v>2652.0</v>
      </c>
      <c r="M1033" s="64"/>
      <c r="N1033" s="36"/>
      <c r="P1033" s="36"/>
      <c r="R1033" s="36"/>
      <c r="T1033" s="37"/>
      <c r="W1033" s="36"/>
      <c r="AK1033" s="9"/>
      <c r="AO1033" s="5" t="s">
        <v>3803</v>
      </c>
      <c r="AP1033" s="5">
        <v>802.0</v>
      </c>
      <c r="AQ1033" s="5" t="s">
        <v>1716</v>
      </c>
      <c r="AR1033" s="5" t="s">
        <v>1717</v>
      </c>
      <c r="AS1033" s="5" t="s">
        <v>1718</v>
      </c>
      <c r="AT1033" s="5" t="s">
        <v>1719</v>
      </c>
      <c r="AU1033" s="5" t="s">
        <v>1703</v>
      </c>
      <c r="AV1033" s="5" t="s">
        <v>1720</v>
      </c>
      <c r="AW1033" s="5" t="s">
        <v>2698</v>
      </c>
      <c r="AX1033" s="5" t="s">
        <v>2768</v>
      </c>
      <c r="AY1033" s="5">
        <v>50.1</v>
      </c>
      <c r="AZ1033" s="5">
        <v>-115.8</v>
      </c>
      <c r="BA1033" s="5">
        <v>9.0</v>
      </c>
    </row>
    <row r="1034" ht="14.25" customHeight="1">
      <c r="B1034" s="5">
        <v>12.0</v>
      </c>
      <c r="C1034" s="5" t="s">
        <v>1711</v>
      </c>
      <c r="D1034" s="5">
        <v>803.0</v>
      </c>
      <c r="E1034" s="5">
        <v>2250.0</v>
      </c>
      <c r="F1034" s="18" t="s">
        <v>3806</v>
      </c>
      <c r="G1034" s="5" t="s">
        <v>3807</v>
      </c>
      <c r="H1034" s="5" t="s">
        <v>3808</v>
      </c>
      <c r="I1034" s="5" t="s">
        <v>1664</v>
      </c>
      <c r="J1034" s="5" t="s">
        <v>1746</v>
      </c>
      <c r="K1034" s="5">
        <v>1.0</v>
      </c>
      <c r="L1034" s="5">
        <v>2653.0</v>
      </c>
      <c r="M1034" s="64"/>
      <c r="N1034" s="36"/>
      <c r="P1034" s="36"/>
      <c r="R1034" s="36"/>
      <c r="T1034" s="37"/>
      <c r="W1034" s="36"/>
      <c r="AK1034" s="9"/>
      <c r="AO1034" s="5" t="s">
        <v>3806</v>
      </c>
      <c r="AP1034" s="5">
        <v>803.0</v>
      </c>
      <c r="AQ1034" s="5" t="s">
        <v>1716</v>
      </c>
      <c r="AR1034" s="5" t="s">
        <v>1717</v>
      </c>
      <c r="AS1034" s="5" t="s">
        <v>1718</v>
      </c>
      <c r="AT1034" s="5" t="s">
        <v>1719</v>
      </c>
      <c r="AU1034" s="5" t="s">
        <v>1703</v>
      </c>
      <c r="AV1034" s="5" t="s">
        <v>1720</v>
      </c>
      <c r="AW1034" s="5" t="s">
        <v>2698</v>
      </c>
      <c r="AX1034" s="5" t="s">
        <v>2768</v>
      </c>
      <c r="AY1034" s="5">
        <v>50.4</v>
      </c>
      <c r="AZ1034" s="5">
        <v>-115.3</v>
      </c>
      <c r="BA1034" s="5">
        <v>17.0</v>
      </c>
    </row>
    <row r="1035" ht="14.25" customHeight="1">
      <c r="A1035" s="5" t="s">
        <v>422</v>
      </c>
      <c r="B1035" s="5">
        <v>12.0</v>
      </c>
      <c r="C1035" s="5" t="s">
        <v>1711</v>
      </c>
      <c r="D1035" s="5">
        <v>804.0</v>
      </c>
      <c r="E1035" s="5">
        <v>2251.0</v>
      </c>
      <c r="F1035" s="18" t="s">
        <v>3809</v>
      </c>
      <c r="G1035" s="69" t="s">
        <v>3810</v>
      </c>
      <c r="H1035" s="5" t="s">
        <v>3811</v>
      </c>
      <c r="I1035" s="5" t="s">
        <v>1664</v>
      </c>
      <c r="J1035" s="5" t="s">
        <v>1746</v>
      </c>
      <c r="K1035" s="5">
        <v>1.0</v>
      </c>
      <c r="L1035" s="5">
        <v>2654.0</v>
      </c>
      <c r="M1035" s="64"/>
      <c r="N1035" s="36"/>
      <c r="P1035" s="36"/>
      <c r="R1035" s="36"/>
      <c r="T1035" s="37"/>
      <c r="AK1035" s="9"/>
      <c r="AO1035" s="5" t="s">
        <v>3809</v>
      </c>
      <c r="AP1035" s="5">
        <v>804.0</v>
      </c>
      <c r="AQ1035" s="5" t="s">
        <v>1716</v>
      </c>
      <c r="AR1035" s="5" t="s">
        <v>1717</v>
      </c>
      <c r="AS1035" s="5" t="s">
        <v>1718</v>
      </c>
      <c r="AT1035" s="5" t="s">
        <v>1719</v>
      </c>
      <c r="AU1035" s="5" t="s">
        <v>1703</v>
      </c>
      <c r="AV1035" s="5" t="s">
        <v>1720</v>
      </c>
      <c r="AW1035" s="5" t="s">
        <v>2698</v>
      </c>
      <c r="AX1035" s="5" t="s">
        <v>2768</v>
      </c>
      <c r="AY1035" s="5">
        <v>50.2</v>
      </c>
      <c r="AZ1035" s="5">
        <v>-115.5</v>
      </c>
      <c r="BA1035" s="5">
        <v>13.0</v>
      </c>
    </row>
    <row r="1036" ht="14.25" customHeight="1">
      <c r="B1036" s="5">
        <v>12.0</v>
      </c>
      <c r="C1036" s="5" t="s">
        <v>1711</v>
      </c>
      <c r="D1036" s="5">
        <v>805.0</v>
      </c>
      <c r="E1036" s="5">
        <v>2252.0</v>
      </c>
      <c r="F1036" s="18" t="s">
        <v>3812</v>
      </c>
      <c r="G1036" s="69" t="s">
        <v>3813</v>
      </c>
      <c r="H1036" s="5" t="s">
        <v>3814</v>
      </c>
      <c r="I1036" s="5" t="s">
        <v>1664</v>
      </c>
      <c r="J1036" s="5" t="s">
        <v>1715</v>
      </c>
      <c r="K1036" s="5">
        <v>1.0</v>
      </c>
      <c r="L1036" s="5">
        <v>2655.0</v>
      </c>
      <c r="M1036" s="64"/>
      <c r="N1036" s="36"/>
      <c r="P1036" s="36"/>
      <c r="R1036" s="36"/>
      <c r="T1036" s="37"/>
      <c r="W1036" s="36"/>
      <c r="AK1036" s="9"/>
      <c r="AO1036" s="5" t="s">
        <v>3812</v>
      </c>
      <c r="AP1036" s="5">
        <v>805.0</v>
      </c>
      <c r="AQ1036" s="5" t="s">
        <v>1716</v>
      </c>
      <c r="AR1036" s="5" t="s">
        <v>1717</v>
      </c>
      <c r="AS1036" s="5" t="s">
        <v>1718</v>
      </c>
      <c r="AT1036" s="5" t="s">
        <v>1719</v>
      </c>
      <c r="AU1036" s="5" t="s">
        <v>1703</v>
      </c>
      <c r="AV1036" s="5" t="s">
        <v>1720</v>
      </c>
      <c r="AW1036" s="5" t="s">
        <v>2698</v>
      </c>
      <c r="AX1036" s="5" t="s">
        <v>2768</v>
      </c>
      <c r="AY1036" s="5">
        <v>50.1</v>
      </c>
      <c r="AZ1036" s="5">
        <v>-115.3</v>
      </c>
      <c r="BA1036" s="5">
        <v>17.0</v>
      </c>
    </row>
    <row r="1037" ht="14.25" customHeight="1">
      <c r="B1037" s="5">
        <v>12.0</v>
      </c>
      <c r="C1037" s="5" t="s">
        <v>1711</v>
      </c>
      <c r="D1037" s="5">
        <v>806.0</v>
      </c>
      <c r="E1037" s="5">
        <v>2253.0</v>
      </c>
      <c r="F1037" s="18" t="s">
        <v>3815</v>
      </c>
      <c r="G1037" s="5" t="s">
        <v>3816</v>
      </c>
      <c r="H1037" s="5" t="s">
        <v>3817</v>
      </c>
      <c r="I1037" s="5" t="s">
        <v>1664</v>
      </c>
      <c r="J1037" s="5" t="s">
        <v>1746</v>
      </c>
      <c r="K1037" s="5">
        <v>1.0</v>
      </c>
      <c r="L1037" s="5">
        <v>2656.0</v>
      </c>
      <c r="M1037" s="64"/>
      <c r="N1037" s="36"/>
      <c r="P1037" s="36"/>
      <c r="R1037" s="36"/>
      <c r="T1037" s="37"/>
      <c r="W1037" s="36"/>
      <c r="AK1037" s="9"/>
      <c r="AO1037" s="5" t="s">
        <v>3815</v>
      </c>
      <c r="AP1037" s="5">
        <v>806.0</v>
      </c>
      <c r="AQ1037" s="5" t="s">
        <v>1716</v>
      </c>
      <c r="AR1037" s="5" t="s">
        <v>1717</v>
      </c>
      <c r="AS1037" s="5" t="s">
        <v>1718</v>
      </c>
      <c r="AT1037" s="5" t="s">
        <v>1719</v>
      </c>
      <c r="AU1037" s="5" t="s">
        <v>1703</v>
      </c>
      <c r="AV1037" s="5" t="s">
        <v>1720</v>
      </c>
      <c r="AW1037" s="5" t="s">
        <v>2698</v>
      </c>
      <c r="AX1037" s="5" t="s">
        <v>2768</v>
      </c>
      <c r="AY1037" s="5">
        <v>50.7</v>
      </c>
      <c r="AZ1037" s="5">
        <v>-115.5</v>
      </c>
      <c r="BA1037" s="5">
        <v>16.0</v>
      </c>
    </row>
    <row r="1038" ht="14.25" customHeight="1">
      <c r="B1038" s="5">
        <v>12.0</v>
      </c>
      <c r="C1038" s="5" t="s">
        <v>1711</v>
      </c>
      <c r="D1038" s="5">
        <v>807.0</v>
      </c>
      <c r="E1038" s="5">
        <v>2254.0</v>
      </c>
      <c r="F1038" s="18" t="s">
        <v>3818</v>
      </c>
      <c r="G1038" s="5" t="s">
        <v>3819</v>
      </c>
      <c r="H1038" s="5" t="s">
        <v>3820</v>
      </c>
      <c r="I1038" s="5" t="s">
        <v>1664</v>
      </c>
      <c r="J1038" s="5" t="s">
        <v>1746</v>
      </c>
      <c r="K1038" s="5">
        <v>1.0</v>
      </c>
      <c r="L1038" s="5">
        <v>2657.0</v>
      </c>
      <c r="M1038" s="64"/>
      <c r="N1038" s="36"/>
      <c r="P1038" s="36"/>
      <c r="R1038" s="36"/>
      <c r="T1038" s="37"/>
      <c r="AK1038" s="9"/>
      <c r="AO1038" s="5" t="s">
        <v>3818</v>
      </c>
      <c r="AP1038" s="5">
        <v>807.0</v>
      </c>
      <c r="AQ1038" s="5" t="s">
        <v>1716</v>
      </c>
      <c r="AR1038" s="5" t="s">
        <v>1717</v>
      </c>
      <c r="AS1038" s="5" t="s">
        <v>1718</v>
      </c>
      <c r="AT1038" s="5" t="s">
        <v>1719</v>
      </c>
      <c r="AU1038" s="5" t="s">
        <v>1703</v>
      </c>
      <c r="AV1038" s="5" t="s">
        <v>1720</v>
      </c>
      <c r="AW1038" s="5" t="s">
        <v>2698</v>
      </c>
      <c r="AX1038" s="5" t="s">
        <v>2902</v>
      </c>
      <c r="AY1038" s="5">
        <v>49.3</v>
      </c>
      <c r="AZ1038" s="5">
        <v>-115.3</v>
      </c>
      <c r="BA1038" s="5">
        <v>10.0</v>
      </c>
    </row>
    <row r="1039" ht="14.25" customHeight="1">
      <c r="B1039" s="5">
        <v>12.0</v>
      </c>
      <c r="C1039" s="5" t="s">
        <v>1711</v>
      </c>
      <c r="D1039" s="5">
        <v>808.0</v>
      </c>
      <c r="E1039" s="5">
        <v>2255.0</v>
      </c>
      <c r="F1039" s="18" t="s">
        <v>3821</v>
      </c>
      <c r="G1039" s="5" t="s">
        <v>3822</v>
      </c>
      <c r="H1039" s="5" t="s">
        <v>3823</v>
      </c>
      <c r="I1039" s="5" t="s">
        <v>1664</v>
      </c>
      <c r="J1039" s="5" t="s">
        <v>1715</v>
      </c>
      <c r="K1039" s="5">
        <v>1.0</v>
      </c>
      <c r="L1039" s="5">
        <v>2658.0</v>
      </c>
      <c r="M1039" s="64"/>
      <c r="N1039" s="36"/>
      <c r="P1039" s="36"/>
      <c r="R1039" s="36"/>
      <c r="T1039" s="37"/>
      <c r="W1039" s="36"/>
      <c r="AK1039" s="9"/>
      <c r="AO1039" s="5" t="s">
        <v>3821</v>
      </c>
      <c r="AP1039" s="5">
        <v>808.0</v>
      </c>
      <c r="AQ1039" s="5" t="s">
        <v>1716</v>
      </c>
      <c r="AR1039" s="5" t="s">
        <v>1717</v>
      </c>
      <c r="AS1039" s="5" t="s">
        <v>1718</v>
      </c>
      <c r="AT1039" s="5" t="s">
        <v>1719</v>
      </c>
      <c r="AU1039" s="5" t="s">
        <v>1703</v>
      </c>
      <c r="AV1039" s="5" t="s">
        <v>1720</v>
      </c>
      <c r="AW1039" s="5" t="s">
        <v>2698</v>
      </c>
      <c r="AX1039" s="5" t="s">
        <v>2902</v>
      </c>
      <c r="AY1039" s="5">
        <v>49.3</v>
      </c>
      <c r="AZ1039" s="5">
        <v>-115.8</v>
      </c>
      <c r="BA1039" s="5">
        <v>11.0</v>
      </c>
    </row>
    <row r="1040" ht="14.25" customHeight="1">
      <c r="B1040" s="5">
        <v>12.0</v>
      </c>
      <c r="C1040" s="5" t="s">
        <v>1711</v>
      </c>
      <c r="D1040" s="5">
        <v>809.0</v>
      </c>
      <c r="E1040" s="5">
        <v>2256.0</v>
      </c>
      <c r="F1040" s="18" t="s">
        <v>3824</v>
      </c>
      <c r="G1040" s="5" t="s">
        <v>3825</v>
      </c>
      <c r="H1040" s="5" t="s">
        <v>3826</v>
      </c>
      <c r="I1040" s="5" t="s">
        <v>1664</v>
      </c>
      <c r="J1040" s="5" t="s">
        <v>1746</v>
      </c>
      <c r="K1040" s="5">
        <v>1.0</v>
      </c>
      <c r="L1040" s="5">
        <v>2659.0</v>
      </c>
      <c r="M1040" s="64"/>
      <c r="N1040" s="36"/>
      <c r="P1040" s="36"/>
      <c r="R1040" s="36"/>
      <c r="T1040" s="37"/>
      <c r="W1040" s="36"/>
      <c r="AK1040" s="9"/>
      <c r="AO1040" s="5" t="s">
        <v>3824</v>
      </c>
      <c r="AP1040" s="5">
        <v>809.0</v>
      </c>
      <c r="AQ1040" s="5" t="s">
        <v>1716</v>
      </c>
      <c r="AR1040" s="5" t="s">
        <v>1717</v>
      </c>
      <c r="AS1040" s="5" t="s">
        <v>1718</v>
      </c>
      <c r="AT1040" s="5" t="s">
        <v>1719</v>
      </c>
      <c r="AU1040" s="5" t="s">
        <v>1703</v>
      </c>
      <c r="AV1040" s="5" t="s">
        <v>1720</v>
      </c>
      <c r="AW1040" s="5" t="s">
        <v>2698</v>
      </c>
      <c r="AX1040" s="5" t="s">
        <v>2768</v>
      </c>
      <c r="AY1040" s="5">
        <v>50.8</v>
      </c>
      <c r="AZ1040" s="5">
        <v>-116.0</v>
      </c>
      <c r="BA1040" s="5">
        <v>11.0</v>
      </c>
    </row>
    <row r="1041" ht="14.25" customHeight="1">
      <c r="B1041" s="5">
        <v>12.0</v>
      </c>
      <c r="C1041" s="5" t="s">
        <v>1711</v>
      </c>
      <c r="D1041" s="5">
        <v>810.0</v>
      </c>
      <c r="E1041" s="5">
        <v>2257.0</v>
      </c>
      <c r="F1041" s="18" t="s">
        <v>3827</v>
      </c>
      <c r="G1041" s="5" t="s">
        <v>3828</v>
      </c>
      <c r="H1041" s="5" t="s">
        <v>3829</v>
      </c>
      <c r="I1041" s="5" t="s">
        <v>1664</v>
      </c>
      <c r="J1041" s="5" t="s">
        <v>1746</v>
      </c>
      <c r="K1041" s="5">
        <v>1.0</v>
      </c>
      <c r="L1041" s="5">
        <v>2660.0</v>
      </c>
      <c r="M1041" s="64"/>
      <c r="N1041" s="36"/>
      <c r="P1041" s="36"/>
      <c r="R1041" s="36"/>
      <c r="T1041" s="37"/>
      <c r="AK1041" s="9"/>
      <c r="AO1041" s="5" t="s">
        <v>3827</v>
      </c>
      <c r="AP1041" s="5">
        <v>810.0</v>
      </c>
      <c r="AQ1041" s="5" t="s">
        <v>1716</v>
      </c>
      <c r="AR1041" s="5" t="s">
        <v>1717</v>
      </c>
      <c r="AS1041" s="5" t="s">
        <v>1718</v>
      </c>
      <c r="AT1041" s="5" t="s">
        <v>1719</v>
      </c>
      <c r="AU1041" s="5" t="s">
        <v>1703</v>
      </c>
      <c r="AV1041" s="5" t="s">
        <v>1720</v>
      </c>
      <c r="AW1041" s="5" t="s">
        <v>2698</v>
      </c>
      <c r="AX1041" s="5" t="s">
        <v>2768</v>
      </c>
      <c r="AY1041" s="5">
        <v>50.7</v>
      </c>
      <c r="AZ1041" s="5">
        <v>-115.9</v>
      </c>
      <c r="BA1041" s="5">
        <v>14.0</v>
      </c>
    </row>
    <row r="1042" ht="14.25" customHeight="1">
      <c r="B1042" s="5">
        <v>12.0</v>
      </c>
      <c r="C1042" s="5" t="s">
        <v>1711</v>
      </c>
      <c r="D1042" s="5">
        <v>811.0</v>
      </c>
      <c r="E1042" s="5">
        <v>2258.0</v>
      </c>
      <c r="F1042" s="18" t="s">
        <v>3830</v>
      </c>
      <c r="G1042" s="5" t="s">
        <v>3831</v>
      </c>
      <c r="H1042" s="5" t="s">
        <v>3832</v>
      </c>
      <c r="I1042" s="5" t="s">
        <v>1664</v>
      </c>
      <c r="J1042" s="5" t="s">
        <v>1746</v>
      </c>
      <c r="K1042" s="5">
        <v>1.0</v>
      </c>
      <c r="L1042" s="5">
        <v>2661.0</v>
      </c>
      <c r="M1042" s="64"/>
      <c r="N1042" s="36"/>
      <c r="P1042" s="36"/>
      <c r="R1042" s="36"/>
      <c r="T1042" s="37"/>
      <c r="W1042" s="36"/>
      <c r="AK1042" s="9"/>
      <c r="AO1042" s="5" t="s">
        <v>3830</v>
      </c>
      <c r="AP1042" s="5">
        <v>811.0</v>
      </c>
      <c r="AQ1042" s="5" t="s">
        <v>1716</v>
      </c>
      <c r="AR1042" s="5" t="s">
        <v>1717</v>
      </c>
      <c r="AS1042" s="5" t="s">
        <v>1718</v>
      </c>
      <c r="AT1042" s="5" t="s">
        <v>1719</v>
      </c>
      <c r="AU1042" s="5" t="s">
        <v>1703</v>
      </c>
      <c r="AV1042" s="5" t="s">
        <v>1720</v>
      </c>
      <c r="AW1042" s="5" t="s">
        <v>2698</v>
      </c>
      <c r="AX1042" s="5" t="s">
        <v>2902</v>
      </c>
      <c r="AY1042" s="5">
        <v>49.2</v>
      </c>
      <c r="AZ1042" s="5">
        <v>-115.3</v>
      </c>
      <c r="BA1042" s="5">
        <v>9.0</v>
      </c>
    </row>
    <row r="1043" ht="14.25" customHeight="1">
      <c r="B1043" s="5">
        <v>12.0</v>
      </c>
      <c r="C1043" s="5" t="s">
        <v>1711</v>
      </c>
      <c r="D1043" s="5">
        <v>812.0</v>
      </c>
      <c r="E1043" s="5">
        <v>2259.0</v>
      </c>
      <c r="F1043" s="18" t="s">
        <v>3833</v>
      </c>
      <c r="G1043" s="5" t="s">
        <v>3834</v>
      </c>
      <c r="H1043" s="5" t="s">
        <v>3835</v>
      </c>
      <c r="I1043" s="5" t="s">
        <v>1664</v>
      </c>
      <c r="J1043" s="5" t="s">
        <v>1746</v>
      </c>
      <c r="K1043" s="5">
        <v>1.0</v>
      </c>
      <c r="L1043" s="5">
        <v>2662.0</v>
      </c>
      <c r="M1043" s="64"/>
      <c r="N1043" s="36"/>
      <c r="P1043" s="36"/>
      <c r="R1043" s="36"/>
      <c r="T1043" s="37"/>
      <c r="W1043" s="36"/>
      <c r="AK1043" s="9"/>
      <c r="AO1043" s="5" t="s">
        <v>3833</v>
      </c>
      <c r="AP1043" s="5">
        <v>812.0</v>
      </c>
      <c r="AQ1043" s="5" t="s">
        <v>1716</v>
      </c>
      <c r="AR1043" s="5" t="s">
        <v>1717</v>
      </c>
      <c r="AS1043" s="5" t="s">
        <v>1718</v>
      </c>
      <c r="AT1043" s="5" t="s">
        <v>1719</v>
      </c>
      <c r="AU1043" s="5" t="s">
        <v>1703</v>
      </c>
      <c r="AV1043" s="5" t="s">
        <v>1720</v>
      </c>
      <c r="AW1043" s="5" t="s">
        <v>2698</v>
      </c>
      <c r="AX1043" s="5" t="s">
        <v>2768</v>
      </c>
      <c r="AY1043" s="5">
        <v>50.5</v>
      </c>
      <c r="AZ1043" s="5">
        <v>-115.9</v>
      </c>
      <c r="BA1043" s="5">
        <v>15.0</v>
      </c>
    </row>
    <row r="1044" ht="14.25" customHeight="1">
      <c r="A1044" s="5" t="s">
        <v>422</v>
      </c>
      <c r="B1044" s="5">
        <v>12.0</v>
      </c>
      <c r="C1044" s="5" t="s">
        <v>1711</v>
      </c>
      <c r="D1044" s="5">
        <v>813.0</v>
      </c>
      <c r="E1044" s="5">
        <v>2260.0</v>
      </c>
      <c r="F1044" s="18" t="s">
        <v>3836</v>
      </c>
      <c r="G1044" s="5" t="s">
        <v>3837</v>
      </c>
      <c r="H1044" s="5" t="s">
        <v>3838</v>
      </c>
      <c r="I1044" s="5" t="s">
        <v>1664</v>
      </c>
      <c r="J1044" s="5" t="s">
        <v>1746</v>
      </c>
      <c r="K1044" s="5">
        <v>1.0</v>
      </c>
      <c r="L1044" s="5">
        <v>2663.0</v>
      </c>
      <c r="M1044" s="64"/>
      <c r="N1044" s="36"/>
      <c r="P1044" s="36"/>
      <c r="R1044" s="36"/>
      <c r="T1044" s="37"/>
      <c r="W1044" s="36"/>
      <c r="AK1044" s="9"/>
      <c r="AO1044" s="5" t="s">
        <v>3836</v>
      </c>
      <c r="AP1044" s="5">
        <v>813.0</v>
      </c>
      <c r="AQ1044" s="5" t="s">
        <v>1716</v>
      </c>
      <c r="AR1044" s="5" t="s">
        <v>1717</v>
      </c>
      <c r="AS1044" s="5" t="s">
        <v>1718</v>
      </c>
      <c r="AT1044" s="5" t="s">
        <v>1719</v>
      </c>
      <c r="AU1044" s="5" t="s">
        <v>1703</v>
      </c>
      <c r="AV1044" s="5" t="s">
        <v>1720</v>
      </c>
      <c r="AW1044" s="5" t="s">
        <v>1947</v>
      </c>
      <c r="AX1044" s="5" t="s">
        <v>2133</v>
      </c>
      <c r="AY1044" s="5">
        <v>55.1</v>
      </c>
      <c r="AZ1044" s="5">
        <v>-127.3</v>
      </c>
      <c r="BA1044" s="5">
        <v>40.0</v>
      </c>
    </row>
    <row r="1045" ht="14.25" customHeight="1">
      <c r="A1045" s="5" t="s">
        <v>422</v>
      </c>
      <c r="B1045" s="5">
        <v>12.0</v>
      </c>
      <c r="C1045" s="5" t="s">
        <v>1711</v>
      </c>
      <c r="D1045" s="5">
        <v>814.0</v>
      </c>
      <c r="E1045" s="5">
        <v>2261.0</v>
      </c>
      <c r="F1045" s="18" t="s">
        <v>3839</v>
      </c>
      <c r="G1045" s="5" t="s">
        <v>3840</v>
      </c>
      <c r="H1045" s="5" t="s">
        <v>3841</v>
      </c>
      <c r="I1045" s="5" t="s">
        <v>1664</v>
      </c>
      <c r="J1045" s="5" t="s">
        <v>1746</v>
      </c>
      <c r="K1045" s="5">
        <v>1.0</v>
      </c>
      <c r="L1045" s="5">
        <v>2664.0</v>
      </c>
      <c r="M1045" s="64"/>
      <c r="N1045" s="36"/>
      <c r="P1045" s="36"/>
      <c r="R1045" s="36"/>
      <c r="T1045" s="37"/>
      <c r="AK1045" s="9"/>
      <c r="AO1045" s="5" t="s">
        <v>3839</v>
      </c>
      <c r="AP1045" s="5">
        <v>814.0</v>
      </c>
      <c r="AQ1045" s="5" t="s">
        <v>1716</v>
      </c>
      <c r="AR1045" s="5" t="s">
        <v>1717</v>
      </c>
      <c r="AS1045" s="5" t="s">
        <v>1718</v>
      </c>
      <c r="AT1045" s="5" t="s">
        <v>1719</v>
      </c>
      <c r="AU1045" s="5" t="s">
        <v>1703</v>
      </c>
      <c r="AV1045" s="5" t="s">
        <v>1720</v>
      </c>
      <c r="AW1045" s="5" t="s">
        <v>1947</v>
      </c>
      <c r="AX1045" s="5" t="s">
        <v>2133</v>
      </c>
      <c r="AY1045" s="5">
        <v>55.0</v>
      </c>
      <c r="AZ1045" s="5">
        <v>-127.0</v>
      </c>
      <c r="BA1045" s="5">
        <v>2.0</v>
      </c>
    </row>
    <row r="1046" ht="14.25" customHeight="1">
      <c r="A1046" s="5" t="s">
        <v>422</v>
      </c>
      <c r="B1046" s="5">
        <v>12.0</v>
      </c>
      <c r="C1046" s="5" t="s">
        <v>1711</v>
      </c>
      <c r="D1046" s="5">
        <v>815.0</v>
      </c>
      <c r="E1046" s="5">
        <v>2262.0</v>
      </c>
      <c r="F1046" s="18" t="s">
        <v>3842</v>
      </c>
      <c r="G1046" s="5" t="s">
        <v>3843</v>
      </c>
      <c r="H1046" s="5" t="s">
        <v>3844</v>
      </c>
      <c r="I1046" s="5" t="s">
        <v>1664</v>
      </c>
      <c r="J1046" s="5" t="s">
        <v>1746</v>
      </c>
      <c r="K1046" s="5">
        <v>1.0</v>
      </c>
      <c r="L1046" s="5">
        <v>2665.0</v>
      </c>
      <c r="M1046" s="8"/>
      <c r="AK1046" s="9"/>
      <c r="AO1046" s="5" t="s">
        <v>3842</v>
      </c>
      <c r="AP1046" s="5">
        <v>815.0</v>
      </c>
      <c r="AQ1046" s="5" t="s">
        <v>1716</v>
      </c>
      <c r="AR1046" s="5" t="s">
        <v>1717</v>
      </c>
      <c r="AS1046" s="5" t="s">
        <v>1718</v>
      </c>
      <c r="AT1046" s="5" t="s">
        <v>1719</v>
      </c>
      <c r="AU1046" s="5" t="s">
        <v>1703</v>
      </c>
      <c r="AV1046" s="5" t="s">
        <v>1720</v>
      </c>
      <c r="AW1046" s="5" t="s">
        <v>1947</v>
      </c>
      <c r="AX1046" s="5" t="s">
        <v>2948</v>
      </c>
      <c r="AY1046" s="5">
        <v>55.6</v>
      </c>
      <c r="AZ1046" s="5">
        <v>-128.7</v>
      </c>
      <c r="BA1046" s="5">
        <v>4.0</v>
      </c>
    </row>
    <row r="1047" ht="14.25" customHeight="1">
      <c r="B1047" s="5">
        <v>12.0</v>
      </c>
      <c r="C1047" s="5" t="s">
        <v>1711</v>
      </c>
      <c r="D1047" s="5">
        <v>816.0</v>
      </c>
      <c r="E1047" s="5">
        <v>2263.0</v>
      </c>
      <c r="F1047" s="18" t="s">
        <v>3845</v>
      </c>
      <c r="G1047" s="5" t="s">
        <v>3846</v>
      </c>
      <c r="H1047" s="5" t="s">
        <v>3847</v>
      </c>
      <c r="I1047" s="5" t="s">
        <v>1664</v>
      </c>
      <c r="J1047" s="5" t="s">
        <v>1715</v>
      </c>
      <c r="K1047" s="5">
        <v>1.0</v>
      </c>
      <c r="L1047" s="5">
        <v>2666.0</v>
      </c>
      <c r="M1047" s="8"/>
      <c r="AK1047" s="9"/>
      <c r="AO1047" s="5" t="s">
        <v>3845</v>
      </c>
      <c r="AP1047" s="5">
        <v>816.0</v>
      </c>
      <c r="AQ1047" s="5" t="s">
        <v>1716</v>
      </c>
      <c r="AR1047" s="5" t="s">
        <v>1717</v>
      </c>
      <c r="AS1047" s="5" t="s">
        <v>1718</v>
      </c>
      <c r="AT1047" s="5" t="s">
        <v>1719</v>
      </c>
      <c r="AU1047" s="5" t="s">
        <v>1703</v>
      </c>
      <c r="AV1047" s="5" t="s">
        <v>1720</v>
      </c>
      <c r="AW1047" s="5" t="s">
        <v>1947</v>
      </c>
      <c r="AX1047" s="5" t="s">
        <v>2948</v>
      </c>
      <c r="AY1047" s="5">
        <v>55.6</v>
      </c>
      <c r="AZ1047" s="5">
        <v>-127.1</v>
      </c>
      <c r="BA1047" s="5">
        <v>11.0</v>
      </c>
    </row>
    <row r="1048" ht="14.25" customHeight="1">
      <c r="B1048" s="5">
        <v>12.0</v>
      </c>
      <c r="C1048" s="5" t="s">
        <v>1711</v>
      </c>
      <c r="D1048" s="5">
        <v>817.0</v>
      </c>
      <c r="E1048" s="5">
        <v>2264.0</v>
      </c>
      <c r="F1048" s="18" t="s">
        <v>3848</v>
      </c>
      <c r="G1048" s="5" t="s">
        <v>3849</v>
      </c>
      <c r="H1048" s="5" t="s">
        <v>3850</v>
      </c>
      <c r="I1048" s="5" t="s">
        <v>1664</v>
      </c>
      <c r="J1048" s="5" t="s">
        <v>1715</v>
      </c>
      <c r="K1048" s="5">
        <v>1.0</v>
      </c>
      <c r="L1048" s="5">
        <v>2667.0</v>
      </c>
      <c r="M1048" s="8"/>
      <c r="AK1048" s="9"/>
      <c r="AO1048" s="5" t="s">
        <v>3848</v>
      </c>
      <c r="AP1048" s="5">
        <v>817.0</v>
      </c>
      <c r="AQ1048" s="5" t="s">
        <v>1716</v>
      </c>
      <c r="AR1048" s="5" t="s">
        <v>1717</v>
      </c>
      <c r="AS1048" s="5" t="s">
        <v>1718</v>
      </c>
      <c r="AT1048" s="5" t="s">
        <v>1719</v>
      </c>
      <c r="AU1048" s="5" t="s">
        <v>1703</v>
      </c>
      <c r="AV1048" s="5" t="s">
        <v>1720</v>
      </c>
      <c r="AW1048" s="5" t="s">
        <v>1947</v>
      </c>
      <c r="AX1048" s="5" t="s">
        <v>1973</v>
      </c>
      <c r="AY1048" s="5">
        <v>56.4</v>
      </c>
      <c r="AZ1048" s="5">
        <v>-129.4</v>
      </c>
      <c r="BA1048" s="5">
        <v>2.0</v>
      </c>
    </row>
    <row r="1049" ht="14.25" customHeight="1">
      <c r="B1049" s="5">
        <v>12.0</v>
      </c>
      <c r="C1049" s="5" t="s">
        <v>1711</v>
      </c>
      <c r="D1049" s="5">
        <v>818.0</v>
      </c>
      <c r="E1049" s="5">
        <v>2265.0</v>
      </c>
      <c r="F1049" s="18" t="s">
        <v>3851</v>
      </c>
      <c r="G1049" s="5" t="s">
        <v>3852</v>
      </c>
      <c r="H1049" s="5" t="s">
        <v>3853</v>
      </c>
      <c r="I1049" s="5" t="s">
        <v>1664</v>
      </c>
      <c r="J1049" s="5" t="s">
        <v>1746</v>
      </c>
      <c r="K1049" s="5">
        <v>1.0</v>
      </c>
      <c r="L1049" s="5">
        <v>2668.0</v>
      </c>
      <c r="M1049" s="8"/>
      <c r="AK1049" s="9"/>
      <c r="AO1049" s="5" t="s">
        <v>3851</v>
      </c>
      <c r="AP1049" s="5">
        <v>818.0</v>
      </c>
      <c r="AQ1049" s="5" t="s">
        <v>1716</v>
      </c>
      <c r="AR1049" s="5" t="s">
        <v>1717</v>
      </c>
      <c r="AS1049" s="5" t="s">
        <v>1718</v>
      </c>
      <c r="AT1049" s="5" t="s">
        <v>1719</v>
      </c>
      <c r="AU1049" s="5" t="s">
        <v>1703</v>
      </c>
      <c r="AV1049" s="5" t="s">
        <v>1720</v>
      </c>
      <c r="AW1049" s="5" t="s">
        <v>1947</v>
      </c>
      <c r="AX1049" s="5" t="s">
        <v>2948</v>
      </c>
      <c r="AY1049" s="5">
        <v>55.5</v>
      </c>
      <c r="AZ1049" s="5">
        <v>-128.2</v>
      </c>
      <c r="BA1049" s="5">
        <v>7.0</v>
      </c>
    </row>
    <row r="1050" ht="14.25" customHeight="1">
      <c r="A1050" s="5" t="s">
        <v>422</v>
      </c>
      <c r="B1050" s="5">
        <v>12.0</v>
      </c>
      <c r="C1050" s="5" t="s">
        <v>1711</v>
      </c>
      <c r="D1050" s="5">
        <v>819.0</v>
      </c>
      <c r="E1050" s="5">
        <v>2266.0</v>
      </c>
      <c r="F1050" s="18" t="s">
        <v>3854</v>
      </c>
      <c r="G1050" s="5" t="s">
        <v>3855</v>
      </c>
      <c r="H1050" s="5" t="s">
        <v>3856</v>
      </c>
      <c r="I1050" s="5" t="s">
        <v>1664</v>
      </c>
      <c r="J1050" s="5" t="s">
        <v>1746</v>
      </c>
      <c r="K1050" s="5">
        <v>1.0</v>
      </c>
      <c r="L1050" s="5">
        <v>2669.0</v>
      </c>
      <c r="M1050" s="8"/>
      <c r="AK1050" s="9"/>
      <c r="AO1050" s="5" t="s">
        <v>3854</v>
      </c>
      <c r="AP1050" s="5">
        <v>819.0</v>
      </c>
      <c r="AQ1050" s="5" t="s">
        <v>1716</v>
      </c>
      <c r="AR1050" s="5" t="s">
        <v>1717</v>
      </c>
      <c r="AS1050" s="5" t="s">
        <v>1718</v>
      </c>
      <c r="AT1050" s="5" t="s">
        <v>1719</v>
      </c>
      <c r="AU1050" s="5" t="s">
        <v>1703</v>
      </c>
      <c r="AV1050" s="5" t="s">
        <v>1720</v>
      </c>
      <c r="AW1050" s="5" t="s">
        <v>1947</v>
      </c>
      <c r="AX1050" s="5" t="s">
        <v>1973</v>
      </c>
      <c r="AY1050" s="5">
        <v>55.2</v>
      </c>
      <c r="AZ1050" s="5">
        <v>-129.1</v>
      </c>
      <c r="BA1050" s="5">
        <v>1.0</v>
      </c>
    </row>
    <row r="1051" ht="14.25" customHeight="1">
      <c r="B1051" s="5">
        <v>12.0</v>
      </c>
      <c r="C1051" s="5" t="s">
        <v>1711</v>
      </c>
      <c r="D1051" s="5">
        <v>821.0</v>
      </c>
      <c r="E1051" s="5">
        <v>2267.0</v>
      </c>
      <c r="F1051" s="18" t="s">
        <v>3857</v>
      </c>
      <c r="G1051" s="5" t="s">
        <v>3858</v>
      </c>
      <c r="H1051" s="5" t="s">
        <v>3859</v>
      </c>
      <c r="I1051" s="5" t="s">
        <v>641</v>
      </c>
      <c r="J1051" s="5" t="s">
        <v>1746</v>
      </c>
      <c r="K1051" s="5">
        <v>1.0</v>
      </c>
      <c r="L1051" s="5">
        <v>2670.0</v>
      </c>
      <c r="M1051" s="8"/>
      <c r="AK1051" s="9"/>
      <c r="AO1051" s="5" t="s">
        <v>3857</v>
      </c>
      <c r="AP1051" s="5">
        <v>821.0</v>
      </c>
      <c r="AQ1051" s="5" t="s">
        <v>1716</v>
      </c>
      <c r="AR1051" s="5" t="s">
        <v>1717</v>
      </c>
      <c r="AS1051" s="5" t="s">
        <v>1718</v>
      </c>
      <c r="AT1051" s="5" t="s">
        <v>1719</v>
      </c>
      <c r="AU1051" s="5" t="s">
        <v>1703</v>
      </c>
      <c r="AV1051" s="5" t="s">
        <v>1720</v>
      </c>
      <c r="AW1051" s="5" t="s">
        <v>1705</v>
      </c>
      <c r="AX1051" s="5" t="s">
        <v>1883</v>
      </c>
      <c r="AY1051" s="5">
        <v>49.2</v>
      </c>
      <c r="AZ1051" s="5">
        <v>-122.9</v>
      </c>
      <c r="BA1051" s="5">
        <v>50.0</v>
      </c>
    </row>
    <row r="1052" ht="14.25" customHeight="1">
      <c r="A1052" s="5" t="s">
        <v>422</v>
      </c>
      <c r="B1052" s="5">
        <v>12.0</v>
      </c>
      <c r="C1052" s="5" t="s">
        <v>1711</v>
      </c>
      <c r="D1052" s="5">
        <v>823.0</v>
      </c>
      <c r="E1052" s="5">
        <v>2268.0</v>
      </c>
      <c r="F1052" s="18" t="s">
        <v>3860</v>
      </c>
      <c r="G1052" s="5" t="s">
        <v>3861</v>
      </c>
      <c r="H1052" s="5" t="s">
        <v>3862</v>
      </c>
      <c r="I1052" s="5" t="s">
        <v>641</v>
      </c>
      <c r="J1052" s="5" t="s">
        <v>1746</v>
      </c>
      <c r="K1052" s="5">
        <v>1.0</v>
      </c>
      <c r="L1052" s="5">
        <v>2671.0</v>
      </c>
      <c r="M1052" s="8"/>
      <c r="AK1052" s="9"/>
      <c r="AO1052" s="5" t="s">
        <v>3860</v>
      </c>
      <c r="AP1052" s="5">
        <v>823.0</v>
      </c>
      <c r="AQ1052" s="5" t="s">
        <v>1716</v>
      </c>
      <c r="AR1052" s="5" t="s">
        <v>1717</v>
      </c>
      <c r="AS1052" s="5" t="s">
        <v>1718</v>
      </c>
      <c r="AT1052" s="5" t="s">
        <v>1719</v>
      </c>
      <c r="AU1052" s="5" t="s">
        <v>1703</v>
      </c>
      <c r="AW1052" s="5" t="s">
        <v>3863</v>
      </c>
      <c r="AY1052" s="5">
        <v>49.0</v>
      </c>
      <c r="AZ1052" s="5">
        <v>-122.0</v>
      </c>
      <c r="BA1052" s="5">
        <v>0.0</v>
      </c>
    </row>
    <row r="1053" ht="14.25" customHeight="1">
      <c r="B1053" s="5">
        <v>12.0</v>
      </c>
      <c r="C1053" s="5" t="s">
        <v>1711</v>
      </c>
      <c r="D1053" s="5">
        <v>832.0</v>
      </c>
      <c r="E1053" s="5">
        <v>2269.0</v>
      </c>
      <c r="F1053" s="5" t="s">
        <v>3864</v>
      </c>
      <c r="G1053" s="5" t="s">
        <v>3865</v>
      </c>
      <c r="H1053" s="5" t="s">
        <v>3866</v>
      </c>
      <c r="I1053" s="5" t="s">
        <v>641</v>
      </c>
      <c r="J1053" s="5" t="s">
        <v>1829</v>
      </c>
      <c r="K1053" s="5">
        <v>1.0</v>
      </c>
      <c r="L1053" s="5">
        <v>2672.0</v>
      </c>
      <c r="M1053" s="8">
        <v>51.40272</v>
      </c>
      <c r="N1053" s="11">
        <v>-122.32017</v>
      </c>
      <c r="O1053" s="11" t="s">
        <v>148</v>
      </c>
      <c r="P1053" s="11">
        <v>832.0</v>
      </c>
      <c r="Q1053" s="22">
        <v>4.0</v>
      </c>
      <c r="R1053" s="11" t="s">
        <v>3864</v>
      </c>
      <c r="S1053" s="11" t="s">
        <v>1737</v>
      </c>
      <c r="T1053" s="11">
        <v>1100.0</v>
      </c>
      <c r="U1053" s="11"/>
      <c r="V1053" s="11"/>
      <c r="W1053" s="23">
        <v>37722.0</v>
      </c>
      <c r="X1053" s="11" t="s">
        <v>1738</v>
      </c>
      <c r="AK1053" s="9"/>
      <c r="AO1053" s="5" t="s">
        <v>3864</v>
      </c>
      <c r="AP1053" s="5">
        <v>832.0</v>
      </c>
      <c r="AQ1053" s="5" t="s">
        <v>1716</v>
      </c>
      <c r="AR1053" s="5" t="s">
        <v>1739</v>
      </c>
      <c r="AS1053" s="5" t="s">
        <v>1740</v>
      </c>
      <c r="AT1053" s="5" t="s">
        <v>1741</v>
      </c>
      <c r="AU1053" s="5" t="s">
        <v>1742</v>
      </c>
      <c r="AV1053" s="5" t="s">
        <v>1720</v>
      </c>
      <c r="AW1053" s="5" t="s">
        <v>2193</v>
      </c>
      <c r="AX1053" s="5" t="s">
        <v>2291</v>
      </c>
      <c r="AY1053" s="5">
        <v>51.4027</v>
      </c>
      <c r="AZ1053" s="5">
        <v>-122.3202</v>
      </c>
      <c r="BA1053" s="5">
        <v>1100.0</v>
      </c>
    </row>
    <row r="1054" ht="14.25" customHeight="1">
      <c r="B1054" s="5">
        <v>12.0</v>
      </c>
      <c r="C1054" s="5" t="s">
        <v>1711</v>
      </c>
      <c r="D1054" s="5">
        <v>836.0</v>
      </c>
      <c r="E1054" s="5">
        <v>2270.0</v>
      </c>
      <c r="F1054" s="5" t="s">
        <v>3867</v>
      </c>
      <c r="G1054" s="5" t="s">
        <v>3868</v>
      </c>
      <c r="H1054" s="5" t="s">
        <v>3869</v>
      </c>
      <c r="I1054" s="5" t="s">
        <v>641</v>
      </c>
      <c r="J1054" s="5" t="s">
        <v>1891</v>
      </c>
      <c r="K1054" s="5">
        <v>1.0</v>
      </c>
      <c r="L1054" s="5">
        <v>2673.0</v>
      </c>
      <c r="M1054" s="8">
        <v>49.43348</v>
      </c>
      <c r="N1054" s="11">
        <v>-120.45712</v>
      </c>
      <c r="O1054" s="11" t="s">
        <v>142</v>
      </c>
      <c r="P1054" s="16">
        <v>836.0</v>
      </c>
      <c r="Q1054" s="22">
        <v>2.0</v>
      </c>
      <c r="R1054" s="11" t="s">
        <v>3867</v>
      </c>
      <c r="S1054" s="11" t="s">
        <v>1737</v>
      </c>
      <c r="T1054" s="11">
        <v>855.0</v>
      </c>
      <c r="U1054" s="11"/>
      <c r="V1054" s="11"/>
      <c r="W1054" s="23">
        <v>37769.0</v>
      </c>
      <c r="X1054" s="11" t="s">
        <v>1738</v>
      </c>
      <c r="AK1054" s="9"/>
      <c r="AO1054" s="5" t="s">
        <v>3867</v>
      </c>
      <c r="AP1054" s="5">
        <v>836.0</v>
      </c>
      <c r="AQ1054" s="5" t="s">
        <v>1716</v>
      </c>
      <c r="AR1054" s="5" t="s">
        <v>1739</v>
      </c>
      <c r="AS1054" s="5" t="s">
        <v>1740</v>
      </c>
      <c r="AT1054" s="5" t="s">
        <v>1741</v>
      </c>
      <c r="AU1054" s="5" t="s">
        <v>1772</v>
      </c>
      <c r="AV1054" s="5" t="s">
        <v>1720</v>
      </c>
      <c r="AW1054" s="5" t="s">
        <v>2368</v>
      </c>
      <c r="AX1054" s="5" t="s">
        <v>2492</v>
      </c>
      <c r="AY1054" s="5">
        <v>49.4335</v>
      </c>
      <c r="AZ1054" s="5">
        <v>-120.4571</v>
      </c>
      <c r="BA1054" s="5">
        <v>855.0</v>
      </c>
    </row>
    <row r="1055" ht="14.25" customHeight="1">
      <c r="B1055" s="5">
        <v>12.0</v>
      </c>
      <c r="C1055" s="5" t="s">
        <v>1711</v>
      </c>
      <c r="D1055" s="5">
        <v>838.0</v>
      </c>
      <c r="E1055" s="5">
        <v>2271.0</v>
      </c>
      <c r="F1055" s="5" t="s">
        <v>3870</v>
      </c>
      <c r="G1055" s="5" t="s">
        <v>3871</v>
      </c>
      <c r="H1055" s="5" t="s">
        <v>3872</v>
      </c>
      <c r="I1055" s="5" t="s">
        <v>641</v>
      </c>
      <c r="J1055" s="5" t="s">
        <v>1891</v>
      </c>
      <c r="K1055" s="5">
        <v>1.0</v>
      </c>
      <c r="L1055" s="5">
        <v>2674.0</v>
      </c>
      <c r="M1055" s="8">
        <v>49.4358</v>
      </c>
      <c r="N1055" s="11">
        <v>-116.7464</v>
      </c>
      <c r="O1055" s="11" t="s">
        <v>170</v>
      </c>
      <c r="P1055" s="11">
        <v>838.0</v>
      </c>
      <c r="Q1055" s="22">
        <v>1.0</v>
      </c>
      <c r="R1055" s="11" t="s">
        <v>3870</v>
      </c>
      <c r="S1055" s="11" t="s">
        <v>1737</v>
      </c>
      <c r="T1055" s="11">
        <v>821.0</v>
      </c>
      <c r="U1055" s="11" t="s">
        <v>645</v>
      </c>
      <c r="V1055" s="11"/>
      <c r="W1055" s="23">
        <v>37784.0</v>
      </c>
      <c r="X1055" s="11" t="s">
        <v>1738</v>
      </c>
      <c r="AK1055" s="9"/>
      <c r="AO1055" s="5" t="s">
        <v>3870</v>
      </c>
      <c r="AP1055" s="5">
        <v>838.0</v>
      </c>
      <c r="AQ1055" s="5" t="s">
        <v>1700</v>
      </c>
      <c r="AR1055" s="5" t="s">
        <v>1739</v>
      </c>
      <c r="AS1055" s="5" t="s">
        <v>1740</v>
      </c>
      <c r="AT1055" s="5" t="s">
        <v>1741</v>
      </c>
      <c r="AU1055" s="5" t="s">
        <v>1959</v>
      </c>
      <c r="AV1055" s="5" t="s">
        <v>1720</v>
      </c>
      <c r="AW1055" s="5" t="s">
        <v>2698</v>
      </c>
      <c r="AX1055" s="5" t="s">
        <v>2801</v>
      </c>
      <c r="AY1055" s="5">
        <v>49.4358</v>
      </c>
      <c r="AZ1055" s="5">
        <v>-116.7464</v>
      </c>
      <c r="BA1055" s="5">
        <v>821.0</v>
      </c>
    </row>
    <row r="1056" ht="14.25" customHeight="1">
      <c r="B1056" s="5">
        <v>12.0</v>
      </c>
      <c r="C1056" s="5" t="s">
        <v>1711</v>
      </c>
      <c r="D1056" s="5">
        <v>839.0</v>
      </c>
      <c r="E1056" s="5">
        <v>2272.0</v>
      </c>
      <c r="F1056" s="18" t="s">
        <v>3873</v>
      </c>
      <c r="G1056" s="10" t="s">
        <v>3874</v>
      </c>
      <c r="H1056" s="5" t="s">
        <v>3875</v>
      </c>
      <c r="I1056" s="5" t="s">
        <v>641</v>
      </c>
      <c r="J1056" s="5" t="s">
        <v>1746</v>
      </c>
      <c r="K1056" s="5">
        <v>1.0</v>
      </c>
      <c r="L1056" s="5">
        <v>2675.0</v>
      </c>
      <c r="M1056" s="8"/>
      <c r="AK1056" s="9"/>
      <c r="AO1056" s="5" t="s">
        <v>3873</v>
      </c>
      <c r="AP1056" s="5">
        <v>839.0</v>
      </c>
      <c r="AQ1056" s="5" t="s">
        <v>1716</v>
      </c>
      <c r="AR1056" s="5" t="s">
        <v>1717</v>
      </c>
      <c r="AS1056" s="5" t="s">
        <v>1718</v>
      </c>
      <c r="AT1056" s="5" t="s">
        <v>1719</v>
      </c>
      <c r="AU1056" s="5" t="s">
        <v>1959</v>
      </c>
      <c r="AV1056" s="5" t="s">
        <v>1720</v>
      </c>
      <c r="AW1056" s="5" t="s">
        <v>1705</v>
      </c>
      <c r="AX1056" s="5" t="s">
        <v>1723</v>
      </c>
      <c r="AY1056" s="5">
        <v>49.8875</v>
      </c>
      <c r="AZ1056" s="5">
        <v>-126.1454</v>
      </c>
      <c r="BA1056" s="5">
        <v>1125.0</v>
      </c>
    </row>
    <row r="1057" ht="14.25" customHeight="1">
      <c r="A1057" s="5" t="s">
        <v>422</v>
      </c>
      <c r="B1057" s="5">
        <v>12.0</v>
      </c>
      <c r="C1057" s="5" t="s">
        <v>1711</v>
      </c>
      <c r="D1057" s="5">
        <v>846.0</v>
      </c>
      <c r="E1057" s="5">
        <v>2273.0</v>
      </c>
      <c r="F1057" s="18" t="s">
        <v>3876</v>
      </c>
      <c r="G1057" s="5" t="s">
        <v>3877</v>
      </c>
      <c r="H1057" s="5" t="s">
        <v>3878</v>
      </c>
      <c r="I1057" s="5" t="s">
        <v>641</v>
      </c>
      <c r="J1057" s="5" t="s">
        <v>1746</v>
      </c>
      <c r="K1057" s="5">
        <v>1.0</v>
      </c>
      <c r="L1057" s="5">
        <v>2676.0</v>
      </c>
      <c r="M1057" s="8"/>
      <c r="AK1057" s="9"/>
      <c r="AO1057" s="67" t="s">
        <v>3876</v>
      </c>
      <c r="AP1057" s="5">
        <v>846.0</v>
      </c>
      <c r="AQ1057" s="5" t="s">
        <v>1716</v>
      </c>
      <c r="AR1057" s="5" t="s">
        <v>1717</v>
      </c>
      <c r="AS1057" s="5" t="s">
        <v>1718</v>
      </c>
      <c r="AT1057" s="5" t="s">
        <v>1835</v>
      </c>
      <c r="AU1057" s="5" t="s">
        <v>1836</v>
      </c>
      <c r="AX1057" s="5" t="s">
        <v>2283</v>
      </c>
      <c r="AY1057" s="5">
        <v>51.7236</v>
      </c>
      <c r="AZ1057" s="5">
        <v>-124.0611</v>
      </c>
      <c r="BA1057" s="5">
        <v>1250.0</v>
      </c>
    </row>
    <row r="1058" ht="14.25" customHeight="1">
      <c r="A1058" s="5" t="s">
        <v>422</v>
      </c>
      <c r="B1058" s="5">
        <v>12.0</v>
      </c>
      <c r="C1058" s="5" t="s">
        <v>1711</v>
      </c>
      <c r="D1058" s="5">
        <v>847.0</v>
      </c>
      <c r="E1058" s="5">
        <v>2274.0</v>
      </c>
      <c r="F1058" s="18" t="s">
        <v>3879</v>
      </c>
      <c r="G1058" s="5" t="s">
        <v>3880</v>
      </c>
      <c r="H1058" s="5" t="s">
        <v>3881</v>
      </c>
      <c r="I1058" s="5" t="s">
        <v>641</v>
      </c>
      <c r="J1058" s="5" t="s">
        <v>1746</v>
      </c>
      <c r="K1058" s="5">
        <v>1.0</v>
      </c>
      <c r="L1058" s="5">
        <v>2677.0</v>
      </c>
      <c r="M1058" s="8"/>
      <c r="AK1058" s="9"/>
      <c r="AO1058" s="67" t="s">
        <v>3879</v>
      </c>
      <c r="AP1058" s="5">
        <v>847.0</v>
      </c>
      <c r="AQ1058" s="5" t="s">
        <v>1716</v>
      </c>
      <c r="AR1058" s="5" t="s">
        <v>1717</v>
      </c>
      <c r="AS1058" s="5" t="s">
        <v>1718</v>
      </c>
      <c r="AT1058" s="5" t="s">
        <v>1835</v>
      </c>
      <c r="AU1058" s="5" t="s">
        <v>1836</v>
      </c>
      <c r="AV1058" s="5" t="s">
        <v>1720</v>
      </c>
      <c r="AX1058" s="5" t="s">
        <v>2369</v>
      </c>
      <c r="AY1058" s="5">
        <v>51.1</v>
      </c>
      <c r="AZ1058" s="5">
        <v>-120.2</v>
      </c>
      <c r="BA1058" s="5">
        <v>600.0</v>
      </c>
    </row>
    <row r="1059" ht="14.25" customHeight="1">
      <c r="A1059" s="5" t="s">
        <v>422</v>
      </c>
      <c r="B1059" s="5">
        <v>12.0</v>
      </c>
      <c r="C1059" s="5" t="s">
        <v>1711</v>
      </c>
      <c r="D1059" s="5">
        <v>850.0</v>
      </c>
      <c r="E1059" s="5">
        <v>2275.0</v>
      </c>
      <c r="F1059" s="18" t="s">
        <v>3882</v>
      </c>
      <c r="G1059" s="5" t="s">
        <v>3883</v>
      </c>
      <c r="H1059" s="5" t="s">
        <v>3884</v>
      </c>
      <c r="I1059" s="5" t="s">
        <v>641</v>
      </c>
      <c r="J1059" s="5" t="s">
        <v>1746</v>
      </c>
      <c r="K1059" s="5">
        <v>1.0</v>
      </c>
      <c r="L1059" s="5">
        <v>2678.0</v>
      </c>
      <c r="M1059" s="8"/>
      <c r="AK1059" s="9"/>
      <c r="AO1059" s="5" t="s">
        <v>3882</v>
      </c>
      <c r="AP1059" s="5">
        <v>850.0</v>
      </c>
      <c r="AQ1059" s="5" t="s">
        <v>1716</v>
      </c>
      <c r="AR1059" s="5" t="s">
        <v>1717</v>
      </c>
      <c r="AS1059" s="5" t="s">
        <v>1718</v>
      </c>
      <c r="AT1059" s="5" t="s">
        <v>1835</v>
      </c>
      <c r="AU1059" s="5" t="s">
        <v>1836</v>
      </c>
      <c r="AV1059" s="5" t="s">
        <v>1720</v>
      </c>
      <c r="AX1059" s="5" t="s">
        <v>2801</v>
      </c>
      <c r="AY1059" s="5">
        <v>49.4958</v>
      </c>
      <c r="AZ1059" s="5">
        <v>-117.2406</v>
      </c>
      <c r="BA1059" s="5">
        <v>2000.0</v>
      </c>
    </row>
    <row r="1060" ht="14.25" customHeight="1">
      <c r="A1060" s="5" t="s">
        <v>422</v>
      </c>
      <c r="B1060" s="5">
        <v>12.0</v>
      </c>
      <c r="C1060" s="5" t="s">
        <v>1711</v>
      </c>
      <c r="D1060" s="5">
        <v>851.0</v>
      </c>
      <c r="E1060" s="5">
        <v>2276.0</v>
      </c>
      <c r="F1060" s="18" t="s">
        <v>3885</v>
      </c>
      <c r="G1060" s="5" t="s">
        <v>3886</v>
      </c>
      <c r="H1060" s="5" t="s">
        <v>3887</v>
      </c>
      <c r="I1060" s="5" t="s">
        <v>641</v>
      </c>
      <c r="J1060" s="5" t="s">
        <v>1746</v>
      </c>
      <c r="K1060" s="5">
        <v>1.0</v>
      </c>
      <c r="L1060" s="5">
        <v>2679.0</v>
      </c>
      <c r="M1060" s="8"/>
      <c r="AK1060" s="9"/>
      <c r="AO1060" s="67" t="s">
        <v>3885</v>
      </c>
      <c r="AP1060" s="5">
        <v>851.0</v>
      </c>
      <c r="AQ1060" s="5" t="s">
        <v>1716</v>
      </c>
      <c r="AR1060" s="5" t="s">
        <v>1717</v>
      </c>
      <c r="AS1060" s="5" t="s">
        <v>1718</v>
      </c>
      <c r="AT1060" s="5" t="s">
        <v>1835</v>
      </c>
      <c r="AU1060" s="5" t="s">
        <v>1959</v>
      </c>
      <c r="AV1060" s="5" t="s">
        <v>1720</v>
      </c>
      <c r="AX1060" s="5" t="s">
        <v>2902</v>
      </c>
      <c r="AY1060" s="5">
        <v>49.367</v>
      </c>
      <c r="AZ1060" s="5">
        <v>-115.8553</v>
      </c>
      <c r="BA1060" s="5">
        <v>1060.0</v>
      </c>
    </row>
    <row r="1061" ht="14.25" customHeight="1">
      <c r="A1061" s="5" t="s">
        <v>422</v>
      </c>
      <c r="B1061" s="5">
        <v>12.0</v>
      </c>
      <c r="C1061" s="5" t="s">
        <v>1711</v>
      </c>
      <c r="D1061" s="5">
        <v>853.0</v>
      </c>
      <c r="E1061" s="5">
        <v>2277.0</v>
      </c>
      <c r="F1061" s="5" t="s">
        <v>3888</v>
      </c>
      <c r="G1061" s="5" t="s">
        <v>3889</v>
      </c>
      <c r="H1061" s="5" t="s">
        <v>3890</v>
      </c>
      <c r="I1061" s="5" t="s">
        <v>641</v>
      </c>
      <c r="J1061" s="5" t="s">
        <v>1746</v>
      </c>
      <c r="K1061" s="5">
        <v>1.0</v>
      </c>
      <c r="L1061" s="5">
        <v>2680.0</v>
      </c>
      <c r="M1061" s="8"/>
      <c r="AK1061" s="9"/>
      <c r="AO1061" s="5" t="s">
        <v>3891</v>
      </c>
      <c r="AP1061" s="5">
        <v>853.0</v>
      </c>
      <c r="AQ1061" s="5" t="s">
        <v>1716</v>
      </c>
      <c r="AR1061" s="5" t="s">
        <v>1717</v>
      </c>
      <c r="AS1061" s="5" t="s">
        <v>1718</v>
      </c>
      <c r="AT1061" s="5" t="s">
        <v>1719</v>
      </c>
      <c r="AU1061" s="5" t="s">
        <v>1959</v>
      </c>
      <c r="AV1061" s="5" t="s">
        <v>1720</v>
      </c>
      <c r="AX1061" s="5" t="s">
        <v>2797</v>
      </c>
      <c r="AY1061" s="5">
        <v>50.0237</v>
      </c>
      <c r="AZ1061" s="5">
        <v>-117.9894</v>
      </c>
      <c r="BA1061" s="5">
        <v>2000.0</v>
      </c>
    </row>
    <row r="1062" ht="14.25" customHeight="1">
      <c r="A1062" s="5" t="s">
        <v>422</v>
      </c>
      <c r="B1062" s="5">
        <v>12.0</v>
      </c>
      <c r="C1062" s="5" t="s">
        <v>1711</v>
      </c>
      <c r="D1062" s="5">
        <v>854.0</v>
      </c>
      <c r="E1062" s="5">
        <v>2278.0</v>
      </c>
      <c r="F1062" s="18" t="s">
        <v>3892</v>
      </c>
      <c r="G1062" s="5" t="s">
        <v>3893</v>
      </c>
      <c r="H1062" s="5" t="s">
        <v>3894</v>
      </c>
      <c r="I1062" s="5" t="s">
        <v>641</v>
      </c>
      <c r="J1062" s="5" t="s">
        <v>1746</v>
      </c>
      <c r="K1062" s="5">
        <v>1.0</v>
      </c>
      <c r="L1062" s="5">
        <v>2681.0</v>
      </c>
      <c r="M1062" s="8"/>
      <c r="AK1062" s="9"/>
      <c r="AO1062" s="5" t="s">
        <v>3892</v>
      </c>
      <c r="AP1062" s="5">
        <v>854.0</v>
      </c>
      <c r="AQ1062" s="5" t="s">
        <v>1716</v>
      </c>
      <c r="AR1062" s="5" t="s">
        <v>1717</v>
      </c>
      <c r="AS1062" s="5" t="s">
        <v>2257</v>
      </c>
      <c r="AT1062" s="5" t="s">
        <v>3895</v>
      </c>
      <c r="AU1062" s="5" t="s">
        <v>3668</v>
      </c>
      <c r="AV1062" s="5" t="s">
        <v>1720</v>
      </c>
      <c r="AW1062" s="5" t="s">
        <v>2368</v>
      </c>
      <c r="AX1062" s="5" t="s">
        <v>2522</v>
      </c>
      <c r="AY1062" s="5">
        <v>50.3926</v>
      </c>
      <c r="AZ1062" s="5">
        <v>-118.4234</v>
      </c>
      <c r="BA1062" s="5">
        <v>1200.0</v>
      </c>
    </row>
    <row r="1063" ht="14.25" customHeight="1">
      <c r="A1063" s="5" t="s">
        <v>422</v>
      </c>
      <c r="B1063" s="5">
        <v>12.0</v>
      </c>
      <c r="C1063" s="5" t="s">
        <v>1711</v>
      </c>
      <c r="D1063" s="5">
        <v>857.0</v>
      </c>
      <c r="E1063" s="5">
        <v>2279.0</v>
      </c>
      <c r="F1063" s="18" t="s">
        <v>3896</v>
      </c>
      <c r="G1063" s="5" t="s">
        <v>3897</v>
      </c>
      <c r="H1063" s="5" t="s">
        <v>3898</v>
      </c>
      <c r="I1063" s="5" t="s">
        <v>641</v>
      </c>
      <c r="J1063" s="5" t="s">
        <v>1746</v>
      </c>
      <c r="K1063" s="5">
        <v>1.0</v>
      </c>
      <c r="L1063" s="5">
        <v>2682.0</v>
      </c>
      <c r="M1063" s="8"/>
      <c r="AK1063" s="9"/>
      <c r="AO1063" s="5" t="s">
        <v>3896</v>
      </c>
      <c r="AP1063" s="5">
        <v>857.0</v>
      </c>
      <c r="AQ1063" s="5" t="s">
        <v>1716</v>
      </c>
      <c r="AR1063" s="5" t="s">
        <v>1717</v>
      </c>
      <c r="AS1063" s="5" t="s">
        <v>1718</v>
      </c>
      <c r="AT1063" s="5" t="s">
        <v>1835</v>
      </c>
      <c r="AU1063" s="5" t="s">
        <v>1836</v>
      </c>
      <c r="AV1063" s="5" t="s">
        <v>1720</v>
      </c>
      <c r="AX1063" s="5" t="s">
        <v>1883</v>
      </c>
      <c r="AY1063" s="5">
        <v>49.15</v>
      </c>
      <c r="AZ1063" s="5">
        <v>-122.55</v>
      </c>
      <c r="BA1063" s="5">
        <v>100.0</v>
      </c>
    </row>
    <row r="1064" ht="14.25" customHeight="1">
      <c r="A1064" s="5" t="s">
        <v>422</v>
      </c>
      <c r="B1064" s="5">
        <v>12.0</v>
      </c>
      <c r="C1064" s="5" t="s">
        <v>1711</v>
      </c>
      <c r="D1064" s="5">
        <v>861.0</v>
      </c>
      <c r="E1064" s="5">
        <v>2280.0</v>
      </c>
      <c r="F1064" s="5" t="s">
        <v>3899</v>
      </c>
      <c r="G1064" s="5" t="s">
        <v>3900</v>
      </c>
      <c r="H1064" s="5" t="s">
        <v>3901</v>
      </c>
      <c r="I1064" s="5" t="s">
        <v>641</v>
      </c>
      <c r="J1064" s="5" t="s">
        <v>1746</v>
      </c>
      <c r="K1064" s="5">
        <v>1.0</v>
      </c>
      <c r="L1064" s="5">
        <v>2683.0</v>
      </c>
      <c r="M1064" s="8"/>
      <c r="AK1064" s="9"/>
      <c r="AO1064" s="5" t="s">
        <v>3902</v>
      </c>
      <c r="AP1064" s="5">
        <v>861.0</v>
      </c>
      <c r="AQ1064" s="5" t="s">
        <v>1716</v>
      </c>
      <c r="AR1064" s="5" t="s">
        <v>1717</v>
      </c>
      <c r="AS1064" s="5" t="s">
        <v>1718</v>
      </c>
      <c r="AT1064" s="5" t="s">
        <v>1719</v>
      </c>
      <c r="AU1064" s="5" t="s">
        <v>1959</v>
      </c>
      <c r="AV1064" s="5" t="s">
        <v>1720</v>
      </c>
      <c r="AX1064" s="5" t="s">
        <v>2902</v>
      </c>
      <c r="AY1064" s="5">
        <v>49.3881</v>
      </c>
      <c r="AZ1064" s="5">
        <v>-115.3976</v>
      </c>
      <c r="BA1064" s="5">
        <v>797.0</v>
      </c>
    </row>
    <row r="1065" ht="14.25" customHeight="1">
      <c r="B1065" s="5">
        <v>12.0</v>
      </c>
      <c r="C1065" s="27" t="s">
        <v>1711</v>
      </c>
      <c r="D1065" s="5">
        <v>863.0</v>
      </c>
      <c r="E1065" s="5">
        <v>2281.0</v>
      </c>
      <c r="F1065" s="18" t="s">
        <v>3903</v>
      </c>
      <c r="G1065" s="69" t="s">
        <v>3904</v>
      </c>
      <c r="H1065" s="5" t="s">
        <v>3905</v>
      </c>
      <c r="I1065" s="5" t="s">
        <v>641</v>
      </c>
      <c r="J1065" s="5" t="s">
        <v>1746</v>
      </c>
      <c r="K1065" s="5">
        <v>1.0</v>
      </c>
      <c r="L1065" s="5">
        <v>2684.0</v>
      </c>
      <c r="M1065" s="8"/>
      <c r="AK1065" s="9"/>
      <c r="AO1065" s="27" t="s">
        <v>3903</v>
      </c>
      <c r="AP1065" s="27">
        <v>863.0</v>
      </c>
      <c r="AQ1065" s="27" t="s">
        <v>1716</v>
      </c>
      <c r="AR1065" s="27" t="s">
        <v>1717</v>
      </c>
      <c r="AS1065" s="27" t="s">
        <v>1718</v>
      </c>
      <c r="AT1065" s="27" t="s">
        <v>1835</v>
      </c>
      <c r="AU1065" s="27" t="s">
        <v>1836</v>
      </c>
      <c r="AV1065" s="27"/>
      <c r="AW1065" s="27" t="s">
        <v>2368</v>
      </c>
      <c r="AX1065" s="27" t="s">
        <v>2369</v>
      </c>
      <c r="AY1065" s="27">
        <v>50.7611</v>
      </c>
      <c r="AZ1065" s="27">
        <v>-121.5653</v>
      </c>
      <c r="BA1065" s="27">
        <v>1085.0</v>
      </c>
    </row>
    <row r="1066" ht="14.25" customHeight="1">
      <c r="B1066" s="5">
        <v>12.0</v>
      </c>
      <c r="C1066" s="5" t="s">
        <v>1711</v>
      </c>
      <c r="D1066" s="5">
        <v>865.0</v>
      </c>
      <c r="E1066" s="5">
        <v>2282.0</v>
      </c>
      <c r="F1066" s="5" t="s">
        <v>3906</v>
      </c>
      <c r="G1066" s="5" t="s">
        <v>3907</v>
      </c>
      <c r="H1066" s="5" t="s">
        <v>3908</v>
      </c>
      <c r="I1066" s="5" t="s">
        <v>641</v>
      </c>
      <c r="J1066" s="5" t="s">
        <v>1891</v>
      </c>
      <c r="K1066" s="5">
        <v>1.0</v>
      </c>
      <c r="L1066" s="5">
        <v>2685.0</v>
      </c>
      <c r="M1066" s="8">
        <v>50.8193</v>
      </c>
      <c r="N1066" s="11">
        <v>-116.2449</v>
      </c>
      <c r="O1066" s="11" t="s">
        <v>170</v>
      </c>
      <c r="P1066" s="11">
        <v>865.0</v>
      </c>
      <c r="Q1066" s="22">
        <v>2.0</v>
      </c>
      <c r="R1066" s="11" t="s">
        <v>3906</v>
      </c>
      <c r="S1066" s="11" t="s">
        <v>1737</v>
      </c>
      <c r="T1066" s="11">
        <v>930.0</v>
      </c>
      <c r="U1066" s="11"/>
      <c r="V1066" s="11"/>
      <c r="W1066" s="23">
        <v>38125.0</v>
      </c>
      <c r="X1066" s="11" t="s">
        <v>1738</v>
      </c>
      <c r="AK1066" s="9"/>
      <c r="AO1066" s="5" t="s">
        <v>3906</v>
      </c>
      <c r="AP1066" s="5">
        <v>865.0</v>
      </c>
      <c r="AQ1066" s="5" t="s">
        <v>1700</v>
      </c>
      <c r="AR1066" s="5" t="s">
        <v>1739</v>
      </c>
      <c r="AS1066" s="5" t="s">
        <v>1740</v>
      </c>
      <c r="AT1066" s="5" t="s">
        <v>1741</v>
      </c>
      <c r="AU1066" s="5" t="s">
        <v>1959</v>
      </c>
      <c r="AV1066" s="5" t="s">
        <v>1720</v>
      </c>
      <c r="AW1066" s="5" t="s">
        <v>2698</v>
      </c>
      <c r="AX1066" s="5" t="s">
        <v>2768</v>
      </c>
      <c r="AY1066" s="5">
        <v>50.8193</v>
      </c>
      <c r="AZ1066" s="5">
        <v>-116.2449</v>
      </c>
      <c r="BA1066" s="5">
        <v>930.0</v>
      </c>
    </row>
    <row r="1067" ht="14.25" customHeight="1">
      <c r="B1067" s="5">
        <v>12.0</v>
      </c>
      <c r="C1067" s="5" t="s">
        <v>1711</v>
      </c>
      <c r="D1067" s="5">
        <v>866.0</v>
      </c>
      <c r="E1067" s="5">
        <v>2283.0</v>
      </c>
      <c r="F1067" s="5" t="s">
        <v>1145</v>
      </c>
      <c r="G1067" s="5" t="s">
        <v>3909</v>
      </c>
      <c r="H1067" s="5" t="s">
        <v>3910</v>
      </c>
      <c r="I1067" s="5" t="s">
        <v>641</v>
      </c>
      <c r="J1067" s="5" t="s">
        <v>1829</v>
      </c>
      <c r="K1067" s="5">
        <v>1.0</v>
      </c>
      <c r="L1067" s="5">
        <v>2686.0</v>
      </c>
      <c r="M1067" s="8">
        <v>51.4357</v>
      </c>
      <c r="N1067" s="11">
        <v>-117.0571</v>
      </c>
      <c r="O1067" s="11" t="s">
        <v>170</v>
      </c>
      <c r="P1067" s="11">
        <v>866.0</v>
      </c>
      <c r="Q1067" s="22">
        <v>1.0</v>
      </c>
      <c r="R1067" s="11" t="s">
        <v>1145</v>
      </c>
      <c r="S1067" s="11" t="s">
        <v>1737</v>
      </c>
      <c r="T1067" s="11">
        <v>861.0</v>
      </c>
      <c r="U1067" s="11" t="s">
        <v>645</v>
      </c>
      <c r="V1067" s="11"/>
      <c r="W1067" s="23">
        <v>38126.0</v>
      </c>
      <c r="X1067" s="11" t="s">
        <v>1738</v>
      </c>
      <c r="AK1067" s="9"/>
      <c r="AO1067" s="5" t="s">
        <v>1145</v>
      </c>
      <c r="AP1067" s="5">
        <v>866.0</v>
      </c>
      <c r="AQ1067" s="5" t="s">
        <v>1700</v>
      </c>
      <c r="AR1067" s="5" t="s">
        <v>1739</v>
      </c>
      <c r="AS1067" s="5" t="s">
        <v>1740</v>
      </c>
      <c r="AT1067" s="5" t="s">
        <v>1741</v>
      </c>
      <c r="AU1067" s="5" t="s">
        <v>1772</v>
      </c>
      <c r="AV1067" s="5" t="s">
        <v>1720</v>
      </c>
      <c r="AW1067" s="5" t="s">
        <v>2698</v>
      </c>
      <c r="AX1067" s="5" t="s">
        <v>2699</v>
      </c>
      <c r="AY1067" s="5">
        <v>51.4357</v>
      </c>
      <c r="AZ1067" s="5">
        <v>-117.0571</v>
      </c>
      <c r="BA1067" s="5">
        <v>861.0</v>
      </c>
    </row>
    <row r="1068" ht="14.25" customHeight="1">
      <c r="B1068" s="5">
        <v>12.0</v>
      </c>
      <c r="C1068" s="5" t="s">
        <v>1711</v>
      </c>
      <c r="D1068" s="5">
        <v>867.0</v>
      </c>
      <c r="E1068" s="5">
        <v>2284.0</v>
      </c>
      <c r="F1068" s="18" t="s">
        <v>3911</v>
      </c>
      <c r="G1068" s="69" t="s">
        <v>3912</v>
      </c>
      <c r="H1068" s="5" t="s">
        <v>3913</v>
      </c>
      <c r="I1068" s="5" t="s">
        <v>641</v>
      </c>
      <c r="J1068" s="5" t="s">
        <v>1746</v>
      </c>
      <c r="K1068" s="5">
        <v>1.0</v>
      </c>
      <c r="L1068" s="5">
        <v>2687.0</v>
      </c>
      <c r="M1068" s="8"/>
      <c r="AK1068" s="9"/>
      <c r="AO1068" s="5" t="s">
        <v>3911</v>
      </c>
      <c r="AP1068" s="5">
        <v>867.0</v>
      </c>
      <c r="AQ1068" s="5" t="s">
        <v>1716</v>
      </c>
      <c r="AR1068" s="5" t="s">
        <v>1717</v>
      </c>
      <c r="AS1068" s="5" t="s">
        <v>1718</v>
      </c>
      <c r="AT1068" s="5" t="s">
        <v>1719</v>
      </c>
      <c r="AU1068" s="5" t="s">
        <v>1959</v>
      </c>
      <c r="AV1068" s="5" t="s">
        <v>1720</v>
      </c>
      <c r="AW1068" s="5" t="s">
        <v>2368</v>
      </c>
      <c r="AX1068" s="5" t="s">
        <v>2258</v>
      </c>
      <c r="AY1068" s="5">
        <v>52.1125</v>
      </c>
      <c r="AZ1068" s="5">
        <v>-119.1214</v>
      </c>
      <c r="BA1068" s="5">
        <v>774.0</v>
      </c>
    </row>
    <row r="1069" ht="14.25" customHeight="1">
      <c r="B1069" s="5">
        <v>12.0</v>
      </c>
      <c r="C1069" s="5" t="s">
        <v>1711</v>
      </c>
      <c r="D1069" s="5">
        <v>868.0</v>
      </c>
      <c r="E1069" s="5">
        <v>2285.0</v>
      </c>
      <c r="F1069" s="5" t="s">
        <v>3914</v>
      </c>
      <c r="G1069" s="5" t="s">
        <v>3915</v>
      </c>
      <c r="H1069" s="5" t="s">
        <v>3916</v>
      </c>
      <c r="I1069" s="5" t="s">
        <v>641</v>
      </c>
      <c r="J1069" s="5" t="s">
        <v>1891</v>
      </c>
      <c r="K1069" s="5">
        <v>1.0</v>
      </c>
      <c r="L1069" s="5">
        <v>2688.0</v>
      </c>
      <c r="M1069" s="8">
        <v>51.85333</v>
      </c>
      <c r="N1069" s="11">
        <v>-118.59139</v>
      </c>
      <c r="O1069" s="11" t="s">
        <v>170</v>
      </c>
      <c r="P1069" s="11">
        <v>868.0</v>
      </c>
      <c r="Q1069" s="22">
        <v>2.0</v>
      </c>
      <c r="R1069" s="11" t="s">
        <v>3917</v>
      </c>
      <c r="S1069" s="11" t="s">
        <v>1737</v>
      </c>
      <c r="T1069" s="11">
        <v>1091.0</v>
      </c>
      <c r="U1069" s="11"/>
      <c r="V1069" s="11"/>
      <c r="W1069" s="23">
        <v>38148.0</v>
      </c>
      <c r="X1069" s="11" t="s">
        <v>1738</v>
      </c>
      <c r="AK1069" s="9"/>
      <c r="AO1069" s="5" t="s">
        <v>3917</v>
      </c>
      <c r="AP1069" s="5">
        <v>868.0</v>
      </c>
      <c r="AQ1069" s="5" t="s">
        <v>1716</v>
      </c>
      <c r="AR1069" s="5" t="s">
        <v>1739</v>
      </c>
      <c r="AS1069" s="5" t="s">
        <v>1740</v>
      </c>
      <c r="AT1069" s="5" t="s">
        <v>1741</v>
      </c>
      <c r="AU1069" s="5" t="s">
        <v>1742</v>
      </c>
      <c r="AV1069" s="5" t="s">
        <v>1720</v>
      </c>
      <c r="AW1069" s="5" t="s">
        <v>2698</v>
      </c>
      <c r="AX1069" s="5" t="s">
        <v>2699</v>
      </c>
      <c r="AY1069" s="5">
        <v>51.8533</v>
      </c>
      <c r="AZ1069" s="5">
        <v>-118.5914</v>
      </c>
      <c r="BA1069" s="5">
        <v>1091.0</v>
      </c>
    </row>
    <row r="1070" ht="14.25" customHeight="1">
      <c r="A1070" s="5" t="s">
        <v>422</v>
      </c>
      <c r="B1070" s="5">
        <v>12.0</v>
      </c>
      <c r="C1070" s="5" t="s">
        <v>1711</v>
      </c>
      <c r="D1070" s="5">
        <v>869.0</v>
      </c>
      <c r="E1070" s="5">
        <v>2286.0</v>
      </c>
      <c r="F1070" s="18" t="s">
        <v>3918</v>
      </c>
      <c r="G1070" s="5" t="s">
        <v>3919</v>
      </c>
      <c r="H1070" s="5" t="s">
        <v>3920</v>
      </c>
      <c r="I1070" s="5" t="s">
        <v>641</v>
      </c>
      <c r="J1070" s="5" t="s">
        <v>1746</v>
      </c>
      <c r="K1070" s="5">
        <v>1.0</v>
      </c>
      <c r="L1070" s="5">
        <v>2689.0</v>
      </c>
      <c r="M1070" s="8"/>
      <c r="AK1070" s="9"/>
      <c r="AO1070" s="5" t="s">
        <v>3918</v>
      </c>
      <c r="AP1070" s="5">
        <v>869.0</v>
      </c>
      <c r="AQ1070" s="5" t="s">
        <v>1716</v>
      </c>
      <c r="AR1070" s="5" t="s">
        <v>1717</v>
      </c>
      <c r="AS1070" s="5" t="s">
        <v>1718</v>
      </c>
      <c r="AT1070" s="5" t="s">
        <v>1835</v>
      </c>
      <c r="AU1070" s="5" t="s">
        <v>1836</v>
      </c>
      <c r="AW1070" s="5" t="s">
        <v>2368</v>
      </c>
      <c r="AX1070" s="5" t="s">
        <v>2505</v>
      </c>
      <c r="AY1070" s="5">
        <v>50.7561</v>
      </c>
      <c r="AZ1070" s="5">
        <v>-122.0203</v>
      </c>
      <c r="BA1070" s="5">
        <v>1640.0</v>
      </c>
    </row>
    <row r="1071" ht="14.25" customHeight="1">
      <c r="A1071" s="5" t="s">
        <v>422</v>
      </c>
      <c r="B1071" s="5">
        <v>12.0</v>
      </c>
      <c r="C1071" s="5" t="s">
        <v>1711</v>
      </c>
      <c r="D1071" s="5">
        <v>870.0</v>
      </c>
      <c r="E1071" s="5">
        <v>2287.0</v>
      </c>
      <c r="F1071" s="18" t="s">
        <v>3921</v>
      </c>
      <c r="G1071" s="5" t="s">
        <v>3922</v>
      </c>
      <c r="H1071" s="5" t="s">
        <v>3923</v>
      </c>
      <c r="I1071" s="5" t="s">
        <v>641</v>
      </c>
      <c r="J1071" s="5" t="s">
        <v>1746</v>
      </c>
      <c r="K1071" s="5">
        <v>1.0</v>
      </c>
      <c r="L1071" s="5">
        <v>2690.0</v>
      </c>
      <c r="M1071" s="8"/>
      <c r="AK1071" s="9"/>
      <c r="AO1071" s="5" t="s">
        <v>3921</v>
      </c>
      <c r="AP1071" s="5">
        <v>870.0</v>
      </c>
      <c r="AQ1071" s="5" t="s">
        <v>1716</v>
      </c>
      <c r="AR1071" s="5" t="s">
        <v>1717</v>
      </c>
      <c r="AS1071" s="5" t="s">
        <v>1718</v>
      </c>
      <c r="AT1071" s="5" t="s">
        <v>1835</v>
      </c>
      <c r="AU1071" s="5" t="s">
        <v>1836</v>
      </c>
      <c r="AW1071" s="5" t="s">
        <v>2193</v>
      </c>
      <c r="AX1071" s="5" t="s">
        <v>2283</v>
      </c>
      <c r="AY1071" s="5">
        <v>52.2369</v>
      </c>
      <c r="AZ1071" s="5">
        <v>-125.2693</v>
      </c>
      <c r="BA1071" s="5">
        <v>1230.0</v>
      </c>
    </row>
    <row r="1072" ht="14.25" customHeight="1">
      <c r="B1072" s="5">
        <v>12.0</v>
      </c>
      <c r="C1072" s="5" t="s">
        <v>1711</v>
      </c>
      <c r="D1072" s="5">
        <v>872.0</v>
      </c>
      <c r="E1072" s="5">
        <v>2288.0</v>
      </c>
      <c r="F1072" s="18" t="s">
        <v>3924</v>
      </c>
      <c r="G1072" s="5" t="s">
        <v>3925</v>
      </c>
      <c r="H1072" s="5" t="s">
        <v>3926</v>
      </c>
      <c r="I1072" s="5" t="s">
        <v>641</v>
      </c>
      <c r="J1072" s="5" t="s">
        <v>1746</v>
      </c>
      <c r="K1072" s="5">
        <v>1.0</v>
      </c>
      <c r="L1072" s="5">
        <v>2691.0</v>
      </c>
      <c r="M1072" s="8"/>
      <c r="AK1072" s="9"/>
      <c r="AO1072" s="5" t="s">
        <v>3924</v>
      </c>
      <c r="AP1072" s="5">
        <v>872.0</v>
      </c>
      <c r="AQ1072" s="5" t="s">
        <v>1716</v>
      </c>
      <c r="AR1072" s="5" t="s">
        <v>1717</v>
      </c>
      <c r="AS1072" s="5" t="s">
        <v>1718</v>
      </c>
      <c r="AT1072" s="5" t="s">
        <v>1835</v>
      </c>
      <c r="AU1072" s="5" t="s">
        <v>1836</v>
      </c>
      <c r="AV1072" s="5" t="s">
        <v>1720</v>
      </c>
      <c r="AX1072" s="5" t="s">
        <v>1986</v>
      </c>
      <c r="AY1072" s="5">
        <v>59.8843</v>
      </c>
      <c r="AZ1072" s="5">
        <v>-131.4556</v>
      </c>
      <c r="BA1072" s="5">
        <v>690.0</v>
      </c>
    </row>
    <row r="1073" ht="14.25" customHeight="1">
      <c r="B1073" s="5">
        <v>12.0</v>
      </c>
      <c r="C1073" s="5" t="s">
        <v>1711</v>
      </c>
      <c r="D1073" s="5">
        <v>873.0</v>
      </c>
      <c r="E1073" s="5">
        <v>2289.0</v>
      </c>
      <c r="F1073" s="5" t="s">
        <v>3927</v>
      </c>
      <c r="G1073" s="69" t="s">
        <v>3928</v>
      </c>
      <c r="H1073" s="5" t="s">
        <v>3929</v>
      </c>
      <c r="I1073" s="5" t="s">
        <v>641</v>
      </c>
      <c r="J1073" s="5" t="s">
        <v>1829</v>
      </c>
      <c r="K1073" s="5">
        <v>1.0</v>
      </c>
      <c r="L1073" s="5">
        <v>2692.0</v>
      </c>
      <c r="M1073" s="8">
        <v>50.765</v>
      </c>
      <c r="N1073" s="5">
        <v>-117.95778</v>
      </c>
      <c r="O1073" s="5" t="s">
        <v>170</v>
      </c>
      <c r="P1073" s="5">
        <v>873.0</v>
      </c>
      <c r="Q1073" s="5">
        <v>1.0</v>
      </c>
      <c r="R1073" s="5" t="s">
        <v>3927</v>
      </c>
      <c r="S1073" s="5" t="s">
        <v>1737</v>
      </c>
      <c r="T1073" s="5">
        <v>887.0</v>
      </c>
      <c r="W1073" s="5">
        <v>38196.0</v>
      </c>
      <c r="X1073" s="5" t="s">
        <v>1738</v>
      </c>
      <c r="AK1073" s="9"/>
      <c r="AO1073" s="5" t="s">
        <v>3927</v>
      </c>
      <c r="AP1073" s="5">
        <v>873.0</v>
      </c>
      <c r="AQ1073" s="5" t="s">
        <v>1716</v>
      </c>
      <c r="AR1073" s="5" t="s">
        <v>1739</v>
      </c>
      <c r="AS1073" s="5" t="s">
        <v>1740</v>
      </c>
      <c r="AT1073" s="5" t="s">
        <v>1835</v>
      </c>
      <c r="AU1073" s="5" t="s">
        <v>1742</v>
      </c>
      <c r="AV1073" s="5" t="s">
        <v>1720</v>
      </c>
      <c r="AW1073" s="5" t="s">
        <v>2698</v>
      </c>
      <c r="AX1073" s="5" t="s">
        <v>2699</v>
      </c>
      <c r="AY1073" s="5">
        <v>50.765</v>
      </c>
      <c r="AZ1073" s="5">
        <v>-117.9578</v>
      </c>
      <c r="BA1073" s="5">
        <v>887.0</v>
      </c>
    </row>
    <row r="1074" ht="14.25" customHeight="1">
      <c r="A1074" s="5" t="s">
        <v>422</v>
      </c>
      <c r="B1074" s="5">
        <v>12.0</v>
      </c>
      <c r="C1074" s="5" t="s">
        <v>1711</v>
      </c>
      <c r="D1074" s="5">
        <v>874.0</v>
      </c>
      <c r="E1074" s="5">
        <v>2290.0</v>
      </c>
      <c r="F1074" s="5" t="s">
        <v>3930</v>
      </c>
      <c r="G1074" s="69" t="s">
        <v>3931</v>
      </c>
      <c r="H1074" s="5" t="s">
        <v>3932</v>
      </c>
      <c r="I1074" s="5" t="s">
        <v>641</v>
      </c>
      <c r="J1074" s="5" t="s">
        <v>1746</v>
      </c>
      <c r="K1074" s="5">
        <v>1.0</v>
      </c>
      <c r="L1074" s="5">
        <v>2693.0</v>
      </c>
      <c r="M1074" s="8"/>
      <c r="AK1074" s="9"/>
      <c r="AO1074" s="5" t="s">
        <v>3933</v>
      </c>
      <c r="AP1074" s="5">
        <v>874.0</v>
      </c>
      <c r="AQ1074" s="5" t="s">
        <v>1716</v>
      </c>
      <c r="AR1074" s="5" t="s">
        <v>1717</v>
      </c>
      <c r="AS1074" s="5" t="s">
        <v>1718</v>
      </c>
      <c r="AT1074" s="5" t="s">
        <v>1835</v>
      </c>
      <c r="AU1074" s="5" t="s">
        <v>1836</v>
      </c>
      <c r="AX1074" s="5" t="s">
        <v>2283</v>
      </c>
      <c r="AY1074" s="5">
        <v>51.8825</v>
      </c>
      <c r="AZ1074" s="5">
        <v>-124.9961</v>
      </c>
      <c r="BA1074" s="5">
        <v>1355.0</v>
      </c>
    </row>
    <row r="1075" ht="14.25" customHeight="1">
      <c r="A1075" s="5" t="s">
        <v>422</v>
      </c>
      <c r="B1075" s="5">
        <v>12.0</v>
      </c>
      <c r="C1075" s="5" t="s">
        <v>1711</v>
      </c>
      <c r="D1075" s="5">
        <v>875.0</v>
      </c>
      <c r="E1075" s="5">
        <v>2291.0</v>
      </c>
      <c r="F1075" s="18" t="s">
        <v>3934</v>
      </c>
      <c r="G1075" s="5" t="s">
        <v>3935</v>
      </c>
      <c r="H1075" s="5" t="s">
        <v>3936</v>
      </c>
      <c r="I1075" s="5" t="s">
        <v>641</v>
      </c>
      <c r="J1075" s="5" t="s">
        <v>1746</v>
      </c>
      <c r="K1075" s="5">
        <v>1.0</v>
      </c>
      <c r="L1075" s="5">
        <v>2694.0</v>
      </c>
      <c r="M1075" s="8"/>
      <c r="AK1075" s="9"/>
      <c r="AO1075" s="5" t="s">
        <v>3934</v>
      </c>
      <c r="AP1075" s="5">
        <v>875.0</v>
      </c>
      <c r="AQ1075" s="5" t="s">
        <v>1716</v>
      </c>
      <c r="AR1075" s="5" t="s">
        <v>1717</v>
      </c>
      <c r="AS1075" s="5" t="s">
        <v>1718</v>
      </c>
      <c r="AT1075" s="5" t="s">
        <v>1719</v>
      </c>
      <c r="AU1075" s="5" t="s">
        <v>1959</v>
      </c>
      <c r="AV1075" s="5" t="s">
        <v>1720</v>
      </c>
      <c r="AW1075" s="5" t="s">
        <v>2368</v>
      </c>
      <c r="AX1075" s="5" t="s">
        <v>2516</v>
      </c>
      <c r="AY1075" s="5">
        <v>49.7672</v>
      </c>
      <c r="AZ1075" s="5">
        <v>-119.1242</v>
      </c>
      <c r="BA1075" s="5">
        <v>1300.0</v>
      </c>
    </row>
    <row r="1076" ht="14.25" customHeight="1">
      <c r="A1076" s="5" t="s">
        <v>1908</v>
      </c>
      <c r="B1076" s="5">
        <v>12.0</v>
      </c>
      <c r="C1076" s="5" t="s">
        <v>1711</v>
      </c>
      <c r="D1076" s="5">
        <v>876.0</v>
      </c>
      <c r="E1076" s="5">
        <v>2292.0</v>
      </c>
      <c r="F1076" s="10" t="s">
        <v>3937</v>
      </c>
      <c r="G1076" s="10" t="s">
        <v>3938</v>
      </c>
      <c r="H1076" s="5" t="s">
        <v>3939</v>
      </c>
      <c r="I1076" s="5" t="s">
        <v>641</v>
      </c>
      <c r="J1076" s="5" t="s">
        <v>1829</v>
      </c>
      <c r="K1076" s="5">
        <v>1.0</v>
      </c>
      <c r="L1076" s="5">
        <v>2695.0</v>
      </c>
      <c r="M1076" s="8">
        <v>49.76722</v>
      </c>
      <c r="N1076" s="5">
        <v>-119.12407</v>
      </c>
      <c r="O1076" s="5" t="s">
        <v>142</v>
      </c>
      <c r="P1076" s="5">
        <v>876.0</v>
      </c>
      <c r="Q1076" s="5">
        <v>4.0</v>
      </c>
      <c r="R1076" s="5" t="s">
        <v>3940</v>
      </c>
      <c r="S1076" s="5" t="s">
        <v>1737</v>
      </c>
      <c r="T1076" s="5">
        <v>1261.0</v>
      </c>
      <c r="U1076" s="5" t="s">
        <v>645</v>
      </c>
      <c r="W1076" s="5">
        <v>38146.0</v>
      </c>
      <c r="X1076" s="5" t="s">
        <v>1738</v>
      </c>
      <c r="AK1076" s="9"/>
      <c r="AO1076" s="5" t="s">
        <v>3941</v>
      </c>
      <c r="AP1076" s="5">
        <v>876.0</v>
      </c>
      <c r="AQ1076" s="5" t="s">
        <v>1716</v>
      </c>
      <c r="AR1076" s="5" t="s">
        <v>1739</v>
      </c>
      <c r="AS1076" s="5" t="s">
        <v>1740</v>
      </c>
      <c r="AT1076" s="5" t="s">
        <v>1741</v>
      </c>
      <c r="AU1076" s="5" t="s">
        <v>1742</v>
      </c>
      <c r="AV1076" s="5" t="s">
        <v>1720</v>
      </c>
      <c r="AW1076" s="5" t="s">
        <v>2368</v>
      </c>
      <c r="AX1076" s="5" t="s">
        <v>2516</v>
      </c>
      <c r="AY1076" s="5">
        <v>49.7672</v>
      </c>
      <c r="AZ1076" s="5">
        <v>-119.1241</v>
      </c>
      <c r="BA1076" s="5">
        <v>1246.0</v>
      </c>
    </row>
    <row r="1077" ht="14.25" customHeight="1">
      <c r="A1077" s="5" t="s">
        <v>422</v>
      </c>
      <c r="B1077" s="5">
        <v>12.0</v>
      </c>
      <c r="C1077" s="5" t="s">
        <v>1711</v>
      </c>
      <c r="D1077" s="5">
        <v>879.0</v>
      </c>
      <c r="E1077" s="5">
        <v>2293.0</v>
      </c>
      <c r="F1077" s="18" t="s">
        <v>3942</v>
      </c>
      <c r="G1077" s="5" t="s">
        <v>3943</v>
      </c>
      <c r="H1077" s="5" t="s">
        <v>3944</v>
      </c>
      <c r="I1077" s="5" t="s">
        <v>641</v>
      </c>
      <c r="J1077" s="5" t="s">
        <v>1746</v>
      </c>
      <c r="K1077" s="5">
        <v>1.0</v>
      </c>
      <c r="L1077" s="5">
        <v>2696.0</v>
      </c>
      <c r="M1077" s="8"/>
      <c r="AK1077" s="9"/>
      <c r="AO1077" s="5" t="s">
        <v>3942</v>
      </c>
      <c r="AP1077" s="5">
        <v>879.0</v>
      </c>
      <c r="AQ1077" s="5" t="s">
        <v>1716</v>
      </c>
      <c r="AR1077" s="5" t="s">
        <v>1717</v>
      </c>
      <c r="AS1077" s="5" t="s">
        <v>1718</v>
      </c>
      <c r="AT1077" s="5" t="s">
        <v>1835</v>
      </c>
      <c r="AU1077" s="5" t="s">
        <v>1836</v>
      </c>
      <c r="AV1077" s="5" t="s">
        <v>1720</v>
      </c>
      <c r="AW1077" s="5" t="s">
        <v>2368</v>
      </c>
      <c r="AX1077" s="5" t="s">
        <v>2505</v>
      </c>
      <c r="AY1077" s="5">
        <v>50.7469</v>
      </c>
      <c r="AZ1077" s="5">
        <v>-122.4281</v>
      </c>
      <c r="BA1077" s="5">
        <v>2165.0</v>
      </c>
    </row>
    <row r="1078" ht="14.25" customHeight="1">
      <c r="A1078" s="5" t="s">
        <v>88</v>
      </c>
      <c r="B1078" s="5">
        <v>12.0</v>
      </c>
      <c r="C1078" s="5" t="s">
        <v>1711</v>
      </c>
      <c r="D1078" s="5">
        <v>882.0</v>
      </c>
      <c r="E1078" s="5">
        <v>2294.0</v>
      </c>
      <c r="F1078" s="5" t="s">
        <v>3945</v>
      </c>
      <c r="G1078" s="10" t="s">
        <v>3946</v>
      </c>
      <c r="H1078" s="5" t="s">
        <v>3947</v>
      </c>
      <c r="I1078" s="5" t="s">
        <v>641</v>
      </c>
      <c r="J1078" s="5" t="s">
        <v>1891</v>
      </c>
      <c r="K1078" s="5">
        <v>1.0</v>
      </c>
      <c r="L1078" s="5">
        <v>2697.0</v>
      </c>
      <c r="M1078" s="8">
        <v>50.86347</v>
      </c>
      <c r="N1078" s="5">
        <v>-119.00285</v>
      </c>
      <c r="O1078" s="5" t="s">
        <v>170</v>
      </c>
      <c r="P1078" s="5">
        <v>882.0</v>
      </c>
      <c r="Q1078" s="5">
        <v>2.0</v>
      </c>
      <c r="R1078" s="5" t="s">
        <v>3945</v>
      </c>
      <c r="S1078" s="5" t="s">
        <v>1737</v>
      </c>
      <c r="T1078" s="5">
        <v>1115.0</v>
      </c>
      <c r="U1078" s="5" t="s">
        <v>645</v>
      </c>
      <c r="W1078" s="5">
        <v>38253.0</v>
      </c>
      <c r="X1078" s="5" t="s">
        <v>1738</v>
      </c>
      <c r="AK1078" s="9"/>
      <c r="AO1078" s="5" t="s">
        <v>3945</v>
      </c>
      <c r="AP1078" s="5">
        <v>882.0</v>
      </c>
      <c r="AQ1078" s="5" t="s">
        <v>1700</v>
      </c>
      <c r="AR1078" s="5" t="s">
        <v>1739</v>
      </c>
      <c r="AS1078" s="5" t="s">
        <v>1740</v>
      </c>
      <c r="AT1078" s="5" t="s">
        <v>1741</v>
      </c>
      <c r="AU1078" s="5" t="s">
        <v>1959</v>
      </c>
      <c r="AV1078" s="5" t="s">
        <v>1720</v>
      </c>
      <c r="AW1078" s="5" t="s">
        <v>2368</v>
      </c>
      <c r="AX1078" s="5" t="s">
        <v>2522</v>
      </c>
      <c r="AY1078" s="5">
        <v>50.8635</v>
      </c>
      <c r="AZ1078" s="5">
        <v>-119.0028</v>
      </c>
      <c r="BA1078" s="5">
        <v>1115.0</v>
      </c>
    </row>
    <row r="1079" ht="14.25" customHeight="1">
      <c r="A1079" s="5" t="s">
        <v>88</v>
      </c>
      <c r="B1079" s="5">
        <v>12.0</v>
      </c>
      <c r="C1079" s="5" t="s">
        <v>1711</v>
      </c>
      <c r="D1079" s="5">
        <v>886.0</v>
      </c>
      <c r="E1079" s="5">
        <v>2295.0</v>
      </c>
      <c r="F1079" s="5" t="s">
        <v>3948</v>
      </c>
      <c r="G1079" s="70" t="s">
        <v>3949</v>
      </c>
      <c r="H1079" s="5" t="s">
        <v>3950</v>
      </c>
      <c r="I1079" s="5" t="s">
        <v>641</v>
      </c>
      <c r="J1079" s="5" t="s">
        <v>1891</v>
      </c>
      <c r="K1079" s="5">
        <v>1.0</v>
      </c>
      <c r="L1079" s="5">
        <v>2698.0</v>
      </c>
      <c r="M1079" s="8">
        <v>49.6673</v>
      </c>
      <c r="N1079" s="5">
        <v>-115.2144</v>
      </c>
      <c r="O1079" s="5" t="s">
        <v>170</v>
      </c>
      <c r="P1079" s="5">
        <v>886.0</v>
      </c>
      <c r="Q1079" s="5">
        <v>2.0</v>
      </c>
      <c r="R1079" s="5" t="s">
        <v>3948</v>
      </c>
      <c r="S1079" s="5" t="s">
        <v>1737</v>
      </c>
      <c r="T1079" s="5">
        <v>1051.0</v>
      </c>
      <c r="W1079" s="5">
        <v>38288.0</v>
      </c>
      <c r="X1079" s="5" t="s">
        <v>1738</v>
      </c>
      <c r="AK1079" s="9"/>
      <c r="AO1079" s="5" t="s">
        <v>3948</v>
      </c>
      <c r="AP1079" s="5">
        <v>886.0</v>
      </c>
      <c r="AQ1079" s="5" t="s">
        <v>1716</v>
      </c>
      <c r="AR1079" s="5" t="s">
        <v>1739</v>
      </c>
      <c r="AS1079" s="5" t="s">
        <v>1740</v>
      </c>
      <c r="AT1079" s="5" t="s">
        <v>1741</v>
      </c>
      <c r="AU1079" s="5" t="s">
        <v>1742</v>
      </c>
      <c r="AV1079" s="5" t="s">
        <v>1720</v>
      </c>
      <c r="AW1079" s="5" t="s">
        <v>2698</v>
      </c>
      <c r="AX1079" s="5" t="s">
        <v>2902</v>
      </c>
      <c r="AY1079" s="5">
        <v>49.6673</v>
      </c>
      <c r="AZ1079" s="5">
        <v>-115.2144</v>
      </c>
      <c r="BA1079" s="5">
        <v>1063.0</v>
      </c>
    </row>
    <row r="1080" ht="14.25" customHeight="1">
      <c r="A1080" s="5" t="s">
        <v>422</v>
      </c>
      <c r="B1080" s="5">
        <v>12.0</v>
      </c>
      <c r="C1080" s="5" t="s">
        <v>1711</v>
      </c>
      <c r="D1080" s="5">
        <v>892.0</v>
      </c>
      <c r="E1080" s="5">
        <v>2296.0</v>
      </c>
      <c r="F1080" s="18" t="s">
        <v>3951</v>
      </c>
      <c r="G1080" s="69" t="s">
        <v>3952</v>
      </c>
      <c r="H1080" s="5" t="s">
        <v>3953</v>
      </c>
      <c r="I1080" s="5" t="s">
        <v>641</v>
      </c>
      <c r="J1080" s="5" t="s">
        <v>1746</v>
      </c>
      <c r="K1080" s="5">
        <v>1.0</v>
      </c>
      <c r="L1080" s="5">
        <v>2699.0</v>
      </c>
      <c r="M1080" s="8"/>
      <c r="AK1080" s="9"/>
      <c r="AO1080" s="5" t="s">
        <v>3951</v>
      </c>
      <c r="AP1080" s="5">
        <v>892.0</v>
      </c>
      <c r="AQ1080" s="5" t="s">
        <v>1716</v>
      </c>
      <c r="AR1080" s="5" t="s">
        <v>1717</v>
      </c>
      <c r="AS1080" s="5" t="s">
        <v>1718</v>
      </c>
      <c r="AT1080" s="5" t="s">
        <v>1841</v>
      </c>
      <c r="AU1080" s="5" t="s">
        <v>1959</v>
      </c>
      <c r="AV1080" s="5" t="s">
        <v>1720</v>
      </c>
      <c r="AW1080" s="5" t="s">
        <v>2368</v>
      </c>
      <c r="AX1080" s="5" t="s">
        <v>2401</v>
      </c>
      <c r="AY1080" s="5">
        <v>51.5814</v>
      </c>
      <c r="AZ1080" s="5">
        <v>-120.0433</v>
      </c>
      <c r="BA1080" s="5">
        <v>1200.0</v>
      </c>
    </row>
    <row r="1081" ht="14.25" customHeight="1">
      <c r="A1081" s="5" t="s">
        <v>422</v>
      </c>
      <c r="B1081" s="5">
        <v>12.0</v>
      </c>
      <c r="C1081" s="5" t="s">
        <v>1707</v>
      </c>
      <c r="D1081" s="5">
        <v>896.0</v>
      </c>
      <c r="E1081" s="5">
        <v>12976.0</v>
      </c>
      <c r="G1081" s="69" t="s">
        <v>127</v>
      </c>
      <c r="H1081" s="5" t="s">
        <v>1697</v>
      </c>
      <c r="I1081" s="5" t="s">
        <v>49</v>
      </c>
      <c r="J1081" s="5" t="s">
        <v>1746</v>
      </c>
      <c r="K1081" s="5">
        <v>1.0</v>
      </c>
      <c r="L1081" s="5">
        <v>14908.0</v>
      </c>
      <c r="M1081" s="8"/>
      <c r="AK1081" s="9"/>
      <c r="AO1081" s="50" t="s">
        <v>3954</v>
      </c>
      <c r="AP1081" s="50">
        <v>896.0</v>
      </c>
      <c r="AQ1081" s="50" t="s">
        <v>1700</v>
      </c>
      <c r="AR1081" s="50" t="s">
        <v>1739</v>
      </c>
      <c r="AS1081" s="50" t="s">
        <v>1702</v>
      </c>
      <c r="AT1081" s="50" t="s">
        <v>1703</v>
      </c>
      <c r="AU1081" s="50" t="s">
        <v>1704</v>
      </c>
      <c r="AV1081" s="50" t="s">
        <v>1702</v>
      </c>
      <c r="AW1081" s="50" t="s">
        <v>1705</v>
      </c>
      <c r="AX1081" s="50" t="s">
        <v>1879</v>
      </c>
      <c r="AY1081" s="50">
        <v>50.1443</v>
      </c>
      <c r="AZ1081" s="50">
        <v>-123.1093</v>
      </c>
      <c r="BA1081" s="50">
        <v>869.0</v>
      </c>
    </row>
    <row r="1082" ht="14.25" customHeight="1">
      <c r="A1082" s="5" t="s">
        <v>422</v>
      </c>
      <c r="B1082" s="5">
        <v>12.0</v>
      </c>
      <c r="C1082" s="5" t="s">
        <v>1711</v>
      </c>
      <c r="D1082" s="5">
        <v>900.0</v>
      </c>
      <c r="E1082" s="5">
        <v>2297.0</v>
      </c>
      <c r="F1082" s="18" t="s">
        <v>3955</v>
      </c>
      <c r="G1082" s="5" t="s">
        <v>3956</v>
      </c>
      <c r="H1082" s="5" t="s">
        <v>3957</v>
      </c>
      <c r="I1082" s="5" t="s">
        <v>641</v>
      </c>
      <c r="J1082" s="5" t="s">
        <v>1746</v>
      </c>
      <c r="K1082" s="5">
        <v>1.0</v>
      </c>
      <c r="L1082" s="5">
        <v>2700.0</v>
      </c>
      <c r="M1082" s="8"/>
      <c r="AK1082" s="9"/>
      <c r="AO1082" s="5" t="s">
        <v>3955</v>
      </c>
      <c r="AP1082" s="5">
        <v>900.0</v>
      </c>
      <c r="AQ1082" s="5" t="s">
        <v>1716</v>
      </c>
      <c r="AR1082" s="5" t="s">
        <v>1717</v>
      </c>
      <c r="AS1082" s="5" t="s">
        <v>1718</v>
      </c>
      <c r="AT1082" s="5" t="s">
        <v>1841</v>
      </c>
      <c r="AU1082" s="5" t="s">
        <v>1959</v>
      </c>
      <c r="AV1082" s="5" t="s">
        <v>1720</v>
      </c>
      <c r="AW1082" s="5" t="s">
        <v>2368</v>
      </c>
      <c r="AX1082" s="5" t="s">
        <v>2369</v>
      </c>
      <c r="AY1082" s="5">
        <v>51.4397</v>
      </c>
      <c r="AZ1082" s="5">
        <v>-119.7136</v>
      </c>
      <c r="BA1082" s="5">
        <v>900.0</v>
      </c>
    </row>
    <row r="1083" ht="14.25" customHeight="1">
      <c r="B1083" s="5">
        <v>12.0</v>
      </c>
      <c r="C1083" s="5" t="s">
        <v>1711</v>
      </c>
      <c r="D1083" s="5">
        <v>903.0</v>
      </c>
      <c r="E1083" s="5">
        <v>2298.0</v>
      </c>
      <c r="F1083" s="5" t="s">
        <v>3958</v>
      </c>
      <c r="G1083" s="70" t="s">
        <v>3959</v>
      </c>
      <c r="H1083" s="5" t="s">
        <v>3960</v>
      </c>
      <c r="I1083" s="5" t="s">
        <v>641</v>
      </c>
      <c r="J1083" s="5" t="s">
        <v>1746</v>
      </c>
      <c r="K1083" s="5">
        <v>1.0</v>
      </c>
      <c r="L1083" s="5">
        <v>2701.0</v>
      </c>
      <c r="M1083" s="8"/>
      <c r="AK1083" s="9"/>
      <c r="AO1083" s="5" t="s">
        <v>3961</v>
      </c>
      <c r="AP1083" s="5">
        <v>903.0</v>
      </c>
      <c r="AQ1083" s="5" t="s">
        <v>1716</v>
      </c>
      <c r="AR1083" s="5" t="s">
        <v>1717</v>
      </c>
      <c r="AS1083" s="5" t="s">
        <v>1718</v>
      </c>
      <c r="AT1083" s="5" t="s">
        <v>1835</v>
      </c>
      <c r="AU1083" s="5" t="s">
        <v>1959</v>
      </c>
      <c r="AV1083" s="5" t="s">
        <v>1720</v>
      </c>
      <c r="AW1083" s="5" t="s">
        <v>2003</v>
      </c>
      <c r="AX1083" s="5" t="s">
        <v>2139</v>
      </c>
      <c r="AY1083" s="5">
        <v>53.4008</v>
      </c>
      <c r="AZ1083" s="5">
        <v>-124.4389</v>
      </c>
      <c r="BA1083" s="5">
        <v>1000.0</v>
      </c>
    </row>
    <row r="1084" ht="14.25" customHeight="1">
      <c r="A1084" s="5" t="s">
        <v>2037</v>
      </c>
      <c r="B1084" s="5">
        <v>12.0</v>
      </c>
      <c r="C1084" s="27" t="s">
        <v>1711</v>
      </c>
      <c r="D1084" s="5">
        <v>904.0</v>
      </c>
      <c r="E1084" s="5">
        <v>2299.0</v>
      </c>
      <c r="F1084" s="10" t="s">
        <v>3962</v>
      </c>
      <c r="G1084" s="70" t="s">
        <v>3963</v>
      </c>
      <c r="H1084" s="5" t="s">
        <v>3964</v>
      </c>
      <c r="I1084" s="5" t="s">
        <v>641</v>
      </c>
      <c r="J1084" s="5" t="s">
        <v>1829</v>
      </c>
      <c r="K1084" s="5">
        <v>1.0</v>
      </c>
      <c r="L1084" s="5">
        <v>2702.0</v>
      </c>
      <c r="M1084" s="8">
        <v>52.38725</v>
      </c>
      <c r="N1084" s="5">
        <v>-126.58972</v>
      </c>
      <c r="O1084" s="5" t="s">
        <v>51</v>
      </c>
      <c r="P1084" s="5">
        <v>904.0</v>
      </c>
      <c r="Q1084" s="5">
        <v>1.0</v>
      </c>
      <c r="R1084" s="5" t="s">
        <v>3965</v>
      </c>
      <c r="S1084" s="5" t="s">
        <v>1737</v>
      </c>
      <c r="T1084" s="5">
        <v>47.0</v>
      </c>
      <c r="W1084" s="5">
        <v>38546.0</v>
      </c>
      <c r="X1084" s="5" t="s">
        <v>1738</v>
      </c>
      <c r="AK1084" s="9"/>
      <c r="AO1084" s="27" t="s">
        <v>3965</v>
      </c>
      <c r="AP1084" s="27">
        <v>904.0</v>
      </c>
      <c r="AQ1084" s="27" t="s">
        <v>1700</v>
      </c>
      <c r="AR1084" s="27" t="s">
        <v>1739</v>
      </c>
      <c r="AS1084" s="27" t="s">
        <v>1740</v>
      </c>
      <c r="AT1084" s="27" t="s">
        <v>1741</v>
      </c>
      <c r="AU1084" s="27" t="s">
        <v>1772</v>
      </c>
      <c r="AV1084" s="27" t="s">
        <v>1720</v>
      </c>
      <c r="AW1084" s="27" t="s">
        <v>1705</v>
      </c>
      <c r="AX1084" s="27" t="s">
        <v>1965</v>
      </c>
      <c r="AY1084" s="27">
        <v>52.3873</v>
      </c>
      <c r="AZ1084" s="27">
        <v>-126.5897</v>
      </c>
      <c r="BA1084" s="27">
        <v>47.0</v>
      </c>
    </row>
    <row r="1085" ht="14.25" customHeight="1">
      <c r="B1085" s="5">
        <v>12.0</v>
      </c>
      <c r="C1085" s="5" t="s">
        <v>1711</v>
      </c>
      <c r="D1085" s="5">
        <v>905.0</v>
      </c>
      <c r="E1085" s="5">
        <v>2300.0</v>
      </c>
      <c r="F1085" s="5" t="s">
        <v>3966</v>
      </c>
      <c r="G1085" s="5" t="s">
        <v>3967</v>
      </c>
      <c r="H1085" s="5" t="s">
        <v>3968</v>
      </c>
      <c r="I1085" s="5" t="s">
        <v>641</v>
      </c>
      <c r="J1085" s="5" t="s">
        <v>1891</v>
      </c>
      <c r="K1085" s="5">
        <v>1.0</v>
      </c>
      <c r="L1085" s="5">
        <v>2703.0</v>
      </c>
      <c r="M1085" s="8">
        <v>51.5154</v>
      </c>
      <c r="N1085" s="5">
        <v>-118.27207</v>
      </c>
      <c r="O1085" s="5" t="s">
        <v>170</v>
      </c>
      <c r="P1085" s="5">
        <v>905.0</v>
      </c>
      <c r="Q1085" s="5">
        <v>1.0</v>
      </c>
      <c r="R1085" s="5" t="s">
        <v>3966</v>
      </c>
      <c r="S1085" s="5" t="s">
        <v>1737</v>
      </c>
      <c r="T1085" s="5">
        <v>757.0</v>
      </c>
      <c r="W1085" s="5">
        <v>38547.0</v>
      </c>
      <c r="X1085" s="5" t="s">
        <v>1738</v>
      </c>
      <c r="AK1085" s="9"/>
      <c r="AO1085" s="5" t="s">
        <v>3966</v>
      </c>
      <c r="AP1085" s="5">
        <v>905.0</v>
      </c>
      <c r="AQ1085" s="5" t="s">
        <v>1716</v>
      </c>
      <c r="AR1085" s="5" t="s">
        <v>1739</v>
      </c>
      <c r="AS1085" s="5" t="s">
        <v>1740</v>
      </c>
      <c r="AT1085" s="5" t="s">
        <v>1741</v>
      </c>
      <c r="AU1085" s="5" t="s">
        <v>1742</v>
      </c>
      <c r="AV1085" s="5" t="s">
        <v>1720</v>
      </c>
      <c r="AW1085" s="5" t="s">
        <v>2698</v>
      </c>
      <c r="AX1085" s="5" t="s">
        <v>2699</v>
      </c>
      <c r="AY1085" s="5">
        <v>51.5154</v>
      </c>
      <c r="AZ1085" s="5">
        <v>-118.2721</v>
      </c>
      <c r="BA1085" s="5">
        <v>757.0</v>
      </c>
    </row>
    <row r="1086" ht="14.25" customHeight="1">
      <c r="A1086" s="5" t="s">
        <v>88</v>
      </c>
      <c r="B1086" s="5">
        <v>12.0</v>
      </c>
      <c r="C1086" s="5" t="s">
        <v>1711</v>
      </c>
      <c r="D1086" s="5">
        <v>910.0</v>
      </c>
      <c r="E1086" s="5">
        <v>2301.0</v>
      </c>
      <c r="F1086" s="5" t="s">
        <v>3969</v>
      </c>
      <c r="G1086" s="10" t="s">
        <v>3970</v>
      </c>
      <c r="H1086" s="5" t="s">
        <v>3971</v>
      </c>
      <c r="I1086" s="5" t="s">
        <v>641</v>
      </c>
      <c r="J1086" s="5" t="s">
        <v>1746</v>
      </c>
      <c r="K1086" s="5">
        <v>1.0</v>
      </c>
      <c r="L1086" s="5">
        <v>2704.0</v>
      </c>
      <c r="M1086" s="8"/>
      <c r="AK1086" s="9"/>
      <c r="AO1086" s="5" t="s">
        <v>3972</v>
      </c>
      <c r="AP1086" s="5">
        <v>910.0</v>
      </c>
      <c r="AQ1086" s="5" t="s">
        <v>1716</v>
      </c>
      <c r="AR1086" s="5" t="s">
        <v>1717</v>
      </c>
      <c r="AS1086" s="5" t="s">
        <v>1718</v>
      </c>
      <c r="AT1086" s="5" t="s">
        <v>1719</v>
      </c>
      <c r="AU1086" s="5" t="s">
        <v>1959</v>
      </c>
      <c r="AV1086" s="5" t="s">
        <v>1720</v>
      </c>
      <c r="AW1086" s="5" t="s">
        <v>2368</v>
      </c>
      <c r="AX1086" s="5" t="s">
        <v>2505</v>
      </c>
      <c r="AY1086" s="5">
        <v>50.8273</v>
      </c>
      <c r="AZ1086" s="5">
        <v>-122.3369</v>
      </c>
      <c r="BA1086" s="5">
        <v>2017.0</v>
      </c>
    </row>
    <row r="1087" ht="14.25" customHeight="1">
      <c r="A1087" s="5" t="s">
        <v>2037</v>
      </c>
      <c r="B1087" s="5">
        <v>12.0</v>
      </c>
      <c r="C1087" s="5" t="s">
        <v>1711</v>
      </c>
      <c r="D1087" s="5">
        <v>913.0</v>
      </c>
      <c r="E1087" s="5">
        <v>2302.0</v>
      </c>
      <c r="F1087" s="5" t="s">
        <v>3973</v>
      </c>
      <c r="G1087" s="5" t="s">
        <v>3974</v>
      </c>
      <c r="H1087" s="5" t="s">
        <v>3975</v>
      </c>
      <c r="I1087" s="5" t="s">
        <v>1664</v>
      </c>
      <c r="J1087" s="5" t="s">
        <v>1746</v>
      </c>
      <c r="K1087" s="5">
        <v>1.0</v>
      </c>
      <c r="L1087" s="5">
        <v>2705.0</v>
      </c>
      <c r="M1087" s="8"/>
      <c r="AK1087" s="9"/>
      <c r="AO1087" s="5" t="s">
        <v>3976</v>
      </c>
      <c r="AP1087" s="5">
        <v>913.0</v>
      </c>
      <c r="AQ1087" s="5" t="s">
        <v>1716</v>
      </c>
      <c r="AR1087" s="5" t="s">
        <v>1717</v>
      </c>
      <c r="AS1087" s="5" t="s">
        <v>2257</v>
      </c>
      <c r="AT1087" s="5" t="s">
        <v>1703</v>
      </c>
      <c r="AU1087" s="5" t="s">
        <v>3668</v>
      </c>
      <c r="AV1087" s="5" t="s">
        <v>1720</v>
      </c>
      <c r="AW1087" s="5" t="s">
        <v>2698</v>
      </c>
      <c r="AX1087" s="5" t="s">
        <v>1965</v>
      </c>
      <c r="AY1087" s="5">
        <v>52.2692</v>
      </c>
      <c r="AZ1087" s="5">
        <v>-125.7827</v>
      </c>
      <c r="BA1087" s="5">
        <v>1098.0</v>
      </c>
    </row>
    <row r="1088" ht="14.25" customHeight="1">
      <c r="A1088" s="5" t="s">
        <v>422</v>
      </c>
      <c r="B1088" s="5">
        <v>12.0</v>
      </c>
      <c r="C1088" s="5" t="s">
        <v>1711</v>
      </c>
      <c r="D1088" s="5">
        <v>914.0</v>
      </c>
      <c r="E1088" s="5">
        <v>2303.0</v>
      </c>
      <c r="F1088" s="18" t="s">
        <v>3977</v>
      </c>
      <c r="G1088" s="5" t="s">
        <v>3978</v>
      </c>
      <c r="H1088" s="5" t="s">
        <v>3979</v>
      </c>
      <c r="I1088" s="5" t="s">
        <v>641</v>
      </c>
      <c r="J1088" s="5" t="s">
        <v>1746</v>
      </c>
      <c r="K1088" s="5">
        <v>1.0</v>
      </c>
      <c r="L1088" s="5">
        <v>2706.0</v>
      </c>
      <c r="M1088" s="8"/>
      <c r="AK1088" s="9"/>
      <c r="AO1088" s="29" t="s">
        <v>3977</v>
      </c>
      <c r="AP1088" s="5">
        <v>914.0</v>
      </c>
      <c r="AQ1088" s="5" t="s">
        <v>1716</v>
      </c>
      <c r="AR1088" s="5" t="s">
        <v>1717</v>
      </c>
      <c r="AS1088" s="5" t="s">
        <v>1718</v>
      </c>
      <c r="AT1088" s="5" t="s">
        <v>1835</v>
      </c>
      <c r="AU1088" s="5" t="s">
        <v>1836</v>
      </c>
      <c r="AV1088" s="5" t="s">
        <v>1720</v>
      </c>
      <c r="AW1088" s="5" t="s">
        <v>1705</v>
      </c>
      <c r="AX1088" s="5" t="s">
        <v>1879</v>
      </c>
      <c r="AY1088" s="5">
        <v>50.3242</v>
      </c>
      <c r="AZ1088" s="5">
        <v>-123.5589</v>
      </c>
      <c r="BA1088" s="5">
        <v>650.0</v>
      </c>
    </row>
    <row r="1089" ht="14.25" customHeight="1">
      <c r="A1089" s="5" t="s">
        <v>422</v>
      </c>
      <c r="B1089" s="5">
        <v>12.0</v>
      </c>
      <c r="C1089" s="5" t="s">
        <v>1707</v>
      </c>
      <c r="D1089" s="5">
        <v>915.0</v>
      </c>
      <c r="E1089" s="5">
        <v>12977.0</v>
      </c>
      <c r="G1089" s="5" t="s">
        <v>127</v>
      </c>
      <c r="H1089" s="5" t="s">
        <v>1697</v>
      </c>
      <c r="I1089" s="5" t="s">
        <v>49</v>
      </c>
      <c r="J1089" s="5" t="s">
        <v>1746</v>
      </c>
      <c r="K1089" s="5">
        <v>1.0</v>
      </c>
      <c r="L1089" s="5">
        <v>14909.0</v>
      </c>
      <c r="M1089" s="8"/>
      <c r="AK1089" s="9"/>
      <c r="AO1089" s="71" t="s">
        <v>3980</v>
      </c>
      <c r="AP1089" s="50">
        <v>915.0</v>
      </c>
      <c r="AQ1089" s="50" t="s">
        <v>1700</v>
      </c>
      <c r="AR1089" s="50" t="s">
        <v>1701</v>
      </c>
      <c r="AS1089" s="50" t="s">
        <v>1702</v>
      </c>
      <c r="AT1089" s="50" t="s">
        <v>1703</v>
      </c>
      <c r="AU1089" s="50" t="s">
        <v>1704</v>
      </c>
      <c r="AV1089" s="50" t="s">
        <v>1702</v>
      </c>
      <c r="AW1089" s="50" t="s">
        <v>1705</v>
      </c>
      <c r="AX1089" s="50" t="s">
        <v>1747</v>
      </c>
      <c r="AY1089" s="50">
        <v>48.7833</v>
      </c>
      <c r="AZ1089" s="50">
        <v>-123.05</v>
      </c>
      <c r="BA1089" s="50">
        <v>24.0</v>
      </c>
    </row>
    <row r="1090" ht="14.25" customHeight="1">
      <c r="A1090" s="5" t="s">
        <v>2037</v>
      </c>
      <c r="B1090" s="5">
        <v>12.0</v>
      </c>
      <c r="C1090" s="5" t="s">
        <v>1711</v>
      </c>
      <c r="D1090" s="5">
        <v>919.0</v>
      </c>
      <c r="E1090" s="5">
        <v>2304.0</v>
      </c>
      <c r="F1090" s="10" t="s">
        <v>3981</v>
      </c>
      <c r="G1090" s="5" t="s">
        <v>3982</v>
      </c>
      <c r="H1090" s="5" t="s">
        <v>3983</v>
      </c>
      <c r="I1090" s="5" t="s">
        <v>641</v>
      </c>
      <c r="J1090" s="5" t="s">
        <v>1891</v>
      </c>
      <c r="K1090" s="5">
        <v>1.0</v>
      </c>
      <c r="L1090" s="5">
        <v>2707.0</v>
      </c>
      <c r="M1090" s="8">
        <v>51.66943</v>
      </c>
      <c r="N1090" s="11">
        <v>-118.48707</v>
      </c>
      <c r="O1090" s="11" t="s">
        <v>170</v>
      </c>
      <c r="P1090" s="11">
        <v>919.0</v>
      </c>
      <c r="Q1090" s="22">
        <v>3.0</v>
      </c>
      <c r="R1090" s="11" t="s">
        <v>3984</v>
      </c>
      <c r="S1090" s="11" t="s">
        <v>1737</v>
      </c>
      <c r="T1090" s="11">
        <v>1333.0</v>
      </c>
      <c r="U1090" s="11"/>
      <c r="V1090" s="11"/>
      <c r="W1090" s="23">
        <v>38610.0</v>
      </c>
      <c r="X1090" s="11" t="s">
        <v>1738</v>
      </c>
      <c r="AK1090" s="9"/>
      <c r="AO1090" s="5" t="s">
        <v>3984</v>
      </c>
      <c r="AP1090" s="5">
        <v>919.0</v>
      </c>
      <c r="AQ1090" s="5" t="s">
        <v>1716</v>
      </c>
      <c r="AR1090" s="5" t="s">
        <v>1739</v>
      </c>
      <c r="AS1090" s="5" t="s">
        <v>1740</v>
      </c>
      <c r="AT1090" s="5" t="s">
        <v>1741</v>
      </c>
      <c r="AU1090" s="5" t="s">
        <v>1742</v>
      </c>
      <c r="AV1090" s="5" t="s">
        <v>1720</v>
      </c>
      <c r="AW1090" s="5" t="s">
        <v>2698</v>
      </c>
      <c r="AX1090" s="5" t="s">
        <v>2699</v>
      </c>
      <c r="AY1090" s="5">
        <v>51.6694</v>
      </c>
      <c r="AZ1090" s="5">
        <v>-118.4871</v>
      </c>
      <c r="BA1090" s="5">
        <v>1333.0</v>
      </c>
    </row>
    <row r="1091" ht="14.25" customHeight="1">
      <c r="A1091" s="5" t="s">
        <v>422</v>
      </c>
      <c r="B1091" s="5">
        <v>12.0</v>
      </c>
      <c r="C1091" s="5" t="s">
        <v>1711</v>
      </c>
      <c r="D1091" s="5">
        <v>920.0</v>
      </c>
      <c r="E1091" s="5">
        <v>2305.0</v>
      </c>
      <c r="F1091" s="5" t="s">
        <v>3985</v>
      </c>
      <c r="G1091" s="5" t="s">
        <v>3986</v>
      </c>
      <c r="H1091" s="5" t="s">
        <v>3987</v>
      </c>
      <c r="I1091" s="5" t="s">
        <v>641</v>
      </c>
      <c r="J1091" s="5" t="s">
        <v>1746</v>
      </c>
      <c r="K1091" s="5">
        <v>1.0</v>
      </c>
      <c r="L1091" s="5">
        <v>2708.0</v>
      </c>
      <c r="M1091" s="8"/>
      <c r="N1091" s="11"/>
      <c r="O1091" s="11"/>
      <c r="P1091" s="11"/>
      <c r="Q1091" s="22"/>
      <c r="R1091" s="11"/>
      <c r="S1091" s="11"/>
      <c r="T1091" s="11"/>
      <c r="U1091" s="11"/>
      <c r="V1091" s="11"/>
      <c r="W1091" s="23"/>
      <c r="X1091" s="11"/>
      <c r="AK1091" s="9"/>
      <c r="AO1091" s="5" t="s">
        <v>3988</v>
      </c>
      <c r="AP1091" s="5">
        <v>920.0</v>
      </c>
      <c r="AQ1091" s="5" t="s">
        <v>1716</v>
      </c>
      <c r="AR1091" s="5" t="s">
        <v>1717</v>
      </c>
      <c r="AS1091" s="5" t="s">
        <v>1718</v>
      </c>
      <c r="AT1091" s="5" t="s">
        <v>1835</v>
      </c>
      <c r="AU1091" s="5" t="s">
        <v>1836</v>
      </c>
      <c r="AV1091" s="5" t="s">
        <v>1720</v>
      </c>
      <c r="AW1091" s="5" t="s">
        <v>2698</v>
      </c>
      <c r="AX1091" s="5" t="s">
        <v>2801</v>
      </c>
      <c r="AY1091" s="5">
        <v>49.6278</v>
      </c>
      <c r="AZ1091" s="5">
        <v>-117.1258</v>
      </c>
      <c r="BA1091" s="5">
        <v>1376.0</v>
      </c>
    </row>
    <row r="1092" ht="14.25" customHeight="1">
      <c r="A1092" s="5" t="s">
        <v>422</v>
      </c>
      <c r="B1092" s="5">
        <v>12.0</v>
      </c>
      <c r="C1092" s="5" t="s">
        <v>1711</v>
      </c>
      <c r="D1092" s="5">
        <v>925.0</v>
      </c>
      <c r="E1092" s="5">
        <v>2306.0</v>
      </c>
      <c r="F1092" s="18" t="s">
        <v>3989</v>
      </c>
      <c r="G1092" s="5" t="s">
        <v>3990</v>
      </c>
      <c r="H1092" s="5" t="s">
        <v>3991</v>
      </c>
      <c r="I1092" s="5" t="s">
        <v>641</v>
      </c>
      <c r="J1092" s="5" t="s">
        <v>1746</v>
      </c>
      <c r="K1092" s="5">
        <v>1.0</v>
      </c>
      <c r="L1092" s="5">
        <v>2709.0</v>
      </c>
      <c r="M1092" s="8"/>
      <c r="AK1092" s="9"/>
      <c r="AO1092" s="5" t="s">
        <v>3989</v>
      </c>
      <c r="AP1092" s="5">
        <v>925.0</v>
      </c>
      <c r="AQ1092" s="5" t="s">
        <v>1716</v>
      </c>
      <c r="AR1092" s="5" t="s">
        <v>1717</v>
      </c>
      <c r="AS1092" s="5" t="s">
        <v>1718</v>
      </c>
      <c r="AT1092" s="5" t="s">
        <v>1835</v>
      </c>
      <c r="AU1092" s="5" t="s">
        <v>1836</v>
      </c>
      <c r="AV1092" s="5" t="s">
        <v>1720</v>
      </c>
      <c r="AW1092" s="5" t="s">
        <v>1705</v>
      </c>
      <c r="AX1092" s="5" t="s">
        <v>1879</v>
      </c>
      <c r="AY1092" s="5">
        <v>50.1169</v>
      </c>
      <c r="AZ1092" s="5">
        <v>-122.9531</v>
      </c>
      <c r="BA1092" s="5">
        <v>678.0</v>
      </c>
    </row>
    <row r="1093" ht="14.25" customHeight="1">
      <c r="A1093" s="5" t="s">
        <v>422</v>
      </c>
      <c r="B1093" s="5">
        <v>12.0</v>
      </c>
      <c r="C1093" s="5" t="s">
        <v>1711</v>
      </c>
      <c r="D1093" s="5">
        <v>926.0</v>
      </c>
      <c r="E1093" s="5">
        <v>2307.0</v>
      </c>
      <c r="F1093" s="18" t="s">
        <v>3992</v>
      </c>
      <c r="G1093" s="69" t="s">
        <v>3993</v>
      </c>
      <c r="H1093" s="5" t="s">
        <v>3991</v>
      </c>
      <c r="I1093" s="5" t="s">
        <v>641</v>
      </c>
      <c r="J1093" s="5" t="s">
        <v>1746</v>
      </c>
      <c r="K1093" s="5">
        <v>1.0</v>
      </c>
      <c r="L1093" s="5">
        <v>2710.0</v>
      </c>
      <c r="M1093" s="8"/>
      <c r="AK1093" s="9"/>
      <c r="AO1093" s="5" t="s">
        <v>3992</v>
      </c>
      <c r="AP1093" s="5">
        <v>926.0</v>
      </c>
      <c r="AQ1093" s="5" t="s">
        <v>1716</v>
      </c>
      <c r="AR1093" s="5" t="s">
        <v>1717</v>
      </c>
      <c r="AS1093" s="5" t="s">
        <v>1718</v>
      </c>
      <c r="AT1093" s="5" t="s">
        <v>1835</v>
      </c>
      <c r="AU1093" s="5" t="s">
        <v>1836</v>
      </c>
      <c r="AV1093" s="5" t="s">
        <v>1720</v>
      </c>
      <c r="AW1093" s="5" t="s">
        <v>1705</v>
      </c>
      <c r="AX1093" s="5" t="s">
        <v>1879</v>
      </c>
      <c r="AY1093" s="5">
        <v>50.3058</v>
      </c>
      <c r="AZ1093" s="5">
        <v>-122.7292</v>
      </c>
      <c r="BA1093" s="5">
        <v>206.0</v>
      </c>
    </row>
    <row r="1094" ht="14.25" customHeight="1">
      <c r="A1094" s="5" t="s">
        <v>422</v>
      </c>
      <c r="B1094" s="5">
        <v>12.0</v>
      </c>
      <c r="C1094" s="5" t="s">
        <v>1711</v>
      </c>
      <c r="D1094" s="5">
        <v>927.0</v>
      </c>
      <c r="E1094" s="5">
        <v>2308.0</v>
      </c>
      <c r="F1094" s="5" t="s">
        <v>3994</v>
      </c>
      <c r="G1094" s="5" t="s">
        <v>3995</v>
      </c>
      <c r="H1094" s="5" t="s">
        <v>3996</v>
      </c>
      <c r="I1094" s="5" t="s">
        <v>1664</v>
      </c>
      <c r="J1094" s="5" t="s">
        <v>1746</v>
      </c>
      <c r="K1094" s="5">
        <v>1.0</v>
      </c>
      <c r="L1094" s="5">
        <v>2711.0</v>
      </c>
      <c r="M1094" s="8"/>
      <c r="N1094" s="11"/>
      <c r="O1094" s="11"/>
      <c r="P1094" s="11"/>
      <c r="Q1094" s="22"/>
      <c r="R1094" s="11"/>
      <c r="S1094" s="11"/>
      <c r="T1094" s="11"/>
      <c r="U1094" s="11"/>
      <c r="V1094" s="11"/>
      <c r="W1094" s="23"/>
      <c r="X1094" s="11"/>
      <c r="AK1094" s="9"/>
      <c r="AO1094" s="5" t="s">
        <v>3997</v>
      </c>
      <c r="AP1094" s="5">
        <v>927.0</v>
      </c>
      <c r="AQ1094" s="5" t="s">
        <v>1716</v>
      </c>
      <c r="AR1094" s="5" t="s">
        <v>1717</v>
      </c>
      <c r="AS1094" s="5" t="s">
        <v>2257</v>
      </c>
      <c r="AT1094" s="5" t="s">
        <v>1719</v>
      </c>
      <c r="AU1094" s="5" t="s">
        <v>3668</v>
      </c>
      <c r="AW1094" s="5" t="s">
        <v>2003</v>
      </c>
      <c r="AX1094" s="5" t="s">
        <v>2258</v>
      </c>
      <c r="AY1094" s="5">
        <v>52.2502</v>
      </c>
      <c r="AZ1094" s="5">
        <v>-119.0256</v>
      </c>
      <c r="BA1094" s="5">
        <v>1109.0</v>
      </c>
    </row>
    <row r="1095" ht="14.25" customHeight="1">
      <c r="A1095" s="5" t="s">
        <v>422</v>
      </c>
      <c r="B1095" s="5">
        <v>12.0</v>
      </c>
      <c r="C1095" s="5" t="s">
        <v>1711</v>
      </c>
      <c r="D1095" s="5">
        <v>928.0</v>
      </c>
      <c r="E1095" s="5">
        <v>2309.0</v>
      </c>
      <c r="F1095" s="5" t="s">
        <v>3998</v>
      </c>
      <c r="G1095" s="5" t="s">
        <v>3999</v>
      </c>
      <c r="H1095" s="5" t="s">
        <v>4000</v>
      </c>
      <c r="I1095" s="5" t="s">
        <v>1664</v>
      </c>
      <c r="J1095" s="5" t="s">
        <v>1746</v>
      </c>
      <c r="K1095" s="5">
        <v>1.0</v>
      </c>
      <c r="L1095" s="5">
        <v>2712.0</v>
      </c>
      <c r="M1095" s="8"/>
      <c r="N1095" s="11"/>
      <c r="O1095" s="11"/>
      <c r="P1095" s="11"/>
      <c r="Q1095" s="72"/>
      <c r="R1095" s="11"/>
      <c r="S1095" s="11"/>
      <c r="T1095" s="11"/>
      <c r="U1095" s="11"/>
      <c r="V1095" s="11"/>
      <c r="W1095" s="60"/>
      <c r="X1095" s="11"/>
      <c r="AK1095" s="9"/>
      <c r="AO1095" s="5" t="s">
        <v>4001</v>
      </c>
      <c r="AP1095" s="5">
        <v>928.0</v>
      </c>
      <c r="AQ1095" s="5" t="s">
        <v>1716</v>
      </c>
      <c r="AR1095" s="5" t="s">
        <v>1717</v>
      </c>
      <c r="AS1095" s="5" t="s">
        <v>2257</v>
      </c>
      <c r="AT1095" s="5" t="s">
        <v>1719</v>
      </c>
      <c r="AU1095" s="5" t="s">
        <v>3668</v>
      </c>
      <c r="AW1095" s="5" t="s">
        <v>2003</v>
      </c>
      <c r="AX1095" s="5" t="s">
        <v>2258</v>
      </c>
      <c r="AY1095" s="5">
        <v>52.4697</v>
      </c>
      <c r="AZ1095" s="5">
        <v>-119.2868</v>
      </c>
      <c r="BA1095" s="5">
        <v>1160.0</v>
      </c>
    </row>
    <row r="1096" ht="14.25" customHeight="1">
      <c r="A1096" s="5" t="s">
        <v>422</v>
      </c>
      <c r="B1096" s="5">
        <v>12.0</v>
      </c>
      <c r="C1096" s="5" t="s">
        <v>1711</v>
      </c>
      <c r="D1096" s="5">
        <v>929.0</v>
      </c>
      <c r="E1096" s="5">
        <v>2310.0</v>
      </c>
      <c r="F1096" s="5" t="s">
        <v>4002</v>
      </c>
      <c r="G1096" s="5" t="s">
        <v>4003</v>
      </c>
      <c r="H1096" s="5" t="s">
        <v>4004</v>
      </c>
      <c r="I1096" s="5" t="s">
        <v>1664</v>
      </c>
      <c r="J1096" s="5" t="s">
        <v>1746</v>
      </c>
      <c r="K1096" s="5">
        <v>1.0</v>
      </c>
      <c r="L1096" s="5">
        <v>2713.0</v>
      </c>
      <c r="M1096" s="8"/>
      <c r="N1096" s="11"/>
      <c r="O1096" s="11"/>
      <c r="P1096" s="11"/>
      <c r="Q1096" s="22"/>
      <c r="R1096" s="11"/>
      <c r="S1096" s="11"/>
      <c r="T1096" s="11"/>
      <c r="U1096" s="11"/>
      <c r="V1096" s="11"/>
      <c r="W1096" s="23"/>
      <c r="X1096" s="11"/>
      <c r="AK1096" s="9"/>
      <c r="AO1096" s="5" t="s">
        <v>4005</v>
      </c>
      <c r="AP1096" s="5">
        <v>929.0</v>
      </c>
      <c r="AQ1096" s="5" t="s">
        <v>1716</v>
      </c>
      <c r="AR1096" s="5" t="s">
        <v>1717</v>
      </c>
      <c r="AS1096" s="5" t="s">
        <v>2257</v>
      </c>
      <c r="AT1096" s="5" t="s">
        <v>1719</v>
      </c>
      <c r="AU1096" s="5" t="s">
        <v>3668</v>
      </c>
      <c r="AW1096" s="5" t="s">
        <v>2003</v>
      </c>
      <c r="AX1096" s="5" t="s">
        <v>2258</v>
      </c>
      <c r="AY1096" s="5">
        <v>52.8415</v>
      </c>
      <c r="AZ1096" s="5">
        <v>-119.7708</v>
      </c>
      <c r="BA1096" s="5">
        <v>1070.0</v>
      </c>
    </row>
    <row r="1097" ht="14.25" customHeight="1">
      <c r="A1097" s="5" t="s">
        <v>2037</v>
      </c>
      <c r="B1097" s="5">
        <v>12.0</v>
      </c>
      <c r="C1097" s="5" t="s">
        <v>1711</v>
      </c>
      <c r="D1097" s="5">
        <v>930.0</v>
      </c>
      <c r="E1097" s="5">
        <v>2311.0</v>
      </c>
      <c r="F1097" s="5" t="s">
        <v>4006</v>
      </c>
      <c r="G1097" s="5" t="s">
        <v>4007</v>
      </c>
      <c r="H1097" s="5" t="s">
        <v>4008</v>
      </c>
      <c r="I1097" s="5" t="s">
        <v>641</v>
      </c>
      <c r="J1097" s="5" t="s">
        <v>1746</v>
      </c>
      <c r="K1097" s="5">
        <v>1.0</v>
      </c>
      <c r="L1097" s="5">
        <v>2714.0</v>
      </c>
      <c r="M1097" s="8">
        <v>49.6551</v>
      </c>
      <c r="N1097" s="11">
        <v>-121.35807</v>
      </c>
      <c r="O1097" s="11" t="s">
        <v>51</v>
      </c>
      <c r="P1097" s="16">
        <v>977.0</v>
      </c>
      <c r="Q1097" s="22">
        <v>4.0</v>
      </c>
      <c r="R1097" s="11" t="s">
        <v>4009</v>
      </c>
      <c r="S1097" s="11" t="s">
        <v>1737</v>
      </c>
      <c r="T1097" s="11">
        <v>630.0</v>
      </c>
      <c r="U1097" s="11"/>
      <c r="V1097" s="11"/>
      <c r="W1097" s="23">
        <v>39219.0</v>
      </c>
      <c r="X1097" s="11" t="s">
        <v>1738</v>
      </c>
      <c r="AK1097" s="9"/>
      <c r="AO1097" s="5" t="s">
        <v>4010</v>
      </c>
      <c r="AP1097" s="5">
        <v>930.0</v>
      </c>
      <c r="AQ1097" s="5" t="s">
        <v>1716</v>
      </c>
      <c r="AR1097" s="5" t="s">
        <v>1717</v>
      </c>
      <c r="AS1097" s="5" t="s">
        <v>1718</v>
      </c>
      <c r="AT1097" s="5" t="s">
        <v>1719</v>
      </c>
      <c r="AU1097" s="5" t="s">
        <v>1959</v>
      </c>
      <c r="AV1097" s="5" t="s">
        <v>1720</v>
      </c>
      <c r="AW1097" s="5" t="s">
        <v>2193</v>
      </c>
      <c r="AX1097" s="5" t="s">
        <v>2291</v>
      </c>
      <c r="AY1097" s="5">
        <v>52.076</v>
      </c>
      <c r="AZ1097" s="5">
        <v>-122.082</v>
      </c>
      <c r="BA1097" s="5">
        <v>920.0</v>
      </c>
    </row>
    <row r="1098" ht="14.25" customHeight="1">
      <c r="A1098" s="5" t="s">
        <v>422</v>
      </c>
      <c r="B1098" s="5">
        <v>12.0</v>
      </c>
      <c r="C1098" s="5" t="s">
        <v>1711</v>
      </c>
      <c r="D1098" s="5">
        <v>931.0</v>
      </c>
      <c r="E1098" s="5">
        <v>2312.0</v>
      </c>
      <c r="F1098" s="18" t="s">
        <v>4011</v>
      </c>
      <c r="G1098" s="5" t="s">
        <v>4012</v>
      </c>
      <c r="H1098" s="5" t="s">
        <v>4013</v>
      </c>
      <c r="I1098" s="5" t="s">
        <v>641</v>
      </c>
      <c r="J1098" s="5" t="s">
        <v>1746</v>
      </c>
      <c r="K1098" s="5">
        <v>1.0</v>
      </c>
      <c r="L1098" s="5">
        <v>2715.0</v>
      </c>
      <c r="M1098" s="8"/>
      <c r="AK1098" s="9"/>
      <c r="AO1098" s="5" t="s">
        <v>4011</v>
      </c>
      <c r="AP1098" s="5">
        <v>931.0</v>
      </c>
      <c r="AQ1098" s="5" t="s">
        <v>1716</v>
      </c>
      <c r="AR1098" s="5" t="s">
        <v>1717</v>
      </c>
      <c r="AS1098" s="5" t="s">
        <v>1718</v>
      </c>
      <c r="AT1098" s="5" t="s">
        <v>1835</v>
      </c>
      <c r="AU1098" s="5" t="s">
        <v>1836</v>
      </c>
      <c r="AV1098" s="5" t="s">
        <v>1720</v>
      </c>
      <c r="AX1098" s="5" t="s">
        <v>1706</v>
      </c>
      <c r="AY1098" s="5">
        <v>49.2119</v>
      </c>
      <c r="AZ1098" s="5">
        <v>-124.4106</v>
      </c>
      <c r="BA1098" s="5">
        <v>309.0</v>
      </c>
    </row>
    <row r="1099" ht="14.25" customHeight="1">
      <c r="A1099" s="5" t="s">
        <v>422</v>
      </c>
      <c r="B1099" s="5">
        <v>12.0</v>
      </c>
      <c r="C1099" s="5" t="s">
        <v>1711</v>
      </c>
      <c r="D1099" s="5">
        <v>932.0</v>
      </c>
      <c r="E1099" s="5">
        <v>2313.0</v>
      </c>
      <c r="F1099" s="18" t="s">
        <v>4014</v>
      </c>
      <c r="G1099" s="5" t="s">
        <v>4015</v>
      </c>
      <c r="H1099" s="5" t="s">
        <v>4016</v>
      </c>
      <c r="I1099" s="5" t="s">
        <v>641</v>
      </c>
      <c r="J1099" s="5" t="s">
        <v>1746</v>
      </c>
      <c r="K1099" s="5">
        <v>1.0</v>
      </c>
      <c r="L1099" s="5">
        <v>2716.0</v>
      </c>
      <c r="M1099" s="8"/>
      <c r="AK1099" s="9"/>
      <c r="AO1099" s="5" t="s">
        <v>4014</v>
      </c>
      <c r="AP1099" s="5">
        <v>932.0</v>
      </c>
      <c r="AQ1099" s="5" t="s">
        <v>1716</v>
      </c>
      <c r="AR1099" s="5" t="s">
        <v>1717</v>
      </c>
      <c r="AS1099" s="5" t="s">
        <v>1718</v>
      </c>
      <c r="AT1099" s="5" t="s">
        <v>1835</v>
      </c>
      <c r="AU1099" s="5" t="s">
        <v>1836</v>
      </c>
      <c r="AV1099" s="5" t="s">
        <v>1720</v>
      </c>
      <c r="AX1099" s="5" t="s">
        <v>1706</v>
      </c>
      <c r="AY1099" s="5">
        <v>49.2283</v>
      </c>
      <c r="AZ1099" s="5">
        <v>-124.0147</v>
      </c>
      <c r="BA1099" s="5">
        <v>156.0</v>
      </c>
    </row>
    <row r="1100" ht="14.25" customHeight="1">
      <c r="A1100" s="5" t="s">
        <v>422</v>
      </c>
      <c r="B1100" s="5">
        <v>12.0</v>
      </c>
      <c r="C1100" s="5" t="s">
        <v>1711</v>
      </c>
      <c r="D1100" s="5">
        <v>933.0</v>
      </c>
      <c r="E1100" s="5">
        <v>2314.0</v>
      </c>
      <c r="F1100" s="5" t="s">
        <v>4017</v>
      </c>
      <c r="G1100" s="5" t="s">
        <v>4018</v>
      </c>
      <c r="H1100" s="5" t="s">
        <v>4019</v>
      </c>
      <c r="I1100" s="5" t="s">
        <v>641</v>
      </c>
      <c r="J1100" s="5" t="s">
        <v>1746</v>
      </c>
      <c r="K1100" s="5">
        <v>1.0</v>
      </c>
      <c r="L1100" s="5">
        <v>2717.0</v>
      </c>
      <c r="M1100" s="8"/>
      <c r="AK1100" s="9"/>
      <c r="AO1100" s="5" t="s">
        <v>4020</v>
      </c>
      <c r="AP1100" s="5">
        <v>933.0</v>
      </c>
      <c r="AQ1100" s="5" t="s">
        <v>1716</v>
      </c>
      <c r="AR1100" s="5" t="s">
        <v>1717</v>
      </c>
      <c r="AS1100" s="5" t="s">
        <v>1718</v>
      </c>
      <c r="AT1100" s="5" t="s">
        <v>1719</v>
      </c>
      <c r="AU1100" s="5" t="s">
        <v>1959</v>
      </c>
      <c r="AV1100" s="5" t="s">
        <v>1720</v>
      </c>
      <c r="AW1100" s="5" t="s">
        <v>2698</v>
      </c>
      <c r="AX1100" s="5" t="s">
        <v>2902</v>
      </c>
      <c r="AY1100" s="5">
        <v>49.0317</v>
      </c>
      <c r="AZ1100" s="5">
        <v>-115.2127</v>
      </c>
      <c r="BA1100" s="5">
        <v>794.0</v>
      </c>
    </row>
    <row r="1101" ht="14.25" customHeight="1">
      <c r="A1101" s="5" t="s">
        <v>1908</v>
      </c>
      <c r="B1101" s="5">
        <v>12.0</v>
      </c>
      <c r="C1101" s="5" t="s">
        <v>1711</v>
      </c>
      <c r="D1101" s="5">
        <v>934.0</v>
      </c>
      <c r="E1101" s="5">
        <v>2315.0</v>
      </c>
      <c r="F1101" s="5" t="s">
        <v>4021</v>
      </c>
      <c r="G1101" s="10" t="s">
        <v>4022</v>
      </c>
      <c r="H1101" s="5" t="s">
        <v>4023</v>
      </c>
      <c r="I1101" s="5" t="s">
        <v>641</v>
      </c>
      <c r="J1101" s="5" t="s">
        <v>1891</v>
      </c>
      <c r="K1101" s="5">
        <v>1.0</v>
      </c>
      <c r="L1101" s="5">
        <v>2718.0</v>
      </c>
      <c r="M1101" s="8">
        <v>48.82288</v>
      </c>
      <c r="N1101" s="5">
        <v>-124.13708</v>
      </c>
      <c r="O1101" s="5" t="s">
        <v>183</v>
      </c>
      <c r="P1101" s="5">
        <v>934.0</v>
      </c>
      <c r="Q1101" s="5">
        <v>4.0</v>
      </c>
      <c r="R1101" s="5" t="s">
        <v>4021</v>
      </c>
      <c r="S1101" s="5" t="s">
        <v>1737</v>
      </c>
      <c r="T1101" s="5">
        <v>183.0</v>
      </c>
      <c r="U1101" s="5" t="s">
        <v>645</v>
      </c>
      <c r="W1101" s="5">
        <v>38840.0</v>
      </c>
      <c r="X1101" s="5" t="s">
        <v>1738</v>
      </c>
      <c r="AK1101" s="9"/>
      <c r="AO1101" s="5" t="s">
        <v>4021</v>
      </c>
      <c r="AP1101" s="5">
        <v>934.0</v>
      </c>
      <c r="AQ1101" s="5" t="s">
        <v>1700</v>
      </c>
      <c r="AR1101" s="5" t="s">
        <v>1739</v>
      </c>
      <c r="AS1101" s="5" t="s">
        <v>1740</v>
      </c>
      <c r="AT1101" s="5" t="s">
        <v>1835</v>
      </c>
      <c r="AU1101" s="5" t="s">
        <v>1772</v>
      </c>
      <c r="AV1101" s="5" t="s">
        <v>1720</v>
      </c>
      <c r="AW1101" s="5" t="s">
        <v>1705</v>
      </c>
      <c r="AX1101" s="5" t="s">
        <v>1747</v>
      </c>
      <c r="AY1101" s="5">
        <v>48.8228</v>
      </c>
      <c r="AZ1101" s="5">
        <v>-124.1371</v>
      </c>
      <c r="BA1101" s="5">
        <v>185.0</v>
      </c>
    </row>
    <row r="1102" ht="14.25" customHeight="1">
      <c r="A1102" s="5" t="s">
        <v>422</v>
      </c>
      <c r="B1102" s="5">
        <v>12.0</v>
      </c>
      <c r="C1102" s="5" t="s">
        <v>1711</v>
      </c>
      <c r="D1102" s="5">
        <v>936.0</v>
      </c>
      <c r="E1102" s="5">
        <v>2316.0</v>
      </c>
      <c r="F1102" s="5" t="s">
        <v>4024</v>
      </c>
      <c r="G1102" s="5" t="s">
        <v>4025</v>
      </c>
      <c r="H1102" s="5" t="s">
        <v>4026</v>
      </c>
      <c r="I1102" s="5" t="s">
        <v>641</v>
      </c>
      <c r="J1102" s="5" t="s">
        <v>1746</v>
      </c>
      <c r="K1102" s="5">
        <v>1.0</v>
      </c>
      <c r="L1102" s="5">
        <v>2719.0</v>
      </c>
      <c r="M1102" s="8"/>
      <c r="AK1102" s="9"/>
      <c r="AO1102" s="5" t="s">
        <v>4027</v>
      </c>
      <c r="AP1102" s="5">
        <v>936.0</v>
      </c>
      <c r="AQ1102" s="5" t="s">
        <v>1716</v>
      </c>
      <c r="AR1102" s="5" t="s">
        <v>1717</v>
      </c>
      <c r="AS1102" s="5" t="s">
        <v>1718</v>
      </c>
      <c r="AT1102" s="5" t="s">
        <v>1835</v>
      </c>
      <c r="AU1102" s="5" t="s">
        <v>1836</v>
      </c>
      <c r="AV1102" s="5" t="s">
        <v>1720</v>
      </c>
      <c r="AW1102" s="5" t="s">
        <v>2698</v>
      </c>
      <c r="AX1102" s="5" t="s">
        <v>2797</v>
      </c>
      <c r="AY1102" s="5">
        <v>49.984</v>
      </c>
      <c r="AZ1102" s="5">
        <v>-117.3749</v>
      </c>
      <c r="BA1102" s="5">
        <v>549.0</v>
      </c>
    </row>
    <row r="1103" ht="14.25" customHeight="1">
      <c r="A1103" s="5" t="s">
        <v>1908</v>
      </c>
      <c r="B1103" s="5">
        <v>12.0</v>
      </c>
      <c r="C1103" s="5" t="s">
        <v>1711</v>
      </c>
      <c r="D1103" s="5">
        <v>938.0</v>
      </c>
      <c r="E1103" s="5">
        <v>2317.0</v>
      </c>
      <c r="F1103" s="5" t="s">
        <v>4028</v>
      </c>
      <c r="G1103" s="10" t="s">
        <v>4029</v>
      </c>
      <c r="H1103" s="5" t="s">
        <v>4030</v>
      </c>
      <c r="I1103" s="5" t="s">
        <v>641</v>
      </c>
      <c r="J1103" s="5" t="s">
        <v>1891</v>
      </c>
      <c r="K1103" s="5">
        <v>1.0</v>
      </c>
      <c r="L1103" s="5">
        <v>2720.0</v>
      </c>
      <c r="M1103" s="8">
        <v>54.68377</v>
      </c>
      <c r="N1103" s="5">
        <v>-127.32582</v>
      </c>
      <c r="O1103" s="5" t="s">
        <v>148</v>
      </c>
      <c r="P1103" s="5">
        <v>938.0</v>
      </c>
      <c r="Q1103" s="5">
        <v>7.0</v>
      </c>
      <c r="R1103" s="5" t="s">
        <v>4028</v>
      </c>
      <c r="S1103" s="5" t="s">
        <v>1737</v>
      </c>
      <c r="T1103" s="5">
        <v>1320.0</v>
      </c>
      <c r="W1103" s="5">
        <v>38867.0</v>
      </c>
      <c r="X1103" s="5" t="s">
        <v>1738</v>
      </c>
      <c r="AK1103" s="9"/>
      <c r="AO1103" s="5" t="s">
        <v>4028</v>
      </c>
      <c r="AP1103" s="5">
        <v>938.0</v>
      </c>
      <c r="AQ1103" s="5" t="s">
        <v>1716</v>
      </c>
      <c r="AR1103" s="5" t="s">
        <v>1739</v>
      </c>
      <c r="AS1103" s="5" t="s">
        <v>1740</v>
      </c>
      <c r="AT1103" s="5" t="s">
        <v>1741</v>
      </c>
      <c r="AU1103" s="5" t="s">
        <v>1742</v>
      </c>
      <c r="AV1103" s="5" t="s">
        <v>1720</v>
      </c>
      <c r="AW1103" s="5" t="s">
        <v>1947</v>
      </c>
      <c r="AX1103" s="5" t="s">
        <v>2133</v>
      </c>
      <c r="AY1103" s="5">
        <v>54.683</v>
      </c>
      <c r="AZ1103" s="5">
        <v>-127.3234</v>
      </c>
      <c r="BA1103" s="5">
        <v>1300.0</v>
      </c>
    </row>
    <row r="1104" ht="14.25" customHeight="1">
      <c r="A1104" s="5" t="s">
        <v>422</v>
      </c>
      <c r="B1104" s="5">
        <v>12.0</v>
      </c>
      <c r="C1104" s="5" t="s">
        <v>1711</v>
      </c>
      <c r="D1104" s="5">
        <v>939.0</v>
      </c>
      <c r="E1104" s="5">
        <v>2318.0</v>
      </c>
      <c r="F1104" s="18" t="s">
        <v>4031</v>
      </c>
      <c r="G1104" s="5" t="s">
        <v>4032</v>
      </c>
      <c r="H1104" s="5" t="s">
        <v>4033</v>
      </c>
      <c r="I1104" s="5" t="s">
        <v>641</v>
      </c>
      <c r="J1104" s="5" t="s">
        <v>1746</v>
      </c>
      <c r="K1104" s="5">
        <v>1.0</v>
      </c>
      <c r="L1104" s="5">
        <v>2721.0</v>
      </c>
      <c r="M1104" s="8"/>
      <c r="AK1104" s="9"/>
      <c r="AO1104" s="5" t="s">
        <v>4031</v>
      </c>
      <c r="AP1104" s="5">
        <v>939.0</v>
      </c>
      <c r="AQ1104" s="5" t="s">
        <v>1716</v>
      </c>
      <c r="AR1104" s="5" t="s">
        <v>1717</v>
      </c>
      <c r="AS1104" s="5" t="s">
        <v>1718</v>
      </c>
      <c r="AT1104" s="5" t="s">
        <v>1835</v>
      </c>
      <c r="AU1104" s="5" t="s">
        <v>1836</v>
      </c>
      <c r="AW1104" s="5" t="s">
        <v>2003</v>
      </c>
      <c r="AX1104" s="5" t="s">
        <v>2024</v>
      </c>
      <c r="AY1104" s="5">
        <v>54.6322</v>
      </c>
      <c r="AZ1104" s="5">
        <v>-120.6306</v>
      </c>
      <c r="BA1104" s="5">
        <v>1241.0</v>
      </c>
    </row>
    <row r="1105" ht="14.25" customHeight="1">
      <c r="A1105" s="5" t="s">
        <v>422</v>
      </c>
      <c r="B1105" s="5">
        <v>12.0</v>
      </c>
      <c r="C1105" s="5" t="s">
        <v>1711</v>
      </c>
      <c r="D1105" s="5">
        <v>942.0</v>
      </c>
      <c r="E1105" s="5">
        <v>2319.0</v>
      </c>
      <c r="F1105" s="5" t="s">
        <v>4034</v>
      </c>
      <c r="G1105" s="5" t="s">
        <v>4035</v>
      </c>
      <c r="H1105" s="5" t="s">
        <v>4036</v>
      </c>
      <c r="I1105" s="5" t="s">
        <v>641</v>
      </c>
      <c r="J1105" s="5" t="s">
        <v>1746</v>
      </c>
      <c r="K1105" s="5">
        <v>1.0</v>
      </c>
      <c r="L1105" s="5">
        <v>2722.0</v>
      </c>
      <c r="M1105" s="8"/>
      <c r="AK1105" s="9"/>
      <c r="AO1105" s="5" t="s">
        <v>4037</v>
      </c>
      <c r="AP1105" s="5">
        <v>942.0</v>
      </c>
      <c r="AQ1105" s="5" t="s">
        <v>1716</v>
      </c>
      <c r="AR1105" s="5" t="s">
        <v>1717</v>
      </c>
      <c r="AS1105" s="5" t="s">
        <v>1718</v>
      </c>
      <c r="AT1105" s="5" t="s">
        <v>1835</v>
      </c>
      <c r="AU1105" s="5" t="s">
        <v>1836</v>
      </c>
      <c r="AW1105" s="5" t="s">
        <v>1947</v>
      </c>
      <c r="AX1105" s="5" t="s">
        <v>2091</v>
      </c>
      <c r="AY1105" s="5">
        <v>53.2873</v>
      </c>
      <c r="AZ1105" s="5">
        <v>-123.4456</v>
      </c>
      <c r="BA1105" s="5">
        <v>1039.0</v>
      </c>
    </row>
    <row r="1106" ht="14.25" customHeight="1">
      <c r="A1106" s="5" t="s">
        <v>422</v>
      </c>
      <c r="B1106" s="5">
        <v>12.0</v>
      </c>
      <c r="C1106" s="5" t="s">
        <v>1711</v>
      </c>
      <c r="D1106" s="5">
        <v>943.0</v>
      </c>
      <c r="E1106" s="5">
        <v>2320.0</v>
      </c>
      <c r="F1106" s="5" t="s">
        <v>4038</v>
      </c>
      <c r="G1106" s="5" t="s">
        <v>4039</v>
      </c>
      <c r="H1106" s="5" t="s">
        <v>4040</v>
      </c>
      <c r="I1106" s="5" t="s">
        <v>641</v>
      </c>
      <c r="J1106" s="5" t="s">
        <v>1746</v>
      </c>
      <c r="K1106" s="5">
        <v>1.0</v>
      </c>
      <c r="L1106" s="5">
        <v>2723.0</v>
      </c>
      <c r="M1106" s="8"/>
      <c r="N1106" s="11"/>
      <c r="O1106" s="11"/>
      <c r="P1106" s="11"/>
      <c r="Q1106" s="22"/>
      <c r="R1106" s="11"/>
      <c r="S1106" s="11"/>
      <c r="T1106" s="11"/>
      <c r="U1106" s="11"/>
      <c r="V1106" s="11"/>
      <c r="W1106" s="23"/>
      <c r="X1106" s="11"/>
      <c r="AK1106" s="9"/>
      <c r="AO1106" s="5" t="s">
        <v>4041</v>
      </c>
      <c r="AP1106" s="5">
        <v>943.0</v>
      </c>
      <c r="AQ1106" s="5" t="s">
        <v>1716</v>
      </c>
      <c r="AR1106" s="5" t="s">
        <v>1717</v>
      </c>
      <c r="AS1106" s="5" t="s">
        <v>1718</v>
      </c>
      <c r="AT1106" s="5" t="s">
        <v>1835</v>
      </c>
      <c r="AU1106" s="5" t="s">
        <v>1836</v>
      </c>
      <c r="AV1106" s="5" t="s">
        <v>1720</v>
      </c>
      <c r="AW1106" s="5" t="s">
        <v>2368</v>
      </c>
      <c r="AX1106" s="5" t="s">
        <v>2522</v>
      </c>
      <c r="AY1106" s="5">
        <v>50.4725</v>
      </c>
      <c r="AZ1106" s="5">
        <v>-119.5606</v>
      </c>
      <c r="BA1106" s="5">
        <v>1281.0</v>
      </c>
    </row>
    <row r="1107" ht="14.25" customHeight="1">
      <c r="A1107" s="5" t="s">
        <v>88</v>
      </c>
      <c r="B1107" s="5">
        <v>12.0</v>
      </c>
      <c r="C1107" s="5" t="s">
        <v>1711</v>
      </c>
      <c r="D1107" s="5">
        <v>944.0</v>
      </c>
      <c r="E1107" s="5">
        <v>2321.0</v>
      </c>
      <c r="F1107" s="5" t="s">
        <v>4042</v>
      </c>
      <c r="G1107" s="70" t="s">
        <v>4043</v>
      </c>
      <c r="H1107" s="5" t="s">
        <v>4044</v>
      </c>
      <c r="I1107" s="5" t="s">
        <v>641</v>
      </c>
      <c r="J1107" s="5" t="s">
        <v>1829</v>
      </c>
      <c r="K1107" s="5">
        <v>1.0</v>
      </c>
      <c r="L1107" s="5">
        <v>2724.0</v>
      </c>
      <c r="M1107" s="8">
        <v>48.57111</v>
      </c>
      <c r="N1107" s="11">
        <v>-124.20056</v>
      </c>
      <c r="O1107" s="11" t="s">
        <v>51</v>
      </c>
      <c r="P1107" s="11">
        <v>944.0</v>
      </c>
      <c r="Q1107" s="22">
        <v>2.0</v>
      </c>
      <c r="R1107" s="11" t="s">
        <v>4042</v>
      </c>
      <c r="S1107" s="11" t="s">
        <v>4045</v>
      </c>
      <c r="T1107" s="11">
        <v>296.0</v>
      </c>
      <c r="U1107" s="11"/>
      <c r="V1107" s="11"/>
      <c r="W1107" s="23">
        <v>38923.0</v>
      </c>
      <c r="X1107" s="11" t="s">
        <v>1738</v>
      </c>
      <c r="AK1107" s="9"/>
      <c r="AO1107" s="5" t="s">
        <v>4042</v>
      </c>
      <c r="AP1107" s="5">
        <v>944.0</v>
      </c>
      <c r="AQ1107" s="5" t="s">
        <v>1716</v>
      </c>
      <c r="AR1107" s="5" t="s">
        <v>1739</v>
      </c>
      <c r="AS1107" s="5" t="s">
        <v>1740</v>
      </c>
      <c r="AT1107" s="5" t="s">
        <v>1741</v>
      </c>
      <c r="AU1107" s="5" t="s">
        <v>1742</v>
      </c>
      <c r="AV1107" s="5" t="s">
        <v>1720</v>
      </c>
      <c r="AW1107" s="5" t="s">
        <v>1705</v>
      </c>
      <c r="AX1107" s="5" t="s">
        <v>1747</v>
      </c>
      <c r="AY1107" s="5">
        <v>48.5713</v>
      </c>
      <c r="AZ1107" s="5">
        <v>-124.2</v>
      </c>
      <c r="BA1107" s="5">
        <v>294.0</v>
      </c>
    </row>
    <row r="1108" ht="14.25" customHeight="1">
      <c r="A1108" s="5" t="s">
        <v>88</v>
      </c>
      <c r="B1108" s="5">
        <v>12.0</v>
      </c>
      <c r="C1108" s="5" t="s">
        <v>1711</v>
      </c>
      <c r="D1108" s="5">
        <v>945.0</v>
      </c>
      <c r="E1108" s="5">
        <v>2322.0</v>
      </c>
      <c r="F1108" s="5" t="s">
        <v>4046</v>
      </c>
      <c r="G1108" s="10" t="s">
        <v>4047</v>
      </c>
      <c r="H1108" s="5" t="s">
        <v>4048</v>
      </c>
      <c r="I1108" s="5" t="s">
        <v>641</v>
      </c>
      <c r="J1108" s="5" t="s">
        <v>1829</v>
      </c>
      <c r="K1108" s="5">
        <v>1.0</v>
      </c>
      <c r="L1108" s="5">
        <v>2725.0</v>
      </c>
      <c r="M1108" s="8">
        <v>50.37013</v>
      </c>
      <c r="N1108" s="11">
        <v>-126.43393</v>
      </c>
      <c r="O1108" s="11" t="s">
        <v>51</v>
      </c>
      <c r="P1108" s="11">
        <v>945.0</v>
      </c>
      <c r="Q1108" s="22">
        <v>3.0</v>
      </c>
      <c r="R1108" s="11" t="s">
        <v>4046</v>
      </c>
      <c r="S1108" s="11" t="s">
        <v>4045</v>
      </c>
      <c r="T1108" s="11">
        <v>515.0</v>
      </c>
      <c r="U1108" s="11"/>
      <c r="V1108" s="11"/>
      <c r="W1108" s="23">
        <v>38938.0</v>
      </c>
      <c r="X1108" s="11" t="s">
        <v>1738</v>
      </c>
      <c r="AK1108" s="9"/>
      <c r="AO1108" s="5" t="s">
        <v>4046</v>
      </c>
      <c r="AP1108" s="5">
        <v>945.0</v>
      </c>
      <c r="AQ1108" s="5" t="s">
        <v>1716</v>
      </c>
      <c r="AR1108" s="5" t="s">
        <v>1739</v>
      </c>
      <c r="AS1108" s="5" t="s">
        <v>1740</v>
      </c>
      <c r="AT1108" s="5" t="s">
        <v>1741</v>
      </c>
      <c r="AU1108" s="5" t="s">
        <v>1742</v>
      </c>
      <c r="AV1108" s="5" t="s">
        <v>1720</v>
      </c>
      <c r="AW1108" s="5" t="s">
        <v>1705</v>
      </c>
      <c r="AX1108" s="5" t="s">
        <v>1723</v>
      </c>
      <c r="AY1108" s="5">
        <v>50.3701</v>
      </c>
      <c r="AZ1108" s="5">
        <v>-126.4339</v>
      </c>
      <c r="BA1108" s="5">
        <v>515.0</v>
      </c>
    </row>
    <row r="1109" ht="14.25" customHeight="1">
      <c r="A1109" s="5" t="s">
        <v>422</v>
      </c>
      <c r="B1109" s="5">
        <v>12.0</v>
      </c>
      <c r="C1109" s="5" t="s">
        <v>1711</v>
      </c>
      <c r="D1109" s="5">
        <v>946.0</v>
      </c>
      <c r="E1109" s="5">
        <v>2323.0</v>
      </c>
      <c r="F1109" s="18" t="s">
        <v>4049</v>
      </c>
      <c r="G1109" s="5" t="s">
        <v>4050</v>
      </c>
      <c r="H1109" s="5" t="s">
        <v>4051</v>
      </c>
      <c r="I1109" s="5" t="s">
        <v>641</v>
      </c>
      <c r="J1109" s="5" t="s">
        <v>1746</v>
      </c>
      <c r="K1109" s="5">
        <v>1.0</v>
      </c>
      <c r="L1109" s="5">
        <v>2726.0</v>
      </c>
      <c r="M1109" s="8"/>
      <c r="AK1109" s="9"/>
      <c r="AO1109" s="5" t="s">
        <v>4049</v>
      </c>
      <c r="AP1109" s="5">
        <v>946.0</v>
      </c>
      <c r="AQ1109" s="5" t="s">
        <v>1716</v>
      </c>
      <c r="AR1109" s="5" t="s">
        <v>1717</v>
      </c>
      <c r="AS1109" s="5" t="s">
        <v>1718</v>
      </c>
      <c r="AT1109" s="5" t="s">
        <v>1835</v>
      </c>
      <c r="AU1109" s="5" t="s">
        <v>1836</v>
      </c>
      <c r="AV1109" s="5" t="s">
        <v>1720</v>
      </c>
      <c r="AW1109" s="5" t="s">
        <v>2368</v>
      </c>
      <c r="AX1109" s="5" t="s">
        <v>2492</v>
      </c>
      <c r="AY1109" s="5">
        <v>49.0625</v>
      </c>
      <c r="AZ1109" s="5">
        <v>-120.5569</v>
      </c>
      <c r="BA1109" s="5">
        <v>1103.0</v>
      </c>
    </row>
    <row r="1110" ht="14.25" customHeight="1">
      <c r="A1110" s="5" t="s">
        <v>422</v>
      </c>
      <c r="B1110" s="5">
        <v>12.0</v>
      </c>
      <c r="C1110" s="5" t="s">
        <v>1711</v>
      </c>
      <c r="D1110" s="5">
        <v>952.0</v>
      </c>
      <c r="E1110" s="5">
        <v>2324.0</v>
      </c>
      <c r="F1110" s="18" t="s">
        <v>4052</v>
      </c>
      <c r="G1110" s="5" t="s">
        <v>4053</v>
      </c>
      <c r="H1110" s="5" t="s">
        <v>4054</v>
      </c>
      <c r="I1110" s="5" t="s">
        <v>641</v>
      </c>
      <c r="J1110" s="5" t="s">
        <v>1746</v>
      </c>
      <c r="K1110" s="5">
        <v>1.0</v>
      </c>
      <c r="L1110" s="5">
        <v>2727.0</v>
      </c>
      <c r="M1110" s="8"/>
      <c r="AK1110" s="9"/>
      <c r="AO1110" s="5" t="s">
        <v>4052</v>
      </c>
      <c r="AP1110" s="5">
        <v>952.0</v>
      </c>
      <c r="AQ1110" s="5" t="s">
        <v>1716</v>
      </c>
      <c r="AR1110" s="5" t="s">
        <v>1717</v>
      </c>
      <c r="AS1110" s="5" t="s">
        <v>1718</v>
      </c>
      <c r="AT1110" s="5" t="s">
        <v>1835</v>
      </c>
      <c r="AU1110" s="5" t="s">
        <v>1836</v>
      </c>
      <c r="AV1110" s="5" t="s">
        <v>1720</v>
      </c>
      <c r="AW1110" s="5" t="s">
        <v>2368</v>
      </c>
      <c r="AX1110" s="5" t="s">
        <v>2492</v>
      </c>
      <c r="AY1110" s="5">
        <v>49.1244</v>
      </c>
      <c r="AZ1110" s="5">
        <v>-120.5019</v>
      </c>
      <c r="BA1110" s="5">
        <v>1553.0</v>
      </c>
    </row>
    <row r="1111" ht="14.25" customHeight="1">
      <c r="B1111" s="5">
        <v>12.0</v>
      </c>
      <c r="C1111" s="5" t="s">
        <v>1711</v>
      </c>
      <c r="D1111" s="5">
        <v>956.0</v>
      </c>
      <c r="E1111" s="5">
        <v>2325.0</v>
      </c>
      <c r="F1111" s="5" t="s">
        <v>4055</v>
      </c>
      <c r="G1111" s="5" t="s">
        <v>4056</v>
      </c>
      <c r="H1111" s="5" t="s">
        <v>4057</v>
      </c>
      <c r="I1111" s="5" t="s">
        <v>641</v>
      </c>
      <c r="J1111" s="5" t="s">
        <v>1829</v>
      </c>
      <c r="K1111" s="5">
        <v>1.0</v>
      </c>
      <c r="L1111" s="5">
        <v>2728.0</v>
      </c>
      <c r="M1111" s="8">
        <v>49.17</v>
      </c>
      <c r="N1111" s="11">
        <v>-125.2825</v>
      </c>
      <c r="O1111" s="11" t="s">
        <v>51</v>
      </c>
      <c r="P1111" s="11">
        <v>956.0</v>
      </c>
      <c r="Q1111" s="22">
        <v>4.0</v>
      </c>
      <c r="R1111" s="11" t="s">
        <v>4055</v>
      </c>
      <c r="S1111" s="11" t="s">
        <v>4045</v>
      </c>
      <c r="T1111" s="11">
        <v>632.0</v>
      </c>
      <c r="U1111" s="11"/>
      <c r="V1111" s="11"/>
      <c r="W1111" s="23">
        <v>39020.0</v>
      </c>
      <c r="X1111" s="11" t="s">
        <v>1738</v>
      </c>
      <c r="AK1111" s="9"/>
      <c r="AO1111" s="5" t="s">
        <v>4055</v>
      </c>
      <c r="AP1111" s="5">
        <v>956.0</v>
      </c>
      <c r="AQ1111" s="5" t="s">
        <v>1716</v>
      </c>
      <c r="AR1111" s="5" t="s">
        <v>1739</v>
      </c>
      <c r="AS1111" s="5" t="s">
        <v>1740</v>
      </c>
      <c r="AT1111" s="5" t="s">
        <v>1835</v>
      </c>
      <c r="AU1111" s="5" t="s">
        <v>1742</v>
      </c>
      <c r="AV1111" s="5" t="s">
        <v>1720</v>
      </c>
      <c r="AW1111" s="5" t="s">
        <v>1705</v>
      </c>
      <c r="AX1111" s="5" t="s">
        <v>1706</v>
      </c>
      <c r="AY1111" s="5">
        <v>49.17</v>
      </c>
      <c r="AZ1111" s="5">
        <v>-125.2825</v>
      </c>
      <c r="BA1111" s="5">
        <v>632.0</v>
      </c>
    </row>
    <row r="1112" ht="14.25" customHeight="1">
      <c r="A1112" s="5" t="s">
        <v>422</v>
      </c>
      <c r="B1112" s="5">
        <v>12.0</v>
      </c>
      <c r="C1112" s="5" t="s">
        <v>1711</v>
      </c>
      <c r="D1112" s="5">
        <v>960.0</v>
      </c>
      <c r="E1112" s="5">
        <v>2326.0</v>
      </c>
      <c r="F1112" s="5" t="s">
        <v>4058</v>
      </c>
      <c r="G1112" s="5" t="s">
        <v>4059</v>
      </c>
      <c r="H1112" s="5" t="s">
        <v>4060</v>
      </c>
      <c r="I1112" s="5" t="s">
        <v>641</v>
      </c>
      <c r="J1112" s="5" t="s">
        <v>1746</v>
      </c>
      <c r="K1112" s="5">
        <v>1.0</v>
      </c>
      <c r="L1112" s="5">
        <v>2729.0</v>
      </c>
      <c r="M1112" s="8"/>
      <c r="N1112" s="11"/>
      <c r="O1112" s="11"/>
      <c r="P1112" s="11"/>
      <c r="Q1112" s="22"/>
      <c r="R1112" s="11"/>
      <c r="S1112" s="11"/>
      <c r="T1112" s="11"/>
      <c r="U1112" s="11"/>
      <c r="V1112" s="11"/>
      <c r="W1112" s="23"/>
      <c r="X1112" s="11"/>
      <c r="AK1112" s="9"/>
      <c r="AO1112" s="5" t="s">
        <v>4061</v>
      </c>
      <c r="AP1112" s="5">
        <v>960.0</v>
      </c>
      <c r="AQ1112" s="5" t="s">
        <v>1716</v>
      </c>
      <c r="AR1112" s="5" t="s">
        <v>1717</v>
      </c>
      <c r="AS1112" s="5" t="s">
        <v>1718</v>
      </c>
      <c r="AT1112" s="5" t="s">
        <v>1835</v>
      </c>
      <c r="AU1112" s="5" t="s">
        <v>1836</v>
      </c>
      <c r="AV1112" s="5" t="s">
        <v>1720</v>
      </c>
      <c r="AW1112" s="5" t="s">
        <v>3863</v>
      </c>
      <c r="AX1112" s="5" t="s">
        <v>1723</v>
      </c>
      <c r="AY1112" s="5">
        <v>49.7104</v>
      </c>
      <c r="AZ1112" s="5">
        <v>-124.9971</v>
      </c>
      <c r="BA1112" s="5">
        <v>37.0</v>
      </c>
    </row>
    <row r="1113" ht="14.25" customHeight="1">
      <c r="A1113" s="5" t="s">
        <v>422</v>
      </c>
      <c r="B1113" s="5">
        <v>12.0</v>
      </c>
      <c r="C1113" s="5" t="s">
        <v>1711</v>
      </c>
      <c r="D1113" s="5">
        <v>962.0</v>
      </c>
      <c r="E1113" s="5">
        <v>2327.0</v>
      </c>
      <c r="F1113" s="5" t="s">
        <v>4062</v>
      </c>
      <c r="G1113" s="5" t="s">
        <v>4063</v>
      </c>
      <c r="H1113" s="5" t="s">
        <v>4064</v>
      </c>
      <c r="I1113" s="5" t="s">
        <v>641</v>
      </c>
      <c r="J1113" s="5" t="s">
        <v>1746</v>
      </c>
      <c r="K1113" s="5">
        <v>1.0</v>
      </c>
      <c r="L1113" s="5">
        <v>2730.0</v>
      </c>
      <c r="M1113" s="8"/>
      <c r="N1113" s="11"/>
      <c r="O1113" s="11"/>
      <c r="P1113" s="11"/>
      <c r="Q1113" s="22"/>
      <c r="R1113" s="11"/>
      <c r="S1113" s="11"/>
      <c r="T1113" s="11"/>
      <c r="U1113" s="11"/>
      <c r="V1113" s="11"/>
      <c r="W1113" s="23"/>
      <c r="X1113" s="11"/>
      <c r="AK1113" s="9"/>
      <c r="AO1113" s="5" t="s">
        <v>4065</v>
      </c>
      <c r="AP1113" s="5">
        <v>962.0</v>
      </c>
      <c r="AQ1113" s="5" t="s">
        <v>1716</v>
      </c>
      <c r="AR1113" s="5" t="s">
        <v>1717</v>
      </c>
      <c r="AS1113" s="5" t="s">
        <v>1718</v>
      </c>
      <c r="AT1113" s="5" t="s">
        <v>1835</v>
      </c>
      <c r="AU1113" s="5" t="s">
        <v>1836</v>
      </c>
      <c r="AV1113" s="5" t="s">
        <v>1720</v>
      </c>
      <c r="AW1113" s="5" t="s">
        <v>1705</v>
      </c>
      <c r="AX1113" s="5" t="s">
        <v>1710</v>
      </c>
      <c r="AY1113" s="5">
        <v>50.0926</v>
      </c>
      <c r="AZ1113" s="5">
        <v>-126.5145</v>
      </c>
      <c r="BA1113" s="5">
        <v>455.0</v>
      </c>
    </row>
    <row r="1114" ht="14.25" customHeight="1">
      <c r="A1114" s="5" t="s">
        <v>1908</v>
      </c>
      <c r="B1114" s="5">
        <v>12.0</v>
      </c>
      <c r="C1114" s="5" t="s">
        <v>1711</v>
      </c>
      <c r="D1114" s="5">
        <v>965.0</v>
      </c>
      <c r="E1114" s="5">
        <v>13038.0</v>
      </c>
      <c r="F1114" s="12" t="s">
        <v>4066</v>
      </c>
      <c r="G1114" s="10" t="s">
        <v>4067</v>
      </c>
      <c r="H1114" s="5" t="s">
        <v>4068</v>
      </c>
      <c r="I1114" s="5" t="s">
        <v>49</v>
      </c>
      <c r="J1114" s="5" t="s">
        <v>1746</v>
      </c>
      <c r="K1114" s="5">
        <v>1.0</v>
      </c>
      <c r="L1114" s="5">
        <v>14970.0</v>
      </c>
      <c r="M1114" s="8"/>
      <c r="AK1114" s="9"/>
      <c r="AO1114" s="50" t="s">
        <v>4069</v>
      </c>
      <c r="AP1114" s="50">
        <v>965.0</v>
      </c>
      <c r="AQ1114" s="50" t="s">
        <v>1716</v>
      </c>
      <c r="AR1114" s="50" t="s">
        <v>1701</v>
      </c>
      <c r="AS1114" s="50" t="s">
        <v>1740</v>
      </c>
      <c r="AT1114" s="50" t="s">
        <v>1741</v>
      </c>
      <c r="AU1114" s="50" t="s">
        <v>1742</v>
      </c>
      <c r="AV1114" s="50" t="s">
        <v>4070</v>
      </c>
      <c r="AW1114" s="50" t="s">
        <v>1947</v>
      </c>
      <c r="AX1114" s="50" t="s">
        <v>1986</v>
      </c>
      <c r="AY1114" s="50">
        <v>60.0069</v>
      </c>
      <c r="AZ1114" s="50">
        <v>-127.9276</v>
      </c>
      <c r="BA1114" s="50">
        <v>674.0</v>
      </c>
    </row>
    <row r="1115" ht="14.25" customHeight="1">
      <c r="A1115" s="5" t="s">
        <v>2037</v>
      </c>
      <c r="B1115" s="5">
        <v>12.0</v>
      </c>
      <c r="C1115" s="5" t="s">
        <v>1711</v>
      </c>
      <c r="D1115" s="5">
        <v>969.0</v>
      </c>
      <c r="E1115" s="5">
        <v>2328.0</v>
      </c>
      <c r="F1115" s="5" t="s">
        <v>4071</v>
      </c>
      <c r="G1115" s="5" t="s">
        <v>4072</v>
      </c>
      <c r="H1115" s="5" t="s">
        <v>4073</v>
      </c>
      <c r="I1115" s="5" t="s">
        <v>641</v>
      </c>
      <c r="J1115" s="5" t="s">
        <v>1746</v>
      </c>
      <c r="K1115" s="5">
        <v>1.0</v>
      </c>
      <c r="L1115" s="5">
        <v>2731.0</v>
      </c>
      <c r="M1115" s="8"/>
      <c r="N1115" s="11"/>
      <c r="O1115" s="11"/>
      <c r="P1115" s="11"/>
      <c r="Q1115" s="22"/>
      <c r="R1115" s="11"/>
      <c r="S1115" s="11"/>
      <c r="T1115" s="11"/>
      <c r="U1115" s="11"/>
      <c r="V1115" s="11"/>
      <c r="W1115" s="11"/>
      <c r="X1115" s="11"/>
      <c r="AK1115" s="9"/>
      <c r="AO1115" s="5" t="s">
        <v>4074</v>
      </c>
      <c r="AP1115" s="5">
        <v>969.0</v>
      </c>
      <c r="AQ1115" s="5" t="s">
        <v>1716</v>
      </c>
      <c r="AR1115" s="5" t="s">
        <v>1717</v>
      </c>
      <c r="AS1115" s="5" t="s">
        <v>1718</v>
      </c>
      <c r="AT1115" s="5" t="s">
        <v>1841</v>
      </c>
      <c r="AU1115" s="5" t="s">
        <v>2489</v>
      </c>
      <c r="AV1115" s="5" t="s">
        <v>1720</v>
      </c>
      <c r="AW1115" s="5" t="s">
        <v>2368</v>
      </c>
      <c r="AX1115" s="5" t="s">
        <v>2492</v>
      </c>
      <c r="AY1115" s="5">
        <v>49.6636</v>
      </c>
      <c r="AZ1115" s="5">
        <v>-120.5439</v>
      </c>
      <c r="BA1115" s="5">
        <v>1449.0</v>
      </c>
    </row>
    <row r="1116" ht="14.25" customHeight="1">
      <c r="A1116" s="5" t="s">
        <v>422</v>
      </c>
      <c r="B1116" s="5">
        <v>12.0</v>
      </c>
      <c r="C1116" s="5" t="s">
        <v>1711</v>
      </c>
      <c r="D1116" s="5">
        <v>976.0</v>
      </c>
      <c r="E1116" s="5">
        <v>2329.0</v>
      </c>
      <c r="F1116" s="5" t="s">
        <v>4075</v>
      </c>
      <c r="G1116" s="5" t="s">
        <v>4076</v>
      </c>
      <c r="H1116" s="5" t="s">
        <v>4077</v>
      </c>
      <c r="I1116" s="5" t="s">
        <v>641</v>
      </c>
      <c r="J1116" s="5" t="s">
        <v>1746</v>
      </c>
      <c r="K1116" s="5">
        <v>1.0</v>
      </c>
      <c r="L1116" s="5">
        <v>2732.0</v>
      </c>
      <c r="M1116" s="8"/>
      <c r="N1116" s="11"/>
      <c r="O1116" s="11"/>
      <c r="P1116" s="11"/>
      <c r="Q1116" s="22"/>
      <c r="R1116" s="11"/>
      <c r="S1116" s="11"/>
      <c r="T1116" s="11"/>
      <c r="U1116" s="11"/>
      <c r="V1116" s="11"/>
      <c r="W1116" s="23"/>
      <c r="X1116" s="11"/>
      <c r="AK1116" s="9"/>
      <c r="AO1116" s="5" t="s">
        <v>4078</v>
      </c>
      <c r="AP1116" s="5">
        <v>976.0</v>
      </c>
      <c r="AQ1116" s="5" t="s">
        <v>1716</v>
      </c>
      <c r="AR1116" s="5" t="s">
        <v>1717</v>
      </c>
      <c r="AS1116" s="5" t="s">
        <v>1718</v>
      </c>
      <c r="AT1116" s="5" t="s">
        <v>1841</v>
      </c>
      <c r="AU1116" s="5" t="s">
        <v>1959</v>
      </c>
      <c r="AV1116" s="5" t="s">
        <v>1720</v>
      </c>
      <c r="AW1116" s="5" t="s">
        <v>2368</v>
      </c>
      <c r="AX1116" s="5" t="s">
        <v>2369</v>
      </c>
      <c r="AY1116" s="5">
        <v>51.3725</v>
      </c>
      <c r="AZ1116" s="5">
        <v>-120.4908</v>
      </c>
      <c r="BA1116" s="5">
        <v>1467.0</v>
      </c>
    </row>
    <row r="1117" ht="14.25" customHeight="1">
      <c r="A1117" s="5" t="s">
        <v>88</v>
      </c>
      <c r="B1117" s="5">
        <v>12.0</v>
      </c>
      <c r="C1117" s="5" t="s">
        <v>1711</v>
      </c>
      <c r="D1117" s="5">
        <v>977.0</v>
      </c>
      <c r="E1117" s="5">
        <v>2330.0</v>
      </c>
      <c r="F1117" s="5" t="s">
        <v>4009</v>
      </c>
      <c r="G1117" s="10" t="s">
        <v>4079</v>
      </c>
      <c r="H1117" s="5" t="s">
        <v>4080</v>
      </c>
      <c r="I1117" s="5" t="s">
        <v>641</v>
      </c>
      <c r="J1117" s="5" t="s">
        <v>1829</v>
      </c>
      <c r="K1117" s="5">
        <v>1.0</v>
      </c>
      <c r="L1117" s="5">
        <v>2733.0</v>
      </c>
      <c r="M1117" s="8">
        <v>49.6551</v>
      </c>
      <c r="N1117" s="11">
        <v>-121.35807</v>
      </c>
      <c r="O1117" s="11" t="s">
        <v>51</v>
      </c>
      <c r="P1117" s="16">
        <v>977.0</v>
      </c>
      <c r="Q1117" s="22">
        <v>4.0</v>
      </c>
      <c r="R1117" s="11" t="s">
        <v>4009</v>
      </c>
      <c r="S1117" s="11" t="s">
        <v>1737</v>
      </c>
      <c r="T1117" s="11">
        <v>630.0</v>
      </c>
      <c r="U1117" s="11"/>
      <c r="V1117" s="11"/>
      <c r="W1117" s="23">
        <v>39219.0</v>
      </c>
      <c r="X1117" s="11" t="s">
        <v>1738</v>
      </c>
      <c r="AK1117" s="9"/>
      <c r="AO1117" s="5" t="s">
        <v>4009</v>
      </c>
      <c r="AP1117" s="5">
        <v>977.0</v>
      </c>
      <c r="AQ1117" s="5" t="s">
        <v>1716</v>
      </c>
      <c r="AR1117" s="5" t="s">
        <v>1739</v>
      </c>
      <c r="AS1117" s="5" t="s">
        <v>1740</v>
      </c>
      <c r="AT1117" s="5" t="s">
        <v>1741</v>
      </c>
      <c r="AU1117" s="5" t="s">
        <v>1742</v>
      </c>
      <c r="AV1117" s="5" t="s">
        <v>1720</v>
      </c>
      <c r="AW1117" s="5" t="s">
        <v>1705</v>
      </c>
      <c r="AX1117" s="5" t="s">
        <v>1883</v>
      </c>
      <c r="AY1117" s="5">
        <v>49.6551</v>
      </c>
      <c r="AZ1117" s="5">
        <v>-121.3576</v>
      </c>
      <c r="BA1117" s="5">
        <v>655.0</v>
      </c>
    </row>
    <row r="1118" ht="14.25" customHeight="1">
      <c r="A1118" s="5" t="s">
        <v>422</v>
      </c>
      <c r="B1118" s="5">
        <v>12.0</v>
      </c>
      <c r="C1118" s="5" t="s">
        <v>1711</v>
      </c>
      <c r="D1118" s="5">
        <v>979.0</v>
      </c>
      <c r="E1118" s="5">
        <v>2331.0</v>
      </c>
      <c r="F1118" s="5" t="s">
        <v>4081</v>
      </c>
      <c r="G1118" s="5" t="s">
        <v>4082</v>
      </c>
      <c r="H1118" s="5" t="s">
        <v>4083</v>
      </c>
      <c r="I1118" s="5" t="s">
        <v>641</v>
      </c>
      <c r="J1118" s="5" t="s">
        <v>1746</v>
      </c>
      <c r="K1118" s="5">
        <v>1.0</v>
      </c>
      <c r="L1118" s="5">
        <v>2734.0</v>
      </c>
      <c r="M1118" s="8"/>
      <c r="AK1118" s="9"/>
      <c r="AO1118" s="5" t="s">
        <v>4084</v>
      </c>
      <c r="AP1118" s="5">
        <v>979.0</v>
      </c>
      <c r="AQ1118" s="5" t="s">
        <v>1716</v>
      </c>
      <c r="AR1118" s="5" t="s">
        <v>1717</v>
      </c>
      <c r="AS1118" s="5" t="s">
        <v>1718</v>
      </c>
      <c r="AT1118" s="5" t="s">
        <v>1841</v>
      </c>
      <c r="AU1118" s="5" t="s">
        <v>1959</v>
      </c>
      <c r="AV1118" s="5" t="s">
        <v>1720</v>
      </c>
      <c r="AW1118" s="5" t="s">
        <v>2368</v>
      </c>
      <c r="AX1118" s="5" t="s">
        <v>2492</v>
      </c>
      <c r="AY1118" s="5">
        <v>49.1789</v>
      </c>
      <c r="AZ1118" s="5">
        <v>-120.4558</v>
      </c>
      <c r="BA1118" s="5">
        <v>1674.0</v>
      </c>
    </row>
    <row r="1119" ht="14.25" customHeight="1">
      <c r="A1119" s="5" t="s">
        <v>2037</v>
      </c>
      <c r="B1119" s="5">
        <v>12.0</v>
      </c>
      <c r="C1119" s="5" t="s">
        <v>1711</v>
      </c>
      <c r="D1119" s="5">
        <v>980.0</v>
      </c>
      <c r="E1119" s="5">
        <v>2332.0</v>
      </c>
      <c r="F1119" s="5" t="s">
        <v>4085</v>
      </c>
      <c r="G1119" s="5" t="s">
        <v>4086</v>
      </c>
      <c r="H1119" s="5" t="s">
        <v>4087</v>
      </c>
      <c r="I1119" s="5" t="s">
        <v>641</v>
      </c>
      <c r="J1119" s="5" t="s">
        <v>1746</v>
      </c>
      <c r="K1119" s="5">
        <v>1.0</v>
      </c>
      <c r="L1119" s="5">
        <v>2735.0</v>
      </c>
      <c r="M1119" s="8"/>
      <c r="N1119" s="11"/>
      <c r="O1119" s="11"/>
      <c r="P1119" s="11"/>
      <c r="Q1119" s="22"/>
      <c r="R1119" s="11"/>
      <c r="S1119" s="11"/>
      <c r="T1119" s="11"/>
      <c r="U1119" s="11"/>
      <c r="V1119" s="11"/>
      <c r="W1119" s="23"/>
      <c r="X1119" s="11"/>
      <c r="AK1119" s="9"/>
      <c r="AO1119" s="5" t="s">
        <v>4088</v>
      </c>
      <c r="AP1119" s="5">
        <v>980.0</v>
      </c>
      <c r="AQ1119" s="5" t="s">
        <v>1716</v>
      </c>
      <c r="AR1119" s="5" t="s">
        <v>1717</v>
      </c>
      <c r="AS1119" s="5" t="s">
        <v>1718</v>
      </c>
      <c r="AT1119" s="5" t="s">
        <v>1835</v>
      </c>
      <c r="AU1119" s="5" t="s">
        <v>1959</v>
      </c>
      <c r="AV1119" s="5" t="s">
        <v>1720</v>
      </c>
      <c r="AW1119" s="5" t="s">
        <v>2368</v>
      </c>
      <c r="AX1119" s="5" t="s">
        <v>2369</v>
      </c>
      <c r="AY1119" s="5">
        <v>51.4367</v>
      </c>
      <c r="AZ1119" s="5">
        <v>-119.6908</v>
      </c>
      <c r="BA1119" s="5">
        <v>1369.0</v>
      </c>
    </row>
    <row r="1120" ht="14.25" customHeight="1">
      <c r="A1120" s="5" t="s">
        <v>422</v>
      </c>
      <c r="B1120" s="5">
        <v>12.0</v>
      </c>
      <c r="C1120" s="5" t="s">
        <v>1711</v>
      </c>
      <c r="D1120" s="5">
        <v>981.0</v>
      </c>
      <c r="E1120" s="5">
        <v>2333.0</v>
      </c>
      <c r="F1120" s="18" t="s">
        <v>4089</v>
      </c>
      <c r="G1120" s="5" t="s">
        <v>4090</v>
      </c>
      <c r="H1120" s="5" t="s">
        <v>4091</v>
      </c>
      <c r="I1120" s="5" t="s">
        <v>641</v>
      </c>
      <c r="J1120" s="5" t="s">
        <v>1746</v>
      </c>
      <c r="K1120" s="5">
        <v>1.0</v>
      </c>
      <c r="L1120" s="5">
        <v>2736.0</v>
      </c>
      <c r="M1120" s="8"/>
      <c r="AK1120" s="9"/>
      <c r="AO1120" s="5" t="s">
        <v>4089</v>
      </c>
      <c r="AP1120" s="5">
        <v>981.0</v>
      </c>
      <c r="AQ1120" s="5" t="s">
        <v>1716</v>
      </c>
      <c r="AR1120" s="5" t="s">
        <v>1717</v>
      </c>
      <c r="AS1120" s="5" t="s">
        <v>1718</v>
      </c>
      <c r="AT1120" s="5" t="s">
        <v>1835</v>
      </c>
      <c r="AU1120" s="5" t="s">
        <v>1836</v>
      </c>
      <c r="AV1120" s="5" t="s">
        <v>1720</v>
      </c>
      <c r="AW1120" s="5" t="s">
        <v>1705</v>
      </c>
      <c r="AX1120" s="5" t="s">
        <v>1883</v>
      </c>
      <c r="AY1120" s="5">
        <v>49.2955</v>
      </c>
      <c r="AZ1120" s="5">
        <v>-123.122</v>
      </c>
      <c r="BA1120" s="5">
        <v>10.0</v>
      </c>
    </row>
    <row r="1121" ht="14.25" customHeight="1">
      <c r="A1121" s="5" t="s">
        <v>422</v>
      </c>
      <c r="B1121" s="5">
        <v>12.0</v>
      </c>
      <c r="C1121" s="5" t="s">
        <v>1711</v>
      </c>
      <c r="D1121" s="5">
        <v>982.0</v>
      </c>
      <c r="E1121" s="5">
        <v>2334.0</v>
      </c>
      <c r="F1121" s="18" t="s">
        <v>4092</v>
      </c>
      <c r="G1121" s="5" t="s">
        <v>4093</v>
      </c>
      <c r="H1121" s="5" t="s">
        <v>4094</v>
      </c>
      <c r="I1121" s="5" t="s">
        <v>641</v>
      </c>
      <c r="J1121" s="5" t="s">
        <v>1746</v>
      </c>
      <c r="K1121" s="5">
        <v>1.0</v>
      </c>
      <c r="L1121" s="5">
        <v>2737.0</v>
      </c>
      <c r="M1121" s="8"/>
      <c r="AK1121" s="9"/>
      <c r="AO1121" s="5" t="s">
        <v>4092</v>
      </c>
      <c r="AP1121" s="5">
        <v>982.0</v>
      </c>
      <c r="AQ1121" s="5" t="s">
        <v>1716</v>
      </c>
      <c r="AR1121" s="5" t="s">
        <v>1717</v>
      </c>
      <c r="AS1121" s="5" t="s">
        <v>1718</v>
      </c>
      <c r="AT1121" s="5" t="s">
        <v>1835</v>
      </c>
      <c r="AU1121" s="5" t="s">
        <v>1836</v>
      </c>
      <c r="AW1121" s="5" t="s">
        <v>2698</v>
      </c>
      <c r="AX1121" s="5" t="s">
        <v>2797</v>
      </c>
      <c r="AY1121" s="5">
        <v>49.7586</v>
      </c>
      <c r="AZ1121" s="5">
        <v>-117.4178</v>
      </c>
      <c r="BA1121" s="5">
        <v>1790.0</v>
      </c>
    </row>
    <row r="1122" ht="14.25" customHeight="1">
      <c r="A1122" s="5" t="s">
        <v>422</v>
      </c>
      <c r="B1122" s="5">
        <v>12.0</v>
      </c>
      <c r="C1122" s="5" t="s">
        <v>1711</v>
      </c>
      <c r="D1122" s="5">
        <v>989.0</v>
      </c>
      <c r="E1122" s="5">
        <v>2335.0</v>
      </c>
      <c r="F1122" s="18" t="s">
        <v>4095</v>
      </c>
      <c r="G1122" s="5" t="s">
        <v>4096</v>
      </c>
      <c r="H1122" s="5" t="s">
        <v>4097</v>
      </c>
      <c r="I1122" s="5" t="s">
        <v>641</v>
      </c>
      <c r="J1122" s="5" t="s">
        <v>1746</v>
      </c>
      <c r="K1122" s="5">
        <v>1.0</v>
      </c>
      <c r="L1122" s="5">
        <v>2738.0</v>
      </c>
      <c r="M1122" s="8"/>
      <c r="AK1122" s="9"/>
      <c r="AO1122" s="5" t="s">
        <v>4095</v>
      </c>
      <c r="AP1122" s="5">
        <v>989.0</v>
      </c>
      <c r="AQ1122" s="5" t="s">
        <v>1716</v>
      </c>
      <c r="AR1122" s="5" t="s">
        <v>1717</v>
      </c>
      <c r="AS1122" s="5" t="s">
        <v>1718</v>
      </c>
      <c r="AT1122" s="5" t="s">
        <v>1835</v>
      </c>
      <c r="AU1122" s="5" t="s">
        <v>1836</v>
      </c>
      <c r="AV1122" s="5" t="s">
        <v>1720</v>
      </c>
      <c r="AW1122" s="5" t="s">
        <v>2698</v>
      </c>
      <c r="AX1122" s="5" t="s">
        <v>2797</v>
      </c>
      <c r="AY1122" s="5">
        <v>49.9429</v>
      </c>
      <c r="AZ1122" s="5">
        <v>-118.0505</v>
      </c>
      <c r="BA1122" s="5">
        <v>746.0</v>
      </c>
    </row>
    <row r="1123" ht="14.25" customHeight="1">
      <c r="A1123" s="5" t="s">
        <v>422</v>
      </c>
      <c r="B1123" s="5">
        <v>12.0</v>
      </c>
      <c r="C1123" s="5" t="s">
        <v>1711</v>
      </c>
      <c r="D1123" s="5">
        <v>990.0</v>
      </c>
      <c r="E1123" s="5">
        <v>2336.0</v>
      </c>
      <c r="F1123" s="18" t="s">
        <v>4098</v>
      </c>
      <c r="G1123" s="5" t="s">
        <v>4099</v>
      </c>
      <c r="H1123" s="5" t="s">
        <v>4100</v>
      </c>
      <c r="I1123" s="5" t="s">
        <v>641</v>
      </c>
      <c r="J1123" s="5" t="s">
        <v>1746</v>
      </c>
      <c r="K1123" s="5">
        <v>1.0</v>
      </c>
      <c r="L1123" s="5">
        <v>2739.0</v>
      </c>
      <c r="M1123" s="8"/>
      <c r="AK1123" s="9"/>
      <c r="AO1123" s="5" t="s">
        <v>4098</v>
      </c>
      <c r="AP1123" s="5">
        <v>990.0</v>
      </c>
      <c r="AQ1123" s="5" t="s">
        <v>1716</v>
      </c>
      <c r="AR1123" s="5" t="s">
        <v>1717</v>
      </c>
      <c r="AS1123" s="5" t="s">
        <v>2257</v>
      </c>
      <c r="AT1123" s="5" t="s">
        <v>1719</v>
      </c>
      <c r="AU1123" s="5" t="s">
        <v>3668</v>
      </c>
      <c r="AW1123" s="5" t="s">
        <v>2698</v>
      </c>
      <c r="AX1123" s="5" t="s">
        <v>2902</v>
      </c>
      <c r="AY1123" s="5">
        <v>49.415</v>
      </c>
      <c r="AZ1123" s="5">
        <v>-115.615</v>
      </c>
      <c r="BA1123" s="5">
        <v>1335.0</v>
      </c>
    </row>
    <row r="1124" ht="14.25" customHeight="1">
      <c r="A1124" s="5" t="s">
        <v>88</v>
      </c>
      <c r="B1124" s="5">
        <v>12.0</v>
      </c>
      <c r="C1124" s="5" t="s">
        <v>1711</v>
      </c>
      <c r="D1124" s="5">
        <v>994.0</v>
      </c>
      <c r="E1124" s="5">
        <v>2337.0</v>
      </c>
      <c r="F1124" s="18" t="s">
        <v>4101</v>
      </c>
      <c r="G1124" s="10" t="s">
        <v>4102</v>
      </c>
      <c r="H1124" s="5" t="s">
        <v>4103</v>
      </c>
      <c r="I1124" s="5" t="s">
        <v>641</v>
      </c>
      <c r="J1124" s="5" t="s">
        <v>1746</v>
      </c>
      <c r="K1124" s="5">
        <v>1.0</v>
      </c>
      <c r="L1124" s="5">
        <v>2740.0</v>
      </c>
      <c r="M1124" s="8"/>
      <c r="AK1124" s="9"/>
      <c r="AO1124" s="5" t="s">
        <v>4101</v>
      </c>
      <c r="AP1124" s="5">
        <v>994.0</v>
      </c>
      <c r="AQ1124" s="5" t="s">
        <v>1716</v>
      </c>
      <c r="AR1124" s="5" t="s">
        <v>1717</v>
      </c>
      <c r="AS1124" s="5" t="s">
        <v>1718</v>
      </c>
      <c r="AT1124" s="5" t="s">
        <v>1835</v>
      </c>
      <c r="AU1124" s="5" t="s">
        <v>1836</v>
      </c>
      <c r="AV1124" s="5" t="s">
        <v>1720</v>
      </c>
      <c r="AW1124" s="5" t="s">
        <v>2698</v>
      </c>
      <c r="AX1124" s="5" t="s">
        <v>2797</v>
      </c>
      <c r="AY1124" s="5">
        <v>50.5454</v>
      </c>
      <c r="AZ1124" s="5">
        <v>-117.854</v>
      </c>
      <c r="BA1124" s="5">
        <v>1619.0</v>
      </c>
    </row>
    <row r="1125" ht="14.25" customHeight="1">
      <c r="A1125" s="5" t="s">
        <v>88</v>
      </c>
      <c r="B1125" s="5">
        <v>12.0</v>
      </c>
      <c r="C1125" s="5" t="s">
        <v>1711</v>
      </c>
      <c r="D1125" s="5">
        <v>995.0</v>
      </c>
      <c r="E1125" s="5">
        <v>2338.0</v>
      </c>
      <c r="F1125" s="5" t="s">
        <v>4104</v>
      </c>
      <c r="G1125" s="10" t="s">
        <v>4105</v>
      </c>
      <c r="H1125" s="5" t="s">
        <v>4106</v>
      </c>
      <c r="I1125" s="5" t="s">
        <v>641</v>
      </c>
      <c r="J1125" s="5" t="s">
        <v>1829</v>
      </c>
      <c r="K1125" s="5">
        <v>1.0</v>
      </c>
      <c r="L1125" s="5">
        <v>2741.0</v>
      </c>
      <c r="M1125" s="8">
        <v>50.13242</v>
      </c>
      <c r="N1125" s="11">
        <v>-126.92823</v>
      </c>
      <c r="O1125" s="11" t="s">
        <v>51</v>
      </c>
      <c r="P1125" s="11">
        <v>995.0</v>
      </c>
      <c r="Q1125" s="22">
        <v>2.0</v>
      </c>
      <c r="R1125" s="11" t="s">
        <v>4104</v>
      </c>
      <c r="S1125" s="11" t="s">
        <v>4045</v>
      </c>
      <c r="T1125" s="11">
        <v>130.0</v>
      </c>
      <c r="U1125" s="11" t="s">
        <v>645</v>
      </c>
      <c r="V1125" s="11" t="s">
        <v>1771</v>
      </c>
      <c r="W1125" s="23">
        <v>39316.0</v>
      </c>
      <c r="X1125" s="11" t="s">
        <v>1738</v>
      </c>
      <c r="AK1125" s="9"/>
      <c r="AO1125" s="5" t="s">
        <v>4104</v>
      </c>
      <c r="AP1125" s="5">
        <v>995.0</v>
      </c>
      <c r="AQ1125" s="5" t="s">
        <v>1716</v>
      </c>
      <c r="AR1125" s="5" t="s">
        <v>1739</v>
      </c>
      <c r="AS1125" s="5" t="s">
        <v>1740</v>
      </c>
      <c r="AT1125" s="5" t="s">
        <v>1741</v>
      </c>
      <c r="AU1125" s="5" t="s">
        <v>1742</v>
      </c>
      <c r="AV1125" s="5" t="s">
        <v>1720</v>
      </c>
      <c r="AW1125" s="5" t="s">
        <v>1705</v>
      </c>
      <c r="AX1125" s="5" t="s">
        <v>1723</v>
      </c>
      <c r="AY1125" s="5">
        <v>50.1324</v>
      </c>
      <c r="AZ1125" s="5">
        <v>-126.9282</v>
      </c>
      <c r="BA1125" s="5">
        <v>120.0</v>
      </c>
    </row>
    <row r="1126" ht="14.25" customHeight="1">
      <c r="A1126" s="5" t="s">
        <v>88</v>
      </c>
      <c r="B1126" s="5">
        <v>12.0</v>
      </c>
      <c r="C1126" s="5" t="s">
        <v>1711</v>
      </c>
      <c r="D1126" s="5">
        <v>1002.0</v>
      </c>
      <c r="E1126" s="5">
        <v>2339.0</v>
      </c>
      <c r="F1126" s="5" t="s">
        <v>4107</v>
      </c>
      <c r="G1126" s="10" t="s">
        <v>4108</v>
      </c>
      <c r="H1126" s="5" t="s">
        <v>4109</v>
      </c>
      <c r="I1126" s="5" t="s">
        <v>641</v>
      </c>
      <c r="J1126" s="5" t="s">
        <v>1829</v>
      </c>
      <c r="K1126" s="5">
        <v>1.0</v>
      </c>
      <c r="L1126" s="5">
        <v>2742.0</v>
      </c>
      <c r="M1126" s="8">
        <v>49.42805</v>
      </c>
      <c r="N1126" s="11">
        <v>-123.56484</v>
      </c>
      <c r="O1126" s="11" t="s">
        <v>183</v>
      </c>
      <c r="P1126" s="11">
        <v>1002.0</v>
      </c>
      <c r="Q1126" s="22">
        <v>6.0</v>
      </c>
      <c r="R1126" s="11" t="s">
        <v>4107</v>
      </c>
      <c r="S1126" s="11" t="s">
        <v>4045</v>
      </c>
      <c r="T1126" s="11">
        <v>593.0</v>
      </c>
      <c r="U1126" s="11" t="s">
        <v>645</v>
      </c>
      <c r="V1126" s="11"/>
      <c r="W1126" s="23">
        <v>39359.0</v>
      </c>
      <c r="X1126" s="11" t="s">
        <v>1738</v>
      </c>
      <c r="AK1126" s="9"/>
      <c r="AO1126" s="5" t="s">
        <v>4107</v>
      </c>
      <c r="AP1126" s="5">
        <v>1002.0</v>
      </c>
      <c r="AQ1126" s="5" t="s">
        <v>1716</v>
      </c>
      <c r="AR1126" s="5" t="s">
        <v>1739</v>
      </c>
      <c r="AS1126" s="5" t="s">
        <v>1740</v>
      </c>
      <c r="AT1126" s="5" t="s">
        <v>1741</v>
      </c>
      <c r="AU1126" s="5" t="s">
        <v>1742</v>
      </c>
      <c r="AV1126" s="5" t="s">
        <v>1720</v>
      </c>
      <c r="AW1126" s="5" t="s">
        <v>1705</v>
      </c>
      <c r="AX1126" s="5" t="s">
        <v>1837</v>
      </c>
      <c r="AY1126" s="5">
        <v>49.428</v>
      </c>
      <c r="AZ1126" s="5">
        <v>-123.5649</v>
      </c>
      <c r="BA1126" s="5">
        <v>615.0</v>
      </c>
    </row>
    <row r="1127" ht="14.25" customHeight="1">
      <c r="B1127" s="5">
        <v>12.0</v>
      </c>
      <c r="C1127" s="5" t="s">
        <v>1711</v>
      </c>
      <c r="D1127" s="5">
        <v>1003.0</v>
      </c>
      <c r="E1127" s="5">
        <v>10992.0</v>
      </c>
      <c r="F1127" s="18" t="s">
        <v>4110</v>
      </c>
      <c r="G1127" s="10" t="s">
        <v>4111</v>
      </c>
      <c r="H1127" s="5" t="s">
        <v>4112</v>
      </c>
      <c r="I1127" s="5" t="s">
        <v>49</v>
      </c>
      <c r="J1127" s="5" t="s">
        <v>1746</v>
      </c>
      <c r="K1127" s="5">
        <v>1.0</v>
      </c>
      <c r="L1127" s="5">
        <v>13157.0</v>
      </c>
      <c r="M1127" s="73"/>
      <c r="N1127" s="74"/>
      <c r="O1127" s="74"/>
      <c r="P1127" s="74"/>
      <c r="Q1127" s="75"/>
      <c r="R1127" s="74"/>
      <c r="S1127" s="74"/>
      <c r="T1127" s="74"/>
      <c r="U1127" s="74"/>
      <c r="V1127" s="74"/>
      <c r="W1127" s="76"/>
      <c r="X1127" s="74"/>
      <c r="AK1127" s="9"/>
      <c r="AO1127" s="67" t="s">
        <v>4110</v>
      </c>
      <c r="AP1127" s="5">
        <v>1003.0</v>
      </c>
      <c r="AQ1127" s="5" t="s">
        <v>1716</v>
      </c>
      <c r="AR1127" s="5" t="s">
        <v>1717</v>
      </c>
      <c r="AS1127" s="5" t="s">
        <v>1718</v>
      </c>
      <c r="AT1127" s="5" t="s">
        <v>1835</v>
      </c>
      <c r="AU1127" s="5" t="s">
        <v>1836</v>
      </c>
      <c r="AV1127" s="5" t="s">
        <v>1720</v>
      </c>
      <c r="AW1127" s="5" t="s">
        <v>3863</v>
      </c>
      <c r="AY1127" s="5">
        <v>48.4348</v>
      </c>
      <c r="AZ1127" s="5">
        <v>-123.3749</v>
      </c>
      <c r="BA1127" s="5">
        <v>50.0</v>
      </c>
    </row>
    <row r="1128" ht="14.25" customHeight="1">
      <c r="A1128" s="5" t="s">
        <v>422</v>
      </c>
      <c r="B1128" s="5">
        <v>12.0</v>
      </c>
      <c r="C1128" s="5" t="s">
        <v>1711</v>
      </c>
      <c r="D1128" s="5">
        <v>1004.0</v>
      </c>
      <c r="E1128" s="5">
        <v>2340.0</v>
      </c>
      <c r="F1128" s="18" t="s">
        <v>4113</v>
      </c>
      <c r="G1128" s="5" t="s">
        <v>4114</v>
      </c>
      <c r="H1128" s="5" t="s">
        <v>4115</v>
      </c>
      <c r="I1128" s="5" t="s">
        <v>641</v>
      </c>
      <c r="J1128" s="5" t="s">
        <v>1746</v>
      </c>
      <c r="K1128" s="5">
        <v>1.0</v>
      </c>
      <c r="L1128" s="5">
        <v>2743.0</v>
      </c>
      <c r="M1128" s="8"/>
      <c r="AK1128" s="9"/>
      <c r="AO1128" s="5" t="s">
        <v>4113</v>
      </c>
      <c r="AP1128" s="5">
        <v>1004.0</v>
      </c>
      <c r="AQ1128" s="5" t="s">
        <v>1716</v>
      </c>
      <c r="AR1128" s="5" t="s">
        <v>1717</v>
      </c>
      <c r="AS1128" s="5" t="s">
        <v>1718</v>
      </c>
      <c r="AT1128" s="5" t="s">
        <v>1835</v>
      </c>
      <c r="AU1128" s="5" t="s">
        <v>1836</v>
      </c>
      <c r="AV1128" s="5" t="s">
        <v>1720</v>
      </c>
      <c r="AW1128" s="5" t="s">
        <v>1705</v>
      </c>
      <c r="AX1128" s="5" t="s">
        <v>1747</v>
      </c>
      <c r="AY1128" s="5">
        <v>48.9637</v>
      </c>
      <c r="AZ1128" s="5">
        <v>-123.772</v>
      </c>
      <c r="BA1128" s="5">
        <v>18.0</v>
      </c>
    </row>
    <row r="1129" ht="14.25" customHeight="1">
      <c r="A1129" s="5" t="s">
        <v>422</v>
      </c>
      <c r="B1129" s="5">
        <v>12.0</v>
      </c>
      <c r="C1129" s="5" t="s">
        <v>1711</v>
      </c>
      <c r="D1129" s="5">
        <v>1005.0</v>
      </c>
      <c r="E1129" s="5">
        <v>2341.0</v>
      </c>
      <c r="F1129" s="18" t="s">
        <v>4116</v>
      </c>
      <c r="G1129" s="5" t="s">
        <v>4117</v>
      </c>
      <c r="H1129" s="5" t="s">
        <v>4118</v>
      </c>
      <c r="I1129" s="5" t="s">
        <v>641</v>
      </c>
      <c r="J1129" s="5" t="s">
        <v>1746</v>
      </c>
      <c r="K1129" s="5">
        <v>1.0</v>
      </c>
      <c r="L1129" s="5">
        <v>2744.0</v>
      </c>
      <c r="M1129" s="8"/>
      <c r="AK1129" s="9"/>
      <c r="AO1129" s="5" t="s">
        <v>4116</v>
      </c>
      <c r="AP1129" s="5">
        <v>1005.0</v>
      </c>
      <c r="AQ1129" s="5" t="s">
        <v>1716</v>
      </c>
      <c r="AR1129" s="5" t="s">
        <v>1717</v>
      </c>
      <c r="AS1129" s="5" t="s">
        <v>1718</v>
      </c>
      <c r="AT1129" s="5" t="s">
        <v>1835</v>
      </c>
      <c r="AU1129" s="5" t="s">
        <v>1836</v>
      </c>
      <c r="AV1129" s="5" t="s">
        <v>1720</v>
      </c>
      <c r="AW1129" s="5" t="s">
        <v>1705</v>
      </c>
      <c r="AY1129" s="5">
        <v>49.0003</v>
      </c>
      <c r="AZ1129" s="5">
        <v>-122.0309</v>
      </c>
      <c r="BA1129" s="5">
        <v>235.0</v>
      </c>
    </row>
    <row r="1130" ht="14.25" customHeight="1">
      <c r="A1130" s="5" t="s">
        <v>422</v>
      </c>
      <c r="B1130" s="5">
        <v>12.0</v>
      </c>
      <c r="C1130" s="5" t="s">
        <v>1711</v>
      </c>
      <c r="D1130" s="5">
        <v>1008.0</v>
      </c>
      <c r="E1130" s="5">
        <v>2342.0</v>
      </c>
      <c r="F1130" s="18" t="s">
        <v>4119</v>
      </c>
      <c r="G1130" s="5" t="s">
        <v>4120</v>
      </c>
      <c r="H1130" s="5" t="s">
        <v>4121</v>
      </c>
      <c r="I1130" s="5" t="s">
        <v>641</v>
      </c>
      <c r="J1130" s="5" t="s">
        <v>1746</v>
      </c>
      <c r="K1130" s="5">
        <v>1.0</v>
      </c>
      <c r="L1130" s="5">
        <v>2745.0</v>
      </c>
      <c r="M1130" s="8"/>
      <c r="AK1130" s="9"/>
      <c r="AO1130" s="5" t="s">
        <v>4119</v>
      </c>
      <c r="AP1130" s="5">
        <v>1008.0</v>
      </c>
      <c r="AQ1130" s="5" t="s">
        <v>1716</v>
      </c>
      <c r="AR1130" s="5" t="s">
        <v>1717</v>
      </c>
      <c r="AS1130" s="5" t="s">
        <v>1718</v>
      </c>
      <c r="AT1130" s="5" t="s">
        <v>1835</v>
      </c>
      <c r="AU1130" s="5" t="s">
        <v>1836</v>
      </c>
      <c r="AV1130" s="5" t="s">
        <v>1720</v>
      </c>
      <c r="AW1130" s="5" t="s">
        <v>2368</v>
      </c>
      <c r="AX1130" s="5" t="s">
        <v>2369</v>
      </c>
      <c r="AY1130" s="5">
        <v>50.501</v>
      </c>
      <c r="AZ1130" s="5">
        <v>-120.8111</v>
      </c>
      <c r="BA1130" s="5">
        <v>1163.0</v>
      </c>
    </row>
    <row r="1131" ht="14.25" customHeight="1">
      <c r="A1131" s="5" t="s">
        <v>422</v>
      </c>
      <c r="B1131" s="5">
        <v>12.0</v>
      </c>
      <c r="C1131" s="5" t="s">
        <v>1707</v>
      </c>
      <c r="D1131" s="5">
        <v>1013.0</v>
      </c>
      <c r="E1131" s="5">
        <v>12978.0</v>
      </c>
      <c r="G1131" s="5" t="s">
        <v>127</v>
      </c>
      <c r="H1131" s="5" t="s">
        <v>1697</v>
      </c>
      <c r="I1131" s="5" t="s">
        <v>49</v>
      </c>
      <c r="J1131" s="5" t="s">
        <v>1746</v>
      </c>
      <c r="K1131" s="5">
        <v>1.0</v>
      </c>
      <c r="L1131" s="5">
        <v>14910.0</v>
      </c>
      <c r="M1131" s="8"/>
      <c r="AK1131" s="9"/>
      <c r="AO1131" s="50" t="s">
        <v>4122</v>
      </c>
      <c r="AP1131" s="50">
        <v>1013.0</v>
      </c>
      <c r="AQ1131" s="50" t="s">
        <v>1700</v>
      </c>
      <c r="AR1131" s="50" t="s">
        <v>1739</v>
      </c>
      <c r="AS1131" s="50" t="s">
        <v>1702</v>
      </c>
      <c r="AT1131" s="50" t="s">
        <v>1703</v>
      </c>
      <c r="AU1131" s="50" t="s">
        <v>1704</v>
      </c>
      <c r="AV1131" s="50" t="s">
        <v>1702</v>
      </c>
      <c r="AW1131" s="50" t="s">
        <v>1705</v>
      </c>
      <c r="AX1131" s="50" t="s">
        <v>1747</v>
      </c>
      <c r="AY1131" s="50">
        <v>48.8242</v>
      </c>
      <c r="AZ1131" s="50">
        <v>-123.7189</v>
      </c>
      <c r="BA1131" s="50">
        <v>60.0</v>
      </c>
    </row>
    <row r="1132" ht="14.25" customHeight="1">
      <c r="A1132" s="5" t="s">
        <v>422</v>
      </c>
      <c r="B1132" s="5">
        <v>12.0</v>
      </c>
      <c r="C1132" s="5" t="s">
        <v>1707</v>
      </c>
      <c r="D1132" s="5">
        <v>1015.0</v>
      </c>
      <c r="E1132" s="5">
        <v>12979.0</v>
      </c>
      <c r="G1132" s="5" t="s">
        <v>127</v>
      </c>
      <c r="H1132" s="5" t="s">
        <v>1697</v>
      </c>
      <c r="I1132" s="5" t="s">
        <v>49</v>
      </c>
      <c r="J1132" s="5" t="s">
        <v>1746</v>
      </c>
      <c r="K1132" s="5">
        <v>1.0</v>
      </c>
      <c r="L1132" s="5">
        <v>14911.0</v>
      </c>
      <c r="M1132" s="8"/>
      <c r="AK1132" s="9"/>
      <c r="AO1132" s="50" t="s">
        <v>4123</v>
      </c>
      <c r="AP1132" s="50">
        <v>1015.0</v>
      </c>
      <c r="AQ1132" s="50" t="s">
        <v>1700</v>
      </c>
      <c r="AR1132" s="50" t="s">
        <v>1701</v>
      </c>
      <c r="AS1132" s="50" t="s">
        <v>1702</v>
      </c>
      <c r="AT1132" s="50" t="s">
        <v>1703</v>
      </c>
      <c r="AU1132" s="50" t="s">
        <v>1704</v>
      </c>
      <c r="AV1132" s="50" t="s">
        <v>1702</v>
      </c>
      <c r="AW1132" s="50" t="s">
        <v>1705</v>
      </c>
      <c r="AX1132" s="50" t="s">
        <v>1706</v>
      </c>
      <c r="AY1132" s="50">
        <v>49.3333</v>
      </c>
      <c r="AZ1132" s="50">
        <v>-124.3833</v>
      </c>
      <c r="BA1132" s="50">
        <v>58.0</v>
      </c>
    </row>
    <row r="1133" ht="14.25" customHeight="1">
      <c r="A1133" s="5" t="s">
        <v>422</v>
      </c>
      <c r="B1133" s="5">
        <v>12.0</v>
      </c>
      <c r="C1133" s="5" t="s">
        <v>1707</v>
      </c>
      <c r="D1133" s="5">
        <v>1016.0</v>
      </c>
      <c r="E1133" s="5">
        <v>12980.0</v>
      </c>
      <c r="G1133" s="5" t="s">
        <v>127</v>
      </c>
      <c r="H1133" s="5" t="s">
        <v>1697</v>
      </c>
      <c r="I1133" s="5" t="s">
        <v>49</v>
      </c>
      <c r="J1133" s="5" t="s">
        <v>1746</v>
      </c>
      <c r="K1133" s="5">
        <v>1.0</v>
      </c>
      <c r="L1133" s="5">
        <v>14912.0</v>
      </c>
      <c r="M1133" s="8"/>
      <c r="AK1133" s="9"/>
      <c r="AO1133" s="50" t="s">
        <v>4124</v>
      </c>
      <c r="AP1133" s="50">
        <v>1016.0</v>
      </c>
      <c r="AQ1133" s="50" t="s">
        <v>1700</v>
      </c>
      <c r="AR1133" s="50" t="s">
        <v>1739</v>
      </c>
      <c r="AS1133" s="50" t="s">
        <v>1702</v>
      </c>
      <c r="AT1133" s="50" t="s">
        <v>1703</v>
      </c>
      <c r="AU1133" s="50" t="s">
        <v>1704</v>
      </c>
      <c r="AV1133" s="50" t="s">
        <v>1702</v>
      </c>
      <c r="AW1133" s="50" t="s">
        <v>1705</v>
      </c>
      <c r="AX1133" s="50" t="s">
        <v>1837</v>
      </c>
      <c r="AY1133" s="50">
        <v>49.4605</v>
      </c>
      <c r="AZ1133" s="50">
        <v>-123.7</v>
      </c>
      <c r="BA1133" s="50">
        <v>86.0</v>
      </c>
    </row>
    <row r="1134" ht="14.25" customHeight="1">
      <c r="A1134" s="5" t="s">
        <v>422</v>
      </c>
      <c r="B1134" s="5">
        <v>12.0</v>
      </c>
      <c r="C1134" s="5" t="s">
        <v>1711</v>
      </c>
      <c r="D1134" s="5">
        <v>1017.0</v>
      </c>
      <c r="E1134" s="5">
        <v>2343.0</v>
      </c>
      <c r="F1134" s="18" t="s">
        <v>4125</v>
      </c>
      <c r="G1134" s="5" t="s">
        <v>4126</v>
      </c>
      <c r="H1134" s="5" t="s">
        <v>4127</v>
      </c>
      <c r="I1134" s="5" t="s">
        <v>641</v>
      </c>
      <c r="J1134" s="5" t="s">
        <v>1746</v>
      </c>
      <c r="K1134" s="5">
        <v>1.0</v>
      </c>
      <c r="L1134" s="5">
        <v>2746.0</v>
      </c>
      <c r="M1134" s="8"/>
      <c r="AK1134" s="9"/>
      <c r="AO1134" s="5" t="s">
        <v>4125</v>
      </c>
      <c r="AP1134" s="5">
        <v>1017.0</v>
      </c>
      <c r="AQ1134" s="5" t="s">
        <v>1716</v>
      </c>
      <c r="AR1134" s="5" t="s">
        <v>1717</v>
      </c>
      <c r="AS1134" s="5" t="s">
        <v>1718</v>
      </c>
      <c r="AT1134" s="5" t="s">
        <v>1835</v>
      </c>
      <c r="AU1134" s="5" t="s">
        <v>1836</v>
      </c>
      <c r="AV1134" s="5" t="s">
        <v>1720</v>
      </c>
      <c r="AW1134" s="5" t="s">
        <v>1947</v>
      </c>
      <c r="AX1134" s="5" t="s">
        <v>1986</v>
      </c>
      <c r="AY1134" s="5">
        <v>57.6467</v>
      </c>
      <c r="AZ1134" s="5">
        <v>-128.1669</v>
      </c>
      <c r="BA1134" s="5">
        <v>1077.0</v>
      </c>
    </row>
    <row r="1135" ht="14.25" customHeight="1">
      <c r="A1135" s="5" t="s">
        <v>422</v>
      </c>
      <c r="B1135" s="5">
        <v>12.0</v>
      </c>
      <c r="C1135" s="5" t="s">
        <v>1711</v>
      </c>
      <c r="D1135" s="5">
        <v>1018.0</v>
      </c>
      <c r="E1135" s="5">
        <v>2344.0</v>
      </c>
      <c r="F1135" s="18" t="s">
        <v>4128</v>
      </c>
      <c r="G1135" s="5" t="s">
        <v>4129</v>
      </c>
      <c r="H1135" s="5" t="s">
        <v>4130</v>
      </c>
      <c r="I1135" s="5" t="s">
        <v>641</v>
      </c>
      <c r="J1135" s="5" t="s">
        <v>1746</v>
      </c>
      <c r="K1135" s="5">
        <v>1.0</v>
      </c>
      <c r="L1135" s="5">
        <v>2747.0</v>
      </c>
      <c r="M1135" s="8"/>
      <c r="AK1135" s="9"/>
      <c r="AO1135" s="5" t="s">
        <v>4128</v>
      </c>
      <c r="AP1135" s="5">
        <v>1018.0</v>
      </c>
      <c r="AQ1135" s="5" t="s">
        <v>1716</v>
      </c>
      <c r="AR1135" s="5" t="s">
        <v>1717</v>
      </c>
      <c r="AS1135" s="5" t="s">
        <v>1718</v>
      </c>
      <c r="AT1135" s="5" t="s">
        <v>1841</v>
      </c>
      <c r="AU1135" s="5" t="s">
        <v>1959</v>
      </c>
      <c r="AV1135" s="5" t="s">
        <v>1720</v>
      </c>
      <c r="AW1135" s="5" t="s">
        <v>2368</v>
      </c>
      <c r="AX1135" s="5" t="s">
        <v>2492</v>
      </c>
      <c r="AY1135" s="5">
        <v>49.1816</v>
      </c>
      <c r="AZ1135" s="5">
        <v>-120.4757</v>
      </c>
      <c r="BA1135" s="5">
        <v>1722.0</v>
      </c>
    </row>
    <row r="1136" ht="14.25" customHeight="1">
      <c r="A1136" s="5" t="s">
        <v>422</v>
      </c>
      <c r="B1136" s="5">
        <v>12.0</v>
      </c>
      <c r="C1136" s="5" t="s">
        <v>1711</v>
      </c>
      <c r="D1136" s="5">
        <v>1019.0</v>
      </c>
      <c r="E1136" s="5">
        <v>2345.0</v>
      </c>
      <c r="F1136" s="18" t="s">
        <v>4131</v>
      </c>
      <c r="G1136" s="5" t="s">
        <v>4132</v>
      </c>
      <c r="H1136" s="5" t="s">
        <v>4133</v>
      </c>
      <c r="I1136" s="5" t="s">
        <v>641</v>
      </c>
      <c r="J1136" s="5" t="s">
        <v>1746</v>
      </c>
      <c r="K1136" s="5">
        <v>1.0</v>
      </c>
      <c r="L1136" s="5">
        <v>2748.0</v>
      </c>
      <c r="M1136" s="8"/>
      <c r="AK1136" s="9"/>
      <c r="AO1136" s="5" t="s">
        <v>4131</v>
      </c>
      <c r="AP1136" s="5">
        <v>1019.0</v>
      </c>
      <c r="AQ1136" s="5" t="s">
        <v>1716</v>
      </c>
      <c r="AR1136" s="5" t="s">
        <v>1717</v>
      </c>
      <c r="AS1136" s="5" t="s">
        <v>1718</v>
      </c>
      <c r="AT1136" s="5" t="s">
        <v>1841</v>
      </c>
      <c r="AU1136" s="5" t="s">
        <v>1959</v>
      </c>
      <c r="AV1136" s="5" t="s">
        <v>1720</v>
      </c>
      <c r="AW1136" s="5" t="s">
        <v>2368</v>
      </c>
      <c r="AX1136" s="5" t="s">
        <v>2492</v>
      </c>
      <c r="AY1136" s="5">
        <v>49.7759</v>
      </c>
      <c r="AZ1136" s="5">
        <v>-120.4213</v>
      </c>
      <c r="BA1136" s="5">
        <v>1483.0</v>
      </c>
    </row>
    <row r="1137" ht="14.25" customHeight="1">
      <c r="A1137" s="5" t="s">
        <v>422</v>
      </c>
      <c r="B1137" s="5">
        <v>12.0</v>
      </c>
      <c r="C1137" s="5" t="s">
        <v>1711</v>
      </c>
      <c r="D1137" s="5">
        <v>1020.0</v>
      </c>
      <c r="E1137" s="5">
        <v>2346.0</v>
      </c>
      <c r="F1137" s="18" t="s">
        <v>4134</v>
      </c>
      <c r="G1137" s="5" t="s">
        <v>4135</v>
      </c>
      <c r="H1137" s="5" t="s">
        <v>4136</v>
      </c>
      <c r="I1137" s="5" t="s">
        <v>641</v>
      </c>
      <c r="J1137" s="5" t="s">
        <v>1746</v>
      </c>
      <c r="K1137" s="5">
        <v>1.0</v>
      </c>
      <c r="L1137" s="5">
        <v>2749.0</v>
      </c>
      <c r="M1137" s="8"/>
      <c r="AK1137" s="9"/>
      <c r="AO1137" s="5" t="s">
        <v>4134</v>
      </c>
      <c r="AP1137" s="5">
        <v>1020.0</v>
      </c>
      <c r="AQ1137" s="5" t="s">
        <v>1716</v>
      </c>
      <c r="AR1137" s="5" t="s">
        <v>1717</v>
      </c>
      <c r="AS1137" s="5" t="s">
        <v>1718</v>
      </c>
      <c r="AT1137" s="5" t="s">
        <v>1841</v>
      </c>
      <c r="AU1137" s="5" t="s">
        <v>1959</v>
      </c>
      <c r="AV1137" s="5" t="s">
        <v>1720</v>
      </c>
      <c r="AW1137" s="5" t="s">
        <v>2368</v>
      </c>
      <c r="AX1137" s="5" t="s">
        <v>2516</v>
      </c>
      <c r="AY1137" s="5">
        <v>50.1797</v>
      </c>
      <c r="AZ1137" s="5">
        <v>-119.6605</v>
      </c>
      <c r="BA1137" s="5">
        <v>1601.0</v>
      </c>
    </row>
    <row r="1138" ht="14.25" customHeight="1">
      <c r="A1138" s="5" t="s">
        <v>422</v>
      </c>
      <c r="B1138" s="5">
        <v>12.0</v>
      </c>
      <c r="C1138" s="5" t="s">
        <v>1711</v>
      </c>
      <c r="D1138" s="5">
        <v>1022.0</v>
      </c>
      <c r="E1138" s="5">
        <v>2347.0</v>
      </c>
      <c r="F1138" s="5" t="s">
        <v>4137</v>
      </c>
      <c r="G1138" s="5" t="s">
        <v>4138</v>
      </c>
      <c r="H1138" s="5" t="s">
        <v>4139</v>
      </c>
      <c r="I1138" s="5" t="s">
        <v>641</v>
      </c>
      <c r="J1138" s="5" t="s">
        <v>1746</v>
      </c>
      <c r="K1138" s="5">
        <v>1.0</v>
      </c>
      <c r="L1138" s="5">
        <v>2750.0</v>
      </c>
      <c r="M1138" s="8"/>
      <c r="AK1138" s="9"/>
      <c r="AO1138" s="5" t="s">
        <v>4140</v>
      </c>
      <c r="AP1138" s="5">
        <v>1022.0</v>
      </c>
      <c r="AQ1138" s="5" t="s">
        <v>1716</v>
      </c>
      <c r="AR1138" s="5" t="s">
        <v>1717</v>
      </c>
      <c r="AS1138" s="5" t="s">
        <v>1740</v>
      </c>
      <c r="AT1138" s="5" t="s">
        <v>1835</v>
      </c>
      <c r="AU1138" s="5" t="s">
        <v>1742</v>
      </c>
      <c r="AV1138" s="5" t="s">
        <v>1720</v>
      </c>
      <c r="AW1138" s="5" t="s">
        <v>2003</v>
      </c>
      <c r="AX1138" s="5" t="s">
        <v>2258</v>
      </c>
      <c r="AY1138" s="5">
        <v>53.0323</v>
      </c>
      <c r="AZ1138" s="5">
        <v>-119.2113</v>
      </c>
      <c r="BA1138" s="5">
        <v>872.0</v>
      </c>
    </row>
    <row r="1139" ht="14.25" customHeight="1">
      <c r="A1139" s="5" t="s">
        <v>422</v>
      </c>
      <c r="B1139" s="5">
        <v>12.0</v>
      </c>
      <c r="C1139" s="5" t="s">
        <v>1711</v>
      </c>
      <c r="D1139" s="5">
        <v>1023.0</v>
      </c>
      <c r="E1139" s="5">
        <v>2348.0</v>
      </c>
      <c r="F1139" s="18" t="s">
        <v>4141</v>
      </c>
      <c r="G1139" s="5" t="s">
        <v>4142</v>
      </c>
      <c r="H1139" s="5" t="s">
        <v>4143</v>
      </c>
      <c r="I1139" s="5" t="s">
        <v>641</v>
      </c>
      <c r="J1139" s="5" t="s">
        <v>1746</v>
      </c>
      <c r="K1139" s="5">
        <v>1.0</v>
      </c>
      <c r="L1139" s="5">
        <v>2751.0</v>
      </c>
      <c r="M1139" s="8"/>
      <c r="AK1139" s="9"/>
      <c r="AO1139" s="29" t="s">
        <v>4141</v>
      </c>
      <c r="AP1139" s="5">
        <v>1023.0</v>
      </c>
      <c r="AQ1139" s="5" t="s">
        <v>1716</v>
      </c>
      <c r="AR1139" s="5" t="s">
        <v>1717</v>
      </c>
      <c r="AS1139" s="5" t="s">
        <v>1740</v>
      </c>
      <c r="AT1139" s="5" t="s">
        <v>1835</v>
      </c>
      <c r="AU1139" s="5" t="s">
        <v>1742</v>
      </c>
      <c r="AV1139" s="5" t="s">
        <v>1720</v>
      </c>
      <c r="AW1139" s="5" t="s">
        <v>2003</v>
      </c>
      <c r="AX1139" s="5" t="s">
        <v>2258</v>
      </c>
      <c r="AY1139" s="5">
        <v>52.9075</v>
      </c>
      <c r="AZ1139" s="5">
        <v>-118.7789</v>
      </c>
      <c r="BA1139" s="5">
        <v>1080.0</v>
      </c>
    </row>
    <row r="1140" ht="14.25" customHeight="1">
      <c r="A1140" s="5" t="s">
        <v>88</v>
      </c>
      <c r="B1140" s="5">
        <v>12.0</v>
      </c>
      <c r="C1140" s="5" t="s">
        <v>1711</v>
      </c>
      <c r="D1140" s="5">
        <v>1024.0</v>
      </c>
      <c r="E1140" s="5">
        <v>2349.0</v>
      </c>
      <c r="F1140" s="5" t="s">
        <v>4144</v>
      </c>
      <c r="G1140" s="10" t="s">
        <v>4145</v>
      </c>
      <c r="H1140" s="5" t="s">
        <v>4146</v>
      </c>
      <c r="I1140" s="5" t="s">
        <v>641</v>
      </c>
      <c r="J1140" s="5" t="s">
        <v>1891</v>
      </c>
      <c r="K1140" s="5">
        <v>1.0</v>
      </c>
      <c r="L1140" s="5">
        <v>2752.0</v>
      </c>
      <c r="M1140" s="8">
        <v>50.43869</v>
      </c>
      <c r="N1140" s="5">
        <v>-121.5515</v>
      </c>
      <c r="O1140" s="5" t="s">
        <v>142</v>
      </c>
      <c r="P1140" s="5">
        <v>1024.0</v>
      </c>
      <c r="Q1140" s="5">
        <v>6.0</v>
      </c>
      <c r="R1140" s="5" t="s">
        <v>4144</v>
      </c>
      <c r="S1140" s="5" t="s">
        <v>1737</v>
      </c>
      <c r="T1140" s="5">
        <v>1557.0</v>
      </c>
      <c r="W1140" s="5">
        <v>39640.0</v>
      </c>
      <c r="X1140" s="5" t="s">
        <v>1738</v>
      </c>
      <c r="AK1140" s="9"/>
      <c r="AO1140" s="5" t="s">
        <v>4144</v>
      </c>
      <c r="AP1140" s="5">
        <v>1024.0</v>
      </c>
      <c r="AQ1140" s="5" t="s">
        <v>1716</v>
      </c>
      <c r="AR1140" s="5" t="s">
        <v>1739</v>
      </c>
      <c r="AS1140" s="5" t="s">
        <v>1740</v>
      </c>
      <c r="AT1140" s="5" t="s">
        <v>1741</v>
      </c>
      <c r="AU1140" s="5" t="s">
        <v>1742</v>
      </c>
      <c r="AV1140" s="5" t="s">
        <v>1720</v>
      </c>
      <c r="AW1140" s="5" t="s">
        <v>2368</v>
      </c>
      <c r="AX1140" s="5" t="s">
        <v>2505</v>
      </c>
      <c r="AY1140" s="5">
        <v>50.4387</v>
      </c>
      <c r="AZ1140" s="5">
        <v>-121.5515</v>
      </c>
      <c r="BA1140" s="5">
        <v>1557.0</v>
      </c>
    </row>
    <row r="1141" ht="14.25" customHeight="1">
      <c r="A1141" s="5" t="s">
        <v>88</v>
      </c>
      <c r="B1141" s="5">
        <v>12.0</v>
      </c>
      <c r="C1141" s="5" t="s">
        <v>1711</v>
      </c>
      <c r="D1141" s="5">
        <v>1025.0</v>
      </c>
      <c r="E1141" s="5">
        <v>2350.0</v>
      </c>
      <c r="F1141" s="5" t="s">
        <v>4147</v>
      </c>
      <c r="G1141" s="10" t="s">
        <v>4148</v>
      </c>
      <c r="H1141" s="5" t="s">
        <v>4149</v>
      </c>
      <c r="I1141" s="5" t="s">
        <v>641</v>
      </c>
      <c r="J1141" s="5" t="s">
        <v>1829</v>
      </c>
      <c r="K1141" s="5">
        <v>1.0</v>
      </c>
      <c r="L1141" s="5">
        <v>2753.0</v>
      </c>
      <c r="M1141" s="8">
        <v>50.10348</v>
      </c>
      <c r="N1141" s="5">
        <v>-124.61373</v>
      </c>
      <c r="O1141" s="5" t="s">
        <v>51</v>
      </c>
      <c r="P1141" s="5">
        <v>1025.0</v>
      </c>
      <c r="Q1141" s="5">
        <v>1.0</v>
      </c>
      <c r="R1141" s="5" t="s">
        <v>4147</v>
      </c>
      <c r="S1141" s="5" t="s">
        <v>4045</v>
      </c>
      <c r="T1141" s="5">
        <v>91.0</v>
      </c>
      <c r="W1141" s="5">
        <v>39646.0</v>
      </c>
      <c r="X1141" s="5" t="s">
        <v>1738</v>
      </c>
      <c r="AK1141" s="9"/>
      <c r="AO1141" s="5" t="s">
        <v>4147</v>
      </c>
      <c r="AP1141" s="5">
        <v>1025.0</v>
      </c>
      <c r="AQ1141" s="5" t="s">
        <v>1716</v>
      </c>
      <c r="AR1141" s="5" t="s">
        <v>1739</v>
      </c>
      <c r="AS1141" s="5" t="s">
        <v>1740</v>
      </c>
      <c r="AT1141" s="5" t="s">
        <v>1741</v>
      </c>
      <c r="AU1141" s="5" t="s">
        <v>1742</v>
      </c>
      <c r="AV1141" s="5" t="s">
        <v>1720</v>
      </c>
      <c r="AW1141" s="5" t="s">
        <v>1705</v>
      </c>
      <c r="AX1141" s="5" t="s">
        <v>1837</v>
      </c>
      <c r="AY1141" s="5">
        <v>50.1035</v>
      </c>
      <c r="AZ1141" s="5">
        <v>-124.6146</v>
      </c>
      <c r="BA1141" s="5">
        <v>103.0</v>
      </c>
    </row>
    <row r="1142" ht="14.25" customHeight="1">
      <c r="A1142" s="5" t="s">
        <v>88</v>
      </c>
      <c r="B1142" s="5">
        <v>12.0</v>
      </c>
      <c r="C1142" s="5" t="s">
        <v>1711</v>
      </c>
      <c r="D1142" s="5">
        <v>1027.0</v>
      </c>
      <c r="E1142" s="5">
        <v>2351.0</v>
      </c>
      <c r="F1142" s="18" t="s">
        <v>4150</v>
      </c>
      <c r="G1142" s="10" t="s">
        <v>4151</v>
      </c>
      <c r="H1142" s="5" t="s">
        <v>4152</v>
      </c>
      <c r="I1142" s="5" t="s">
        <v>641</v>
      </c>
      <c r="J1142" s="5" t="s">
        <v>1746</v>
      </c>
      <c r="K1142" s="5">
        <v>1.0</v>
      </c>
      <c r="L1142" s="5">
        <v>2754.0</v>
      </c>
      <c r="M1142" s="8"/>
      <c r="AK1142" s="9"/>
      <c r="AO1142" s="5" t="s">
        <v>4150</v>
      </c>
      <c r="AP1142" s="5">
        <v>1027.0</v>
      </c>
      <c r="AQ1142" s="5" t="s">
        <v>1716</v>
      </c>
      <c r="AR1142" s="5" t="s">
        <v>1717</v>
      </c>
      <c r="AS1142" s="5" t="s">
        <v>1718</v>
      </c>
      <c r="AT1142" s="5" t="s">
        <v>2161</v>
      </c>
      <c r="AU1142" s="5" t="s">
        <v>2162</v>
      </c>
      <c r="AV1142" s="5" t="s">
        <v>1720</v>
      </c>
      <c r="AW1142" s="5" t="s">
        <v>1705</v>
      </c>
      <c r="AX1142" s="5" t="s">
        <v>1837</v>
      </c>
      <c r="AY1142" s="5">
        <v>50.4026</v>
      </c>
      <c r="AZ1142" s="5">
        <v>-124.4122</v>
      </c>
      <c r="BA1142" s="5">
        <v>856.0</v>
      </c>
    </row>
    <row r="1143" ht="14.25" customHeight="1">
      <c r="A1143" s="5" t="s">
        <v>88</v>
      </c>
      <c r="B1143" s="5">
        <v>12.0</v>
      </c>
      <c r="C1143" s="5" t="s">
        <v>1711</v>
      </c>
      <c r="D1143" s="5">
        <v>1028.0</v>
      </c>
      <c r="E1143" s="5">
        <v>2352.0</v>
      </c>
      <c r="F1143" s="18" t="s">
        <v>4153</v>
      </c>
      <c r="G1143" s="10" t="s">
        <v>4154</v>
      </c>
      <c r="H1143" s="5" t="s">
        <v>4155</v>
      </c>
      <c r="I1143" s="5" t="s">
        <v>641</v>
      </c>
      <c r="J1143" s="5" t="s">
        <v>1746</v>
      </c>
      <c r="K1143" s="5">
        <v>1.0</v>
      </c>
      <c r="L1143" s="5">
        <v>2755.0</v>
      </c>
      <c r="M1143" s="8"/>
      <c r="AK1143" s="9"/>
      <c r="AO1143" s="5" t="s">
        <v>4153</v>
      </c>
      <c r="AP1143" s="5">
        <v>1028.0</v>
      </c>
      <c r="AQ1143" s="5" t="s">
        <v>1716</v>
      </c>
      <c r="AR1143" s="5" t="s">
        <v>1717</v>
      </c>
      <c r="AS1143" s="5" t="s">
        <v>1718</v>
      </c>
      <c r="AT1143" s="5" t="s">
        <v>2161</v>
      </c>
      <c r="AU1143" s="5" t="s">
        <v>2162</v>
      </c>
      <c r="AV1143" s="5" t="s">
        <v>1720</v>
      </c>
      <c r="AW1143" s="5" t="s">
        <v>1705</v>
      </c>
      <c r="AX1143" s="5" t="s">
        <v>1837</v>
      </c>
      <c r="AY1143" s="5">
        <v>50.6572</v>
      </c>
      <c r="AZ1143" s="5">
        <v>-124.1143</v>
      </c>
      <c r="BA1143" s="5">
        <v>644.0</v>
      </c>
    </row>
    <row r="1144" ht="14.25" customHeight="1">
      <c r="A1144" s="5" t="s">
        <v>88</v>
      </c>
      <c r="B1144" s="5">
        <v>12.0</v>
      </c>
      <c r="C1144" s="5" t="s">
        <v>1711</v>
      </c>
      <c r="D1144" s="5">
        <v>1029.0</v>
      </c>
      <c r="E1144" s="5">
        <v>2353.0</v>
      </c>
      <c r="F1144" s="5" t="s">
        <v>4156</v>
      </c>
      <c r="G1144" s="70" t="s">
        <v>4157</v>
      </c>
      <c r="H1144" s="5" t="s">
        <v>4158</v>
      </c>
      <c r="I1144" s="5" t="s">
        <v>641</v>
      </c>
      <c r="J1144" s="5" t="s">
        <v>1891</v>
      </c>
      <c r="K1144" s="5">
        <v>1.0</v>
      </c>
      <c r="L1144" s="5">
        <v>2756.0</v>
      </c>
      <c r="M1144" s="8">
        <v>50.91089</v>
      </c>
      <c r="N1144" s="5">
        <v>-122.68889</v>
      </c>
      <c r="O1144" s="5" t="s">
        <v>142</v>
      </c>
      <c r="P1144" s="5">
        <v>1029.0</v>
      </c>
      <c r="Q1144" s="5">
        <v>2.0</v>
      </c>
      <c r="R1144" s="5" t="s">
        <v>4156</v>
      </c>
      <c r="S1144" s="5" t="s">
        <v>1737</v>
      </c>
      <c r="T1144" s="5">
        <v>865.0</v>
      </c>
      <c r="U1144" s="5" t="s">
        <v>645</v>
      </c>
      <c r="W1144" s="5">
        <v>39667.0</v>
      </c>
      <c r="X1144" s="5" t="s">
        <v>1738</v>
      </c>
      <c r="AK1144" s="9"/>
      <c r="AO1144" s="5" t="s">
        <v>4156</v>
      </c>
      <c r="AP1144" s="5">
        <v>1029.0</v>
      </c>
      <c r="AQ1144" s="5" t="s">
        <v>1716</v>
      </c>
      <c r="AR1144" s="5" t="s">
        <v>1739</v>
      </c>
      <c r="AS1144" s="5" t="s">
        <v>1740</v>
      </c>
      <c r="AT1144" s="5" t="s">
        <v>1741</v>
      </c>
      <c r="AU1144" s="5" t="s">
        <v>1742</v>
      </c>
      <c r="AV1144" s="5" t="s">
        <v>1720</v>
      </c>
      <c r="AW1144" s="5" t="s">
        <v>2368</v>
      </c>
      <c r="AX1144" s="5" t="s">
        <v>2505</v>
      </c>
      <c r="AY1144" s="5">
        <v>50.9109</v>
      </c>
      <c r="AZ1144" s="5">
        <v>-122.6889</v>
      </c>
      <c r="BA1144" s="5">
        <v>875.0</v>
      </c>
    </row>
    <row r="1145" ht="14.25" customHeight="1">
      <c r="A1145" s="5" t="s">
        <v>422</v>
      </c>
      <c r="B1145" s="5">
        <v>12.0</v>
      </c>
      <c r="C1145" s="5" t="s">
        <v>1711</v>
      </c>
      <c r="D1145" s="5">
        <v>1030.0</v>
      </c>
      <c r="E1145" s="5">
        <v>2354.0</v>
      </c>
      <c r="F1145" s="5" t="s">
        <v>4159</v>
      </c>
      <c r="G1145" s="5" t="s">
        <v>4160</v>
      </c>
      <c r="H1145" s="5" t="s">
        <v>4161</v>
      </c>
      <c r="I1145" s="5" t="s">
        <v>641</v>
      </c>
      <c r="J1145" s="5" t="s">
        <v>1746</v>
      </c>
      <c r="K1145" s="5">
        <v>1.0</v>
      </c>
      <c r="L1145" s="5">
        <v>2757.0</v>
      </c>
      <c r="M1145" s="8"/>
      <c r="AK1145" s="9"/>
      <c r="AO1145" s="5" t="s">
        <v>4162</v>
      </c>
      <c r="AP1145" s="5">
        <v>1030.0</v>
      </c>
      <c r="AQ1145" s="5" t="s">
        <v>1716</v>
      </c>
      <c r="AR1145" s="5" t="s">
        <v>1717</v>
      </c>
      <c r="AS1145" s="5" t="s">
        <v>1740</v>
      </c>
      <c r="AT1145" s="5" t="s">
        <v>1835</v>
      </c>
      <c r="AU1145" s="5" t="s">
        <v>1742</v>
      </c>
      <c r="AV1145" s="5" t="s">
        <v>1720</v>
      </c>
      <c r="AW1145" s="5" t="s">
        <v>2003</v>
      </c>
      <c r="AX1145" s="5" t="s">
        <v>2024</v>
      </c>
      <c r="AY1145" s="5">
        <v>55.2955</v>
      </c>
      <c r="AZ1145" s="5">
        <v>-121.5639</v>
      </c>
      <c r="BA1145" s="5">
        <v>1100.0</v>
      </c>
    </row>
    <row r="1146" ht="14.25" customHeight="1">
      <c r="A1146" s="5" t="s">
        <v>88</v>
      </c>
      <c r="B1146" s="5">
        <v>12.0</v>
      </c>
      <c r="C1146" s="5" t="s">
        <v>1711</v>
      </c>
      <c r="D1146" s="5">
        <v>1032.0</v>
      </c>
      <c r="E1146" s="5">
        <v>2355.0</v>
      </c>
      <c r="F1146" s="18" t="s">
        <v>4163</v>
      </c>
      <c r="G1146" s="10" t="s">
        <v>4164</v>
      </c>
      <c r="H1146" s="5" t="s">
        <v>4165</v>
      </c>
      <c r="I1146" s="5" t="s">
        <v>641</v>
      </c>
      <c r="J1146" s="5" t="s">
        <v>1746</v>
      </c>
      <c r="K1146" s="5">
        <v>1.0</v>
      </c>
      <c r="L1146" s="5">
        <v>2758.0</v>
      </c>
      <c r="M1146" s="8"/>
      <c r="AK1146" s="9"/>
      <c r="AO1146" s="5" t="s">
        <v>4163</v>
      </c>
      <c r="AP1146" s="5">
        <v>1032.0</v>
      </c>
      <c r="AQ1146" s="5" t="s">
        <v>1716</v>
      </c>
      <c r="AR1146" s="5" t="s">
        <v>1717</v>
      </c>
      <c r="AS1146" s="5" t="s">
        <v>1740</v>
      </c>
      <c r="AT1146" s="5" t="s">
        <v>1835</v>
      </c>
      <c r="AU1146" s="5" t="s">
        <v>1742</v>
      </c>
      <c r="AV1146" s="5" t="s">
        <v>1720</v>
      </c>
      <c r="AW1146" s="5" t="s">
        <v>1705</v>
      </c>
      <c r="AX1146" s="5" t="s">
        <v>1837</v>
      </c>
      <c r="AY1146" s="5">
        <v>50.6479</v>
      </c>
      <c r="AZ1146" s="5">
        <v>-123.8832</v>
      </c>
      <c r="BA1146" s="5">
        <v>731.0</v>
      </c>
    </row>
    <row r="1147" ht="14.25" customHeight="1">
      <c r="A1147" s="5" t="s">
        <v>88</v>
      </c>
      <c r="B1147" s="5">
        <v>12.0</v>
      </c>
      <c r="C1147" s="5" t="s">
        <v>1711</v>
      </c>
      <c r="D1147" s="5">
        <v>1037.0</v>
      </c>
      <c r="E1147" s="5">
        <v>2356.0</v>
      </c>
      <c r="F1147" s="18" t="s">
        <v>4166</v>
      </c>
      <c r="G1147" s="10" t="s">
        <v>4167</v>
      </c>
      <c r="H1147" s="5" t="s">
        <v>4168</v>
      </c>
      <c r="I1147" s="5" t="s">
        <v>641</v>
      </c>
      <c r="J1147" s="5" t="s">
        <v>1746</v>
      </c>
      <c r="K1147" s="5">
        <v>1.0</v>
      </c>
      <c r="L1147" s="5">
        <v>2759.0</v>
      </c>
      <c r="M1147" s="8"/>
      <c r="AK1147" s="9"/>
      <c r="AO1147" s="5" t="s">
        <v>4166</v>
      </c>
      <c r="AP1147" s="5">
        <v>1037.0</v>
      </c>
      <c r="AQ1147" s="5" t="s">
        <v>1716</v>
      </c>
      <c r="AR1147" s="5" t="s">
        <v>1717</v>
      </c>
      <c r="AS1147" s="5" t="s">
        <v>1718</v>
      </c>
      <c r="AT1147" s="5" t="s">
        <v>1835</v>
      </c>
      <c r="AU1147" s="5" t="s">
        <v>1836</v>
      </c>
      <c r="AV1147" s="5" t="s">
        <v>1720</v>
      </c>
      <c r="AW1147" s="5" t="s">
        <v>1705</v>
      </c>
      <c r="AX1147" s="5" t="s">
        <v>1883</v>
      </c>
      <c r="AY1147" s="5">
        <v>49.2713</v>
      </c>
      <c r="AZ1147" s="5">
        <v>-121.7808</v>
      </c>
      <c r="BA1147" s="5">
        <v>19.0</v>
      </c>
    </row>
    <row r="1148" ht="14.25" customHeight="1">
      <c r="A1148" s="5" t="s">
        <v>422</v>
      </c>
      <c r="B1148" s="5">
        <v>12.0</v>
      </c>
      <c r="C1148" s="5" t="s">
        <v>1711</v>
      </c>
      <c r="D1148" s="5">
        <v>1038.0</v>
      </c>
      <c r="E1148" s="5">
        <v>2357.0</v>
      </c>
      <c r="F1148" s="18" t="s">
        <v>4169</v>
      </c>
      <c r="G1148" s="5" t="s">
        <v>4170</v>
      </c>
      <c r="H1148" s="5" t="s">
        <v>4171</v>
      </c>
      <c r="I1148" s="5" t="s">
        <v>641</v>
      </c>
      <c r="J1148" s="5" t="s">
        <v>1746</v>
      </c>
      <c r="K1148" s="5">
        <v>1.0</v>
      </c>
      <c r="L1148" s="5">
        <v>2760.0</v>
      </c>
      <c r="M1148" s="8"/>
      <c r="AK1148" s="9"/>
      <c r="AO1148" s="5" t="s">
        <v>4169</v>
      </c>
      <c r="AP1148" s="5">
        <v>1038.0</v>
      </c>
      <c r="AQ1148" s="5" t="s">
        <v>1716</v>
      </c>
      <c r="AR1148" s="5" t="s">
        <v>1717</v>
      </c>
      <c r="AS1148" s="5" t="s">
        <v>1718</v>
      </c>
      <c r="AT1148" s="5" t="s">
        <v>1835</v>
      </c>
      <c r="AU1148" s="5" t="s">
        <v>1836</v>
      </c>
      <c r="AV1148" s="5" t="s">
        <v>1720</v>
      </c>
      <c r="AW1148" s="5" t="s">
        <v>2193</v>
      </c>
      <c r="AX1148" s="5" t="s">
        <v>2283</v>
      </c>
      <c r="AY1148" s="5">
        <v>52.0715</v>
      </c>
      <c r="AZ1148" s="5">
        <v>-123.5284</v>
      </c>
      <c r="BA1148" s="5">
        <v>798.0</v>
      </c>
    </row>
    <row r="1149" ht="14.25" customHeight="1">
      <c r="A1149" s="5" t="s">
        <v>422</v>
      </c>
      <c r="B1149" s="5">
        <v>12.0</v>
      </c>
      <c r="C1149" s="5" t="s">
        <v>1711</v>
      </c>
      <c r="D1149" s="5">
        <v>1039.0</v>
      </c>
      <c r="E1149" s="5">
        <v>2358.0</v>
      </c>
      <c r="F1149" s="18" t="s">
        <v>4172</v>
      </c>
      <c r="G1149" s="5" t="s">
        <v>4173</v>
      </c>
      <c r="H1149" s="5" t="s">
        <v>4174</v>
      </c>
      <c r="I1149" s="5" t="s">
        <v>641</v>
      </c>
      <c r="J1149" s="5" t="s">
        <v>1746</v>
      </c>
      <c r="K1149" s="5">
        <v>1.0</v>
      </c>
      <c r="L1149" s="5">
        <v>2761.0</v>
      </c>
      <c r="M1149" s="8"/>
      <c r="AK1149" s="9"/>
      <c r="AO1149" s="5" t="s">
        <v>4172</v>
      </c>
      <c r="AP1149" s="5">
        <v>1039.0</v>
      </c>
      <c r="AQ1149" s="5" t="s">
        <v>1716</v>
      </c>
      <c r="AR1149" s="5" t="s">
        <v>1717</v>
      </c>
      <c r="AS1149" s="5" t="s">
        <v>1718</v>
      </c>
      <c r="AT1149" s="5" t="s">
        <v>1835</v>
      </c>
      <c r="AU1149" s="5" t="s">
        <v>1836</v>
      </c>
      <c r="AV1149" s="5" t="s">
        <v>1720</v>
      </c>
      <c r="AW1149" s="5" t="s">
        <v>1705</v>
      </c>
      <c r="AX1149" s="5" t="s">
        <v>1883</v>
      </c>
      <c r="AY1149" s="5">
        <v>49.2327</v>
      </c>
      <c r="AZ1149" s="5">
        <v>-121.6503</v>
      </c>
      <c r="BA1149" s="5">
        <v>657.0</v>
      </c>
    </row>
    <row r="1150" ht="14.25" customHeight="1">
      <c r="A1150" s="5" t="s">
        <v>88</v>
      </c>
      <c r="B1150" s="5">
        <v>12.0</v>
      </c>
      <c r="C1150" s="5" t="s">
        <v>1711</v>
      </c>
      <c r="D1150" s="5">
        <v>1040.0</v>
      </c>
      <c r="E1150" s="5">
        <v>2359.0</v>
      </c>
      <c r="F1150" s="5" t="s">
        <v>4175</v>
      </c>
      <c r="G1150" s="10" t="s">
        <v>4176</v>
      </c>
      <c r="H1150" s="5" t="s">
        <v>4177</v>
      </c>
      <c r="I1150" s="5" t="s">
        <v>641</v>
      </c>
      <c r="J1150" s="5" t="s">
        <v>1829</v>
      </c>
      <c r="K1150" s="5">
        <v>1.0</v>
      </c>
      <c r="L1150" s="5">
        <v>2762.0</v>
      </c>
      <c r="M1150" s="8">
        <v>49.691</v>
      </c>
      <c r="N1150" s="5">
        <v>-121.85962</v>
      </c>
      <c r="O1150" s="5" t="s">
        <v>51</v>
      </c>
      <c r="P1150" s="5">
        <v>1040.0</v>
      </c>
      <c r="Q1150" s="5">
        <v>4.0</v>
      </c>
      <c r="R1150" s="5" t="s">
        <v>4175</v>
      </c>
      <c r="S1150" s="5" t="s">
        <v>1737</v>
      </c>
      <c r="T1150" s="5">
        <v>561.0</v>
      </c>
      <c r="U1150" s="5" t="s">
        <v>645</v>
      </c>
      <c r="W1150" s="5">
        <v>39959.0</v>
      </c>
      <c r="X1150" s="5" t="s">
        <v>1738</v>
      </c>
      <c r="AK1150" s="9"/>
      <c r="AO1150" s="5" t="s">
        <v>4175</v>
      </c>
      <c r="AP1150" s="5">
        <v>1040.0</v>
      </c>
      <c r="AQ1150" s="5" t="s">
        <v>1716</v>
      </c>
      <c r="AR1150" s="5" t="s">
        <v>1739</v>
      </c>
      <c r="AS1150" s="5" t="s">
        <v>1740</v>
      </c>
      <c r="AT1150" s="5" t="s">
        <v>1741</v>
      </c>
      <c r="AU1150" s="5" t="s">
        <v>1742</v>
      </c>
      <c r="AV1150" s="5" t="s">
        <v>1720</v>
      </c>
      <c r="AW1150" s="5" t="s">
        <v>1705</v>
      </c>
      <c r="AX1150" s="5" t="s">
        <v>1883</v>
      </c>
      <c r="AY1150" s="5">
        <v>49.7234</v>
      </c>
      <c r="AZ1150" s="5">
        <v>-121.8366</v>
      </c>
      <c r="BA1150" s="5">
        <v>570.0</v>
      </c>
    </row>
    <row r="1151" ht="14.25" customHeight="1">
      <c r="A1151" s="5" t="s">
        <v>422</v>
      </c>
      <c r="B1151" s="5">
        <v>12.0</v>
      </c>
      <c r="C1151" s="5" t="s">
        <v>1711</v>
      </c>
      <c r="D1151" s="5">
        <v>1041.0</v>
      </c>
      <c r="E1151" s="5">
        <v>2360.0</v>
      </c>
      <c r="F1151" s="18" t="s">
        <v>4178</v>
      </c>
      <c r="G1151" s="5" t="s">
        <v>4179</v>
      </c>
      <c r="H1151" s="5" t="s">
        <v>4180</v>
      </c>
      <c r="I1151" s="5" t="s">
        <v>641</v>
      </c>
      <c r="J1151" s="5" t="s">
        <v>1746</v>
      </c>
      <c r="K1151" s="5">
        <v>1.0</v>
      </c>
      <c r="L1151" s="5">
        <v>2763.0</v>
      </c>
      <c r="M1151" s="8"/>
      <c r="AK1151" s="9"/>
      <c r="AO1151" s="5" t="s">
        <v>4178</v>
      </c>
      <c r="AP1151" s="5">
        <v>1041.0</v>
      </c>
      <c r="AQ1151" s="5" t="s">
        <v>1716</v>
      </c>
      <c r="AR1151" s="5" t="s">
        <v>1717</v>
      </c>
      <c r="AS1151" s="5" t="s">
        <v>1718</v>
      </c>
      <c r="AT1151" s="5" t="s">
        <v>1835</v>
      </c>
      <c r="AU1151" s="5" t="s">
        <v>1836</v>
      </c>
      <c r="AV1151" s="5" t="s">
        <v>1720</v>
      </c>
      <c r="AW1151" s="5" t="s">
        <v>2368</v>
      </c>
      <c r="AX1151" s="5" t="s">
        <v>2505</v>
      </c>
      <c r="AY1151" s="5">
        <v>50.8946</v>
      </c>
      <c r="AZ1151" s="5">
        <v>-122.7668</v>
      </c>
      <c r="BA1151" s="5">
        <v>657.0</v>
      </c>
    </row>
    <row r="1152" ht="14.25" customHeight="1">
      <c r="A1152" s="5" t="s">
        <v>422</v>
      </c>
      <c r="B1152" s="5">
        <v>12.0</v>
      </c>
      <c r="C1152" s="5" t="s">
        <v>1711</v>
      </c>
      <c r="D1152" s="5">
        <v>1043.0</v>
      </c>
      <c r="E1152" s="5">
        <v>2361.0</v>
      </c>
      <c r="F1152" s="18" t="s">
        <v>4181</v>
      </c>
      <c r="G1152" s="5" t="s">
        <v>4182</v>
      </c>
      <c r="H1152" s="5" t="s">
        <v>4183</v>
      </c>
      <c r="I1152" s="5" t="s">
        <v>641</v>
      </c>
      <c r="J1152" s="5" t="s">
        <v>1746</v>
      </c>
      <c r="K1152" s="5">
        <v>1.0</v>
      </c>
      <c r="L1152" s="5">
        <v>2764.0</v>
      </c>
      <c r="M1152" s="8"/>
      <c r="AK1152" s="9"/>
      <c r="AO1152" s="5" t="s">
        <v>4181</v>
      </c>
      <c r="AP1152" s="5">
        <v>1043.0</v>
      </c>
      <c r="AQ1152" s="5" t="s">
        <v>1716</v>
      </c>
      <c r="AR1152" s="5" t="s">
        <v>1717</v>
      </c>
      <c r="AS1152" s="5" t="s">
        <v>1740</v>
      </c>
      <c r="AT1152" s="5" t="s">
        <v>1835</v>
      </c>
      <c r="AU1152" s="5" t="s">
        <v>1742</v>
      </c>
      <c r="AV1152" s="5" t="s">
        <v>1720</v>
      </c>
      <c r="AX1152" s="5" t="s">
        <v>2009</v>
      </c>
      <c r="AY1152" s="5">
        <v>59.65</v>
      </c>
      <c r="AZ1152" s="5">
        <v>-126.9167</v>
      </c>
      <c r="BA1152" s="5">
        <v>500.0</v>
      </c>
    </row>
    <row r="1153" ht="14.25" customHeight="1">
      <c r="A1153" s="5" t="s">
        <v>88</v>
      </c>
      <c r="B1153" s="5">
        <v>12.0</v>
      </c>
      <c r="C1153" s="5" t="s">
        <v>1711</v>
      </c>
      <c r="D1153" s="5">
        <v>1045.0</v>
      </c>
      <c r="E1153" s="5">
        <v>2362.0</v>
      </c>
      <c r="F1153" s="5" t="s">
        <v>4184</v>
      </c>
      <c r="G1153" s="70" t="s">
        <v>4185</v>
      </c>
      <c r="H1153" s="5" t="s">
        <v>4186</v>
      </c>
      <c r="I1153" s="5" t="s">
        <v>641</v>
      </c>
      <c r="J1153" s="5" t="s">
        <v>1891</v>
      </c>
      <c r="K1153" s="5">
        <v>1.0</v>
      </c>
      <c r="L1153" s="5">
        <v>2765.0</v>
      </c>
      <c r="M1153" s="8">
        <v>56.55833</v>
      </c>
      <c r="N1153" s="5">
        <v>-120.38194</v>
      </c>
      <c r="O1153" s="5" t="s">
        <v>153</v>
      </c>
      <c r="P1153" s="5">
        <v>1045.0</v>
      </c>
      <c r="Q1153" s="5">
        <v>2.0</v>
      </c>
      <c r="R1153" s="5" t="s">
        <v>4184</v>
      </c>
      <c r="S1153" s="5" t="s">
        <v>1737</v>
      </c>
      <c r="T1153" s="5">
        <v>700.0</v>
      </c>
      <c r="W1153" s="5">
        <v>39993.0</v>
      </c>
      <c r="X1153" s="5" t="s">
        <v>1738</v>
      </c>
      <c r="AK1153" s="9"/>
      <c r="AO1153" s="5" t="s">
        <v>4184</v>
      </c>
      <c r="AP1153" s="5">
        <v>1045.0</v>
      </c>
      <c r="AQ1153" s="5" t="s">
        <v>1716</v>
      </c>
      <c r="AR1153" s="5" t="s">
        <v>1739</v>
      </c>
      <c r="AS1153" s="5" t="s">
        <v>1740</v>
      </c>
      <c r="AT1153" s="5" t="s">
        <v>1741</v>
      </c>
      <c r="AU1153" s="5" t="s">
        <v>1742</v>
      </c>
      <c r="AV1153" s="5" t="s">
        <v>1720</v>
      </c>
      <c r="AW1153" s="5" t="s">
        <v>2003</v>
      </c>
      <c r="AX1153" s="5" t="s">
        <v>2004</v>
      </c>
      <c r="AY1153" s="5">
        <v>56.5553</v>
      </c>
      <c r="AZ1153" s="5">
        <v>-120.3952</v>
      </c>
      <c r="BA1153" s="5">
        <v>700.0</v>
      </c>
    </row>
    <row r="1154" ht="14.25" customHeight="1">
      <c r="A1154" s="5" t="s">
        <v>422</v>
      </c>
      <c r="B1154" s="5">
        <v>12.0</v>
      </c>
      <c r="C1154" s="5" t="s">
        <v>1711</v>
      </c>
      <c r="D1154" s="5">
        <v>1046.0</v>
      </c>
      <c r="E1154" s="5">
        <v>2363.0</v>
      </c>
      <c r="F1154" s="18" t="s">
        <v>4187</v>
      </c>
      <c r="G1154" s="5" t="s">
        <v>4188</v>
      </c>
      <c r="H1154" s="5" t="s">
        <v>4189</v>
      </c>
      <c r="I1154" s="5" t="s">
        <v>641</v>
      </c>
      <c r="J1154" s="5" t="s">
        <v>1746</v>
      </c>
      <c r="K1154" s="5">
        <v>1.0</v>
      </c>
      <c r="L1154" s="5">
        <v>2766.0</v>
      </c>
      <c r="M1154" s="8"/>
      <c r="AK1154" s="9"/>
      <c r="AO1154" s="5" t="s">
        <v>4187</v>
      </c>
      <c r="AP1154" s="5">
        <v>1046.0</v>
      </c>
      <c r="AQ1154" s="5" t="s">
        <v>1716</v>
      </c>
      <c r="AR1154" s="5" t="s">
        <v>1717</v>
      </c>
      <c r="AS1154" s="5" t="s">
        <v>1718</v>
      </c>
      <c r="AT1154" s="5" t="s">
        <v>1835</v>
      </c>
      <c r="AU1154" s="5" t="s">
        <v>1836</v>
      </c>
      <c r="AV1154" s="5" t="s">
        <v>1720</v>
      </c>
      <c r="AW1154" s="5" t="s">
        <v>2003</v>
      </c>
      <c r="AX1154" s="5" t="s">
        <v>2516</v>
      </c>
      <c r="AY1154" s="5">
        <v>50.1979</v>
      </c>
      <c r="AZ1154" s="5">
        <v>-119.7957</v>
      </c>
      <c r="BA1154" s="5">
        <v>1814.0</v>
      </c>
    </row>
    <row r="1155" ht="14.25" customHeight="1">
      <c r="A1155" s="5" t="s">
        <v>422</v>
      </c>
      <c r="B1155" s="5">
        <v>12.0</v>
      </c>
      <c r="C1155" s="5" t="s">
        <v>1711</v>
      </c>
      <c r="D1155" s="5">
        <v>1048.0</v>
      </c>
      <c r="E1155" s="5">
        <v>2364.0</v>
      </c>
      <c r="F1155" s="18" t="s">
        <v>4190</v>
      </c>
      <c r="G1155" s="5" t="s">
        <v>4191</v>
      </c>
      <c r="H1155" s="5" t="s">
        <v>4192</v>
      </c>
      <c r="I1155" s="5" t="s">
        <v>641</v>
      </c>
      <c r="J1155" s="5" t="s">
        <v>1746</v>
      </c>
      <c r="K1155" s="5">
        <v>1.0</v>
      </c>
      <c r="L1155" s="5">
        <v>2767.0</v>
      </c>
      <c r="M1155" s="8"/>
      <c r="AK1155" s="9"/>
      <c r="AO1155" s="5" t="s">
        <v>4190</v>
      </c>
      <c r="AP1155" s="5">
        <v>1048.0</v>
      </c>
      <c r="AQ1155" s="5" t="s">
        <v>1716</v>
      </c>
      <c r="AR1155" s="5" t="s">
        <v>1717</v>
      </c>
      <c r="AS1155" s="5" t="s">
        <v>1718</v>
      </c>
      <c r="AT1155" s="5" t="s">
        <v>1835</v>
      </c>
      <c r="AU1155" s="5" t="s">
        <v>1836</v>
      </c>
      <c r="AV1155" s="5" t="s">
        <v>1720</v>
      </c>
      <c r="AW1155" s="5" t="s">
        <v>2368</v>
      </c>
      <c r="AX1155" s="5" t="s">
        <v>2505</v>
      </c>
      <c r="AY1155" s="5">
        <v>50.6856</v>
      </c>
      <c r="AZ1155" s="5">
        <v>-122.1742</v>
      </c>
      <c r="BA1155" s="5">
        <v>1523.0</v>
      </c>
    </row>
    <row r="1156" ht="14.25" customHeight="1">
      <c r="A1156" s="5" t="s">
        <v>422</v>
      </c>
      <c r="B1156" s="5">
        <v>12.0</v>
      </c>
      <c r="C1156" s="5" t="s">
        <v>1711</v>
      </c>
      <c r="D1156" s="5">
        <v>1049.0</v>
      </c>
      <c r="E1156" s="5">
        <v>2365.0</v>
      </c>
      <c r="F1156" s="18" t="s">
        <v>4193</v>
      </c>
      <c r="G1156" s="5" t="s">
        <v>4194</v>
      </c>
      <c r="H1156" s="5" t="s">
        <v>4195</v>
      </c>
      <c r="I1156" s="5" t="s">
        <v>641</v>
      </c>
      <c r="J1156" s="5" t="s">
        <v>1746</v>
      </c>
      <c r="K1156" s="5">
        <v>1.0</v>
      </c>
      <c r="L1156" s="5">
        <v>2768.0</v>
      </c>
      <c r="M1156" s="8"/>
      <c r="AK1156" s="9"/>
      <c r="AO1156" s="67" t="s">
        <v>4193</v>
      </c>
      <c r="AP1156" s="5">
        <v>1049.0</v>
      </c>
      <c r="AQ1156" s="5" t="s">
        <v>1716</v>
      </c>
      <c r="AR1156" s="5" t="s">
        <v>1717</v>
      </c>
      <c r="AS1156" s="5" t="s">
        <v>1718</v>
      </c>
      <c r="AT1156" s="5" t="s">
        <v>1835</v>
      </c>
      <c r="AU1156" s="5" t="s">
        <v>1836</v>
      </c>
      <c r="AV1156" s="5" t="s">
        <v>1720</v>
      </c>
      <c r="AW1156" s="5" t="s">
        <v>2368</v>
      </c>
      <c r="AX1156" s="5" t="s">
        <v>2505</v>
      </c>
      <c r="AY1156" s="5">
        <v>50.9631</v>
      </c>
      <c r="AZ1156" s="5">
        <v>-122.3007</v>
      </c>
      <c r="BA1156" s="5">
        <v>938.0</v>
      </c>
    </row>
    <row r="1157" ht="14.25" customHeight="1">
      <c r="A1157" s="5" t="s">
        <v>422</v>
      </c>
      <c r="B1157" s="5">
        <v>12.0</v>
      </c>
      <c r="C1157" s="5" t="s">
        <v>1711</v>
      </c>
      <c r="D1157" s="5">
        <v>1050.0</v>
      </c>
      <c r="E1157" s="5">
        <v>2366.0</v>
      </c>
      <c r="F1157" s="18" t="s">
        <v>4196</v>
      </c>
      <c r="G1157" s="5" t="s">
        <v>4197</v>
      </c>
      <c r="H1157" s="5" t="s">
        <v>4198</v>
      </c>
      <c r="I1157" s="5" t="s">
        <v>641</v>
      </c>
      <c r="J1157" s="5" t="s">
        <v>1746</v>
      </c>
      <c r="K1157" s="5">
        <v>1.0</v>
      </c>
      <c r="L1157" s="5">
        <v>2769.0</v>
      </c>
      <c r="M1157" s="8"/>
      <c r="AK1157" s="9"/>
      <c r="AO1157" s="5" t="s">
        <v>4196</v>
      </c>
      <c r="AP1157" s="5">
        <v>1050.0</v>
      </c>
      <c r="AQ1157" s="5" t="s">
        <v>1716</v>
      </c>
      <c r="AR1157" s="5" t="s">
        <v>1717</v>
      </c>
      <c r="AS1157" s="5" t="s">
        <v>1718</v>
      </c>
      <c r="AT1157" s="5" t="s">
        <v>1835</v>
      </c>
      <c r="AU1157" s="5" t="s">
        <v>1836</v>
      </c>
      <c r="AV1157" s="5" t="s">
        <v>1720</v>
      </c>
      <c r="AW1157" s="5" t="s">
        <v>2368</v>
      </c>
      <c r="AX1157" s="5" t="s">
        <v>2401</v>
      </c>
      <c r="AY1157" s="5">
        <v>51.2955</v>
      </c>
      <c r="AZ1157" s="5">
        <v>-119.3226</v>
      </c>
      <c r="BA1157" s="5">
        <v>1409.0</v>
      </c>
    </row>
    <row r="1158" ht="14.25" customHeight="1">
      <c r="A1158" s="5" t="s">
        <v>422</v>
      </c>
      <c r="B1158" s="5">
        <v>12.0</v>
      </c>
      <c r="C1158" s="5" t="s">
        <v>1711</v>
      </c>
      <c r="D1158" s="5">
        <v>1051.0</v>
      </c>
      <c r="E1158" s="5">
        <v>2367.0</v>
      </c>
      <c r="F1158" s="18" t="s">
        <v>4199</v>
      </c>
      <c r="G1158" s="5" t="s">
        <v>4200</v>
      </c>
      <c r="H1158" s="5" t="s">
        <v>4201</v>
      </c>
      <c r="I1158" s="5" t="s">
        <v>641</v>
      </c>
      <c r="J1158" s="5" t="s">
        <v>1746</v>
      </c>
      <c r="K1158" s="5">
        <v>1.0</v>
      </c>
      <c r="L1158" s="5">
        <v>2770.0</v>
      </c>
      <c r="M1158" s="8"/>
      <c r="AK1158" s="9"/>
      <c r="AO1158" s="67" t="s">
        <v>4199</v>
      </c>
      <c r="AP1158" s="5">
        <v>1051.0</v>
      </c>
      <c r="AQ1158" s="5" t="s">
        <v>1716</v>
      </c>
      <c r="AR1158" s="5" t="s">
        <v>1717</v>
      </c>
      <c r="AS1158" s="5" t="s">
        <v>1718</v>
      </c>
      <c r="AT1158" s="5" t="s">
        <v>1835</v>
      </c>
      <c r="AU1158" s="5" t="s">
        <v>1836</v>
      </c>
      <c r="AV1158" s="5" t="s">
        <v>1720</v>
      </c>
      <c r="AW1158" s="5" t="s">
        <v>2368</v>
      </c>
      <c r="AX1158" s="5" t="s">
        <v>2707</v>
      </c>
      <c r="AY1158" s="5">
        <v>50.7459</v>
      </c>
      <c r="AZ1158" s="5">
        <v>-119.4524</v>
      </c>
      <c r="BA1158" s="5">
        <v>1407.0</v>
      </c>
    </row>
    <row r="1159" ht="14.25" customHeight="1">
      <c r="A1159" s="5" t="s">
        <v>422</v>
      </c>
      <c r="B1159" s="5">
        <v>12.0</v>
      </c>
      <c r="C1159" s="5" t="s">
        <v>1711</v>
      </c>
      <c r="D1159" s="5">
        <v>1053.0</v>
      </c>
      <c r="E1159" s="5">
        <v>2368.0</v>
      </c>
      <c r="F1159" s="18" t="s">
        <v>4202</v>
      </c>
      <c r="G1159" s="5" t="s">
        <v>4203</v>
      </c>
      <c r="H1159" s="5" t="s">
        <v>4204</v>
      </c>
      <c r="I1159" s="5" t="s">
        <v>641</v>
      </c>
      <c r="J1159" s="5" t="s">
        <v>1746</v>
      </c>
      <c r="K1159" s="5">
        <v>1.0</v>
      </c>
      <c r="L1159" s="5">
        <v>2771.0</v>
      </c>
      <c r="M1159" s="8"/>
      <c r="AK1159" s="9"/>
      <c r="AO1159" s="67" t="s">
        <v>4202</v>
      </c>
      <c r="AP1159" s="5">
        <v>1053.0</v>
      </c>
      <c r="AQ1159" s="5" t="s">
        <v>1716</v>
      </c>
      <c r="AR1159" s="5" t="s">
        <v>1717</v>
      </c>
      <c r="AS1159" s="5" t="s">
        <v>1718</v>
      </c>
      <c r="AT1159" s="5" t="s">
        <v>1835</v>
      </c>
      <c r="AU1159" s="5" t="s">
        <v>1836</v>
      </c>
      <c r="AV1159" s="5" t="s">
        <v>1720</v>
      </c>
      <c r="AW1159" s="5" t="s">
        <v>2193</v>
      </c>
      <c r="AX1159" s="5" t="s">
        <v>2283</v>
      </c>
      <c r="AY1159" s="5">
        <v>52.0734</v>
      </c>
      <c r="AZ1159" s="5">
        <v>-123.891</v>
      </c>
      <c r="BA1159" s="5">
        <v>1055.0</v>
      </c>
    </row>
    <row r="1160" ht="14.25" customHeight="1">
      <c r="A1160" s="5" t="s">
        <v>88</v>
      </c>
      <c r="B1160" s="5">
        <v>12.0</v>
      </c>
      <c r="C1160" s="5" t="s">
        <v>1711</v>
      </c>
      <c r="D1160" s="5">
        <v>1055.0</v>
      </c>
      <c r="E1160" s="5">
        <v>2369.0</v>
      </c>
      <c r="F1160" s="5" t="s">
        <v>4205</v>
      </c>
      <c r="G1160" s="10" t="s">
        <v>4206</v>
      </c>
      <c r="H1160" s="5" t="s">
        <v>4207</v>
      </c>
      <c r="I1160" s="5" t="s">
        <v>641</v>
      </c>
      <c r="J1160" s="5" t="s">
        <v>1829</v>
      </c>
      <c r="K1160" s="5">
        <v>1.0</v>
      </c>
      <c r="L1160" s="5">
        <v>2772.0</v>
      </c>
      <c r="M1160" s="8">
        <v>50.3513</v>
      </c>
      <c r="N1160" s="5">
        <v>-121.65495</v>
      </c>
      <c r="O1160" s="5" t="s">
        <v>142</v>
      </c>
      <c r="P1160" s="5">
        <v>1055.0</v>
      </c>
      <c r="Q1160" s="5">
        <v>1.0</v>
      </c>
      <c r="R1160" s="5" t="s">
        <v>4205</v>
      </c>
      <c r="S1160" s="5" t="s">
        <v>1737</v>
      </c>
      <c r="T1160" s="5">
        <v>424.0</v>
      </c>
      <c r="W1160" s="5">
        <v>40107.0</v>
      </c>
      <c r="X1160" s="5" t="s">
        <v>1738</v>
      </c>
      <c r="AK1160" s="9"/>
      <c r="AO1160" s="5" t="s">
        <v>4205</v>
      </c>
      <c r="AP1160" s="5">
        <v>1055.0</v>
      </c>
      <c r="AQ1160" s="5" t="s">
        <v>1716</v>
      </c>
      <c r="AR1160" s="5" t="s">
        <v>1739</v>
      </c>
      <c r="AS1160" s="5" t="s">
        <v>1740</v>
      </c>
      <c r="AT1160" s="5" t="s">
        <v>1741</v>
      </c>
      <c r="AU1160" s="5" t="s">
        <v>1742</v>
      </c>
      <c r="AV1160" s="5" t="s">
        <v>1720</v>
      </c>
      <c r="AW1160" s="5" t="s">
        <v>2368</v>
      </c>
      <c r="AX1160" s="5" t="s">
        <v>2505</v>
      </c>
      <c r="AY1160" s="5">
        <v>50.3511</v>
      </c>
      <c r="AZ1160" s="5">
        <v>-121.6549</v>
      </c>
      <c r="BA1160" s="5">
        <v>424.0</v>
      </c>
    </row>
    <row r="1161" ht="14.25" customHeight="1">
      <c r="A1161" s="5" t="s">
        <v>88</v>
      </c>
      <c r="B1161" s="5">
        <v>12.0</v>
      </c>
      <c r="C1161" s="5" t="s">
        <v>1711</v>
      </c>
      <c r="D1161" s="5">
        <v>1056.0</v>
      </c>
      <c r="E1161" s="5">
        <v>3300.0</v>
      </c>
      <c r="F1161" s="5" t="s">
        <v>4208</v>
      </c>
      <c r="G1161" s="10" t="s">
        <v>4209</v>
      </c>
      <c r="H1161" s="5" t="s">
        <v>4210</v>
      </c>
      <c r="I1161" s="5" t="s">
        <v>49</v>
      </c>
      <c r="J1161" s="5" t="s">
        <v>1829</v>
      </c>
      <c r="K1161" s="5">
        <v>1.0</v>
      </c>
      <c r="L1161" s="5">
        <v>4139.0</v>
      </c>
      <c r="M1161" s="8">
        <v>50.27092</v>
      </c>
      <c r="N1161" s="5">
        <v>-125.1309</v>
      </c>
      <c r="O1161" s="5" t="s">
        <v>51</v>
      </c>
      <c r="P1161" s="5">
        <v>1056.0</v>
      </c>
      <c r="Q1161" s="5">
        <v>2.0</v>
      </c>
      <c r="R1161" s="5" t="s">
        <v>4208</v>
      </c>
      <c r="S1161" s="5" t="s">
        <v>4045</v>
      </c>
      <c r="T1161" s="5">
        <v>132.0</v>
      </c>
      <c r="W1161" s="5">
        <v>40247.0</v>
      </c>
      <c r="X1161" s="5" t="s">
        <v>1738</v>
      </c>
      <c r="AK1161" s="9"/>
      <c r="AO1161" s="5" t="s">
        <v>4208</v>
      </c>
      <c r="AP1161" s="5">
        <v>1056.0</v>
      </c>
      <c r="AQ1161" s="5" t="s">
        <v>1716</v>
      </c>
      <c r="AR1161" s="5" t="s">
        <v>1739</v>
      </c>
      <c r="AS1161" s="5" t="s">
        <v>1740</v>
      </c>
      <c r="AT1161" s="5" t="s">
        <v>1741</v>
      </c>
      <c r="AU1161" s="5" t="s">
        <v>1742</v>
      </c>
      <c r="AV1161" s="5" t="s">
        <v>1720</v>
      </c>
      <c r="AW1161" s="5" t="s">
        <v>1705</v>
      </c>
      <c r="AX1161" s="5" t="s">
        <v>1837</v>
      </c>
      <c r="AY1161" s="5">
        <v>50.2709</v>
      </c>
      <c r="AZ1161" s="5">
        <v>-125.1309</v>
      </c>
      <c r="BA1161" s="5">
        <v>140.0</v>
      </c>
    </row>
    <row r="1162" ht="14.25" customHeight="1">
      <c r="A1162" s="5" t="s">
        <v>88</v>
      </c>
      <c r="B1162" s="5">
        <v>12.0</v>
      </c>
      <c r="C1162" s="5" t="s">
        <v>1711</v>
      </c>
      <c r="D1162" s="5">
        <v>1066.0</v>
      </c>
      <c r="E1162" s="5">
        <v>3301.0</v>
      </c>
      <c r="F1162" s="5" t="s">
        <v>4211</v>
      </c>
      <c r="G1162" s="10" t="s">
        <v>4212</v>
      </c>
      <c r="H1162" s="5" t="s">
        <v>4213</v>
      </c>
      <c r="I1162" s="5" t="s">
        <v>49</v>
      </c>
      <c r="J1162" s="5" t="s">
        <v>1829</v>
      </c>
      <c r="K1162" s="5">
        <v>1.0</v>
      </c>
      <c r="L1162" s="5">
        <v>4140.0</v>
      </c>
      <c r="M1162" s="8">
        <v>49.5855</v>
      </c>
      <c r="N1162" s="5">
        <v>-123.38722</v>
      </c>
      <c r="O1162" s="5" t="s">
        <v>51</v>
      </c>
      <c r="P1162" s="5">
        <v>1066.0</v>
      </c>
      <c r="Q1162" s="5">
        <v>2.0</v>
      </c>
      <c r="R1162" s="5" t="s">
        <v>4211</v>
      </c>
      <c r="S1162" s="5" t="s">
        <v>4045</v>
      </c>
      <c r="T1162" s="5">
        <v>154.0</v>
      </c>
      <c r="W1162" s="5">
        <v>40284.0</v>
      </c>
      <c r="X1162" s="5" t="s">
        <v>1738</v>
      </c>
      <c r="AK1162" s="9"/>
      <c r="AO1162" s="5" t="s">
        <v>4211</v>
      </c>
      <c r="AP1162" s="5">
        <v>1066.0</v>
      </c>
      <c r="AQ1162" s="5" t="s">
        <v>1716</v>
      </c>
      <c r="AR1162" s="5" t="s">
        <v>1739</v>
      </c>
      <c r="AS1162" s="5" t="s">
        <v>1740</v>
      </c>
      <c r="AT1162" s="5" t="s">
        <v>1741</v>
      </c>
      <c r="AU1162" s="5" t="s">
        <v>1742</v>
      </c>
      <c r="AV1162" s="5" t="s">
        <v>1720</v>
      </c>
      <c r="AW1162" s="5" t="s">
        <v>1705</v>
      </c>
      <c r="AX1162" s="5" t="s">
        <v>1837</v>
      </c>
      <c r="AY1162" s="5">
        <v>49.5855</v>
      </c>
      <c r="AZ1162" s="5">
        <v>-123.3873</v>
      </c>
      <c r="BA1162" s="5">
        <v>140.0</v>
      </c>
    </row>
    <row r="1163" ht="14.25" customHeight="1">
      <c r="A1163" s="5" t="s">
        <v>88</v>
      </c>
      <c r="B1163" s="5">
        <v>12.0</v>
      </c>
      <c r="C1163" s="5" t="s">
        <v>1711</v>
      </c>
      <c r="D1163" s="5">
        <v>1075.0</v>
      </c>
      <c r="E1163" s="5">
        <v>10983.0</v>
      </c>
      <c r="F1163" s="5" t="s">
        <v>4214</v>
      </c>
      <c r="G1163" s="10" t="s">
        <v>4215</v>
      </c>
      <c r="H1163" s="5" t="s">
        <v>4216</v>
      </c>
      <c r="I1163" s="5" t="s">
        <v>49</v>
      </c>
      <c r="J1163" s="5" t="s">
        <v>1891</v>
      </c>
      <c r="K1163" s="5">
        <v>1.0</v>
      </c>
      <c r="L1163" s="5">
        <v>13141.0</v>
      </c>
      <c r="M1163" s="8">
        <v>49.04694</v>
      </c>
      <c r="N1163" s="5">
        <v>-115.22528</v>
      </c>
      <c r="O1163" s="5" t="s">
        <v>170</v>
      </c>
      <c r="P1163" s="5">
        <v>1075.0</v>
      </c>
      <c r="Q1163" s="5">
        <v>1.0</v>
      </c>
      <c r="R1163" s="5" t="s">
        <v>4214</v>
      </c>
      <c r="S1163" s="5" t="s">
        <v>1737</v>
      </c>
      <c r="T1163" s="5">
        <v>804.0</v>
      </c>
      <c r="W1163" s="5">
        <v>40339.0</v>
      </c>
      <c r="X1163" s="5" t="s">
        <v>1738</v>
      </c>
      <c r="AK1163" s="9"/>
      <c r="AO1163" s="5" t="s">
        <v>4214</v>
      </c>
      <c r="AP1163" s="5">
        <v>1075.0</v>
      </c>
      <c r="AQ1163" s="5" t="s">
        <v>1700</v>
      </c>
      <c r="AR1163" s="5" t="s">
        <v>1739</v>
      </c>
      <c r="AS1163" s="5" t="s">
        <v>1740</v>
      </c>
      <c r="AT1163" s="5" t="s">
        <v>1741</v>
      </c>
      <c r="AU1163" s="5" t="s">
        <v>1959</v>
      </c>
      <c r="AV1163" s="5" t="s">
        <v>1720</v>
      </c>
      <c r="AW1163" s="5" t="s">
        <v>2698</v>
      </c>
      <c r="AX1163" s="5" t="s">
        <v>2902</v>
      </c>
      <c r="AY1163" s="5">
        <v>49.0469</v>
      </c>
      <c r="AZ1163" s="5">
        <v>-115.2253</v>
      </c>
      <c r="BA1163" s="5">
        <v>804.0</v>
      </c>
    </row>
    <row r="1164" ht="14.25" customHeight="1">
      <c r="A1164" s="5" t="s">
        <v>88</v>
      </c>
      <c r="B1164" s="5">
        <v>12.0</v>
      </c>
      <c r="C1164" s="5" t="s">
        <v>1711</v>
      </c>
      <c r="D1164" s="5">
        <v>1082.0</v>
      </c>
      <c r="E1164" s="5">
        <v>10978.0</v>
      </c>
      <c r="F1164" s="5" t="s">
        <v>4217</v>
      </c>
      <c r="G1164" s="10" t="s">
        <v>4218</v>
      </c>
      <c r="H1164" s="5" t="s">
        <v>4219</v>
      </c>
      <c r="I1164" s="5" t="s">
        <v>49</v>
      </c>
      <c r="J1164" s="5" t="s">
        <v>1829</v>
      </c>
      <c r="K1164" s="5">
        <v>1.0</v>
      </c>
      <c r="L1164" s="5">
        <v>13142.0</v>
      </c>
      <c r="M1164" s="8">
        <v>51.21111</v>
      </c>
      <c r="N1164" s="5">
        <v>-120.41197</v>
      </c>
      <c r="O1164" s="5" t="s">
        <v>142</v>
      </c>
      <c r="P1164" s="5">
        <v>1082.0</v>
      </c>
      <c r="Q1164" s="5">
        <v>5.0</v>
      </c>
      <c r="R1164" s="5" t="s">
        <v>4217</v>
      </c>
      <c r="S1164" s="5" t="s">
        <v>1737</v>
      </c>
      <c r="T1164" s="5">
        <v>1315.0</v>
      </c>
      <c r="W1164" s="5">
        <v>40367.0</v>
      </c>
      <c r="X1164" s="5" t="s">
        <v>1738</v>
      </c>
      <c r="AK1164" s="9"/>
      <c r="AO1164" s="5" t="s">
        <v>4217</v>
      </c>
      <c r="AP1164" s="5">
        <v>1082.0</v>
      </c>
      <c r="AQ1164" s="5" t="s">
        <v>1700</v>
      </c>
      <c r="AR1164" s="5" t="s">
        <v>1739</v>
      </c>
      <c r="AS1164" s="5" t="s">
        <v>1740</v>
      </c>
      <c r="AT1164" s="5" t="s">
        <v>1835</v>
      </c>
      <c r="AU1164" s="5" t="s">
        <v>1959</v>
      </c>
      <c r="AV1164" s="5" t="s">
        <v>1720</v>
      </c>
      <c r="AW1164" s="5" t="s">
        <v>2368</v>
      </c>
      <c r="AX1164" s="5" t="s">
        <v>2369</v>
      </c>
      <c r="AY1164" s="5">
        <v>51.2112</v>
      </c>
      <c r="AZ1164" s="5">
        <v>-120.412</v>
      </c>
      <c r="BA1164" s="5">
        <v>1311.0</v>
      </c>
    </row>
    <row r="1165" ht="14.25" customHeight="1">
      <c r="A1165" s="5" t="s">
        <v>88</v>
      </c>
      <c r="B1165" s="5">
        <v>12.0</v>
      </c>
      <c r="C1165" s="5" t="s">
        <v>1711</v>
      </c>
      <c r="D1165" s="5">
        <v>1083.0</v>
      </c>
      <c r="E1165" s="5">
        <v>3302.0</v>
      </c>
      <c r="F1165" s="5" t="s">
        <v>4220</v>
      </c>
      <c r="G1165" s="10" t="s">
        <v>4221</v>
      </c>
      <c r="H1165" s="5" t="s">
        <v>4222</v>
      </c>
      <c r="I1165" s="5" t="s">
        <v>49</v>
      </c>
      <c r="J1165" s="5" t="s">
        <v>1891</v>
      </c>
      <c r="K1165" s="5">
        <v>1.0</v>
      </c>
      <c r="L1165" s="5">
        <v>4141.0</v>
      </c>
      <c r="M1165" s="8">
        <v>50.61972</v>
      </c>
      <c r="N1165" s="5">
        <v>-123.41</v>
      </c>
      <c r="O1165" s="5" t="s">
        <v>51</v>
      </c>
      <c r="P1165" s="5">
        <v>1083.0</v>
      </c>
      <c r="Q1165" s="5">
        <v>4.0</v>
      </c>
      <c r="R1165" s="5" t="s">
        <v>4220</v>
      </c>
      <c r="S1165" s="5" t="s">
        <v>1737</v>
      </c>
      <c r="T1165" s="5">
        <v>545.0</v>
      </c>
      <c r="U1165" s="5" t="s">
        <v>645</v>
      </c>
      <c r="W1165" s="5">
        <v>40373.0</v>
      </c>
      <c r="X1165" s="5" t="s">
        <v>1738</v>
      </c>
      <c r="AK1165" s="9"/>
      <c r="AO1165" s="5" t="s">
        <v>4220</v>
      </c>
      <c r="AP1165" s="5">
        <v>1083.0</v>
      </c>
      <c r="AQ1165" s="5" t="s">
        <v>1716</v>
      </c>
      <c r="AR1165" s="5" t="s">
        <v>1739</v>
      </c>
      <c r="AS1165" s="5" t="s">
        <v>1740</v>
      </c>
      <c r="AT1165" s="5" t="s">
        <v>1741</v>
      </c>
      <c r="AU1165" s="5" t="s">
        <v>1742</v>
      </c>
      <c r="AV1165" s="5" t="s">
        <v>1720</v>
      </c>
      <c r="AW1165" s="5" t="s">
        <v>1705</v>
      </c>
      <c r="AX1165" s="5" t="s">
        <v>1879</v>
      </c>
      <c r="AY1165" s="5">
        <v>50.62</v>
      </c>
      <c r="AZ1165" s="5">
        <v>-123.4101</v>
      </c>
      <c r="BA1165" s="5">
        <v>549.0</v>
      </c>
    </row>
    <row r="1166" ht="14.25" customHeight="1">
      <c r="B1166" s="5">
        <v>12.0</v>
      </c>
      <c r="C1166" s="5" t="s">
        <v>1711</v>
      </c>
      <c r="D1166" s="5">
        <v>1092.0</v>
      </c>
      <c r="E1166" s="5">
        <v>10979.0</v>
      </c>
      <c r="F1166" s="5" t="s">
        <v>4223</v>
      </c>
      <c r="G1166" s="5" t="s">
        <v>4224</v>
      </c>
      <c r="H1166" s="5" t="s">
        <v>4225</v>
      </c>
      <c r="I1166" s="5" t="s">
        <v>49</v>
      </c>
      <c r="J1166" s="5" t="s">
        <v>1829</v>
      </c>
      <c r="K1166" s="5">
        <v>1.0</v>
      </c>
      <c r="L1166" s="5">
        <v>13143.0</v>
      </c>
      <c r="M1166" s="8">
        <v>50.61262</v>
      </c>
      <c r="N1166" s="5">
        <v>-116.79332</v>
      </c>
      <c r="O1166" s="5" t="s">
        <v>170</v>
      </c>
      <c r="P1166" s="5">
        <v>1092.0</v>
      </c>
      <c r="Q1166" s="5">
        <v>5.0</v>
      </c>
      <c r="R1166" s="5" t="s">
        <v>4223</v>
      </c>
      <c r="S1166" s="5" t="s">
        <v>1737</v>
      </c>
      <c r="T1166" s="5">
        <v>1580.0</v>
      </c>
      <c r="W1166" s="5">
        <v>40458.0</v>
      </c>
      <c r="X1166" s="5" t="s">
        <v>1738</v>
      </c>
      <c r="AK1166" s="9"/>
      <c r="AO1166" s="5" t="s">
        <v>4223</v>
      </c>
      <c r="AP1166" s="5">
        <v>1092.0</v>
      </c>
      <c r="AQ1166" s="5" t="s">
        <v>1716</v>
      </c>
      <c r="AR1166" s="5" t="s">
        <v>1739</v>
      </c>
      <c r="AS1166" s="5" t="s">
        <v>1740</v>
      </c>
      <c r="AT1166" s="5" t="s">
        <v>1741</v>
      </c>
      <c r="AU1166" s="5" t="s">
        <v>1742</v>
      </c>
      <c r="AV1166" s="5" t="s">
        <v>1720</v>
      </c>
      <c r="AW1166" s="5" t="s">
        <v>2698</v>
      </c>
      <c r="AX1166" s="5" t="s">
        <v>2801</v>
      </c>
      <c r="AY1166" s="5">
        <v>50.6126</v>
      </c>
      <c r="AZ1166" s="5">
        <v>-116.7933</v>
      </c>
      <c r="BA1166" s="5">
        <v>1580.0</v>
      </c>
    </row>
    <row r="1167" ht="14.25" customHeight="1">
      <c r="A1167" s="5" t="s">
        <v>88</v>
      </c>
      <c r="B1167" s="5">
        <v>12.0</v>
      </c>
      <c r="C1167" s="5" t="s">
        <v>1711</v>
      </c>
      <c r="D1167" s="5">
        <v>1093.0</v>
      </c>
      <c r="E1167" s="5">
        <v>10980.0</v>
      </c>
      <c r="F1167" s="5" t="s">
        <v>4226</v>
      </c>
      <c r="G1167" s="10" t="s">
        <v>4227</v>
      </c>
      <c r="H1167" s="5" t="s">
        <v>4228</v>
      </c>
      <c r="I1167" s="5" t="s">
        <v>49</v>
      </c>
      <c r="J1167" s="5" t="s">
        <v>1891</v>
      </c>
      <c r="K1167" s="5">
        <v>1.0</v>
      </c>
      <c r="L1167" s="5">
        <v>13144.0</v>
      </c>
      <c r="M1167" s="8">
        <v>50.02723</v>
      </c>
      <c r="N1167" s="5">
        <v>-125.29401</v>
      </c>
      <c r="O1167" s="5" t="s">
        <v>183</v>
      </c>
      <c r="P1167" s="5">
        <v>1093.0</v>
      </c>
      <c r="Q1167" s="5">
        <v>3.0</v>
      </c>
      <c r="R1167" s="5" t="s">
        <v>4226</v>
      </c>
      <c r="S1167" s="5" t="s">
        <v>1737</v>
      </c>
      <c r="T1167" s="5">
        <v>100.0</v>
      </c>
      <c r="W1167" s="5">
        <v>40457.0</v>
      </c>
      <c r="X1167" s="5" t="s">
        <v>1738</v>
      </c>
      <c r="AK1167" s="9"/>
      <c r="AO1167" s="5" t="s">
        <v>4229</v>
      </c>
      <c r="AP1167" s="5">
        <v>1093.0</v>
      </c>
      <c r="AQ1167" s="5" t="s">
        <v>1700</v>
      </c>
      <c r="AR1167" s="5" t="s">
        <v>1739</v>
      </c>
      <c r="AS1167" s="5" t="s">
        <v>1740</v>
      </c>
      <c r="AT1167" s="5" t="s">
        <v>1741</v>
      </c>
      <c r="AU1167" s="5" t="s">
        <v>1772</v>
      </c>
      <c r="AV1167" s="5" t="s">
        <v>1720</v>
      </c>
      <c r="AW1167" s="5" t="s">
        <v>1705</v>
      </c>
      <c r="AX1167" s="5" t="s">
        <v>1723</v>
      </c>
      <c r="AY1167" s="5">
        <v>50.0267</v>
      </c>
      <c r="AZ1167" s="5">
        <v>-125.2929</v>
      </c>
      <c r="BA1167" s="5">
        <v>68.0</v>
      </c>
    </row>
    <row r="1168" ht="14.25" customHeight="1">
      <c r="B1168" s="5">
        <v>12.0</v>
      </c>
      <c r="C1168" s="5" t="s">
        <v>1711</v>
      </c>
      <c r="D1168" s="5">
        <v>1099.0</v>
      </c>
      <c r="E1168" s="5">
        <v>11408.0</v>
      </c>
      <c r="F1168" s="5" t="s">
        <v>4230</v>
      </c>
      <c r="G1168" s="5" t="s">
        <v>4231</v>
      </c>
      <c r="H1168" s="5" t="s">
        <v>4232</v>
      </c>
      <c r="I1168" s="5" t="s">
        <v>49</v>
      </c>
      <c r="J1168" s="5" t="s">
        <v>1746</v>
      </c>
      <c r="K1168" s="5">
        <v>1.0</v>
      </c>
      <c r="L1168" s="5">
        <v>13469.0</v>
      </c>
      <c r="M1168" s="8"/>
      <c r="AK1168" s="9"/>
      <c r="AO1168" s="5" t="s">
        <v>4230</v>
      </c>
      <c r="AP1168" s="5">
        <v>1099.0</v>
      </c>
      <c r="AQ1168" s="5" t="s">
        <v>1716</v>
      </c>
      <c r="AR1168" s="5" t="s">
        <v>1717</v>
      </c>
      <c r="AS1168" s="5" t="s">
        <v>2257</v>
      </c>
      <c r="AT1168" s="5" t="s">
        <v>1835</v>
      </c>
      <c r="AU1168" s="5" t="s">
        <v>2443</v>
      </c>
      <c r="AW1168" s="5" t="s">
        <v>1705</v>
      </c>
      <c r="AX1168" s="5" t="s">
        <v>1747</v>
      </c>
      <c r="AY1168" s="5">
        <v>48.6447</v>
      </c>
      <c r="AZ1168" s="5">
        <v>-123.4365</v>
      </c>
      <c r="BA1168" s="5">
        <v>32.0</v>
      </c>
    </row>
    <row r="1169" ht="14.25" customHeight="1">
      <c r="A1169" s="5" t="s">
        <v>422</v>
      </c>
      <c r="B1169" s="5">
        <v>12.0</v>
      </c>
      <c r="C1169" s="5" t="s">
        <v>1711</v>
      </c>
      <c r="D1169" s="5">
        <v>1100.0</v>
      </c>
      <c r="E1169" s="5">
        <v>12019.0</v>
      </c>
      <c r="F1169" s="18" t="s">
        <v>4233</v>
      </c>
      <c r="G1169" s="5" t="s">
        <v>4234</v>
      </c>
      <c r="H1169" s="5" t="s">
        <v>4235</v>
      </c>
      <c r="I1169" s="5" t="s">
        <v>49</v>
      </c>
      <c r="J1169" s="5" t="s">
        <v>1746</v>
      </c>
      <c r="K1169" s="5">
        <v>1.0</v>
      </c>
      <c r="L1169" s="5">
        <v>14076.0</v>
      </c>
      <c r="M1169" s="8"/>
      <c r="AK1169" s="9"/>
      <c r="AO1169" s="5" t="s">
        <v>4233</v>
      </c>
      <c r="AP1169" s="5">
        <v>1100.0</v>
      </c>
      <c r="AQ1169" s="5" t="s">
        <v>1716</v>
      </c>
      <c r="AR1169" s="5" t="s">
        <v>1717</v>
      </c>
      <c r="AS1169" s="5" t="s">
        <v>1718</v>
      </c>
      <c r="AT1169" s="5" t="s">
        <v>1841</v>
      </c>
      <c r="AU1169" s="5" t="s">
        <v>1959</v>
      </c>
      <c r="AW1169" s="5" t="s">
        <v>2368</v>
      </c>
      <c r="AX1169" s="5" t="s">
        <v>2707</v>
      </c>
      <c r="AY1169" s="5">
        <v>50.5699</v>
      </c>
      <c r="AZ1169" s="5">
        <v>-119.283</v>
      </c>
      <c r="BA1169" s="5">
        <v>1118.0</v>
      </c>
    </row>
    <row r="1170" ht="14.25" customHeight="1">
      <c r="A1170" s="5" t="s">
        <v>88</v>
      </c>
      <c r="B1170" s="5">
        <v>12.0</v>
      </c>
      <c r="C1170" s="5" t="s">
        <v>1711</v>
      </c>
      <c r="D1170" s="5">
        <v>1108.0</v>
      </c>
      <c r="E1170" s="5">
        <v>10986.0</v>
      </c>
      <c r="F1170" s="5" t="s">
        <v>4236</v>
      </c>
      <c r="G1170" s="70" t="s">
        <v>4237</v>
      </c>
      <c r="H1170" s="5" t="s">
        <v>4238</v>
      </c>
      <c r="I1170" s="5" t="s">
        <v>49</v>
      </c>
      <c r="J1170" s="5" t="s">
        <v>1891</v>
      </c>
      <c r="K1170" s="5">
        <v>1.0</v>
      </c>
      <c r="L1170" s="5">
        <v>13145.0</v>
      </c>
      <c r="M1170" s="8">
        <v>52.12225</v>
      </c>
      <c r="N1170" s="5">
        <v>-119.2935</v>
      </c>
      <c r="O1170" s="5" t="s">
        <v>170</v>
      </c>
      <c r="P1170" s="5">
        <v>1108.0</v>
      </c>
      <c r="Q1170" s="5">
        <v>1.0</v>
      </c>
      <c r="R1170" s="5" t="s">
        <v>4236</v>
      </c>
      <c r="S1170" s="5" t="s">
        <v>1737</v>
      </c>
      <c r="T1170" s="5">
        <v>695.0</v>
      </c>
      <c r="U1170" s="5" t="s">
        <v>645</v>
      </c>
      <c r="W1170" s="5">
        <v>33970.0</v>
      </c>
      <c r="X1170" s="5" t="s">
        <v>1738</v>
      </c>
      <c r="AK1170" s="9"/>
      <c r="AO1170" s="5" t="s">
        <v>4236</v>
      </c>
      <c r="AP1170" s="5">
        <v>1108.0</v>
      </c>
      <c r="AQ1170" s="5" t="s">
        <v>1700</v>
      </c>
      <c r="AR1170" s="5" t="s">
        <v>1739</v>
      </c>
      <c r="AS1170" s="5" t="s">
        <v>1740</v>
      </c>
      <c r="AT1170" s="5" t="s">
        <v>1741</v>
      </c>
      <c r="AU1170" s="5" t="s">
        <v>1959</v>
      </c>
      <c r="AV1170" s="5" t="s">
        <v>1720</v>
      </c>
      <c r="AW1170" s="5" t="s">
        <v>2003</v>
      </c>
      <c r="AX1170" s="5" t="s">
        <v>2258</v>
      </c>
      <c r="AY1170" s="5">
        <v>52.1223</v>
      </c>
      <c r="AZ1170" s="5">
        <v>-119.2936</v>
      </c>
      <c r="BA1170" s="5">
        <v>684.0</v>
      </c>
    </row>
    <row r="1171" ht="14.25" customHeight="1">
      <c r="A1171" s="5" t="s">
        <v>422</v>
      </c>
      <c r="B1171" s="5">
        <v>12.0</v>
      </c>
      <c r="C1171" s="5" t="s">
        <v>1707</v>
      </c>
      <c r="D1171" s="5">
        <v>1109.0</v>
      </c>
      <c r="E1171" s="5">
        <v>12981.0</v>
      </c>
      <c r="G1171" s="5" t="s">
        <v>127</v>
      </c>
      <c r="H1171" s="5" t="s">
        <v>1697</v>
      </c>
      <c r="I1171" s="5" t="s">
        <v>49</v>
      </c>
      <c r="J1171" s="5" t="s">
        <v>1746</v>
      </c>
      <c r="K1171" s="5">
        <v>1.0</v>
      </c>
      <c r="L1171" s="5">
        <v>14913.0</v>
      </c>
      <c r="M1171" s="8"/>
      <c r="AK1171" s="9"/>
      <c r="AO1171" s="50" t="s">
        <v>4239</v>
      </c>
      <c r="AP1171" s="50">
        <v>1109.0</v>
      </c>
      <c r="AQ1171" s="50" t="s">
        <v>1716</v>
      </c>
      <c r="AR1171" s="50" t="s">
        <v>2441</v>
      </c>
      <c r="AS1171" s="50" t="s">
        <v>1702</v>
      </c>
      <c r="AT1171" s="50" t="s">
        <v>1703</v>
      </c>
      <c r="AU1171" s="50" t="s">
        <v>1704</v>
      </c>
      <c r="AV1171" s="50" t="s">
        <v>1702</v>
      </c>
      <c r="AW1171" s="50" t="s">
        <v>2193</v>
      </c>
      <c r="AX1171" s="50" t="s">
        <v>2283</v>
      </c>
      <c r="AY1171" s="50">
        <v>51.6746</v>
      </c>
      <c r="AZ1171" s="50">
        <v>-124.4031</v>
      </c>
      <c r="BA1171" s="50">
        <v>875.0</v>
      </c>
    </row>
    <row r="1172" ht="14.25" customHeight="1">
      <c r="A1172" s="5" t="s">
        <v>422</v>
      </c>
      <c r="B1172" s="5">
        <v>12.0</v>
      </c>
      <c r="C1172" s="5" t="s">
        <v>1707</v>
      </c>
      <c r="D1172" s="5">
        <v>1110.0</v>
      </c>
      <c r="E1172" s="5">
        <v>12982.0</v>
      </c>
      <c r="G1172" s="5" t="s">
        <v>127</v>
      </c>
      <c r="H1172" s="5" t="s">
        <v>1697</v>
      </c>
      <c r="I1172" s="5" t="s">
        <v>49</v>
      </c>
      <c r="J1172" s="5" t="s">
        <v>1746</v>
      </c>
      <c r="K1172" s="5">
        <v>1.0</v>
      </c>
      <c r="L1172" s="5">
        <v>14914.0</v>
      </c>
      <c r="M1172" s="8"/>
      <c r="AK1172" s="9"/>
      <c r="AO1172" s="50" t="s">
        <v>4240</v>
      </c>
      <c r="AP1172" s="50">
        <v>1110.0</v>
      </c>
      <c r="AQ1172" s="50" t="s">
        <v>1716</v>
      </c>
      <c r="AR1172" s="50" t="s">
        <v>2441</v>
      </c>
      <c r="AS1172" s="50" t="s">
        <v>1702</v>
      </c>
      <c r="AT1172" s="50" t="s">
        <v>1703</v>
      </c>
      <c r="AU1172" s="50" t="s">
        <v>1704</v>
      </c>
      <c r="AV1172" s="50" t="s">
        <v>1702</v>
      </c>
      <c r="AW1172" s="50" t="s">
        <v>2698</v>
      </c>
      <c r="AX1172" s="50" t="s">
        <v>2797</v>
      </c>
      <c r="AY1172" s="50">
        <v>49.1119</v>
      </c>
      <c r="AZ1172" s="50">
        <v>-117.7389</v>
      </c>
      <c r="BA1172" s="50">
        <v>567.0</v>
      </c>
    </row>
    <row r="1173" ht="14.25" customHeight="1">
      <c r="A1173" s="5" t="s">
        <v>1908</v>
      </c>
      <c r="B1173" s="5">
        <v>12.0</v>
      </c>
      <c r="C1173" s="5" t="s">
        <v>1711</v>
      </c>
      <c r="D1173" s="5">
        <v>1132.0</v>
      </c>
      <c r="E1173" s="5">
        <v>10982.0</v>
      </c>
      <c r="F1173" s="5" t="s">
        <v>4241</v>
      </c>
      <c r="G1173" s="70" t="s">
        <v>4242</v>
      </c>
      <c r="H1173" s="5" t="s">
        <v>4243</v>
      </c>
      <c r="I1173" s="5" t="s">
        <v>49</v>
      </c>
      <c r="J1173" s="5" t="s">
        <v>1746</v>
      </c>
      <c r="K1173" s="5">
        <v>1.0</v>
      </c>
      <c r="L1173" s="5">
        <v>13146.0</v>
      </c>
      <c r="M1173" s="8"/>
      <c r="AK1173" s="9"/>
      <c r="AO1173" s="5" t="s">
        <v>4244</v>
      </c>
      <c r="AP1173" s="5">
        <v>1132.0</v>
      </c>
      <c r="AQ1173" s="5" t="s">
        <v>1716</v>
      </c>
      <c r="AR1173" s="5" t="s">
        <v>1717</v>
      </c>
      <c r="AS1173" s="5" t="s">
        <v>1740</v>
      </c>
      <c r="AT1173" s="5" t="s">
        <v>1835</v>
      </c>
      <c r="AU1173" s="5" t="s">
        <v>1742</v>
      </c>
      <c r="AV1173" s="5" t="s">
        <v>1720</v>
      </c>
      <c r="AW1173" s="5" t="s">
        <v>2368</v>
      </c>
      <c r="AX1173" s="5" t="s">
        <v>2522</v>
      </c>
      <c r="AY1173" s="5">
        <v>50.5</v>
      </c>
      <c r="AZ1173" s="5">
        <v>-119.7008</v>
      </c>
      <c r="BA1173" s="5">
        <v>1089.0</v>
      </c>
    </row>
    <row r="1174" ht="14.25" customHeight="1">
      <c r="B1174" s="5">
        <v>12.0</v>
      </c>
      <c r="C1174" s="5" t="s">
        <v>1711</v>
      </c>
      <c r="D1174" s="5">
        <v>1133.0</v>
      </c>
      <c r="E1174" s="5">
        <v>10981.0</v>
      </c>
      <c r="F1174" s="18" t="s">
        <v>4245</v>
      </c>
      <c r="G1174" s="5" t="s">
        <v>4246</v>
      </c>
      <c r="H1174" s="5" t="s">
        <v>4247</v>
      </c>
      <c r="I1174" s="5" t="s">
        <v>49</v>
      </c>
      <c r="J1174" s="5" t="s">
        <v>1746</v>
      </c>
      <c r="K1174" s="5">
        <v>1.0</v>
      </c>
      <c r="L1174" s="5">
        <v>13147.0</v>
      </c>
      <c r="M1174" s="8"/>
      <c r="AK1174" s="9"/>
      <c r="AO1174" s="5" t="s">
        <v>4245</v>
      </c>
      <c r="AP1174" s="5">
        <v>1133.0</v>
      </c>
      <c r="AQ1174" s="5" t="s">
        <v>1716</v>
      </c>
      <c r="AR1174" s="5" t="s">
        <v>1717</v>
      </c>
      <c r="AS1174" s="5" t="s">
        <v>1740</v>
      </c>
      <c r="AT1174" s="5" t="s">
        <v>1835</v>
      </c>
      <c r="AU1174" s="5" t="s">
        <v>1742</v>
      </c>
      <c r="AV1174" s="5" t="s">
        <v>1720</v>
      </c>
      <c r="AW1174" s="5" t="s">
        <v>2368</v>
      </c>
      <c r="AX1174" s="5" t="s">
        <v>2401</v>
      </c>
      <c r="AY1174" s="5">
        <v>51.2028</v>
      </c>
      <c r="AZ1174" s="5">
        <v>-119.5136</v>
      </c>
      <c r="BA1174" s="5">
        <v>591.0</v>
      </c>
    </row>
    <row r="1175" ht="14.25" customHeight="1">
      <c r="A1175" s="5" t="s">
        <v>422</v>
      </c>
      <c r="B1175" s="5">
        <v>12.0</v>
      </c>
      <c r="C1175" s="5" t="s">
        <v>1711</v>
      </c>
      <c r="D1175" s="5">
        <v>1135.0</v>
      </c>
      <c r="E1175" s="5">
        <v>12068.0</v>
      </c>
      <c r="F1175" s="18" t="s">
        <v>4248</v>
      </c>
      <c r="G1175" s="5" t="s">
        <v>4249</v>
      </c>
      <c r="H1175" s="5" t="s">
        <v>4250</v>
      </c>
      <c r="I1175" s="5" t="s">
        <v>49</v>
      </c>
      <c r="J1175" s="5" t="s">
        <v>1746</v>
      </c>
      <c r="K1175" s="5">
        <v>1.0</v>
      </c>
      <c r="L1175" s="5">
        <v>14124.0</v>
      </c>
      <c r="M1175" s="8"/>
      <c r="AK1175" s="9"/>
      <c r="AO1175" s="5" t="s">
        <v>4248</v>
      </c>
      <c r="AP1175" s="5">
        <v>1135.0</v>
      </c>
      <c r="AQ1175" s="5" t="s">
        <v>1716</v>
      </c>
      <c r="AR1175" s="5" t="s">
        <v>1717</v>
      </c>
      <c r="AS1175" s="5" t="s">
        <v>1740</v>
      </c>
      <c r="AT1175" s="5" t="s">
        <v>1835</v>
      </c>
      <c r="AU1175" s="5" t="s">
        <v>1742</v>
      </c>
      <c r="AV1175" s="5" t="s">
        <v>1720</v>
      </c>
      <c r="AW1175" s="5" t="s">
        <v>2368</v>
      </c>
      <c r="AX1175" s="5" t="s">
        <v>2516</v>
      </c>
      <c r="AY1175" s="5">
        <v>49.2345</v>
      </c>
      <c r="AZ1175" s="5">
        <v>-119.8142</v>
      </c>
      <c r="BA1175" s="5">
        <v>557.0</v>
      </c>
    </row>
    <row r="1176" ht="14.25" customHeight="1">
      <c r="A1176" s="5" t="s">
        <v>422</v>
      </c>
      <c r="B1176" s="5">
        <v>12.0</v>
      </c>
      <c r="C1176" s="5" t="s">
        <v>3072</v>
      </c>
      <c r="D1176" s="5">
        <v>1141.0</v>
      </c>
      <c r="E1176" s="5">
        <v>10977.0</v>
      </c>
      <c r="F1176" s="5" t="s">
        <v>4251</v>
      </c>
      <c r="G1176" s="5" t="s">
        <v>4252</v>
      </c>
      <c r="H1176" s="5" t="s">
        <v>4253</v>
      </c>
      <c r="I1176" s="5" t="s">
        <v>49</v>
      </c>
      <c r="J1176" s="5" t="s">
        <v>1891</v>
      </c>
      <c r="K1176" s="5">
        <v>1.0</v>
      </c>
      <c r="L1176" s="5">
        <v>13148.0</v>
      </c>
      <c r="M1176" s="8">
        <v>48.51616</v>
      </c>
      <c r="N1176" s="5">
        <v>-123.764438</v>
      </c>
      <c r="O1176" s="5" t="s">
        <v>51</v>
      </c>
      <c r="P1176" s="5" t="s">
        <v>89</v>
      </c>
      <c r="Q1176" s="5">
        <v>3.0</v>
      </c>
      <c r="R1176" s="5" t="s">
        <v>90</v>
      </c>
      <c r="S1176" s="5" t="s">
        <v>44</v>
      </c>
      <c r="T1176" s="5">
        <v>512.0</v>
      </c>
      <c r="V1176" s="5" t="s">
        <v>93</v>
      </c>
      <c r="W1176" s="5">
        <v>43048.0</v>
      </c>
      <c r="X1176" s="5" t="s">
        <v>53</v>
      </c>
      <c r="AK1176" s="9"/>
      <c r="AO1176" s="50" t="s">
        <v>4254</v>
      </c>
      <c r="AP1176" s="50">
        <v>1141.0</v>
      </c>
      <c r="AQ1176" s="50" t="s">
        <v>1700</v>
      </c>
      <c r="AR1176" s="50" t="s">
        <v>1739</v>
      </c>
      <c r="AS1176" s="50" t="s">
        <v>3077</v>
      </c>
      <c r="AT1176" s="50" t="s">
        <v>1835</v>
      </c>
      <c r="AU1176" s="50" t="s">
        <v>1704</v>
      </c>
      <c r="AV1176" s="50" t="s">
        <v>3077</v>
      </c>
      <c r="AW1176" s="50" t="s">
        <v>1705</v>
      </c>
      <c r="AX1176" s="50" t="s">
        <v>1747</v>
      </c>
      <c r="AY1176" s="50">
        <v>48.5161</v>
      </c>
      <c r="AZ1176" s="50">
        <v>-123.7644</v>
      </c>
      <c r="BA1176" s="50">
        <v>512.0</v>
      </c>
    </row>
    <row r="1177" ht="14.25" customHeight="1">
      <c r="A1177" s="5" t="s">
        <v>422</v>
      </c>
      <c r="B1177" s="5">
        <v>12.0</v>
      </c>
      <c r="C1177" s="5" t="s">
        <v>3072</v>
      </c>
      <c r="D1177" s="5">
        <v>1142.0</v>
      </c>
      <c r="E1177" s="5">
        <v>12445.0</v>
      </c>
      <c r="F1177" s="5" t="s">
        <v>4255</v>
      </c>
      <c r="G1177" s="5" t="s">
        <v>4256</v>
      </c>
      <c r="H1177" s="5" t="s">
        <v>3075</v>
      </c>
      <c r="I1177" s="5" t="s">
        <v>49</v>
      </c>
      <c r="J1177" s="5" t="s">
        <v>1746</v>
      </c>
      <c r="K1177" s="5">
        <v>1.0</v>
      </c>
      <c r="L1177" s="5">
        <v>14467.0</v>
      </c>
      <c r="M1177" s="8">
        <v>48.494167</v>
      </c>
      <c r="N1177" s="5">
        <v>-123.614722</v>
      </c>
      <c r="O1177" s="5" t="s">
        <v>51</v>
      </c>
      <c r="P1177" s="5" t="s">
        <v>45</v>
      </c>
      <c r="Q1177" s="5">
        <v>3.0</v>
      </c>
      <c r="R1177" s="5" t="s">
        <v>46</v>
      </c>
      <c r="S1177" s="5" t="s">
        <v>44</v>
      </c>
      <c r="T1177" s="5">
        <v>493.0</v>
      </c>
      <c r="V1177" s="5" t="s">
        <v>52</v>
      </c>
      <c r="W1177" s="5">
        <v>35886.0</v>
      </c>
      <c r="AK1177" s="9"/>
      <c r="AO1177" s="50" t="s">
        <v>4257</v>
      </c>
      <c r="AP1177" s="50">
        <v>1142.0</v>
      </c>
      <c r="AQ1177" s="50" t="s">
        <v>1700</v>
      </c>
      <c r="AR1177" s="50" t="s">
        <v>1739</v>
      </c>
      <c r="AS1177" s="50" t="s">
        <v>3077</v>
      </c>
      <c r="AT1177" s="50" t="s">
        <v>1835</v>
      </c>
      <c r="AU1177" s="50" t="s">
        <v>1704</v>
      </c>
      <c r="AV1177" s="50" t="s">
        <v>3077</v>
      </c>
      <c r="AW1177" s="50" t="s">
        <v>1705</v>
      </c>
      <c r="AX1177" s="50" t="s">
        <v>1747</v>
      </c>
      <c r="AY1177" s="50">
        <v>48.4944</v>
      </c>
      <c r="AZ1177" s="50">
        <v>-123.6139</v>
      </c>
      <c r="BA1177" s="50">
        <v>485.0</v>
      </c>
    </row>
    <row r="1178" ht="14.25" customHeight="1">
      <c r="A1178" s="5" t="s">
        <v>422</v>
      </c>
      <c r="B1178" s="5">
        <v>12.0</v>
      </c>
      <c r="C1178" s="5" t="s">
        <v>3072</v>
      </c>
      <c r="D1178" s="5">
        <v>1143.0</v>
      </c>
      <c r="E1178" s="5">
        <v>12446.0</v>
      </c>
      <c r="F1178" s="5" t="s">
        <v>4258</v>
      </c>
      <c r="G1178" s="5" t="s">
        <v>4259</v>
      </c>
      <c r="H1178" s="5" t="s">
        <v>3075</v>
      </c>
      <c r="I1178" s="5" t="s">
        <v>49</v>
      </c>
      <c r="J1178" s="5" t="s">
        <v>1746</v>
      </c>
      <c r="K1178" s="5">
        <v>1.0</v>
      </c>
      <c r="L1178" s="5">
        <v>14468.0</v>
      </c>
      <c r="M1178" s="8">
        <v>48.585833</v>
      </c>
      <c r="N1178" s="5">
        <v>-123.751111</v>
      </c>
      <c r="O1178" s="5" t="s">
        <v>51</v>
      </c>
      <c r="P1178" s="5" t="s">
        <v>67</v>
      </c>
      <c r="Q1178" s="5">
        <v>4.0</v>
      </c>
      <c r="R1178" s="5" t="s">
        <v>68</v>
      </c>
      <c r="S1178" s="5" t="s">
        <v>44</v>
      </c>
      <c r="T1178" s="5">
        <v>675.0</v>
      </c>
      <c r="V1178" s="5" t="s">
        <v>72</v>
      </c>
      <c r="W1178" s="5">
        <v>35125.0</v>
      </c>
      <c r="AK1178" s="9"/>
      <c r="AO1178" s="50" t="s">
        <v>4260</v>
      </c>
      <c r="AP1178" s="50">
        <v>1143.0</v>
      </c>
      <c r="AQ1178" s="50" t="s">
        <v>1700</v>
      </c>
      <c r="AR1178" s="50" t="s">
        <v>1739</v>
      </c>
      <c r="AS1178" s="50" t="s">
        <v>3077</v>
      </c>
      <c r="AT1178" s="50" t="s">
        <v>1835</v>
      </c>
      <c r="AU1178" s="50" t="s">
        <v>1704</v>
      </c>
      <c r="AV1178" s="50" t="s">
        <v>3077</v>
      </c>
      <c r="AW1178" s="50" t="s">
        <v>1705</v>
      </c>
      <c r="AX1178" s="50" t="s">
        <v>1747</v>
      </c>
      <c r="AY1178" s="50">
        <v>48.5861</v>
      </c>
      <c r="AZ1178" s="50">
        <v>-123.7494</v>
      </c>
      <c r="BA1178" s="50">
        <v>665.0</v>
      </c>
    </row>
    <row r="1179" ht="14.25" customHeight="1">
      <c r="A1179" s="5" t="s">
        <v>88</v>
      </c>
      <c r="B1179" s="5">
        <v>12.0</v>
      </c>
      <c r="C1179" s="5" t="s">
        <v>1711</v>
      </c>
      <c r="D1179" s="5">
        <v>1144.0</v>
      </c>
      <c r="E1179" s="5">
        <v>10985.0</v>
      </c>
      <c r="F1179" s="5" t="s">
        <v>4261</v>
      </c>
      <c r="G1179" s="10" t="s">
        <v>4262</v>
      </c>
      <c r="H1179" s="5" t="s">
        <v>4263</v>
      </c>
      <c r="I1179" s="5" t="s">
        <v>49</v>
      </c>
      <c r="J1179" s="5" t="s">
        <v>1829</v>
      </c>
      <c r="K1179" s="5">
        <v>1.0</v>
      </c>
      <c r="L1179" s="5">
        <v>13149.0</v>
      </c>
      <c r="M1179" s="8">
        <v>49.1040278</v>
      </c>
      <c r="N1179" s="5">
        <v>-121.6375278</v>
      </c>
      <c r="O1179" s="5" t="s">
        <v>51</v>
      </c>
      <c r="P1179" s="5">
        <v>1144.0</v>
      </c>
      <c r="Q1179" s="5">
        <v>2.0</v>
      </c>
      <c r="R1179" s="5" t="s">
        <v>4261</v>
      </c>
      <c r="S1179" s="5" t="s">
        <v>1737</v>
      </c>
      <c r="T1179" s="5">
        <v>247.0</v>
      </c>
      <c r="U1179" s="5" t="s">
        <v>645</v>
      </c>
      <c r="V1179" s="5" t="s">
        <v>1830</v>
      </c>
      <c r="W1179" s="5">
        <v>41143.0</v>
      </c>
      <c r="X1179" s="5" t="s">
        <v>1738</v>
      </c>
      <c r="AK1179" s="9"/>
      <c r="AO1179" s="5" t="s">
        <v>4261</v>
      </c>
      <c r="AP1179" s="5">
        <v>1144.0</v>
      </c>
      <c r="AQ1179" s="5" t="s">
        <v>1716</v>
      </c>
      <c r="AR1179" s="5" t="s">
        <v>1739</v>
      </c>
      <c r="AS1179" s="5" t="s">
        <v>1740</v>
      </c>
      <c r="AT1179" s="5" t="s">
        <v>1741</v>
      </c>
      <c r="AU1179" s="5" t="s">
        <v>1742</v>
      </c>
      <c r="AV1179" s="5" t="s">
        <v>1720</v>
      </c>
      <c r="AW1179" s="5" t="s">
        <v>1705</v>
      </c>
      <c r="AX1179" s="5" t="s">
        <v>1883</v>
      </c>
      <c r="AY1179" s="5">
        <v>49.1039</v>
      </c>
      <c r="AZ1179" s="5">
        <v>-121.6376</v>
      </c>
      <c r="BA1179" s="5">
        <v>372.0</v>
      </c>
    </row>
    <row r="1180" ht="14.25" customHeight="1">
      <c r="B1180" s="5">
        <v>12.0</v>
      </c>
      <c r="C1180" s="5" t="s">
        <v>1711</v>
      </c>
      <c r="D1180" s="5">
        <v>1148.0</v>
      </c>
      <c r="E1180" s="5">
        <v>11010.0</v>
      </c>
      <c r="F1180" s="18" t="s">
        <v>4264</v>
      </c>
      <c r="G1180" s="5" t="s">
        <v>4265</v>
      </c>
      <c r="H1180" s="5" t="s">
        <v>4266</v>
      </c>
      <c r="I1180" s="5" t="s">
        <v>49</v>
      </c>
      <c r="J1180" s="5" t="s">
        <v>1746</v>
      </c>
      <c r="K1180" s="5">
        <v>1.0</v>
      </c>
      <c r="L1180" s="5">
        <v>13178.0</v>
      </c>
      <c r="M1180" s="8"/>
      <c r="AK1180" s="9"/>
      <c r="AO1180" s="67" t="s">
        <v>4264</v>
      </c>
      <c r="AP1180" s="5">
        <v>1148.0</v>
      </c>
      <c r="AQ1180" s="5" t="s">
        <v>1716</v>
      </c>
      <c r="AR1180" s="5" t="s">
        <v>1717</v>
      </c>
      <c r="AS1180" s="5" t="s">
        <v>1718</v>
      </c>
      <c r="AT1180" s="5" t="s">
        <v>1835</v>
      </c>
      <c r="AU1180" s="5" t="s">
        <v>1836</v>
      </c>
      <c r="AV1180" s="5" t="s">
        <v>1720</v>
      </c>
      <c r="AW1180" s="5" t="s">
        <v>2698</v>
      </c>
      <c r="AX1180" s="5" t="s">
        <v>2797</v>
      </c>
      <c r="AY1180" s="5">
        <v>49.2942</v>
      </c>
      <c r="AZ1180" s="5">
        <v>-117.2593</v>
      </c>
      <c r="BA1180" s="5">
        <v>1250.0</v>
      </c>
    </row>
    <row r="1181" ht="14.25" customHeight="1">
      <c r="B1181" s="5">
        <v>12.0</v>
      </c>
      <c r="C1181" s="5" t="s">
        <v>1711</v>
      </c>
      <c r="D1181" s="5">
        <v>1149.0</v>
      </c>
      <c r="E1181" s="5">
        <v>10993.0</v>
      </c>
      <c r="F1181" s="18" t="s">
        <v>4267</v>
      </c>
      <c r="G1181" s="5" t="s">
        <v>4268</v>
      </c>
      <c r="H1181" s="5" t="s">
        <v>4269</v>
      </c>
      <c r="I1181" s="5" t="s">
        <v>49</v>
      </c>
      <c r="J1181" s="5" t="s">
        <v>1746</v>
      </c>
      <c r="K1181" s="5">
        <v>1.0</v>
      </c>
      <c r="L1181" s="5">
        <v>13159.0</v>
      </c>
      <c r="M1181" s="8"/>
      <c r="AK1181" s="9"/>
      <c r="AO1181" s="5" t="s">
        <v>4267</v>
      </c>
      <c r="AP1181" s="5">
        <v>1149.0</v>
      </c>
      <c r="AQ1181" s="5" t="s">
        <v>1716</v>
      </c>
      <c r="AR1181" s="5" t="s">
        <v>2441</v>
      </c>
      <c r="AS1181" s="5" t="s">
        <v>1718</v>
      </c>
      <c r="AT1181" s="5" t="s">
        <v>1835</v>
      </c>
      <c r="AU1181" s="5" t="s">
        <v>1836</v>
      </c>
      <c r="AV1181" s="5" t="s">
        <v>1720</v>
      </c>
      <c r="AW1181" s="5" t="s">
        <v>1705</v>
      </c>
      <c r="AX1181" s="5" t="s">
        <v>1879</v>
      </c>
      <c r="AY1181" s="5">
        <v>49.7154</v>
      </c>
      <c r="AZ1181" s="5">
        <v>-122.3652</v>
      </c>
      <c r="BA1181" s="5">
        <v>330.0</v>
      </c>
    </row>
    <row r="1182" ht="14.25" customHeight="1">
      <c r="B1182" s="5">
        <v>12.0</v>
      </c>
      <c r="C1182" s="5" t="s">
        <v>1711</v>
      </c>
      <c r="D1182" s="5">
        <v>1151.0</v>
      </c>
      <c r="E1182" s="5">
        <v>10996.0</v>
      </c>
      <c r="F1182" s="18" t="s">
        <v>4270</v>
      </c>
      <c r="G1182" s="5" t="s">
        <v>4271</v>
      </c>
      <c r="H1182" s="5" t="s">
        <v>4272</v>
      </c>
      <c r="I1182" s="5" t="s">
        <v>49</v>
      </c>
      <c r="J1182" s="5" t="s">
        <v>1746</v>
      </c>
      <c r="K1182" s="5">
        <v>1.0</v>
      </c>
      <c r="L1182" s="5">
        <v>13162.0</v>
      </c>
      <c r="M1182" s="8"/>
      <c r="AK1182" s="9"/>
      <c r="AO1182" s="5" t="s">
        <v>4270</v>
      </c>
      <c r="AP1182" s="5">
        <v>1151.0</v>
      </c>
      <c r="AQ1182" s="5" t="s">
        <v>1716</v>
      </c>
      <c r="AR1182" s="5" t="s">
        <v>1717</v>
      </c>
      <c r="AS1182" s="5" t="s">
        <v>1718</v>
      </c>
      <c r="AT1182" s="5" t="s">
        <v>1841</v>
      </c>
      <c r="AU1182" s="5" t="s">
        <v>1959</v>
      </c>
      <c r="AW1182" s="5" t="s">
        <v>2368</v>
      </c>
      <c r="AX1182" s="5" t="s">
        <v>2516</v>
      </c>
      <c r="AY1182" s="5">
        <v>49.5947</v>
      </c>
      <c r="AZ1182" s="5">
        <v>-119.9747</v>
      </c>
      <c r="BA1182" s="5">
        <v>1407.0</v>
      </c>
    </row>
    <row r="1183" ht="14.25" customHeight="1">
      <c r="A1183" s="5" t="s">
        <v>88</v>
      </c>
      <c r="B1183" s="5">
        <v>12.0</v>
      </c>
      <c r="C1183" s="5" t="s">
        <v>1711</v>
      </c>
      <c r="D1183" s="5">
        <v>1165.0</v>
      </c>
      <c r="E1183" s="5">
        <v>10989.0</v>
      </c>
      <c r="F1183" s="5" t="s">
        <v>4273</v>
      </c>
      <c r="G1183" s="10" t="s">
        <v>4274</v>
      </c>
      <c r="H1183" s="5" t="s">
        <v>4275</v>
      </c>
      <c r="I1183" s="5" t="s">
        <v>49</v>
      </c>
      <c r="J1183" s="5" t="s">
        <v>1829</v>
      </c>
      <c r="K1183" s="5">
        <v>1.0</v>
      </c>
      <c r="L1183" s="5">
        <v>13154.0</v>
      </c>
      <c r="M1183" s="8">
        <v>54.16957</v>
      </c>
      <c r="N1183" s="5">
        <v>-121.65168</v>
      </c>
      <c r="O1183" s="5" t="s">
        <v>1290</v>
      </c>
      <c r="P1183" s="5">
        <v>1165.0</v>
      </c>
      <c r="Q1183" s="5">
        <v>2.0</v>
      </c>
      <c r="R1183" s="5" t="s">
        <v>4273</v>
      </c>
      <c r="S1183" s="5" t="s">
        <v>1737</v>
      </c>
      <c r="T1183" s="5">
        <v>798.0</v>
      </c>
      <c r="W1183" s="5">
        <v>41582.0</v>
      </c>
      <c r="X1183" s="5" t="s">
        <v>1738</v>
      </c>
      <c r="AK1183" s="9"/>
      <c r="AO1183" s="5" t="s">
        <v>4273</v>
      </c>
      <c r="AP1183" s="5">
        <v>1165.0</v>
      </c>
      <c r="AQ1183" s="5" t="s">
        <v>1700</v>
      </c>
      <c r="AR1183" s="5" t="s">
        <v>1739</v>
      </c>
      <c r="AS1183" s="5" t="s">
        <v>1740</v>
      </c>
      <c r="AT1183" s="5" t="s">
        <v>1741</v>
      </c>
      <c r="AU1183" s="5" t="s">
        <v>1959</v>
      </c>
      <c r="AV1183" s="5" t="s">
        <v>1720</v>
      </c>
      <c r="AW1183" s="5" t="s">
        <v>2003</v>
      </c>
      <c r="AX1183" s="5" t="s">
        <v>2091</v>
      </c>
      <c r="AY1183" s="5">
        <v>54.1693</v>
      </c>
      <c r="AZ1183" s="5">
        <v>-121.6519</v>
      </c>
      <c r="BA1183" s="5">
        <v>799.0</v>
      </c>
    </row>
    <row r="1184" ht="14.25" customHeight="1">
      <c r="A1184" s="5" t="s">
        <v>422</v>
      </c>
      <c r="B1184" s="5">
        <v>12.0</v>
      </c>
      <c r="C1184" s="5" t="s">
        <v>3072</v>
      </c>
      <c r="D1184" s="5">
        <v>1166.0</v>
      </c>
      <c r="E1184" s="5">
        <v>12447.0</v>
      </c>
      <c r="F1184" s="5" t="s">
        <v>4276</v>
      </c>
      <c r="G1184" s="5" t="s">
        <v>4277</v>
      </c>
      <c r="H1184" s="5" t="s">
        <v>3075</v>
      </c>
      <c r="I1184" s="5" t="s">
        <v>49</v>
      </c>
      <c r="J1184" s="5" t="s">
        <v>1746</v>
      </c>
      <c r="K1184" s="5">
        <v>1.0</v>
      </c>
      <c r="L1184" s="5">
        <v>14469.0</v>
      </c>
      <c r="M1184" s="8"/>
      <c r="AK1184" s="9"/>
      <c r="AO1184" s="50" t="s">
        <v>4278</v>
      </c>
      <c r="AP1184" s="50">
        <v>1166.0</v>
      </c>
      <c r="AQ1184" s="50" t="s">
        <v>1700</v>
      </c>
      <c r="AR1184" s="50" t="s">
        <v>1739</v>
      </c>
      <c r="AS1184" s="50" t="s">
        <v>3077</v>
      </c>
      <c r="AT1184" s="50" t="s">
        <v>1703</v>
      </c>
      <c r="AU1184" s="50" t="s">
        <v>1704</v>
      </c>
      <c r="AV1184" s="50" t="s">
        <v>3077</v>
      </c>
      <c r="AW1184" s="50" t="s">
        <v>1705</v>
      </c>
      <c r="AX1184" s="50" t="s">
        <v>1747</v>
      </c>
      <c r="AY1184" s="50">
        <v>48.5722</v>
      </c>
      <c r="AZ1184" s="50">
        <v>-123.7068</v>
      </c>
      <c r="BA1184" s="50">
        <v>180.0</v>
      </c>
    </row>
    <row r="1185" ht="14.25" customHeight="1">
      <c r="A1185" s="5" t="s">
        <v>422</v>
      </c>
      <c r="B1185" s="5">
        <v>12.0</v>
      </c>
      <c r="C1185" s="5" t="s">
        <v>1711</v>
      </c>
      <c r="D1185" s="5">
        <v>1168.0</v>
      </c>
      <c r="E1185" s="5">
        <v>10984.0</v>
      </c>
      <c r="F1185" s="18" t="s">
        <v>4279</v>
      </c>
      <c r="G1185" s="5" t="s">
        <v>4280</v>
      </c>
      <c r="H1185" s="5" t="s">
        <v>4281</v>
      </c>
      <c r="I1185" s="5" t="s">
        <v>49</v>
      </c>
      <c r="J1185" s="5" t="s">
        <v>1746</v>
      </c>
      <c r="K1185" s="5">
        <v>1.0</v>
      </c>
      <c r="L1185" s="5">
        <v>13150.0</v>
      </c>
      <c r="M1185" s="8"/>
      <c r="AK1185" s="9"/>
      <c r="AO1185" s="67" t="s">
        <v>4279</v>
      </c>
      <c r="AP1185" s="5">
        <v>1168.0</v>
      </c>
      <c r="AQ1185" s="5" t="s">
        <v>1716</v>
      </c>
      <c r="AR1185" s="5" t="s">
        <v>2441</v>
      </c>
      <c r="AS1185" s="5" t="s">
        <v>1718</v>
      </c>
      <c r="AT1185" s="5" t="s">
        <v>1835</v>
      </c>
      <c r="AU1185" s="5" t="s">
        <v>1836</v>
      </c>
      <c r="AV1185" s="5" t="s">
        <v>1720</v>
      </c>
      <c r="AX1185" s="5" t="s">
        <v>1879</v>
      </c>
      <c r="AY1185" s="5">
        <v>50.5291</v>
      </c>
      <c r="AZ1185" s="5">
        <v>-122.4458</v>
      </c>
      <c r="BA1185" s="5">
        <v>765.0</v>
      </c>
    </row>
    <row r="1186" ht="14.25" customHeight="1">
      <c r="B1186" s="5">
        <v>12.0</v>
      </c>
      <c r="C1186" s="5" t="s">
        <v>1711</v>
      </c>
      <c r="D1186" s="5">
        <v>1171.0</v>
      </c>
      <c r="E1186" s="5">
        <v>10976.0</v>
      </c>
      <c r="F1186" s="18" t="s">
        <v>4282</v>
      </c>
      <c r="G1186" s="5" t="s">
        <v>4283</v>
      </c>
      <c r="H1186" s="5" t="s">
        <v>4284</v>
      </c>
      <c r="I1186" s="5" t="s">
        <v>49</v>
      </c>
      <c r="J1186" s="5" t="s">
        <v>1746</v>
      </c>
      <c r="K1186" s="5">
        <v>1.0</v>
      </c>
      <c r="L1186" s="5">
        <v>13151.0</v>
      </c>
      <c r="M1186" s="8"/>
      <c r="AK1186" s="9"/>
      <c r="AO1186" s="67" t="s">
        <v>4282</v>
      </c>
      <c r="AP1186" s="5">
        <v>1171.0</v>
      </c>
      <c r="AQ1186" s="5" t="s">
        <v>1716</v>
      </c>
      <c r="AR1186" s="5" t="s">
        <v>1717</v>
      </c>
      <c r="AS1186" s="5" t="s">
        <v>1718</v>
      </c>
      <c r="AT1186" s="5" t="s">
        <v>1835</v>
      </c>
      <c r="AU1186" s="5" t="s">
        <v>1836</v>
      </c>
      <c r="AV1186" s="5" t="s">
        <v>1720</v>
      </c>
      <c r="AX1186" s="5" t="s">
        <v>2827</v>
      </c>
      <c r="AY1186" s="5">
        <v>49.0505</v>
      </c>
      <c r="AZ1186" s="5">
        <v>-119.061</v>
      </c>
      <c r="BA1186" s="5">
        <v>930.0</v>
      </c>
    </row>
    <row r="1187" ht="14.25" customHeight="1">
      <c r="A1187" s="5" t="s">
        <v>422</v>
      </c>
      <c r="B1187" s="5">
        <v>12.0</v>
      </c>
      <c r="C1187" s="5" t="s">
        <v>1711</v>
      </c>
      <c r="D1187" s="5">
        <v>1172.0</v>
      </c>
      <c r="E1187" s="5">
        <v>10991.0</v>
      </c>
      <c r="F1187" s="18" t="s">
        <v>4285</v>
      </c>
      <c r="G1187" s="5" t="s">
        <v>4286</v>
      </c>
      <c r="H1187" s="5" t="s">
        <v>4287</v>
      </c>
      <c r="I1187" s="5" t="s">
        <v>49</v>
      </c>
      <c r="J1187" s="5" t="s">
        <v>1746</v>
      </c>
      <c r="K1187" s="5">
        <v>1.0</v>
      </c>
      <c r="L1187" s="5">
        <v>13156.0</v>
      </c>
      <c r="M1187" s="8"/>
      <c r="AK1187" s="9"/>
      <c r="AO1187" s="67" t="s">
        <v>4285</v>
      </c>
      <c r="AP1187" s="5">
        <v>1172.0</v>
      </c>
      <c r="AQ1187" s="5" t="s">
        <v>1716</v>
      </c>
      <c r="AR1187" s="5" t="s">
        <v>1717</v>
      </c>
      <c r="AS1187" s="5" t="s">
        <v>1718</v>
      </c>
      <c r="AT1187" s="5" t="s">
        <v>1835</v>
      </c>
      <c r="AU1187" s="5" t="s">
        <v>1836</v>
      </c>
      <c r="AV1187" s="5" t="s">
        <v>1720</v>
      </c>
      <c r="AW1187" s="5" t="s">
        <v>2698</v>
      </c>
      <c r="AX1187" s="5" t="s">
        <v>2801</v>
      </c>
      <c r="AY1187" s="5">
        <v>50.11</v>
      </c>
      <c r="AZ1187" s="5">
        <v>-117.05</v>
      </c>
      <c r="BA1187" s="5">
        <v>1020.0</v>
      </c>
    </row>
    <row r="1188" ht="14.25" customHeight="1">
      <c r="A1188" s="5" t="s">
        <v>422</v>
      </c>
      <c r="B1188" s="5">
        <v>12.0</v>
      </c>
      <c r="C1188" s="5" t="s">
        <v>1707</v>
      </c>
      <c r="D1188" s="5">
        <v>1173.0</v>
      </c>
      <c r="E1188" s="5">
        <v>12983.0</v>
      </c>
      <c r="G1188" s="5" t="s">
        <v>127</v>
      </c>
      <c r="H1188" s="5" t="s">
        <v>1697</v>
      </c>
      <c r="I1188" s="5" t="s">
        <v>49</v>
      </c>
      <c r="J1188" s="5" t="s">
        <v>1746</v>
      </c>
      <c r="K1188" s="5">
        <v>1.0</v>
      </c>
      <c r="L1188" s="5">
        <v>14915.0</v>
      </c>
      <c r="M1188" s="8"/>
      <c r="AK1188" s="9"/>
      <c r="AO1188" s="50" t="s">
        <v>4288</v>
      </c>
      <c r="AP1188" s="50">
        <v>1173.0</v>
      </c>
      <c r="AQ1188" s="50" t="s">
        <v>1700</v>
      </c>
      <c r="AR1188" s="50" t="s">
        <v>1701</v>
      </c>
      <c r="AS1188" s="50" t="s">
        <v>1702</v>
      </c>
      <c r="AT1188" s="50" t="s">
        <v>1703</v>
      </c>
      <c r="AU1188" s="50" t="s">
        <v>1704</v>
      </c>
      <c r="AV1188" s="50" t="s">
        <v>1702</v>
      </c>
      <c r="AW1188" s="50" t="s">
        <v>2368</v>
      </c>
      <c r="AX1188" s="50" t="s">
        <v>2369</v>
      </c>
      <c r="AY1188" s="50">
        <v>50.7084</v>
      </c>
      <c r="AZ1188" s="50">
        <v>-121.2812</v>
      </c>
      <c r="BA1188" s="50">
        <v>327.0</v>
      </c>
    </row>
    <row r="1189" ht="14.25" customHeight="1">
      <c r="B1189" s="5">
        <v>12.0</v>
      </c>
      <c r="C1189" s="5" t="s">
        <v>1711</v>
      </c>
      <c r="D1189" s="5">
        <v>1174.0</v>
      </c>
      <c r="E1189" s="5">
        <v>10994.0</v>
      </c>
      <c r="F1189" s="18" t="s">
        <v>4289</v>
      </c>
      <c r="G1189" s="5" t="s">
        <v>4290</v>
      </c>
      <c r="H1189" s="5" t="s">
        <v>4291</v>
      </c>
      <c r="I1189" s="5" t="s">
        <v>49</v>
      </c>
      <c r="J1189" s="5" t="s">
        <v>1746</v>
      </c>
      <c r="K1189" s="5">
        <v>1.0</v>
      </c>
      <c r="L1189" s="5">
        <v>13160.0</v>
      </c>
      <c r="M1189" s="8"/>
      <c r="AK1189" s="9"/>
      <c r="AO1189" s="5" t="s">
        <v>4289</v>
      </c>
      <c r="AP1189" s="5">
        <v>1174.0</v>
      </c>
      <c r="AQ1189" s="5" t="s">
        <v>1716</v>
      </c>
      <c r="AR1189" s="5" t="s">
        <v>1717</v>
      </c>
      <c r="AS1189" s="5" t="s">
        <v>1718</v>
      </c>
      <c r="AT1189" s="5" t="s">
        <v>1841</v>
      </c>
      <c r="AU1189" s="5" t="s">
        <v>1959</v>
      </c>
      <c r="AW1189" s="5" t="s">
        <v>2368</v>
      </c>
      <c r="AX1189" s="5" t="s">
        <v>2707</v>
      </c>
      <c r="AY1189" s="5">
        <v>50.6828</v>
      </c>
      <c r="AZ1189" s="5">
        <v>-118.7758</v>
      </c>
      <c r="BA1189" s="5">
        <v>751.0</v>
      </c>
    </row>
    <row r="1190" ht="14.25" customHeight="1">
      <c r="A1190" s="5" t="s">
        <v>422</v>
      </c>
      <c r="B1190" s="5">
        <v>12.0</v>
      </c>
      <c r="C1190" s="5" t="s">
        <v>1711</v>
      </c>
      <c r="D1190" s="5">
        <v>1175.0</v>
      </c>
      <c r="E1190" s="5">
        <v>10995.0</v>
      </c>
      <c r="F1190" s="18" t="s">
        <v>4292</v>
      </c>
      <c r="G1190" s="5" t="s">
        <v>4293</v>
      </c>
      <c r="H1190" s="5" t="s">
        <v>4294</v>
      </c>
      <c r="I1190" s="5" t="s">
        <v>49</v>
      </c>
      <c r="J1190" s="5" t="s">
        <v>1746</v>
      </c>
      <c r="K1190" s="5">
        <v>1.0</v>
      </c>
      <c r="L1190" s="5">
        <v>13161.0</v>
      </c>
      <c r="M1190" s="8"/>
      <c r="AK1190" s="9"/>
      <c r="AO1190" s="67" t="s">
        <v>4292</v>
      </c>
      <c r="AP1190" s="5">
        <v>1175.0</v>
      </c>
      <c r="AQ1190" s="5" t="s">
        <v>1716</v>
      </c>
      <c r="AR1190" s="5" t="s">
        <v>1717</v>
      </c>
      <c r="AS1190" s="5" t="s">
        <v>1718</v>
      </c>
      <c r="AT1190" s="5" t="s">
        <v>1835</v>
      </c>
      <c r="AU1190" s="5" t="s">
        <v>1836</v>
      </c>
      <c r="AV1190" s="5" t="s">
        <v>1720</v>
      </c>
      <c r="AW1190" s="5" t="s">
        <v>2698</v>
      </c>
      <c r="AX1190" s="5" t="s">
        <v>2801</v>
      </c>
      <c r="AY1190" s="5">
        <v>49.4</v>
      </c>
      <c r="AZ1190" s="5">
        <v>-117.11</v>
      </c>
      <c r="BA1190" s="5">
        <v>1455.0</v>
      </c>
    </row>
    <row r="1191" ht="14.25" customHeight="1">
      <c r="A1191" s="5" t="s">
        <v>88</v>
      </c>
      <c r="B1191" s="5">
        <v>12.0</v>
      </c>
      <c r="C1191" s="5" t="s">
        <v>1711</v>
      </c>
      <c r="D1191" s="5">
        <v>1176.0</v>
      </c>
      <c r="E1191" s="5">
        <v>10997.0</v>
      </c>
      <c r="F1191" s="5" t="s">
        <v>4295</v>
      </c>
      <c r="G1191" s="10" t="s">
        <v>4296</v>
      </c>
      <c r="H1191" s="5" t="s">
        <v>4297</v>
      </c>
      <c r="I1191" s="5" t="s">
        <v>49</v>
      </c>
      <c r="J1191" s="5" t="s">
        <v>1891</v>
      </c>
      <c r="K1191" s="5">
        <v>1.0</v>
      </c>
      <c r="L1191" s="5">
        <v>13163.0</v>
      </c>
      <c r="M1191" s="8">
        <v>51.31308</v>
      </c>
      <c r="N1191" s="5">
        <v>-119.3925</v>
      </c>
      <c r="O1191" s="5" t="s">
        <v>142</v>
      </c>
      <c r="P1191" s="5">
        <v>1176.0</v>
      </c>
      <c r="Q1191" s="5">
        <v>2.0</v>
      </c>
      <c r="R1191" s="5" t="s">
        <v>4295</v>
      </c>
      <c r="S1191" s="5" t="s">
        <v>1737</v>
      </c>
      <c r="T1191" s="5">
        <v>884.0</v>
      </c>
      <c r="X1191" s="5" t="s">
        <v>1738</v>
      </c>
      <c r="AK1191" s="9"/>
      <c r="AO1191" s="5" t="s">
        <v>4295</v>
      </c>
      <c r="AP1191" s="5">
        <v>1176.0</v>
      </c>
      <c r="AQ1191" s="5" t="s">
        <v>1716</v>
      </c>
      <c r="AR1191" s="5" t="s">
        <v>1739</v>
      </c>
      <c r="AS1191" s="5" t="s">
        <v>1740</v>
      </c>
      <c r="AT1191" s="5" t="s">
        <v>1741</v>
      </c>
      <c r="AU1191" s="5" t="s">
        <v>1742</v>
      </c>
      <c r="AV1191" s="5" t="s">
        <v>1720</v>
      </c>
      <c r="AW1191" s="5" t="s">
        <v>2368</v>
      </c>
      <c r="AX1191" s="5" t="s">
        <v>2369</v>
      </c>
      <c r="AY1191" s="5">
        <v>51.3127</v>
      </c>
      <c r="AZ1191" s="5">
        <v>-119.3926</v>
      </c>
      <c r="BA1191" s="5">
        <v>884.0</v>
      </c>
    </row>
    <row r="1192" ht="14.25" customHeight="1">
      <c r="A1192" s="5" t="s">
        <v>422</v>
      </c>
      <c r="B1192" s="5">
        <v>12.0</v>
      </c>
      <c r="C1192" s="5" t="s">
        <v>1711</v>
      </c>
      <c r="D1192" s="5">
        <v>1178.0</v>
      </c>
      <c r="E1192" s="5">
        <v>10998.0</v>
      </c>
      <c r="F1192" s="18" t="s">
        <v>4298</v>
      </c>
      <c r="G1192" s="5" t="s">
        <v>4299</v>
      </c>
      <c r="H1192" s="5" t="s">
        <v>4300</v>
      </c>
      <c r="I1192" s="5" t="s">
        <v>49</v>
      </c>
      <c r="J1192" s="5" t="s">
        <v>1746</v>
      </c>
      <c r="K1192" s="5">
        <v>1.0</v>
      </c>
      <c r="L1192" s="5">
        <v>13164.0</v>
      </c>
      <c r="M1192" s="8"/>
      <c r="AK1192" s="9"/>
      <c r="AO1192" s="5" t="s">
        <v>4298</v>
      </c>
      <c r="AP1192" s="5">
        <v>1178.0</v>
      </c>
      <c r="AQ1192" s="5" t="s">
        <v>1716</v>
      </c>
      <c r="AR1192" s="5" t="s">
        <v>1717</v>
      </c>
      <c r="AS1192" s="5" t="s">
        <v>1718</v>
      </c>
      <c r="AT1192" s="5" t="s">
        <v>1841</v>
      </c>
      <c r="AU1192" s="5" t="s">
        <v>1959</v>
      </c>
      <c r="AV1192" s="5" t="s">
        <v>1720</v>
      </c>
      <c r="AW1192" s="5" t="s">
        <v>2368</v>
      </c>
      <c r="AX1192" s="5" t="s">
        <v>2827</v>
      </c>
      <c r="AY1192" s="5">
        <v>49.7139</v>
      </c>
      <c r="AZ1192" s="5">
        <v>-118.74</v>
      </c>
      <c r="BA1192" s="5">
        <v>1393.0</v>
      </c>
    </row>
    <row r="1193" ht="14.25" customHeight="1">
      <c r="B1193" s="5">
        <v>12.0</v>
      </c>
      <c r="C1193" s="5" t="s">
        <v>1711</v>
      </c>
      <c r="D1193" s="5">
        <v>1179.0</v>
      </c>
      <c r="E1193" s="5">
        <v>10999.0</v>
      </c>
      <c r="F1193" s="18" t="s">
        <v>4301</v>
      </c>
      <c r="G1193" s="5" t="s">
        <v>4302</v>
      </c>
      <c r="H1193" s="5" t="s">
        <v>4303</v>
      </c>
      <c r="I1193" s="5" t="s">
        <v>49</v>
      </c>
      <c r="J1193" s="5" t="s">
        <v>1746</v>
      </c>
      <c r="K1193" s="5">
        <v>1.0</v>
      </c>
      <c r="L1193" s="5">
        <v>13165.0</v>
      </c>
      <c r="M1193" s="8"/>
      <c r="AK1193" s="9"/>
      <c r="AO1193" s="5" t="s">
        <v>4301</v>
      </c>
      <c r="AP1193" s="5">
        <v>1179.0</v>
      </c>
      <c r="AQ1193" s="5" t="s">
        <v>1716</v>
      </c>
      <c r="AR1193" s="5" t="s">
        <v>1717</v>
      </c>
      <c r="AS1193" s="5" t="s">
        <v>1718</v>
      </c>
      <c r="AT1193" s="5" t="s">
        <v>1835</v>
      </c>
      <c r="AU1193" s="5" t="s">
        <v>1836</v>
      </c>
      <c r="AV1193" s="5" t="s">
        <v>1720</v>
      </c>
      <c r="AW1193" s="5" t="s">
        <v>1705</v>
      </c>
      <c r="AX1193" s="5" t="s">
        <v>1879</v>
      </c>
      <c r="AY1193" s="5">
        <v>49.7544</v>
      </c>
      <c r="AZ1193" s="5">
        <v>-122.2288</v>
      </c>
      <c r="BA1193" s="5">
        <v>111.0</v>
      </c>
    </row>
    <row r="1194" ht="14.25" customHeight="1">
      <c r="B1194" s="5">
        <v>12.0</v>
      </c>
      <c r="C1194" s="5" t="s">
        <v>1711</v>
      </c>
      <c r="D1194" s="5">
        <v>1180.0</v>
      </c>
      <c r="E1194" s="5">
        <v>11000.0</v>
      </c>
      <c r="F1194" s="18" t="s">
        <v>4304</v>
      </c>
      <c r="G1194" s="5" t="s">
        <v>4305</v>
      </c>
      <c r="H1194" s="5" t="s">
        <v>4306</v>
      </c>
      <c r="I1194" s="5" t="s">
        <v>49</v>
      </c>
      <c r="J1194" s="5" t="s">
        <v>1746</v>
      </c>
      <c r="K1194" s="5">
        <v>1.0</v>
      </c>
      <c r="L1194" s="5">
        <v>13168.0</v>
      </c>
      <c r="M1194" s="8"/>
      <c r="AK1194" s="9"/>
      <c r="AO1194" s="5" t="s">
        <v>4304</v>
      </c>
      <c r="AP1194" s="5">
        <v>1180.0</v>
      </c>
      <c r="AQ1194" s="5" t="s">
        <v>1716</v>
      </c>
      <c r="AR1194" s="5" t="s">
        <v>1717</v>
      </c>
      <c r="AS1194" s="5" t="s">
        <v>1718</v>
      </c>
      <c r="AT1194" s="5" t="s">
        <v>1835</v>
      </c>
      <c r="AU1194" s="5" t="s">
        <v>1959</v>
      </c>
      <c r="AV1194" s="5" t="s">
        <v>1720</v>
      </c>
      <c r="AW1194" s="5" t="s">
        <v>2368</v>
      </c>
      <c r="AX1194" s="5" t="s">
        <v>2492</v>
      </c>
      <c r="AY1194" s="5">
        <v>49.5292</v>
      </c>
      <c r="AZ1194" s="5">
        <v>-120.2208</v>
      </c>
      <c r="BA1194" s="5">
        <v>1400.0</v>
      </c>
    </row>
    <row r="1195" ht="14.25" customHeight="1">
      <c r="A1195" s="5" t="s">
        <v>2037</v>
      </c>
      <c r="B1195" s="5">
        <v>12.0</v>
      </c>
      <c r="C1195" s="5" t="s">
        <v>1711</v>
      </c>
      <c r="D1195" s="5">
        <v>1181.0</v>
      </c>
      <c r="E1195" s="5">
        <v>11001.0</v>
      </c>
      <c r="F1195" s="5" t="s">
        <v>4307</v>
      </c>
      <c r="G1195" s="5" t="s">
        <v>4308</v>
      </c>
      <c r="H1195" s="5" t="s">
        <v>4309</v>
      </c>
      <c r="I1195" s="5" t="s">
        <v>49</v>
      </c>
      <c r="J1195" s="5" t="s">
        <v>1746</v>
      </c>
      <c r="K1195" s="5">
        <v>1.0</v>
      </c>
      <c r="L1195" s="5">
        <v>13169.0</v>
      </c>
      <c r="M1195" s="8"/>
      <c r="AK1195" s="9"/>
      <c r="AO1195" s="5" t="s">
        <v>4310</v>
      </c>
      <c r="AP1195" s="5">
        <v>1181.0</v>
      </c>
      <c r="AQ1195" s="5" t="s">
        <v>1716</v>
      </c>
      <c r="AR1195" s="5" t="s">
        <v>1717</v>
      </c>
      <c r="AS1195" s="5" t="s">
        <v>1718</v>
      </c>
      <c r="AT1195" s="5" t="s">
        <v>1835</v>
      </c>
      <c r="AU1195" s="5" t="s">
        <v>1836</v>
      </c>
      <c r="AV1195" s="5" t="s">
        <v>1720</v>
      </c>
      <c r="AW1195" s="5" t="s">
        <v>1705</v>
      </c>
      <c r="AX1195" s="5" t="s">
        <v>1879</v>
      </c>
      <c r="AY1195" s="5">
        <v>49.7483</v>
      </c>
      <c r="AZ1195" s="5">
        <v>-122.2864</v>
      </c>
      <c r="BA1195" s="5">
        <v>223.0</v>
      </c>
    </row>
    <row r="1196" ht="14.25" customHeight="1">
      <c r="A1196" s="5" t="s">
        <v>422</v>
      </c>
      <c r="B1196" s="5">
        <v>12.0</v>
      </c>
      <c r="C1196" s="5" t="s">
        <v>1711</v>
      </c>
      <c r="D1196" s="5">
        <v>1183.0</v>
      </c>
      <c r="E1196" s="5">
        <v>11003.0</v>
      </c>
      <c r="F1196" s="18" t="s">
        <v>4311</v>
      </c>
      <c r="G1196" s="5" t="s">
        <v>4312</v>
      </c>
      <c r="H1196" s="5" t="s">
        <v>4313</v>
      </c>
      <c r="I1196" s="5" t="s">
        <v>49</v>
      </c>
      <c r="J1196" s="5" t="s">
        <v>1746</v>
      </c>
      <c r="K1196" s="5">
        <v>1.0</v>
      </c>
      <c r="L1196" s="5">
        <v>13171.0</v>
      </c>
      <c r="M1196" s="8"/>
      <c r="AK1196" s="9"/>
      <c r="AO1196" s="67" t="s">
        <v>4311</v>
      </c>
      <c r="AP1196" s="5">
        <v>1183.0</v>
      </c>
      <c r="AQ1196" s="5" t="s">
        <v>1716</v>
      </c>
      <c r="AR1196" s="5" t="s">
        <v>1717</v>
      </c>
      <c r="AS1196" s="5" t="s">
        <v>1718</v>
      </c>
      <c r="AT1196" s="5" t="s">
        <v>1835</v>
      </c>
      <c r="AU1196" s="5" t="s">
        <v>1836</v>
      </c>
      <c r="AV1196" s="5" t="s">
        <v>1720</v>
      </c>
      <c r="AW1196" s="5" t="s">
        <v>2698</v>
      </c>
      <c r="AX1196" s="5" t="s">
        <v>2797</v>
      </c>
      <c r="AY1196" s="5">
        <v>49.7971</v>
      </c>
      <c r="AZ1196" s="5">
        <v>-117.3969</v>
      </c>
      <c r="BA1196" s="5">
        <v>1826.0</v>
      </c>
    </row>
    <row r="1197" ht="14.25" customHeight="1">
      <c r="A1197" s="5" t="s">
        <v>422</v>
      </c>
      <c r="B1197" s="5">
        <v>12.0</v>
      </c>
      <c r="C1197" s="5" t="s">
        <v>1711</v>
      </c>
      <c r="D1197" s="5">
        <v>1184.0</v>
      </c>
      <c r="E1197" s="5">
        <v>11004.0</v>
      </c>
      <c r="F1197" s="18" t="s">
        <v>4314</v>
      </c>
      <c r="G1197" s="5" t="s">
        <v>4315</v>
      </c>
      <c r="H1197" s="5" t="s">
        <v>4316</v>
      </c>
      <c r="I1197" s="5" t="s">
        <v>49</v>
      </c>
      <c r="J1197" s="5" t="s">
        <v>1746</v>
      </c>
      <c r="K1197" s="5">
        <v>1.0</v>
      </c>
      <c r="L1197" s="5">
        <v>13172.0</v>
      </c>
      <c r="M1197" s="8"/>
      <c r="AK1197" s="9"/>
      <c r="AO1197" s="67" t="s">
        <v>4314</v>
      </c>
      <c r="AP1197" s="5">
        <v>1184.0</v>
      </c>
      <c r="AQ1197" s="5" t="s">
        <v>1716</v>
      </c>
      <c r="AR1197" s="5" t="s">
        <v>1717</v>
      </c>
      <c r="AS1197" s="5" t="s">
        <v>2257</v>
      </c>
      <c r="AT1197" s="5" t="s">
        <v>1835</v>
      </c>
      <c r="AU1197" s="5" t="s">
        <v>1836</v>
      </c>
      <c r="AW1197" s="5" t="s">
        <v>1705</v>
      </c>
      <c r="AX1197" s="5" t="s">
        <v>1879</v>
      </c>
      <c r="AY1197" s="5">
        <v>50.3168</v>
      </c>
      <c r="AZ1197" s="5">
        <v>-123.5495</v>
      </c>
      <c r="BA1197" s="5">
        <v>800.0</v>
      </c>
    </row>
    <row r="1198" ht="14.25" customHeight="1">
      <c r="A1198" s="5" t="s">
        <v>422</v>
      </c>
      <c r="B1198" s="5">
        <v>12.0</v>
      </c>
      <c r="C1198" s="5" t="s">
        <v>1711</v>
      </c>
      <c r="D1198" s="5">
        <v>1185.0</v>
      </c>
      <c r="E1198" s="5">
        <v>11005.0</v>
      </c>
      <c r="F1198" s="18" t="s">
        <v>4317</v>
      </c>
      <c r="G1198" s="5" t="s">
        <v>4318</v>
      </c>
      <c r="H1198" s="5" t="s">
        <v>4319</v>
      </c>
      <c r="I1198" s="5" t="s">
        <v>49</v>
      </c>
      <c r="J1198" s="5" t="s">
        <v>1746</v>
      </c>
      <c r="K1198" s="5">
        <v>1.0</v>
      </c>
      <c r="L1198" s="5">
        <v>13173.0</v>
      </c>
      <c r="M1198" s="8"/>
      <c r="AK1198" s="9"/>
      <c r="AO1198" s="67" t="s">
        <v>4317</v>
      </c>
      <c r="AP1198" s="5">
        <v>1185.0</v>
      </c>
      <c r="AQ1198" s="5" t="s">
        <v>1716</v>
      </c>
      <c r="AR1198" s="5" t="s">
        <v>1717</v>
      </c>
      <c r="AS1198" s="5" t="s">
        <v>1718</v>
      </c>
      <c r="AT1198" s="5" t="s">
        <v>1835</v>
      </c>
      <c r="AU1198" s="5" t="s">
        <v>1836</v>
      </c>
      <c r="AV1198" s="5" t="s">
        <v>1720</v>
      </c>
      <c r="AW1198" s="5" t="s">
        <v>2003</v>
      </c>
      <c r="AX1198" s="5" t="s">
        <v>2024</v>
      </c>
      <c r="AY1198" s="5">
        <v>55.9126</v>
      </c>
      <c r="AZ1198" s="5">
        <v>-122.2514</v>
      </c>
      <c r="BA1198" s="5">
        <v>986.0</v>
      </c>
    </row>
    <row r="1199" ht="14.25" customHeight="1">
      <c r="A1199" s="5" t="s">
        <v>422</v>
      </c>
      <c r="B1199" s="5">
        <v>12.0</v>
      </c>
      <c r="C1199" s="5" t="s">
        <v>1711</v>
      </c>
      <c r="D1199" s="5">
        <v>1188.0</v>
      </c>
      <c r="E1199" s="5">
        <v>11006.0</v>
      </c>
      <c r="F1199" s="18" t="s">
        <v>4320</v>
      </c>
      <c r="G1199" s="5" t="s">
        <v>4321</v>
      </c>
      <c r="H1199" s="5" t="s">
        <v>4322</v>
      </c>
      <c r="I1199" s="5" t="s">
        <v>49</v>
      </c>
      <c r="J1199" s="5" t="s">
        <v>1746</v>
      </c>
      <c r="K1199" s="5">
        <v>1.0</v>
      </c>
      <c r="L1199" s="5">
        <v>13174.0</v>
      </c>
      <c r="M1199" s="8"/>
      <c r="AK1199" s="9"/>
      <c r="AO1199" s="5" t="s">
        <v>4320</v>
      </c>
      <c r="AP1199" s="5">
        <v>1188.0</v>
      </c>
      <c r="AQ1199" s="5" t="s">
        <v>1716</v>
      </c>
      <c r="AR1199" s="5" t="s">
        <v>1717</v>
      </c>
      <c r="AS1199" s="5" t="s">
        <v>1718</v>
      </c>
      <c r="AT1199" s="5" t="s">
        <v>1841</v>
      </c>
      <c r="AU1199" s="5" t="s">
        <v>1959</v>
      </c>
      <c r="AV1199" s="5" t="s">
        <v>1720</v>
      </c>
      <c r="AW1199" s="5" t="s">
        <v>2368</v>
      </c>
      <c r="AX1199" s="5" t="s">
        <v>2522</v>
      </c>
      <c r="AY1199" s="5">
        <v>50.555</v>
      </c>
      <c r="AZ1199" s="5">
        <v>-119.5419</v>
      </c>
      <c r="BA1199" s="5">
        <v>1598.0</v>
      </c>
    </row>
    <row r="1200" ht="14.25" customHeight="1">
      <c r="A1200" s="5" t="s">
        <v>422</v>
      </c>
      <c r="B1200" s="5">
        <v>12.0</v>
      </c>
      <c r="C1200" s="5" t="s">
        <v>1711</v>
      </c>
      <c r="D1200" s="5">
        <v>1189.0</v>
      </c>
      <c r="E1200" s="5">
        <v>11007.0</v>
      </c>
      <c r="F1200" s="18" t="s">
        <v>4323</v>
      </c>
      <c r="G1200" s="5" t="s">
        <v>4324</v>
      </c>
      <c r="H1200" s="5" t="s">
        <v>4325</v>
      </c>
      <c r="I1200" s="5" t="s">
        <v>49</v>
      </c>
      <c r="J1200" s="5" t="s">
        <v>1746</v>
      </c>
      <c r="K1200" s="5">
        <v>1.0</v>
      </c>
      <c r="L1200" s="5">
        <v>13175.0</v>
      </c>
      <c r="M1200" s="8"/>
      <c r="AK1200" s="9"/>
      <c r="AO1200" s="67" t="s">
        <v>4323</v>
      </c>
      <c r="AP1200" s="5">
        <v>1189.0</v>
      </c>
      <c r="AQ1200" s="5" t="s">
        <v>1716</v>
      </c>
      <c r="AR1200" s="5" t="s">
        <v>1717</v>
      </c>
      <c r="AS1200" s="5" t="s">
        <v>1718</v>
      </c>
      <c r="AT1200" s="5" t="s">
        <v>1835</v>
      </c>
      <c r="AU1200" s="5" t="s">
        <v>1836</v>
      </c>
      <c r="AV1200" s="5" t="s">
        <v>1720</v>
      </c>
      <c r="AW1200" s="5" t="s">
        <v>2193</v>
      </c>
      <c r="AX1200" s="5" t="s">
        <v>2139</v>
      </c>
      <c r="AY1200" s="5">
        <v>53.2936</v>
      </c>
      <c r="AZ1200" s="5">
        <v>-124.9092</v>
      </c>
      <c r="BA1200" s="5">
        <v>1171.0</v>
      </c>
    </row>
    <row r="1201" ht="14.25" customHeight="1">
      <c r="A1201" s="5" t="s">
        <v>422</v>
      </c>
      <c r="B1201" s="5">
        <v>12.0</v>
      </c>
      <c r="C1201" s="5" t="s">
        <v>1711</v>
      </c>
      <c r="D1201" s="5">
        <v>1190.0</v>
      </c>
      <c r="E1201" s="5">
        <v>11008.0</v>
      </c>
      <c r="F1201" s="18" t="s">
        <v>4326</v>
      </c>
      <c r="G1201" s="5" t="s">
        <v>4327</v>
      </c>
      <c r="H1201" s="5" t="s">
        <v>4328</v>
      </c>
      <c r="I1201" s="5" t="s">
        <v>49</v>
      </c>
      <c r="J1201" s="5" t="s">
        <v>1746</v>
      </c>
      <c r="K1201" s="5">
        <v>1.0</v>
      </c>
      <c r="L1201" s="5">
        <v>13176.0</v>
      </c>
      <c r="M1201" s="8"/>
      <c r="AK1201" s="9"/>
      <c r="AO1201" s="67" t="s">
        <v>4326</v>
      </c>
      <c r="AP1201" s="5">
        <v>1190.0</v>
      </c>
      <c r="AQ1201" s="5" t="s">
        <v>1716</v>
      </c>
      <c r="AR1201" s="5" t="s">
        <v>1717</v>
      </c>
      <c r="AS1201" s="5" t="s">
        <v>1718</v>
      </c>
      <c r="AT1201" s="5" t="s">
        <v>1835</v>
      </c>
      <c r="AU1201" s="5" t="s">
        <v>1836</v>
      </c>
      <c r="AW1201" s="5" t="s">
        <v>2003</v>
      </c>
      <c r="AX1201" s="5" t="s">
        <v>2087</v>
      </c>
      <c r="AY1201" s="5">
        <v>56.2563</v>
      </c>
      <c r="AZ1201" s="5">
        <v>-125.0624</v>
      </c>
      <c r="BA1201" s="5">
        <v>1707.0</v>
      </c>
    </row>
    <row r="1202" ht="14.25" customHeight="1">
      <c r="A1202" s="5" t="s">
        <v>422</v>
      </c>
      <c r="B1202" s="5">
        <v>12.0</v>
      </c>
      <c r="C1202" s="5" t="s">
        <v>1711</v>
      </c>
      <c r="D1202" s="5">
        <v>1191.0</v>
      </c>
      <c r="E1202" s="5">
        <v>11011.0</v>
      </c>
      <c r="F1202" s="18" t="s">
        <v>4329</v>
      </c>
      <c r="G1202" s="5" t="s">
        <v>4330</v>
      </c>
      <c r="H1202" s="5" t="s">
        <v>4331</v>
      </c>
      <c r="I1202" s="5" t="s">
        <v>49</v>
      </c>
      <c r="J1202" s="5" t="s">
        <v>1746</v>
      </c>
      <c r="K1202" s="5">
        <v>1.0</v>
      </c>
      <c r="L1202" s="5">
        <v>13179.0</v>
      </c>
      <c r="M1202" s="8"/>
      <c r="AK1202" s="9"/>
      <c r="AO1202" s="67" t="s">
        <v>4329</v>
      </c>
      <c r="AP1202" s="5">
        <v>1191.0</v>
      </c>
      <c r="AQ1202" s="5" t="s">
        <v>1716</v>
      </c>
      <c r="AR1202" s="5" t="s">
        <v>1717</v>
      </c>
      <c r="AS1202" s="5" t="s">
        <v>1718</v>
      </c>
      <c r="AT1202" s="5" t="s">
        <v>1835</v>
      </c>
      <c r="AU1202" s="5" t="s">
        <v>1836</v>
      </c>
      <c r="AV1202" s="5" t="s">
        <v>1720</v>
      </c>
      <c r="AW1202" s="5" t="s">
        <v>2698</v>
      </c>
      <c r="AX1202" s="5" t="s">
        <v>2768</v>
      </c>
      <c r="AY1202" s="5">
        <v>50.2339</v>
      </c>
      <c r="AZ1202" s="5">
        <v>-115.4353</v>
      </c>
      <c r="BA1202" s="5">
        <v>1596.0</v>
      </c>
    </row>
    <row r="1203" ht="14.25" customHeight="1">
      <c r="A1203" s="5" t="s">
        <v>422</v>
      </c>
      <c r="B1203" s="5">
        <v>12.0</v>
      </c>
      <c r="C1203" s="5" t="s">
        <v>1711</v>
      </c>
      <c r="D1203" s="5">
        <v>1192.0</v>
      </c>
      <c r="E1203" s="5">
        <v>11013.0</v>
      </c>
      <c r="F1203" s="18" t="s">
        <v>4332</v>
      </c>
      <c r="G1203" s="5" t="s">
        <v>4333</v>
      </c>
      <c r="H1203" s="5" t="s">
        <v>4334</v>
      </c>
      <c r="I1203" s="5" t="s">
        <v>49</v>
      </c>
      <c r="J1203" s="5" t="s">
        <v>1746</v>
      </c>
      <c r="K1203" s="5">
        <v>1.0</v>
      </c>
      <c r="L1203" s="5">
        <v>13181.0</v>
      </c>
      <c r="M1203" s="8"/>
      <c r="AK1203" s="9"/>
      <c r="AO1203" s="67" t="s">
        <v>4332</v>
      </c>
      <c r="AP1203" s="5">
        <v>1192.0</v>
      </c>
      <c r="AQ1203" s="5" t="s">
        <v>1716</v>
      </c>
      <c r="AR1203" s="5" t="s">
        <v>1717</v>
      </c>
      <c r="AS1203" s="5" t="s">
        <v>1718</v>
      </c>
      <c r="AT1203" s="5" t="s">
        <v>1835</v>
      </c>
      <c r="AU1203" s="5" t="s">
        <v>1836</v>
      </c>
      <c r="AW1203" s="5" t="s">
        <v>2698</v>
      </c>
      <c r="AX1203" s="5" t="s">
        <v>2797</v>
      </c>
      <c r="AY1203" s="5">
        <v>49.4867</v>
      </c>
      <c r="AZ1203" s="5">
        <v>-117.5465</v>
      </c>
      <c r="BA1203" s="5">
        <v>1550.0</v>
      </c>
    </row>
    <row r="1204" ht="14.25" customHeight="1">
      <c r="A1204" s="5" t="s">
        <v>422</v>
      </c>
      <c r="B1204" s="5">
        <v>12.0</v>
      </c>
      <c r="C1204" s="5" t="s">
        <v>1711</v>
      </c>
      <c r="D1204" s="5">
        <v>1193.0</v>
      </c>
      <c r="E1204" s="5">
        <v>11014.0</v>
      </c>
      <c r="F1204" s="18" t="s">
        <v>4335</v>
      </c>
      <c r="G1204" s="5" t="s">
        <v>4336</v>
      </c>
      <c r="H1204" s="5" t="s">
        <v>4337</v>
      </c>
      <c r="I1204" s="5" t="s">
        <v>49</v>
      </c>
      <c r="J1204" s="5" t="s">
        <v>1746</v>
      </c>
      <c r="K1204" s="5">
        <v>1.0</v>
      </c>
      <c r="L1204" s="5">
        <v>13182.0</v>
      </c>
      <c r="M1204" s="8"/>
      <c r="AK1204" s="9"/>
      <c r="AO1204" s="67" t="s">
        <v>4335</v>
      </c>
      <c r="AP1204" s="5">
        <v>1193.0</v>
      </c>
      <c r="AQ1204" s="5" t="s">
        <v>1716</v>
      </c>
      <c r="AR1204" s="5" t="s">
        <v>1717</v>
      </c>
      <c r="AS1204" s="5" t="s">
        <v>1718</v>
      </c>
      <c r="AT1204" s="5" t="s">
        <v>1835</v>
      </c>
      <c r="AU1204" s="5" t="s">
        <v>1836</v>
      </c>
      <c r="AV1204" s="5" t="s">
        <v>1720</v>
      </c>
      <c r="AW1204" s="5" t="s">
        <v>2193</v>
      </c>
      <c r="AX1204" s="5" t="s">
        <v>2194</v>
      </c>
      <c r="AY1204" s="5">
        <v>52.905</v>
      </c>
      <c r="AZ1204" s="5">
        <v>-124.1899</v>
      </c>
      <c r="BA1204" s="5">
        <v>1215.0</v>
      </c>
    </row>
    <row r="1205" ht="14.25" customHeight="1">
      <c r="A1205" s="10" t="s">
        <v>4338</v>
      </c>
      <c r="B1205" s="5">
        <v>12.0</v>
      </c>
      <c r="C1205" s="10" t="s">
        <v>4339</v>
      </c>
      <c r="D1205" s="5">
        <v>1199.0</v>
      </c>
      <c r="E1205" s="5">
        <v>11017.0</v>
      </c>
      <c r="F1205" s="5" t="s">
        <v>4340</v>
      </c>
      <c r="G1205" s="10" t="s">
        <v>4341</v>
      </c>
      <c r="H1205" s="10" t="s">
        <v>4342</v>
      </c>
      <c r="I1205" s="5" t="s">
        <v>49</v>
      </c>
      <c r="J1205" s="5" t="s">
        <v>1746</v>
      </c>
      <c r="K1205" s="5">
        <v>1.0</v>
      </c>
      <c r="L1205" s="5">
        <v>13185.0</v>
      </c>
      <c r="M1205" s="8">
        <v>52.279579</v>
      </c>
      <c r="N1205" s="5">
        <v>-126.890543</v>
      </c>
      <c r="O1205" s="5" t="s">
        <v>51</v>
      </c>
      <c r="P1205" s="5" t="s">
        <v>4343</v>
      </c>
      <c r="Q1205" s="5">
        <v>6.0</v>
      </c>
      <c r="R1205" s="5" t="s">
        <v>4340</v>
      </c>
      <c r="S1205" s="5" t="s">
        <v>4344</v>
      </c>
      <c r="T1205" s="5">
        <v>1260.0</v>
      </c>
      <c r="V1205" s="5" t="s">
        <v>4345</v>
      </c>
      <c r="W1205" s="5" t="s">
        <v>4346</v>
      </c>
      <c r="X1205" s="5" t="s">
        <v>4347</v>
      </c>
      <c r="AK1205" s="9"/>
      <c r="AO1205" s="5" t="s">
        <v>4340</v>
      </c>
      <c r="AP1205" s="5">
        <v>1199.0</v>
      </c>
      <c r="AQ1205" s="5" t="s">
        <v>1716</v>
      </c>
      <c r="AR1205" s="5" t="s">
        <v>1701</v>
      </c>
      <c r="AS1205" s="5" t="s">
        <v>1740</v>
      </c>
      <c r="AT1205" s="5" t="s">
        <v>1835</v>
      </c>
      <c r="AU1205" s="5" t="s">
        <v>1742</v>
      </c>
      <c r="AV1205" s="5" t="s">
        <v>1720</v>
      </c>
      <c r="AW1205" s="5" t="s">
        <v>1705</v>
      </c>
      <c r="AX1205" s="5" t="s">
        <v>1965</v>
      </c>
      <c r="AY1205" s="5">
        <v>52.2799</v>
      </c>
      <c r="AZ1205" s="5">
        <v>-126.8902</v>
      </c>
      <c r="BA1205" s="5">
        <v>1275.0</v>
      </c>
    </row>
    <row r="1206" ht="14.25" customHeight="1">
      <c r="A1206" s="5" t="s">
        <v>422</v>
      </c>
      <c r="B1206" s="5">
        <v>12.0</v>
      </c>
      <c r="C1206" s="5" t="s">
        <v>1711</v>
      </c>
      <c r="D1206" s="5">
        <v>1201.0</v>
      </c>
      <c r="E1206" s="5">
        <v>11018.0</v>
      </c>
      <c r="F1206" s="18" t="s">
        <v>4348</v>
      </c>
      <c r="G1206" s="5" t="s">
        <v>4349</v>
      </c>
      <c r="H1206" s="5" t="s">
        <v>4350</v>
      </c>
      <c r="I1206" s="5" t="s">
        <v>49</v>
      </c>
      <c r="J1206" s="5" t="s">
        <v>1746</v>
      </c>
      <c r="K1206" s="5">
        <v>1.0</v>
      </c>
      <c r="L1206" s="5">
        <v>13186.0</v>
      </c>
      <c r="M1206" s="8"/>
      <c r="AK1206" s="9"/>
      <c r="AO1206" s="67" t="s">
        <v>4348</v>
      </c>
      <c r="AP1206" s="5">
        <v>1201.0</v>
      </c>
      <c r="AQ1206" s="5" t="s">
        <v>1716</v>
      </c>
      <c r="AR1206" s="5" t="s">
        <v>1717</v>
      </c>
      <c r="AS1206" s="5" t="s">
        <v>1718</v>
      </c>
      <c r="AT1206" s="5" t="s">
        <v>1835</v>
      </c>
      <c r="AU1206" s="5" t="s">
        <v>1836</v>
      </c>
      <c r="AV1206" s="5" t="s">
        <v>1720</v>
      </c>
      <c r="AW1206" s="5" t="s">
        <v>2698</v>
      </c>
      <c r="AX1206" s="5" t="s">
        <v>2801</v>
      </c>
      <c r="AY1206" s="5">
        <v>49.9761</v>
      </c>
      <c r="AZ1206" s="5">
        <v>-117.0108</v>
      </c>
      <c r="BA1206" s="5">
        <v>877.0</v>
      </c>
    </row>
    <row r="1207" ht="14.25" customHeight="1">
      <c r="B1207" s="5">
        <v>12.0</v>
      </c>
      <c r="C1207" s="5" t="s">
        <v>1711</v>
      </c>
      <c r="D1207" s="5">
        <v>1203.0</v>
      </c>
      <c r="E1207" s="5">
        <v>11019.0</v>
      </c>
      <c r="F1207" s="5" t="s">
        <v>4351</v>
      </c>
      <c r="G1207" s="5" t="s">
        <v>4352</v>
      </c>
      <c r="H1207" s="5" t="s">
        <v>4353</v>
      </c>
      <c r="I1207" s="5" t="s">
        <v>49</v>
      </c>
      <c r="J1207" s="5" t="s">
        <v>1829</v>
      </c>
      <c r="K1207" s="5">
        <v>1.0</v>
      </c>
      <c r="L1207" s="5">
        <v>13187.0</v>
      </c>
      <c r="M1207" s="8">
        <v>49.3576111</v>
      </c>
      <c r="N1207" s="5">
        <v>-116.95025</v>
      </c>
      <c r="O1207" s="5" t="s">
        <v>170</v>
      </c>
      <c r="P1207" s="5">
        <v>1203.0</v>
      </c>
      <c r="Q1207" s="5">
        <v>5.0</v>
      </c>
      <c r="R1207" s="5" t="s">
        <v>4351</v>
      </c>
      <c r="S1207" s="5" t="s">
        <v>1737</v>
      </c>
      <c r="T1207" s="5">
        <v>1657.0</v>
      </c>
      <c r="X1207" s="5" t="s">
        <v>1738</v>
      </c>
      <c r="AK1207" s="9"/>
      <c r="AO1207" s="5" t="s">
        <v>4351</v>
      </c>
      <c r="AP1207" s="5">
        <v>1203.0</v>
      </c>
      <c r="AQ1207" s="5" t="s">
        <v>1716</v>
      </c>
      <c r="AR1207" s="5" t="s">
        <v>1739</v>
      </c>
      <c r="AS1207" s="5" t="s">
        <v>1740</v>
      </c>
      <c r="AT1207" s="5" t="s">
        <v>1741</v>
      </c>
      <c r="AU1207" s="5" t="s">
        <v>1742</v>
      </c>
      <c r="AV1207" s="5" t="s">
        <v>1720</v>
      </c>
      <c r="AW1207" s="5" t="s">
        <v>2698</v>
      </c>
      <c r="AX1207" s="5" t="s">
        <v>2801</v>
      </c>
      <c r="AY1207" s="5">
        <v>49.3576</v>
      </c>
      <c r="AZ1207" s="5">
        <v>-116.9502</v>
      </c>
      <c r="BA1207" s="5">
        <v>1657.0</v>
      </c>
    </row>
    <row r="1208" ht="14.25" customHeight="1">
      <c r="A1208" s="5" t="s">
        <v>422</v>
      </c>
      <c r="B1208" s="5">
        <v>12.0</v>
      </c>
      <c r="C1208" s="5" t="s">
        <v>1711</v>
      </c>
      <c r="D1208" s="5">
        <v>1204.0</v>
      </c>
      <c r="E1208" s="5">
        <v>11033.0</v>
      </c>
      <c r="F1208" s="18" t="s">
        <v>4354</v>
      </c>
      <c r="G1208" s="5" t="s">
        <v>4355</v>
      </c>
      <c r="H1208" s="5" t="s">
        <v>4356</v>
      </c>
      <c r="I1208" s="5" t="s">
        <v>49</v>
      </c>
      <c r="J1208" s="5" t="s">
        <v>1746</v>
      </c>
      <c r="K1208" s="5">
        <v>1.0</v>
      </c>
      <c r="L1208" s="5">
        <v>13201.0</v>
      </c>
      <c r="M1208" s="8"/>
      <c r="AK1208" s="9"/>
      <c r="AO1208" s="5" t="s">
        <v>4354</v>
      </c>
      <c r="AP1208" s="5">
        <v>1204.0</v>
      </c>
      <c r="AQ1208" s="5" t="s">
        <v>1716</v>
      </c>
      <c r="AR1208" s="5" t="s">
        <v>1717</v>
      </c>
      <c r="AS1208" s="5" t="s">
        <v>1718</v>
      </c>
      <c r="AT1208" s="5" t="s">
        <v>1835</v>
      </c>
      <c r="AU1208" s="5" t="s">
        <v>1836</v>
      </c>
      <c r="AV1208" s="5" t="s">
        <v>1720</v>
      </c>
      <c r="AW1208" s="5" t="s">
        <v>1705</v>
      </c>
      <c r="AX1208" s="5" t="s">
        <v>1883</v>
      </c>
      <c r="AY1208" s="5">
        <v>49.1155</v>
      </c>
      <c r="AZ1208" s="5">
        <v>-122.7343</v>
      </c>
      <c r="BA1208" s="5">
        <v>15.0</v>
      </c>
    </row>
    <row r="1209" ht="14.25" customHeight="1">
      <c r="A1209" s="5" t="s">
        <v>422</v>
      </c>
      <c r="B1209" s="5">
        <v>12.0</v>
      </c>
      <c r="C1209" s="5" t="s">
        <v>1711</v>
      </c>
      <c r="D1209" s="5">
        <v>1206.0</v>
      </c>
      <c r="E1209" s="5">
        <v>11409.0</v>
      </c>
      <c r="F1209" s="18" t="s">
        <v>4357</v>
      </c>
      <c r="G1209" s="5" t="s">
        <v>4358</v>
      </c>
      <c r="H1209" s="5" t="s">
        <v>4359</v>
      </c>
      <c r="I1209" s="5" t="s">
        <v>49</v>
      </c>
      <c r="J1209" s="5" t="s">
        <v>1746</v>
      </c>
      <c r="K1209" s="5">
        <v>1.0</v>
      </c>
      <c r="L1209" s="5">
        <v>13470.0</v>
      </c>
      <c r="M1209" s="8"/>
      <c r="AK1209" s="9"/>
      <c r="AO1209" s="67" t="s">
        <v>4357</v>
      </c>
      <c r="AP1209" s="5">
        <v>1206.0</v>
      </c>
      <c r="AQ1209" s="5" t="s">
        <v>1716</v>
      </c>
      <c r="AR1209" s="5" t="s">
        <v>1717</v>
      </c>
      <c r="AS1209" s="5" t="s">
        <v>1718</v>
      </c>
      <c r="AT1209" s="5" t="s">
        <v>1835</v>
      </c>
      <c r="AU1209" s="5" t="s">
        <v>1836</v>
      </c>
      <c r="AV1209" s="5" t="s">
        <v>1720</v>
      </c>
      <c r="AX1209" s="5" t="s">
        <v>2801</v>
      </c>
      <c r="AY1209" s="5">
        <v>49.9846</v>
      </c>
      <c r="AZ1209" s="5">
        <v>-117.0256</v>
      </c>
      <c r="BA1209" s="5">
        <v>911.0</v>
      </c>
    </row>
    <row r="1210" ht="14.25" customHeight="1">
      <c r="A1210" s="5" t="s">
        <v>422</v>
      </c>
      <c r="B1210" s="5">
        <v>12.0</v>
      </c>
      <c r="C1210" s="5" t="s">
        <v>1711</v>
      </c>
      <c r="D1210" s="5">
        <v>1207.0</v>
      </c>
      <c r="E1210" s="5">
        <v>11410.0</v>
      </c>
      <c r="F1210" s="18" t="s">
        <v>4360</v>
      </c>
      <c r="G1210" s="5" t="s">
        <v>4361</v>
      </c>
      <c r="H1210" s="5" t="s">
        <v>4362</v>
      </c>
      <c r="I1210" s="5" t="s">
        <v>49</v>
      </c>
      <c r="J1210" s="5" t="s">
        <v>1746</v>
      </c>
      <c r="K1210" s="5">
        <v>1.0</v>
      </c>
      <c r="L1210" s="5">
        <v>13471.0</v>
      </c>
      <c r="M1210" s="8"/>
      <c r="AK1210" s="9"/>
      <c r="AO1210" s="67" t="s">
        <v>4360</v>
      </c>
      <c r="AP1210" s="5">
        <v>1207.0</v>
      </c>
      <c r="AQ1210" s="5" t="s">
        <v>1716</v>
      </c>
      <c r="AR1210" s="5" t="s">
        <v>1717</v>
      </c>
      <c r="AS1210" s="5" t="s">
        <v>1718</v>
      </c>
      <c r="AT1210" s="5" t="s">
        <v>1835</v>
      </c>
      <c r="AU1210" s="5" t="s">
        <v>1836</v>
      </c>
      <c r="AV1210" s="5" t="s">
        <v>1720</v>
      </c>
      <c r="AW1210" s="5" t="s">
        <v>1947</v>
      </c>
      <c r="AX1210" s="5" t="s">
        <v>2148</v>
      </c>
      <c r="AY1210" s="5">
        <v>53.7752</v>
      </c>
      <c r="AZ1210" s="5">
        <v>-125.4413</v>
      </c>
      <c r="BA1210" s="5">
        <v>903.0</v>
      </c>
    </row>
    <row r="1211" ht="14.25" customHeight="1">
      <c r="A1211" s="5" t="s">
        <v>422</v>
      </c>
      <c r="B1211" s="5">
        <v>12.0</v>
      </c>
      <c r="C1211" s="5" t="s">
        <v>1711</v>
      </c>
      <c r="D1211" s="5">
        <v>1208.0</v>
      </c>
      <c r="E1211" s="5">
        <v>11411.0</v>
      </c>
      <c r="F1211" s="18" t="s">
        <v>4363</v>
      </c>
      <c r="G1211" s="5" t="s">
        <v>4364</v>
      </c>
      <c r="H1211" s="5" t="s">
        <v>4365</v>
      </c>
      <c r="I1211" s="5" t="s">
        <v>49</v>
      </c>
      <c r="J1211" s="5" t="s">
        <v>1746</v>
      </c>
      <c r="K1211" s="5">
        <v>1.0</v>
      </c>
      <c r="L1211" s="5">
        <v>13472.0</v>
      </c>
      <c r="M1211" s="8"/>
      <c r="AK1211" s="9"/>
      <c r="AO1211" s="67" t="s">
        <v>4363</v>
      </c>
      <c r="AP1211" s="5">
        <v>1208.0</v>
      </c>
      <c r="AQ1211" s="5" t="s">
        <v>1716</v>
      </c>
      <c r="AR1211" s="5" t="s">
        <v>1717</v>
      </c>
      <c r="AS1211" s="5" t="s">
        <v>1718</v>
      </c>
      <c r="AT1211" s="5" t="s">
        <v>1835</v>
      </c>
      <c r="AU1211" s="5" t="s">
        <v>1836</v>
      </c>
      <c r="AV1211" s="5" t="s">
        <v>1720</v>
      </c>
      <c r="AW1211" s="5" t="s">
        <v>2003</v>
      </c>
      <c r="AX1211" s="5" t="s">
        <v>2004</v>
      </c>
      <c r="AY1211" s="5">
        <v>58.0443</v>
      </c>
      <c r="AZ1211" s="5">
        <v>-121.6543</v>
      </c>
      <c r="BA1211" s="5">
        <v>853.0</v>
      </c>
    </row>
    <row r="1212" ht="14.25" customHeight="1">
      <c r="A1212" s="5" t="s">
        <v>422</v>
      </c>
      <c r="B1212" s="5">
        <v>12.0</v>
      </c>
      <c r="C1212" s="5" t="s">
        <v>1711</v>
      </c>
      <c r="D1212" s="5">
        <v>1212.0</v>
      </c>
      <c r="E1212" s="5">
        <v>11412.0</v>
      </c>
      <c r="F1212" s="18" t="s">
        <v>4366</v>
      </c>
      <c r="G1212" s="5" t="s">
        <v>4367</v>
      </c>
      <c r="H1212" s="5" t="s">
        <v>4368</v>
      </c>
      <c r="I1212" s="5" t="s">
        <v>49</v>
      </c>
      <c r="J1212" s="5" t="s">
        <v>1746</v>
      </c>
      <c r="K1212" s="5">
        <v>1.0</v>
      </c>
      <c r="L1212" s="5">
        <v>13473.0</v>
      </c>
      <c r="M1212" s="8"/>
      <c r="AK1212" s="9"/>
      <c r="AO1212" s="5" t="s">
        <v>4366</v>
      </c>
      <c r="AP1212" s="5">
        <v>1212.0</v>
      </c>
      <c r="AQ1212" s="5" t="s">
        <v>1716</v>
      </c>
      <c r="AR1212" s="5" t="s">
        <v>1717</v>
      </c>
      <c r="AS1212" s="5" t="s">
        <v>1718</v>
      </c>
      <c r="AT1212" s="5" t="s">
        <v>1841</v>
      </c>
      <c r="AU1212" s="5" t="s">
        <v>1959</v>
      </c>
      <c r="AV1212" s="5" t="s">
        <v>1720</v>
      </c>
      <c r="AW1212" s="5" t="s">
        <v>2368</v>
      </c>
      <c r="AX1212" s="5" t="s">
        <v>2516</v>
      </c>
      <c r="AY1212" s="5">
        <v>49.6378</v>
      </c>
      <c r="AZ1212" s="5">
        <v>-120.0233</v>
      </c>
      <c r="BA1212" s="5">
        <v>1491.0</v>
      </c>
    </row>
    <row r="1213" ht="14.25" customHeight="1">
      <c r="A1213" s="5" t="s">
        <v>422</v>
      </c>
      <c r="B1213" s="5">
        <v>12.0</v>
      </c>
      <c r="C1213" s="5" t="s">
        <v>1711</v>
      </c>
      <c r="D1213" s="5">
        <v>1213.0</v>
      </c>
      <c r="E1213" s="5">
        <v>11414.0</v>
      </c>
      <c r="F1213" s="18" t="s">
        <v>4369</v>
      </c>
      <c r="G1213" s="5" t="s">
        <v>4370</v>
      </c>
      <c r="H1213" s="5" t="s">
        <v>4371</v>
      </c>
      <c r="I1213" s="5" t="s">
        <v>49</v>
      </c>
      <c r="J1213" s="5" t="s">
        <v>1746</v>
      </c>
      <c r="K1213" s="5">
        <v>1.0</v>
      </c>
      <c r="L1213" s="5">
        <v>13475.0</v>
      </c>
      <c r="M1213" s="8"/>
      <c r="AK1213" s="9"/>
      <c r="AO1213" s="5" t="s">
        <v>4369</v>
      </c>
      <c r="AP1213" s="5">
        <v>1213.0</v>
      </c>
      <c r="AQ1213" s="5" t="s">
        <v>1716</v>
      </c>
      <c r="AR1213" s="5" t="s">
        <v>1717</v>
      </c>
      <c r="AS1213" s="5" t="s">
        <v>1718</v>
      </c>
      <c r="AT1213" s="5" t="s">
        <v>1841</v>
      </c>
      <c r="AU1213" s="5" t="s">
        <v>1959</v>
      </c>
      <c r="AW1213" s="5" t="s">
        <v>2368</v>
      </c>
      <c r="AX1213" s="5" t="s">
        <v>2707</v>
      </c>
      <c r="AY1213" s="5">
        <v>50.6344</v>
      </c>
      <c r="AZ1213" s="5">
        <v>-118.7794</v>
      </c>
      <c r="BA1213" s="5">
        <v>912.0</v>
      </c>
    </row>
    <row r="1214" ht="14.25" customHeight="1">
      <c r="A1214" s="5" t="s">
        <v>422</v>
      </c>
      <c r="B1214" s="5">
        <v>12.0</v>
      </c>
      <c r="C1214" s="5" t="s">
        <v>1711</v>
      </c>
      <c r="D1214" s="5">
        <v>1214.0</v>
      </c>
      <c r="E1214" s="5">
        <v>11413.0</v>
      </c>
      <c r="F1214" s="18" t="s">
        <v>4372</v>
      </c>
      <c r="G1214" s="5" t="s">
        <v>4373</v>
      </c>
      <c r="H1214" s="5" t="s">
        <v>4374</v>
      </c>
      <c r="I1214" s="5" t="s">
        <v>49</v>
      </c>
      <c r="J1214" s="5" t="s">
        <v>1746</v>
      </c>
      <c r="K1214" s="5">
        <v>1.0</v>
      </c>
      <c r="L1214" s="5">
        <v>13474.0</v>
      </c>
      <c r="M1214" s="8"/>
      <c r="AK1214" s="9"/>
      <c r="AO1214" s="5" t="s">
        <v>4372</v>
      </c>
      <c r="AP1214" s="5">
        <v>1214.0</v>
      </c>
      <c r="AQ1214" s="5" t="s">
        <v>1716</v>
      </c>
      <c r="AR1214" s="5" t="s">
        <v>1717</v>
      </c>
      <c r="AS1214" s="5" t="s">
        <v>1718</v>
      </c>
      <c r="AT1214" s="5" t="s">
        <v>1841</v>
      </c>
      <c r="AU1214" s="5" t="s">
        <v>1959</v>
      </c>
      <c r="AW1214" s="5" t="s">
        <v>2368</v>
      </c>
      <c r="AX1214" s="5" t="s">
        <v>2522</v>
      </c>
      <c r="AY1214" s="5">
        <v>50.4088</v>
      </c>
      <c r="AZ1214" s="5">
        <v>-118.4453</v>
      </c>
      <c r="BA1214" s="5">
        <v>1223.0</v>
      </c>
    </row>
    <row r="1215" ht="14.25" customHeight="1">
      <c r="B1215" s="5">
        <v>12.0</v>
      </c>
      <c r="C1215" s="5" t="s">
        <v>1711</v>
      </c>
      <c r="D1215" s="5">
        <v>1215.0</v>
      </c>
      <c r="E1215" s="5">
        <v>11416.0</v>
      </c>
      <c r="F1215" s="18" t="s">
        <v>4375</v>
      </c>
      <c r="G1215" s="5" t="s">
        <v>4376</v>
      </c>
      <c r="H1215" s="5" t="s">
        <v>4377</v>
      </c>
      <c r="I1215" s="5" t="s">
        <v>49</v>
      </c>
      <c r="J1215" s="5" t="s">
        <v>1746</v>
      </c>
      <c r="K1215" s="5">
        <v>1.0</v>
      </c>
      <c r="L1215" s="5">
        <v>13477.0</v>
      </c>
      <c r="M1215" s="8"/>
      <c r="AK1215" s="9"/>
      <c r="AO1215" s="5" t="s">
        <v>4375</v>
      </c>
      <c r="AP1215" s="5">
        <v>1215.0</v>
      </c>
      <c r="AQ1215" s="5" t="s">
        <v>1716</v>
      </c>
      <c r="AR1215" s="5" t="s">
        <v>1717</v>
      </c>
      <c r="AS1215" s="5" t="s">
        <v>1718</v>
      </c>
      <c r="AT1215" s="5" t="s">
        <v>1841</v>
      </c>
      <c r="AU1215" s="5" t="s">
        <v>1959</v>
      </c>
      <c r="AW1215" s="5" t="s">
        <v>2368</v>
      </c>
      <c r="AX1215" s="5" t="s">
        <v>2516</v>
      </c>
      <c r="AY1215" s="5">
        <v>49.9853</v>
      </c>
      <c r="AZ1215" s="5">
        <v>-119.2294</v>
      </c>
      <c r="BA1215" s="5">
        <v>1395.0</v>
      </c>
    </row>
    <row r="1216" ht="14.25" customHeight="1">
      <c r="A1216" s="5" t="s">
        <v>422</v>
      </c>
      <c r="B1216" s="5">
        <v>12.0</v>
      </c>
      <c r="C1216" s="5" t="s">
        <v>1711</v>
      </c>
      <c r="D1216" s="5">
        <v>1216.0</v>
      </c>
      <c r="E1216" s="5">
        <v>11415.0</v>
      </c>
      <c r="F1216" s="18" t="s">
        <v>4378</v>
      </c>
      <c r="G1216" s="5" t="s">
        <v>4379</v>
      </c>
      <c r="H1216" s="5" t="s">
        <v>4380</v>
      </c>
      <c r="I1216" s="5" t="s">
        <v>49</v>
      </c>
      <c r="J1216" s="5" t="s">
        <v>1746</v>
      </c>
      <c r="K1216" s="5">
        <v>1.0</v>
      </c>
      <c r="L1216" s="5">
        <v>13476.0</v>
      </c>
      <c r="M1216" s="8"/>
      <c r="AK1216" s="9"/>
      <c r="AO1216" s="5" t="s">
        <v>4378</v>
      </c>
      <c r="AP1216" s="5">
        <v>1216.0</v>
      </c>
      <c r="AQ1216" s="5" t="s">
        <v>1716</v>
      </c>
      <c r="AR1216" s="5" t="s">
        <v>1717</v>
      </c>
      <c r="AS1216" s="5" t="s">
        <v>1718</v>
      </c>
      <c r="AT1216" s="5" t="s">
        <v>1841</v>
      </c>
      <c r="AU1216" s="5" t="s">
        <v>1959</v>
      </c>
      <c r="AW1216" s="5" t="s">
        <v>2368</v>
      </c>
      <c r="AX1216" s="5" t="s">
        <v>2516</v>
      </c>
      <c r="AY1216" s="5">
        <v>50.0706</v>
      </c>
      <c r="AZ1216" s="5">
        <v>-119.6911</v>
      </c>
      <c r="BA1216" s="5">
        <v>1429.0</v>
      </c>
    </row>
    <row r="1217" ht="14.25" customHeight="1">
      <c r="A1217" s="5" t="s">
        <v>422</v>
      </c>
      <c r="B1217" s="5">
        <v>12.0</v>
      </c>
      <c r="C1217" s="5" t="s">
        <v>1711</v>
      </c>
      <c r="D1217" s="5">
        <v>1217.0</v>
      </c>
      <c r="E1217" s="5">
        <v>11417.0</v>
      </c>
      <c r="F1217" s="18" t="s">
        <v>4381</v>
      </c>
      <c r="G1217" s="5" t="s">
        <v>4382</v>
      </c>
      <c r="H1217" s="5" t="s">
        <v>4383</v>
      </c>
      <c r="I1217" s="5" t="s">
        <v>49</v>
      </c>
      <c r="J1217" s="5" t="s">
        <v>1746</v>
      </c>
      <c r="K1217" s="5">
        <v>1.0</v>
      </c>
      <c r="L1217" s="5">
        <v>13478.0</v>
      </c>
      <c r="M1217" s="8"/>
      <c r="AK1217" s="9"/>
      <c r="AO1217" s="67" t="s">
        <v>4381</v>
      </c>
      <c r="AP1217" s="5">
        <v>1217.0</v>
      </c>
      <c r="AQ1217" s="5" t="s">
        <v>1716</v>
      </c>
      <c r="AR1217" s="5" t="s">
        <v>1717</v>
      </c>
      <c r="AS1217" s="5" t="s">
        <v>1718</v>
      </c>
      <c r="AT1217" s="5" t="s">
        <v>1835</v>
      </c>
      <c r="AU1217" s="5" t="s">
        <v>1836</v>
      </c>
      <c r="AV1217" s="5" t="s">
        <v>1720</v>
      </c>
      <c r="AW1217" s="5" t="s">
        <v>1705</v>
      </c>
      <c r="AX1217" s="5" t="s">
        <v>1879</v>
      </c>
      <c r="AY1217" s="5">
        <v>50.1184</v>
      </c>
      <c r="AZ1217" s="5">
        <v>-123.4429</v>
      </c>
      <c r="BA1217" s="5">
        <v>317.0</v>
      </c>
    </row>
    <row r="1218" ht="14.25" customHeight="1">
      <c r="A1218" s="5" t="s">
        <v>88</v>
      </c>
      <c r="B1218" s="5">
        <v>12.0</v>
      </c>
      <c r="C1218" s="5" t="s">
        <v>1711</v>
      </c>
      <c r="D1218" s="5">
        <v>1218.0</v>
      </c>
      <c r="E1218" s="5">
        <v>11419.0</v>
      </c>
      <c r="F1218" s="5" t="s">
        <v>4384</v>
      </c>
      <c r="G1218" s="10" t="s">
        <v>4385</v>
      </c>
      <c r="H1218" s="5" t="s">
        <v>4386</v>
      </c>
      <c r="I1218" s="5" t="s">
        <v>49</v>
      </c>
      <c r="J1218" s="5" t="s">
        <v>1829</v>
      </c>
      <c r="K1218" s="5">
        <v>1.0</v>
      </c>
      <c r="L1218" s="5">
        <v>13480.0</v>
      </c>
      <c r="M1218" s="8">
        <v>49.81806</v>
      </c>
      <c r="N1218" s="5">
        <v>-124.44944</v>
      </c>
      <c r="O1218" s="5" t="s">
        <v>183</v>
      </c>
      <c r="P1218" s="5">
        <v>1218.0</v>
      </c>
      <c r="Q1218" s="5">
        <v>3.0</v>
      </c>
      <c r="R1218" s="5" t="s">
        <v>4384</v>
      </c>
      <c r="S1218" s="5" t="s">
        <v>1737</v>
      </c>
      <c r="T1218" s="5">
        <v>100.0</v>
      </c>
      <c r="W1218" s="5">
        <v>42178.0</v>
      </c>
      <c r="X1218" s="5" t="s">
        <v>1738</v>
      </c>
      <c r="AK1218" s="9"/>
      <c r="AO1218" s="5" t="s">
        <v>4384</v>
      </c>
      <c r="AP1218" s="5">
        <v>1218.0</v>
      </c>
      <c r="AQ1218" s="5" t="s">
        <v>1716</v>
      </c>
      <c r="AR1218" s="5" t="s">
        <v>1739</v>
      </c>
      <c r="AS1218" s="5" t="s">
        <v>1740</v>
      </c>
      <c r="AT1218" s="5" t="s">
        <v>1741</v>
      </c>
      <c r="AU1218" s="5" t="s">
        <v>1742</v>
      </c>
      <c r="AV1218" s="5" t="s">
        <v>1720</v>
      </c>
      <c r="AW1218" s="5" t="s">
        <v>1705</v>
      </c>
      <c r="AX1218" s="5" t="s">
        <v>1837</v>
      </c>
      <c r="AY1218" s="5">
        <v>49.818</v>
      </c>
      <c r="AZ1218" s="5">
        <v>-124.4499</v>
      </c>
      <c r="BA1218" s="5">
        <v>160.0</v>
      </c>
    </row>
    <row r="1219" ht="14.25" customHeight="1">
      <c r="A1219" s="5" t="s">
        <v>422</v>
      </c>
      <c r="B1219" s="5">
        <v>12.0</v>
      </c>
      <c r="C1219" s="5" t="s">
        <v>1711</v>
      </c>
      <c r="D1219" s="5">
        <v>1219.0</v>
      </c>
      <c r="E1219" s="5">
        <v>11418.0</v>
      </c>
      <c r="F1219" s="18" t="s">
        <v>4387</v>
      </c>
      <c r="G1219" s="5" t="s">
        <v>4388</v>
      </c>
      <c r="H1219" s="5" t="s">
        <v>4389</v>
      </c>
      <c r="I1219" s="5" t="s">
        <v>49</v>
      </c>
      <c r="J1219" s="5" t="s">
        <v>1746</v>
      </c>
      <c r="K1219" s="5">
        <v>1.0</v>
      </c>
      <c r="L1219" s="5">
        <v>13479.0</v>
      </c>
      <c r="M1219" s="8"/>
      <c r="AK1219" s="9"/>
      <c r="AO1219" s="67" t="s">
        <v>4387</v>
      </c>
      <c r="AP1219" s="5">
        <v>1219.0</v>
      </c>
      <c r="AQ1219" s="5" t="s">
        <v>1716</v>
      </c>
      <c r="AR1219" s="5" t="s">
        <v>1717</v>
      </c>
      <c r="AS1219" s="5" t="s">
        <v>1718</v>
      </c>
      <c r="AT1219" s="5" t="s">
        <v>1835</v>
      </c>
      <c r="AU1219" s="5" t="s">
        <v>1836</v>
      </c>
      <c r="AV1219" s="5" t="s">
        <v>1720</v>
      </c>
      <c r="AW1219" s="5" t="s">
        <v>1947</v>
      </c>
      <c r="AX1219" s="5" t="s">
        <v>1986</v>
      </c>
      <c r="AY1219" s="5">
        <v>58.7095</v>
      </c>
      <c r="AZ1219" s="5">
        <v>-132.9635</v>
      </c>
      <c r="BA1219" s="5">
        <v>627.0</v>
      </c>
    </row>
    <row r="1220" ht="14.25" customHeight="1">
      <c r="A1220" s="5" t="s">
        <v>422</v>
      </c>
      <c r="B1220" s="5">
        <v>12.0</v>
      </c>
      <c r="C1220" s="5" t="s">
        <v>1711</v>
      </c>
      <c r="D1220" s="5">
        <v>1220.0</v>
      </c>
      <c r="E1220" s="5">
        <v>11420.0</v>
      </c>
      <c r="F1220" s="18" t="s">
        <v>4390</v>
      </c>
      <c r="G1220" s="5" t="s">
        <v>4391</v>
      </c>
      <c r="H1220" s="5" t="s">
        <v>4392</v>
      </c>
      <c r="I1220" s="5" t="s">
        <v>49</v>
      </c>
      <c r="J1220" s="5" t="s">
        <v>1746</v>
      </c>
      <c r="K1220" s="5">
        <v>1.0</v>
      </c>
      <c r="L1220" s="5">
        <v>13481.0</v>
      </c>
      <c r="M1220" s="8"/>
      <c r="AK1220" s="9"/>
      <c r="AO1220" s="67" t="s">
        <v>4390</v>
      </c>
      <c r="AP1220" s="5">
        <v>1220.0</v>
      </c>
      <c r="AQ1220" s="5" t="s">
        <v>1716</v>
      </c>
      <c r="AR1220" s="5" t="s">
        <v>1717</v>
      </c>
      <c r="AS1220" s="5" t="s">
        <v>1718</v>
      </c>
      <c r="AT1220" s="5" t="s">
        <v>1835</v>
      </c>
      <c r="AU1220" s="5" t="s">
        <v>1836</v>
      </c>
      <c r="AV1220" s="5" t="s">
        <v>1720</v>
      </c>
      <c r="AW1220" s="5" t="s">
        <v>2698</v>
      </c>
      <c r="AX1220" s="5" t="s">
        <v>2801</v>
      </c>
      <c r="AY1220" s="5">
        <v>49.5825</v>
      </c>
      <c r="AZ1220" s="5">
        <v>-117.2529</v>
      </c>
      <c r="BA1220" s="5">
        <v>1204.0</v>
      </c>
    </row>
    <row r="1221" ht="14.25" customHeight="1">
      <c r="B1221" s="5">
        <v>12.0</v>
      </c>
      <c r="C1221" s="5" t="s">
        <v>1711</v>
      </c>
      <c r="D1221" s="5">
        <v>1221.0</v>
      </c>
      <c r="E1221" s="5">
        <v>11421.0</v>
      </c>
      <c r="F1221" s="5" t="s">
        <v>4393</v>
      </c>
      <c r="G1221" s="5" t="s">
        <v>4394</v>
      </c>
      <c r="H1221" s="5" t="s">
        <v>4395</v>
      </c>
      <c r="I1221" s="5" t="s">
        <v>49</v>
      </c>
      <c r="J1221" s="5" t="s">
        <v>1829</v>
      </c>
      <c r="K1221" s="5">
        <v>1.0</v>
      </c>
      <c r="L1221" s="5">
        <v>13482.0</v>
      </c>
      <c r="M1221" s="8"/>
      <c r="AK1221" s="9"/>
      <c r="AO1221" s="5" t="s">
        <v>4393</v>
      </c>
      <c r="AP1221" s="5">
        <v>1221.0</v>
      </c>
      <c r="AQ1221" s="5" t="s">
        <v>1716</v>
      </c>
      <c r="AR1221" s="5" t="s">
        <v>1739</v>
      </c>
      <c r="AS1221" s="5" t="s">
        <v>1740</v>
      </c>
      <c r="AT1221" s="5" t="s">
        <v>1741</v>
      </c>
      <c r="AU1221" s="5" t="s">
        <v>1742</v>
      </c>
      <c r="AV1221" s="5" t="s">
        <v>1720</v>
      </c>
      <c r="AW1221" s="5" t="s">
        <v>1705</v>
      </c>
      <c r="AX1221" s="5" t="s">
        <v>1879</v>
      </c>
      <c r="AY1221" s="5">
        <v>50.0708</v>
      </c>
      <c r="AZ1221" s="5">
        <v>-123.2771</v>
      </c>
      <c r="BA1221" s="5">
        <v>1592.0</v>
      </c>
    </row>
    <row r="1222" ht="14.25" customHeight="1">
      <c r="A1222" s="5" t="s">
        <v>422</v>
      </c>
      <c r="B1222" s="5">
        <v>12.0</v>
      </c>
      <c r="C1222" s="5" t="s">
        <v>1711</v>
      </c>
      <c r="D1222" s="5">
        <v>1224.0</v>
      </c>
      <c r="E1222" s="5">
        <v>11422.0</v>
      </c>
      <c r="F1222" s="18" t="s">
        <v>4396</v>
      </c>
      <c r="G1222" s="5" t="s">
        <v>4397</v>
      </c>
      <c r="H1222" s="5" t="s">
        <v>4398</v>
      </c>
      <c r="I1222" s="5" t="s">
        <v>49</v>
      </c>
      <c r="J1222" s="5" t="s">
        <v>1746</v>
      </c>
      <c r="K1222" s="5">
        <v>1.0</v>
      </c>
      <c r="L1222" s="5">
        <v>13483.0</v>
      </c>
      <c r="M1222" s="8"/>
      <c r="AK1222" s="9"/>
      <c r="AO1222" s="67" t="s">
        <v>4396</v>
      </c>
      <c r="AP1222" s="5">
        <v>1224.0</v>
      </c>
      <c r="AQ1222" s="5" t="s">
        <v>1716</v>
      </c>
      <c r="AR1222" s="5" t="s">
        <v>1717</v>
      </c>
      <c r="AS1222" s="5" t="s">
        <v>1740</v>
      </c>
      <c r="AT1222" s="5" t="s">
        <v>1835</v>
      </c>
      <c r="AU1222" s="5" t="s">
        <v>1742</v>
      </c>
      <c r="AV1222" s="5" t="s">
        <v>1720</v>
      </c>
      <c r="AW1222" s="5" t="s">
        <v>1705</v>
      </c>
      <c r="AX1222" s="5" t="s">
        <v>1879</v>
      </c>
      <c r="AY1222" s="5">
        <v>50.6199</v>
      </c>
      <c r="AZ1222" s="5">
        <v>-123.3967</v>
      </c>
      <c r="BA1222" s="5">
        <v>413.0</v>
      </c>
    </row>
    <row r="1223" ht="14.25" customHeight="1">
      <c r="A1223" s="5" t="s">
        <v>422</v>
      </c>
      <c r="B1223" s="5">
        <v>12.0</v>
      </c>
      <c r="C1223" s="5" t="s">
        <v>1711</v>
      </c>
      <c r="D1223" s="5">
        <v>1230.0</v>
      </c>
      <c r="E1223" s="5">
        <v>11424.0</v>
      </c>
      <c r="F1223" s="18" t="s">
        <v>4399</v>
      </c>
      <c r="G1223" s="5" t="s">
        <v>4400</v>
      </c>
      <c r="H1223" s="5" t="s">
        <v>4401</v>
      </c>
      <c r="I1223" s="5" t="s">
        <v>49</v>
      </c>
      <c r="J1223" s="5" t="s">
        <v>1746</v>
      </c>
      <c r="K1223" s="5">
        <v>1.0</v>
      </c>
      <c r="L1223" s="5">
        <v>13486.0</v>
      </c>
      <c r="M1223" s="8"/>
      <c r="AK1223" s="9"/>
      <c r="AO1223" s="5" t="s">
        <v>4399</v>
      </c>
      <c r="AP1223" s="5">
        <v>1230.0</v>
      </c>
      <c r="AQ1223" s="5" t="s">
        <v>1716</v>
      </c>
      <c r="AR1223" s="5" t="s">
        <v>1717</v>
      </c>
      <c r="AS1223" s="5" t="s">
        <v>1718</v>
      </c>
      <c r="AT1223" s="5" t="s">
        <v>1835</v>
      </c>
      <c r="AU1223" s="5" t="s">
        <v>1959</v>
      </c>
      <c r="AV1223" s="5" t="s">
        <v>1720</v>
      </c>
      <c r="AW1223" s="5" t="s">
        <v>2003</v>
      </c>
      <c r="AX1223" s="5" t="s">
        <v>2087</v>
      </c>
      <c r="AY1223" s="5">
        <v>55.2393</v>
      </c>
      <c r="AZ1223" s="5">
        <v>-123.6303</v>
      </c>
      <c r="BA1223" s="5">
        <v>1000.0</v>
      </c>
    </row>
    <row r="1224" ht="14.25" customHeight="1">
      <c r="A1224" s="5" t="s">
        <v>422</v>
      </c>
      <c r="B1224" s="5">
        <v>12.0</v>
      </c>
      <c r="C1224" s="5" t="s">
        <v>1711</v>
      </c>
      <c r="D1224" s="5">
        <v>1234.0</v>
      </c>
      <c r="E1224" s="5">
        <v>11423.0</v>
      </c>
      <c r="F1224" s="18" t="s">
        <v>4402</v>
      </c>
      <c r="G1224" s="5" t="s">
        <v>4403</v>
      </c>
      <c r="H1224" s="5" t="s">
        <v>4404</v>
      </c>
      <c r="I1224" s="5" t="s">
        <v>49</v>
      </c>
      <c r="J1224" s="5" t="s">
        <v>1746</v>
      </c>
      <c r="K1224" s="5">
        <v>1.0</v>
      </c>
      <c r="L1224" s="5">
        <v>13485.0</v>
      </c>
      <c r="M1224" s="8"/>
      <c r="AK1224" s="9"/>
      <c r="AO1224" s="67" t="s">
        <v>4402</v>
      </c>
      <c r="AP1224" s="5">
        <v>1234.0</v>
      </c>
      <c r="AQ1224" s="5" t="s">
        <v>1716</v>
      </c>
      <c r="AR1224" s="5" t="s">
        <v>1717</v>
      </c>
      <c r="AS1224" s="5" t="s">
        <v>1718</v>
      </c>
      <c r="AT1224" s="5" t="s">
        <v>1835</v>
      </c>
      <c r="AU1224" s="5" t="s">
        <v>1836</v>
      </c>
      <c r="AV1224" s="5" t="s">
        <v>1720</v>
      </c>
      <c r="AW1224" s="5" t="s">
        <v>2698</v>
      </c>
      <c r="AX1224" s="5" t="s">
        <v>2827</v>
      </c>
      <c r="AY1224" s="5">
        <v>49.1547</v>
      </c>
      <c r="AZ1224" s="5">
        <v>-119.0446</v>
      </c>
      <c r="BA1224" s="5">
        <v>1126.0</v>
      </c>
    </row>
    <row r="1225" ht="14.25" customHeight="1">
      <c r="A1225" s="5" t="s">
        <v>422</v>
      </c>
      <c r="B1225" s="5">
        <v>12.0</v>
      </c>
      <c r="C1225" s="5" t="s">
        <v>1711</v>
      </c>
      <c r="D1225" s="5">
        <v>1235.0</v>
      </c>
      <c r="E1225" s="5">
        <v>11425.0</v>
      </c>
      <c r="F1225" s="18" t="s">
        <v>4405</v>
      </c>
      <c r="G1225" s="5" t="s">
        <v>4406</v>
      </c>
      <c r="H1225" s="5" t="s">
        <v>4407</v>
      </c>
      <c r="I1225" s="5" t="s">
        <v>49</v>
      </c>
      <c r="J1225" s="5" t="s">
        <v>1746</v>
      </c>
      <c r="K1225" s="5">
        <v>1.0</v>
      </c>
      <c r="L1225" s="5">
        <v>13487.0</v>
      </c>
      <c r="M1225" s="8"/>
      <c r="AK1225" s="9"/>
      <c r="AO1225" s="67" t="s">
        <v>4405</v>
      </c>
      <c r="AP1225" s="5">
        <v>1235.0</v>
      </c>
      <c r="AQ1225" s="5" t="s">
        <v>1716</v>
      </c>
      <c r="AR1225" s="5" t="s">
        <v>1717</v>
      </c>
      <c r="AS1225" s="5" t="s">
        <v>1718</v>
      </c>
      <c r="AT1225" s="5" t="s">
        <v>1835</v>
      </c>
      <c r="AU1225" s="5" t="s">
        <v>1836</v>
      </c>
      <c r="AV1225" s="5" t="s">
        <v>1720</v>
      </c>
      <c r="AW1225" s="5" t="s">
        <v>1705</v>
      </c>
      <c r="AX1225" s="5" t="s">
        <v>1879</v>
      </c>
      <c r="AY1225" s="5">
        <v>50.0839</v>
      </c>
      <c r="AZ1225" s="5">
        <v>-123.0475</v>
      </c>
      <c r="BA1225" s="5">
        <v>593.0</v>
      </c>
    </row>
    <row r="1226" ht="14.25" customHeight="1">
      <c r="A1226" s="5" t="s">
        <v>422</v>
      </c>
      <c r="B1226" s="5">
        <v>12.0</v>
      </c>
      <c r="C1226" s="5" t="s">
        <v>1711</v>
      </c>
      <c r="D1226" s="5">
        <v>1236.0</v>
      </c>
      <c r="E1226" s="5">
        <v>11426.0</v>
      </c>
      <c r="F1226" s="18" t="s">
        <v>4408</v>
      </c>
      <c r="G1226" s="5" t="s">
        <v>4409</v>
      </c>
      <c r="H1226" s="5" t="s">
        <v>4410</v>
      </c>
      <c r="I1226" s="5" t="s">
        <v>49</v>
      </c>
      <c r="J1226" s="5" t="s">
        <v>1746</v>
      </c>
      <c r="K1226" s="5">
        <v>1.0</v>
      </c>
      <c r="L1226" s="5">
        <v>13488.0</v>
      </c>
      <c r="M1226" s="8"/>
      <c r="AK1226" s="9"/>
      <c r="AO1226" s="67" t="s">
        <v>4408</v>
      </c>
      <c r="AP1226" s="5">
        <v>1236.0</v>
      </c>
      <c r="AQ1226" s="5" t="s">
        <v>1716</v>
      </c>
      <c r="AR1226" s="5" t="s">
        <v>1717</v>
      </c>
      <c r="AS1226" s="5" t="s">
        <v>1740</v>
      </c>
      <c r="AT1226" s="5" t="s">
        <v>1835</v>
      </c>
      <c r="AU1226" s="5" t="s">
        <v>1742</v>
      </c>
      <c r="AV1226" s="5" t="s">
        <v>1720</v>
      </c>
      <c r="AW1226" s="5" t="s">
        <v>2368</v>
      </c>
      <c r="AX1226" s="5" t="s">
        <v>2516</v>
      </c>
      <c r="AY1226" s="5">
        <v>49.1619</v>
      </c>
      <c r="AZ1226" s="5">
        <v>-119.6536</v>
      </c>
      <c r="BA1226" s="5">
        <v>1717.0</v>
      </c>
    </row>
    <row r="1227" ht="14.25" customHeight="1">
      <c r="A1227" s="5" t="s">
        <v>1692</v>
      </c>
      <c r="B1227" s="5">
        <v>12.0</v>
      </c>
      <c r="C1227" s="10" t="s">
        <v>1693</v>
      </c>
      <c r="D1227" s="10" t="s">
        <v>4411</v>
      </c>
      <c r="E1227" s="5">
        <v>11433.0</v>
      </c>
      <c r="F1227" s="5" t="s">
        <v>4412</v>
      </c>
      <c r="G1227" s="10" t="s">
        <v>4413</v>
      </c>
      <c r="H1227" s="5" t="s">
        <v>4414</v>
      </c>
      <c r="I1227" s="5" t="s">
        <v>49</v>
      </c>
      <c r="J1227" s="5" t="s">
        <v>1746</v>
      </c>
      <c r="K1227" s="5">
        <v>1.0</v>
      </c>
      <c r="L1227" s="5">
        <v>13492.0</v>
      </c>
      <c r="M1227" s="8"/>
      <c r="AK1227" s="9"/>
      <c r="AO1227" s="50" t="s">
        <v>4412</v>
      </c>
      <c r="AP1227" s="50">
        <v>1239.0</v>
      </c>
      <c r="AQ1227" s="50" t="s">
        <v>1716</v>
      </c>
      <c r="AR1227" s="50" t="s">
        <v>1701</v>
      </c>
      <c r="AS1227" s="50" t="s">
        <v>1740</v>
      </c>
      <c r="AT1227" s="50" t="s">
        <v>1741</v>
      </c>
      <c r="AU1227" s="50" t="s">
        <v>1742</v>
      </c>
      <c r="AV1227" s="50" t="s">
        <v>4415</v>
      </c>
      <c r="AW1227" s="50" t="s">
        <v>2698</v>
      </c>
      <c r="AX1227" s="50"/>
      <c r="AY1227" s="50">
        <v>51.968</v>
      </c>
      <c r="AZ1227" s="50">
        <v>-116.7148</v>
      </c>
      <c r="BA1227" s="50">
        <v>1442.0</v>
      </c>
    </row>
    <row r="1228" ht="14.25" customHeight="1">
      <c r="A1228" s="5" t="s">
        <v>1692</v>
      </c>
      <c r="B1228" s="5">
        <v>12.0</v>
      </c>
      <c r="C1228" s="10" t="s">
        <v>1693</v>
      </c>
      <c r="D1228" s="10" t="s">
        <v>4416</v>
      </c>
      <c r="E1228" s="5">
        <v>11431.0</v>
      </c>
      <c r="F1228" s="5" t="s">
        <v>4417</v>
      </c>
      <c r="G1228" s="10" t="s">
        <v>4418</v>
      </c>
      <c r="H1228" s="5" t="s">
        <v>4419</v>
      </c>
      <c r="I1228" s="5" t="s">
        <v>49</v>
      </c>
      <c r="J1228" s="5" t="s">
        <v>1746</v>
      </c>
      <c r="K1228" s="5">
        <v>1.0</v>
      </c>
      <c r="L1228" s="5">
        <v>13493.0</v>
      </c>
      <c r="M1228" s="8"/>
      <c r="AK1228" s="9"/>
      <c r="AO1228" s="50" t="s">
        <v>4417</v>
      </c>
      <c r="AP1228" s="50">
        <v>1240.0</v>
      </c>
      <c r="AQ1228" s="50" t="s">
        <v>1716</v>
      </c>
      <c r="AR1228" s="50" t="s">
        <v>1701</v>
      </c>
      <c r="AS1228" s="50" t="s">
        <v>1740</v>
      </c>
      <c r="AT1228" s="50" t="s">
        <v>1741</v>
      </c>
      <c r="AU1228" s="50" t="s">
        <v>1742</v>
      </c>
      <c r="AV1228" s="50" t="s">
        <v>4415</v>
      </c>
      <c r="AW1228" s="50" t="s">
        <v>2698</v>
      </c>
      <c r="AX1228" s="50" t="s">
        <v>2699</v>
      </c>
      <c r="AY1228" s="50">
        <v>51.3664</v>
      </c>
      <c r="AZ1228" s="50">
        <v>-116.5264</v>
      </c>
      <c r="BA1228" s="50">
        <v>1275.0</v>
      </c>
    </row>
    <row r="1229" ht="14.25" customHeight="1">
      <c r="A1229" s="5" t="s">
        <v>1692</v>
      </c>
      <c r="B1229" s="5">
        <v>12.0</v>
      </c>
      <c r="C1229" s="10" t="s">
        <v>1693</v>
      </c>
      <c r="D1229" s="10" t="s">
        <v>4420</v>
      </c>
      <c r="E1229" s="5">
        <v>11430.0</v>
      </c>
      <c r="F1229" s="5" t="s">
        <v>4421</v>
      </c>
      <c r="G1229" s="10" t="s">
        <v>4422</v>
      </c>
      <c r="H1229" s="5" t="s">
        <v>4414</v>
      </c>
      <c r="I1229" s="5" t="s">
        <v>49</v>
      </c>
      <c r="J1229" s="5" t="s">
        <v>1746</v>
      </c>
      <c r="K1229" s="5">
        <v>1.0</v>
      </c>
      <c r="L1229" s="5">
        <v>13494.0</v>
      </c>
      <c r="M1229" s="8"/>
      <c r="AK1229" s="9"/>
      <c r="AO1229" s="50" t="s">
        <v>4421</v>
      </c>
      <c r="AP1229" s="50">
        <v>1241.0</v>
      </c>
      <c r="AQ1229" s="50" t="s">
        <v>1716</v>
      </c>
      <c r="AR1229" s="50" t="s">
        <v>1701</v>
      </c>
      <c r="AS1229" s="50" t="s">
        <v>1740</v>
      </c>
      <c r="AT1229" s="50" t="s">
        <v>1741</v>
      </c>
      <c r="AU1229" s="50" t="s">
        <v>1742</v>
      </c>
      <c r="AV1229" s="50" t="s">
        <v>4415</v>
      </c>
      <c r="AW1229" s="50" t="s">
        <v>2698</v>
      </c>
      <c r="AX1229" s="50" t="s">
        <v>2699</v>
      </c>
      <c r="AY1229" s="50">
        <v>51.0234</v>
      </c>
      <c r="AZ1229" s="50">
        <v>-115.9789</v>
      </c>
      <c r="BA1229" s="50">
        <v>1277.0</v>
      </c>
    </row>
    <row r="1230" ht="14.25" customHeight="1">
      <c r="A1230" s="5" t="s">
        <v>1692</v>
      </c>
      <c r="B1230" s="5">
        <v>12.0</v>
      </c>
      <c r="C1230" s="10" t="s">
        <v>1693</v>
      </c>
      <c r="D1230" s="10" t="s">
        <v>4423</v>
      </c>
      <c r="E1230" s="5">
        <v>11432.0</v>
      </c>
      <c r="F1230" s="5" t="s">
        <v>4424</v>
      </c>
      <c r="G1230" s="10" t="s">
        <v>4425</v>
      </c>
      <c r="H1230" s="5" t="s">
        <v>4419</v>
      </c>
      <c r="I1230" s="5" t="s">
        <v>49</v>
      </c>
      <c r="J1230" s="5" t="s">
        <v>1746</v>
      </c>
      <c r="K1230" s="5">
        <v>1.0</v>
      </c>
      <c r="L1230" s="5">
        <v>13495.0</v>
      </c>
      <c r="M1230" s="8"/>
      <c r="AK1230" s="9"/>
      <c r="AO1230" s="50" t="s">
        <v>4424</v>
      </c>
      <c r="AP1230" s="50">
        <v>1242.0</v>
      </c>
      <c r="AQ1230" s="50" t="s">
        <v>1716</v>
      </c>
      <c r="AR1230" s="50" t="s">
        <v>1701</v>
      </c>
      <c r="AS1230" s="50" t="s">
        <v>1740</v>
      </c>
      <c r="AT1230" s="50" t="s">
        <v>1741</v>
      </c>
      <c r="AU1230" s="50" t="s">
        <v>1742</v>
      </c>
      <c r="AV1230" s="50" t="s">
        <v>4415</v>
      </c>
      <c r="AW1230" s="50" t="s">
        <v>2698</v>
      </c>
      <c r="AX1230" s="50" t="s">
        <v>2768</v>
      </c>
      <c r="AY1230" s="50">
        <v>50.7691</v>
      </c>
      <c r="AZ1230" s="50">
        <v>-115.9508</v>
      </c>
      <c r="BA1230" s="50">
        <v>1132.0</v>
      </c>
    </row>
    <row r="1231" ht="14.25" customHeight="1">
      <c r="A1231" s="5" t="s">
        <v>422</v>
      </c>
      <c r="B1231" s="5">
        <v>12.0</v>
      </c>
      <c r="C1231" s="5" t="s">
        <v>4426</v>
      </c>
      <c r="D1231" s="5">
        <v>1243.0</v>
      </c>
      <c r="E1231" s="5">
        <v>11427.0</v>
      </c>
      <c r="F1231" s="5" t="s">
        <v>4427</v>
      </c>
      <c r="G1231" s="5" t="s">
        <v>4428</v>
      </c>
      <c r="H1231" s="5" t="s">
        <v>4429</v>
      </c>
      <c r="I1231" s="5" t="s">
        <v>49</v>
      </c>
      <c r="J1231" s="5" t="s">
        <v>1746</v>
      </c>
      <c r="K1231" s="5">
        <v>1.0</v>
      </c>
      <c r="L1231" s="5">
        <v>13489.0</v>
      </c>
      <c r="M1231" s="8"/>
      <c r="AK1231" s="9"/>
      <c r="AO1231" s="5" t="s">
        <v>4427</v>
      </c>
      <c r="AP1231" s="5">
        <v>1243.0</v>
      </c>
      <c r="AQ1231" s="5" t="s">
        <v>1716</v>
      </c>
      <c r="AR1231" s="5" t="s">
        <v>2441</v>
      </c>
      <c r="AS1231" s="5" t="s">
        <v>2257</v>
      </c>
      <c r="AT1231" s="5" t="s">
        <v>1703</v>
      </c>
      <c r="AU1231" s="5" t="s">
        <v>1704</v>
      </c>
      <c r="AW1231" s="5" t="s">
        <v>2003</v>
      </c>
      <c r="AX1231" s="5" t="s">
        <v>2004</v>
      </c>
      <c r="AY1231" s="5">
        <v>56.2327</v>
      </c>
      <c r="AZ1231" s="5">
        <v>-121.4664</v>
      </c>
      <c r="BA1231" s="5">
        <v>646.0</v>
      </c>
    </row>
    <row r="1232" ht="14.25" customHeight="1">
      <c r="A1232" s="5" t="s">
        <v>422</v>
      </c>
      <c r="B1232" s="5">
        <v>12.0</v>
      </c>
      <c r="C1232" s="5" t="s">
        <v>1711</v>
      </c>
      <c r="D1232" s="5">
        <v>1244.0</v>
      </c>
      <c r="E1232" s="5">
        <v>11429.0</v>
      </c>
      <c r="F1232" s="5" t="s">
        <v>4430</v>
      </c>
      <c r="G1232" s="5" t="s">
        <v>4431</v>
      </c>
      <c r="H1232" s="5" t="s">
        <v>4432</v>
      </c>
      <c r="I1232" s="5" t="s">
        <v>49</v>
      </c>
      <c r="J1232" s="5" t="s">
        <v>1746</v>
      </c>
      <c r="K1232" s="5">
        <v>1.0</v>
      </c>
      <c r="L1232" s="5">
        <v>13490.0</v>
      </c>
      <c r="M1232" s="8"/>
      <c r="AK1232" s="9"/>
      <c r="AO1232" s="5" t="s">
        <v>4430</v>
      </c>
      <c r="AP1232" s="5">
        <v>1244.0</v>
      </c>
      <c r="AQ1232" s="5" t="s">
        <v>1716</v>
      </c>
      <c r="AR1232" s="5" t="s">
        <v>2441</v>
      </c>
      <c r="AS1232" s="5" t="s">
        <v>2257</v>
      </c>
      <c r="AT1232" s="5" t="s">
        <v>1703</v>
      </c>
      <c r="AU1232" s="5" t="s">
        <v>1704</v>
      </c>
      <c r="AW1232" s="5" t="s">
        <v>2003</v>
      </c>
      <c r="AX1232" s="5" t="s">
        <v>2004</v>
      </c>
      <c r="AY1232" s="5">
        <v>56.2751</v>
      </c>
      <c r="AZ1232" s="5">
        <v>-121.2127</v>
      </c>
      <c r="BA1232" s="5">
        <v>474.0</v>
      </c>
    </row>
    <row r="1233" ht="14.25" customHeight="1">
      <c r="A1233" s="5" t="s">
        <v>422</v>
      </c>
      <c r="B1233" s="5">
        <v>12.0</v>
      </c>
      <c r="C1233" s="5" t="s">
        <v>4426</v>
      </c>
      <c r="D1233" s="5">
        <v>1245.0</v>
      </c>
      <c r="E1233" s="5">
        <v>11428.0</v>
      </c>
      <c r="F1233" s="18" t="s">
        <v>4433</v>
      </c>
      <c r="G1233" s="5" t="s">
        <v>4434</v>
      </c>
      <c r="H1233" s="5" t="s">
        <v>4429</v>
      </c>
      <c r="I1233" s="5" t="s">
        <v>49</v>
      </c>
      <c r="J1233" s="5" t="s">
        <v>1746</v>
      </c>
      <c r="K1233" s="5">
        <v>1.0</v>
      </c>
      <c r="L1233" s="5">
        <v>13491.0</v>
      </c>
      <c r="M1233" s="8"/>
      <c r="AK1233" s="9"/>
      <c r="AO1233" s="5" t="s">
        <v>4433</v>
      </c>
      <c r="AP1233" s="5">
        <v>1245.0</v>
      </c>
      <c r="AQ1233" s="5" t="s">
        <v>1716</v>
      </c>
      <c r="AR1233" s="5" t="s">
        <v>1717</v>
      </c>
      <c r="AS1233" s="5" t="s">
        <v>2257</v>
      </c>
      <c r="AT1233" s="5" t="s">
        <v>1703</v>
      </c>
      <c r="AU1233" s="5" t="s">
        <v>1704</v>
      </c>
      <c r="AW1233" s="5" t="s">
        <v>2003</v>
      </c>
      <c r="AX1233" s="5" t="s">
        <v>2004</v>
      </c>
      <c r="AY1233" s="5">
        <v>56.2052</v>
      </c>
      <c r="AZ1233" s="5">
        <v>-120.9121</v>
      </c>
      <c r="BA1233" s="5">
        <v>606.0</v>
      </c>
    </row>
    <row r="1234" ht="14.25" customHeight="1">
      <c r="A1234" s="5" t="s">
        <v>422</v>
      </c>
      <c r="B1234" s="5">
        <v>12.0</v>
      </c>
      <c r="C1234" s="5" t="s">
        <v>1711</v>
      </c>
      <c r="D1234" s="5">
        <v>1246.0</v>
      </c>
      <c r="E1234" s="5">
        <v>12010.0</v>
      </c>
      <c r="F1234" s="18" t="s">
        <v>4435</v>
      </c>
      <c r="G1234" s="5" t="s">
        <v>4436</v>
      </c>
      <c r="H1234" s="5" t="s">
        <v>4437</v>
      </c>
      <c r="I1234" s="5" t="s">
        <v>49</v>
      </c>
      <c r="J1234" s="5" t="s">
        <v>1746</v>
      </c>
      <c r="K1234" s="5">
        <v>1.0</v>
      </c>
      <c r="L1234" s="5">
        <v>14065.0</v>
      </c>
      <c r="M1234" s="8"/>
      <c r="AK1234" s="9"/>
      <c r="AO1234" s="67" t="s">
        <v>4435</v>
      </c>
      <c r="AP1234" s="5">
        <v>1246.0</v>
      </c>
      <c r="AQ1234" s="5" t="s">
        <v>1716</v>
      </c>
      <c r="AR1234" s="5" t="s">
        <v>1717</v>
      </c>
      <c r="AS1234" s="5" t="s">
        <v>1718</v>
      </c>
      <c r="AT1234" s="5" t="s">
        <v>1835</v>
      </c>
      <c r="AU1234" s="5" t="s">
        <v>1836</v>
      </c>
      <c r="AV1234" s="5" t="s">
        <v>1720</v>
      </c>
      <c r="AW1234" s="5" t="s">
        <v>2698</v>
      </c>
      <c r="AX1234" s="5" t="s">
        <v>2801</v>
      </c>
      <c r="AY1234" s="5">
        <v>49.9173</v>
      </c>
      <c r="AZ1234" s="5">
        <v>-116.9999</v>
      </c>
      <c r="BA1234" s="5">
        <v>1020.0</v>
      </c>
    </row>
    <row r="1235" ht="14.25" customHeight="1">
      <c r="A1235" s="5" t="s">
        <v>422</v>
      </c>
      <c r="B1235" s="5">
        <v>12.0</v>
      </c>
      <c r="C1235" s="5" t="s">
        <v>1711</v>
      </c>
      <c r="D1235" s="5">
        <v>1247.0</v>
      </c>
      <c r="E1235" s="5">
        <v>12011.0</v>
      </c>
      <c r="F1235" s="18" t="s">
        <v>4438</v>
      </c>
      <c r="G1235" s="5" t="s">
        <v>4439</v>
      </c>
      <c r="H1235" s="5" t="s">
        <v>4440</v>
      </c>
      <c r="I1235" s="5" t="s">
        <v>49</v>
      </c>
      <c r="J1235" s="5" t="s">
        <v>1746</v>
      </c>
      <c r="K1235" s="5">
        <v>1.0</v>
      </c>
      <c r="L1235" s="5">
        <v>14067.0</v>
      </c>
      <c r="M1235" s="8"/>
      <c r="AK1235" s="9"/>
      <c r="AO1235" s="5" t="s">
        <v>4438</v>
      </c>
      <c r="AP1235" s="5">
        <v>1247.0</v>
      </c>
      <c r="AQ1235" s="5" t="s">
        <v>1716</v>
      </c>
      <c r="AR1235" s="5" t="s">
        <v>1717</v>
      </c>
      <c r="AS1235" s="5" t="s">
        <v>1718</v>
      </c>
      <c r="AT1235" s="5" t="s">
        <v>1835</v>
      </c>
      <c r="AU1235" s="5" t="s">
        <v>1836</v>
      </c>
      <c r="AV1235" s="5" t="s">
        <v>1720</v>
      </c>
      <c r="AW1235" s="5" t="s">
        <v>1705</v>
      </c>
      <c r="AX1235" s="5" t="s">
        <v>1747</v>
      </c>
      <c r="AY1235" s="5">
        <v>48.7003</v>
      </c>
      <c r="AZ1235" s="5">
        <v>-123.592</v>
      </c>
      <c r="BA1235" s="5">
        <v>375.0</v>
      </c>
    </row>
    <row r="1236" ht="14.25" customHeight="1">
      <c r="A1236" s="5" t="s">
        <v>422</v>
      </c>
      <c r="B1236" s="5">
        <v>12.0</v>
      </c>
      <c r="C1236" s="5" t="s">
        <v>1711</v>
      </c>
      <c r="D1236" s="5">
        <v>1250.0</v>
      </c>
      <c r="E1236" s="5">
        <v>12015.0</v>
      </c>
      <c r="F1236" s="18" t="s">
        <v>4441</v>
      </c>
      <c r="G1236" s="5" t="s">
        <v>4442</v>
      </c>
      <c r="H1236" s="5" t="s">
        <v>4443</v>
      </c>
      <c r="I1236" s="5" t="s">
        <v>49</v>
      </c>
      <c r="J1236" s="5" t="s">
        <v>1746</v>
      </c>
      <c r="K1236" s="5">
        <v>1.0</v>
      </c>
      <c r="L1236" s="5">
        <v>14072.0</v>
      </c>
      <c r="M1236" s="8"/>
      <c r="AK1236" s="9"/>
      <c r="AO1236" s="5" t="s">
        <v>4441</v>
      </c>
      <c r="AP1236" s="5">
        <v>1250.0</v>
      </c>
      <c r="AQ1236" s="5" t="s">
        <v>1716</v>
      </c>
      <c r="AR1236" s="5" t="s">
        <v>1717</v>
      </c>
      <c r="AS1236" s="5" t="s">
        <v>1718</v>
      </c>
      <c r="AT1236" s="5" t="s">
        <v>1835</v>
      </c>
      <c r="AU1236" s="5" t="s">
        <v>1836</v>
      </c>
      <c r="AV1236" s="5" t="s">
        <v>1720</v>
      </c>
      <c r="AW1236" s="5" t="s">
        <v>1705</v>
      </c>
      <c r="AX1236" s="5" t="s">
        <v>1879</v>
      </c>
      <c r="AY1236" s="5">
        <v>50.0825</v>
      </c>
      <c r="AZ1236" s="5">
        <v>-123.0413</v>
      </c>
      <c r="BA1236" s="5">
        <v>595.0</v>
      </c>
    </row>
    <row r="1237" ht="14.25" customHeight="1">
      <c r="A1237" s="5" t="s">
        <v>2037</v>
      </c>
      <c r="B1237" s="5">
        <v>12.0</v>
      </c>
      <c r="C1237" s="5" t="s">
        <v>1711</v>
      </c>
      <c r="D1237" s="5">
        <v>1251.0</v>
      </c>
      <c r="E1237" s="5">
        <v>12018.0</v>
      </c>
      <c r="F1237" s="5" t="s">
        <v>4444</v>
      </c>
      <c r="G1237" s="5" t="s">
        <v>4445</v>
      </c>
      <c r="H1237" s="5" t="s">
        <v>4446</v>
      </c>
      <c r="I1237" s="5" t="s">
        <v>49</v>
      </c>
      <c r="J1237" s="5" t="s">
        <v>4447</v>
      </c>
      <c r="K1237" s="5">
        <v>1.0</v>
      </c>
      <c r="L1237" s="5">
        <v>14075.0</v>
      </c>
      <c r="M1237" s="8"/>
      <c r="AK1237" s="9"/>
      <c r="AO1237" s="5" t="s">
        <v>4448</v>
      </c>
      <c r="AP1237" s="5">
        <v>1251.0</v>
      </c>
      <c r="AQ1237" s="5" t="s">
        <v>1716</v>
      </c>
      <c r="AR1237" s="5" t="s">
        <v>1717</v>
      </c>
      <c r="AS1237" s="5" t="s">
        <v>1740</v>
      </c>
      <c r="AT1237" s="5" t="s">
        <v>1835</v>
      </c>
      <c r="AU1237" s="5" t="s">
        <v>1742</v>
      </c>
      <c r="AV1237" s="5" t="s">
        <v>1720</v>
      </c>
      <c r="AW1237" s="5" t="s">
        <v>1705</v>
      </c>
      <c r="AX1237" s="5" t="s">
        <v>1837</v>
      </c>
      <c r="AY1237" s="5">
        <v>49.7518</v>
      </c>
      <c r="AZ1237" s="5">
        <v>-123.7051</v>
      </c>
      <c r="BA1237" s="5">
        <v>1.0</v>
      </c>
    </row>
    <row r="1238" ht="14.25" customHeight="1">
      <c r="A1238" s="5" t="s">
        <v>422</v>
      </c>
      <c r="B1238" s="5">
        <v>12.0</v>
      </c>
      <c r="C1238" s="5" t="s">
        <v>1711</v>
      </c>
      <c r="D1238" s="5">
        <v>1252.0</v>
      </c>
      <c r="E1238" s="5">
        <v>12016.0</v>
      </c>
      <c r="F1238" s="18" t="s">
        <v>4449</v>
      </c>
      <c r="G1238" s="5" t="s">
        <v>4450</v>
      </c>
      <c r="H1238" s="5" t="s">
        <v>4451</v>
      </c>
      <c r="I1238" s="5" t="s">
        <v>49</v>
      </c>
      <c r="J1238" s="5" t="s">
        <v>1746</v>
      </c>
      <c r="K1238" s="5">
        <v>1.0</v>
      </c>
      <c r="L1238" s="5">
        <v>14073.0</v>
      </c>
      <c r="M1238" s="8"/>
      <c r="AK1238" s="9"/>
      <c r="AO1238" s="67" t="s">
        <v>4452</v>
      </c>
      <c r="AP1238" s="5">
        <v>1252.0</v>
      </c>
      <c r="AQ1238" s="5" t="s">
        <v>1716</v>
      </c>
      <c r="AR1238" s="5" t="s">
        <v>1717</v>
      </c>
      <c r="AS1238" s="5" t="s">
        <v>1718</v>
      </c>
      <c r="AT1238" s="5" t="s">
        <v>1835</v>
      </c>
      <c r="AU1238" s="5" t="s">
        <v>1836</v>
      </c>
      <c r="AV1238" s="5" t="s">
        <v>1720</v>
      </c>
      <c r="AW1238" s="5" t="s">
        <v>2698</v>
      </c>
      <c r="AX1238" s="5" t="s">
        <v>2801</v>
      </c>
      <c r="AY1238" s="5">
        <v>49.7273</v>
      </c>
      <c r="AZ1238" s="5">
        <v>-116.6615</v>
      </c>
      <c r="BA1238" s="5">
        <v>1400.0</v>
      </c>
    </row>
    <row r="1239" ht="14.25" customHeight="1">
      <c r="A1239" s="5" t="s">
        <v>422</v>
      </c>
      <c r="B1239" s="5">
        <v>12.0</v>
      </c>
      <c r="C1239" s="5" t="s">
        <v>1711</v>
      </c>
      <c r="D1239" s="5">
        <v>1254.0</v>
      </c>
      <c r="E1239" s="5">
        <v>12017.0</v>
      </c>
      <c r="F1239" s="18" t="s">
        <v>4453</v>
      </c>
      <c r="G1239" s="5" t="s">
        <v>4454</v>
      </c>
      <c r="H1239" s="5" t="s">
        <v>4455</v>
      </c>
      <c r="I1239" s="5" t="s">
        <v>49</v>
      </c>
      <c r="J1239" s="5" t="s">
        <v>1746</v>
      </c>
      <c r="K1239" s="5">
        <v>1.0</v>
      </c>
      <c r="L1239" s="5">
        <v>14074.0</v>
      </c>
      <c r="M1239" s="8"/>
      <c r="AK1239" s="9"/>
      <c r="AO1239" s="5" t="s">
        <v>4453</v>
      </c>
      <c r="AP1239" s="5">
        <v>1254.0</v>
      </c>
      <c r="AQ1239" s="5" t="s">
        <v>1716</v>
      </c>
      <c r="AR1239" s="5" t="s">
        <v>1717</v>
      </c>
      <c r="AS1239" s="5" t="s">
        <v>1718</v>
      </c>
      <c r="AT1239" s="5" t="s">
        <v>1841</v>
      </c>
      <c r="AU1239" s="5" t="s">
        <v>1959</v>
      </c>
      <c r="AV1239" s="5" t="s">
        <v>1720</v>
      </c>
      <c r="AW1239" s="5" t="s">
        <v>2368</v>
      </c>
      <c r="AX1239" s="5" t="s">
        <v>2516</v>
      </c>
      <c r="AY1239" s="5">
        <v>49.6486</v>
      </c>
      <c r="AZ1239" s="5">
        <v>-120.0667</v>
      </c>
      <c r="BA1239" s="5">
        <v>1633.0</v>
      </c>
    </row>
    <row r="1240" ht="14.25" customHeight="1">
      <c r="A1240" s="5" t="s">
        <v>422</v>
      </c>
      <c r="B1240" s="5">
        <v>12.0</v>
      </c>
      <c r="C1240" s="5" t="s">
        <v>1711</v>
      </c>
      <c r="D1240" s="5">
        <v>1255.0</v>
      </c>
      <c r="E1240" s="5">
        <v>12020.0</v>
      </c>
      <c r="F1240" s="18" t="s">
        <v>4456</v>
      </c>
      <c r="G1240" s="5" t="s">
        <v>4457</v>
      </c>
      <c r="H1240" s="5" t="s">
        <v>4458</v>
      </c>
      <c r="I1240" s="5" t="s">
        <v>49</v>
      </c>
      <c r="J1240" s="5" t="s">
        <v>1746</v>
      </c>
      <c r="K1240" s="5">
        <v>1.0</v>
      </c>
      <c r="L1240" s="5">
        <v>14077.0</v>
      </c>
      <c r="M1240" s="8"/>
      <c r="AK1240" s="9"/>
      <c r="AO1240" s="5" t="s">
        <v>4456</v>
      </c>
      <c r="AP1240" s="5">
        <v>1255.0</v>
      </c>
      <c r="AQ1240" s="5" t="s">
        <v>1716</v>
      </c>
      <c r="AR1240" s="5" t="s">
        <v>1717</v>
      </c>
      <c r="AS1240" s="5" t="s">
        <v>1718</v>
      </c>
      <c r="AT1240" s="5" t="s">
        <v>1841</v>
      </c>
      <c r="AU1240" s="5" t="s">
        <v>1959</v>
      </c>
      <c r="AV1240" s="5" t="s">
        <v>1720</v>
      </c>
      <c r="AW1240" s="5" t="s">
        <v>2368</v>
      </c>
      <c r="AX1240" s="5" t="s">
        <v>2522</v>
      </c>
      <c r="AY1240" s="5">
        <v>50.6919</v>
      </c>
      <c r="AZ1240" s="5">
        <v>-118.6408</v>
      </c>
      <c r="BA1240" s="5">
        <v>756.0</v>
      </c>
    </row>
    <row r="1241" ht="14.25" customHeight="1">
      <c r="A1241" s="5" t="s">
        <v>422</v>
      </c>
      <c r="B1241" s="5">
        <v>12.0</v>
      </c>
      <c r="C1241" s="5" t="s">
        <v>1711</v>
      </c>
      <c r="D1241" s="5">
        <v>1256.0</v>
      </c>
      <c r="E1241" s="5">
        <v>12021.0</v>
      </c>
      <c r="F1241" s="18" t="s">
        <v>4459</v>
      </c>
      <c r="G1241" s="5" t="s">
        <v>4460</v>
      </c>
      <c r="H1241" s="5" t="s">
        <v>4461</v>
      </c>
      <c r="I1241" s="5" t="s">
        <v>49</v>
      </c>
      <c r="J1241" s="5" t="s">
        <v>1746</v>
      </c>
      <c r="K1241" s="5">
        <v>1.0</v>
      </c>
      <c r="L1241" s="5">
        <v>14078.0</v>
      </c>
      <c r="M1241" s="8"/>
      <c r="AK1241" s="9"/>
      <c r="AO1241" s="5" t="s">
        <v>4459</v>
      </c>
      <c r="AP1241" s="5">
        <v>1256.0</v>
      </c>
      <c r="AQ1241" s="5" t="s">
        <v>1716</v>
      </c>
      <c r="AR1241" s="5" t="s">
        <v>1717</v>
      </c>
      <c r="AS1241" s="5" t="s">
        <v>1718</v>
      </c>
      <c r="AT1241" s="5" t="s">
        <v>1841</v>
      </c>
      <c r="AU1241" s="5" t="s">
        <v>1959</v>
      </c>
      <c r="AV1241" s="5" t="s">
        <v>1720</v>
      </c>
      <c r="AW1241" s="5" t="s">
        <v>2368</v>
      </c>
      <c r="AX1241" s="5" t="s">
        <v>2516</v>
      </c>
      <c r="AY1241" s="5">
        <v>49.8947</v>
      </c>
      <c r="AZ1241" s="5">
        <v>-119.1239</v>
      </c>
      <c r="BA1241" s="5">
        <v>1250.0</v>
      </c>
    </row>
    <row r="1242" ht="14.25" customHeight="1">
      <c r="A1242" s="5" t="s">
        <v>422</v>
      </c>
      <c r="B1242" s="5">
        <v>12.0</v>
      </c>
      <c r="C1242" s="5" t="s">
        <v>1711</v>
      </c>
      <c r="D1242" s="5">
        <v>1257.0</v>
      </c>
      <c r="E1242" s="5">
        <v>12022.0</v>
      </c>
      <c r="F1242" s="18" t="s">
        <v>4462</v>
      </c>
      <c r="G1242" s="5" t="s">
        <v>4463</v>
      </c>
      <c r="H1242" s="5" t="s">
        <v>4464</v>
      </c>
      <c r="I1242" s="5" t="s">
        <v>49</v>
      </c>
      <c r="J1242" s="5" t="s">
        <v>1746</v>
      </c>
      <c r="K1242" s="5">
        <v>1.0</v>
      </c>
      <c r="L1242" s="5">
        <v>14079.0</v>
      </c>
      <c r="M1242" s="8"/>
      <c r="AK1242" s="9"/>
      <c r="AO1242" s="67" t="s">
        <v>4462</v>
      </c>
      <c r="AP1242" s="5">
        <v>1257.0</v>
      </c>
      <c r="AQ1242" s="5" t="s">
        <v>1716</v>
      </c>
      <c r="AR1242" s="5" t="s">
        <v>1717</v>
      </c>
      <c r="AS1242" s="5" t="s">
        <v>1718</v>
      </c>
      <c r="AT1242" s="5" t="s">
        <v>1835</v>
      </c>
      <c r="AU1242" s="5" t="s">
        <v>1836</v>
      </c>
      <c r="AV1242" s="5" t="s">
        <v>1720</v>
      </c>
      <c r="AW1242" s="5" t="s">
        <v>2698</v>
      </c>
      <c r="AX1242" s="5" t="s">
        <v>2801</v>
      </c>
      <c r="AY1242" s="5">
        <v>50.4777</v>
      </c>
      <c r="AZ1242" s="5">
        <v>-117.2013</v>
      </c>
      <c r="BA1242" s="5">
        <v>820.0</v>
      </c>
    </row>
    <row r="1243" ht="14.25" customHeight="1">
      <c r="A1243" s="5" t="s">
        <v>422</v>
      </c>
      <c r="B1243" s="5">
        <v>12.0</v>
      </c>
      <c r="C1243" s="5" t="s">
        <v>1711</v>
      </c>
      <c r="D1243" s="5">
        <v>1258.0</v>
      </c>
      <c r="E1243" s="5">
        <v>12023.0</v>
      </c>
      <c r="F1243" s="18" t="s">
        <v>4465</v>
      </c>
      <c r="G1243" s="5" t="s">
        <v>4466</v>
      </c>
      <c r="H1243" s="5" t="s">
        <v>4467</v>
      </c>
      <c r="I1243" s="5" t="s">
        <v>49</v>
      </c>
      <c r="J1243" s="5" t="s">
        <v>1746</v>
      </c>
      <c r="K1243" s="5">
        <v>1.0</v>
      </c>
      <c r="L1243" s="5">
        <v>14080.0</v>
      </c>
      <c r="M1243" s="8"/>
      <c r="AK1243" s="9"/>
      <c r="AO1243" s="5" t="s">
        <v>4465</v>
      </c>
      <c r="AP1243" s="5">
        <v>1258.0</v>
      </c>
      <c r="AQ1243" s="5" t="s">
        <v>1716</v>
      </c>
      <c r="AR1243" s="5" t="s">
        <v>1717</v>
      </c>
      <c r="AS1243" s="5" t="s">
        <v>1718</v>
      </c>
      <c r="AT1243" s="5" t="s">
        <v>1835</v>
      </c>
      <c r="AU1243" s="5" t="s">
        <v>1959</v>
      </c>
      <c r="AV1243" s="5" t="s">
        <v>1720</v>
      </c>
      <c r="AW1243" s="5" t="s">
        <v>2368</v>
      </c>
      <c r="AX1243" s="5" t="s">
        <v>2492</v>
      </c>
      <c r="AY1243" s="5">
        <v>50.0833</v>
      </c>
      <c r="AZ1243" s="5">
        <v>-121.1889</v>
      </c>
      <c r="BA1243" s="5">
        <v>1345.0</v>
      </c>
    </row>
    <row r="1244" ht="14.25" customHeight="1">
      <c r="A1244" s="5" t="s">
        <v>422</v>
      </c>
      <c r="B1244" s="5">
        <v>12.0</v>
      </c>
      <c r="C1244" s="5" t="s">
        <v>1711</v>
      </c>
      <c r="D1244" s="5">
        <v>1259.0</v>
      </c>
      <c r="E1244" s="5">
        <v>12024.0</v>
      </c>
      <c r="F1244" s="18" t="s">
        <v>4468</v>
      </c>
      <c r="G1244" s="5" t="s">
        <v>4469</v>
      </c>
      <c r="H1244" s="5" t="s">
        <v>4470</v>
      </c>
      <c r="I1244" s="5" t="s">
        <v>49</v>
      </c>
      <c r="J1244" s="5" t="s">
        <v>1746</v>
      </c>
      <c r="K1244" s="5">
        <v>1.0</v>
      </c>
      <c r="L1244" s="5">
        <v>14081.0</v>
      </c>
      <c r="M1244" s="8"/>
      <c r="AK1244" s="9"/>
      <c r="AO1244" s="67" t="s">
        <v>4468</v>
      </c>
      <c r="AP1244" s="5">
        <v>1259.0</v>
      </c>
      <c r="AQ1244" s="5" t="s">
        <v>1716</v>
      </c>
      <c r="AR1244" s="5" t="s">
        <v>1717</v>
      </c>
      <c r="AS1244" s="5" t="s">
        <v>1718</v>
      </c>
      <c r="AT1244" s="5" t="s">
        <v>1835</v>
      </c>
      <c r="AU1244" s="5" t="s">
        <v>1836</v>
      </c>
      <c r="AV1244" s="5" t="s">
        <v>1720</v>
      </c>
      <c r="AW1244" s="5" t="s">
        <v>2698</v>
      </c>
      <c r="AX1244" s="5" t="s">
        <v>2902</v>
      </c>
      <c r="AY1244" s="5">
        <v>49.1648</v>
      </c>
      <c r="AZ1244" s="5">
        <v>-115.0027</v>
      </c>
      <c r="BA1244" s="5">
        <v>2174.0</v>
      </c>
    </row>
    <row r="1245" ht="14.25" customHeight="1">
      <c r="A1245" s="5" t="s">
        <v>1692</v>
      </c>
      <c r="B1245" s="5">
        <v>12.0</v>
      </c>
      <c r="C1245" s="10" t="s">
        <v>1693</v>
      </c>
      <c r="D1245" s="10" t="s">
        <v>4471</v>
      </c>
      <c r="E1245" s="5">
        <v>12037.0</v>
      </c>
      <c r="F1245" s="5" t="s">
        <v>4472</v>
      </c>
      <c r="G1245" s="5" t="s">
        <v>4473</v>
      </c>
      <c r="H1245" s="5" t="s">
        <v>4474</v>
      </c>
      <c r="I1245" s="5" t="s">
        <v>49</v>
      </c>
      <c r="J1245" s="5" t="s">
        <v>1746</v>
      </c>
      <c r="K1245" s="5">
        <v>1.0</v>
      </c>
      <c r="L1245" s="5">
        <v>14093.0</v>
      </c>
      <c r="M1245" s="8"/>
      <c r="N1245" s="11"/>
      <c r="O1245" s="11"/>
      <c r="P1245" s="11"/>
      <c r="Q1245" s="22"/>
      <c r="R1245" s="11"/>
      <c r="S1245" s="11"/>
      <c r="T1245" s="11"/>
      <c r="U1245" s="11"/>
      <c r="V1245" s="11"/>
      <c r="W1245" s="23"/>
      <c r="X1245" s="11"/>
      <c r="AK1245" s="9"/>
      <c r="AO1245" s="50" t="s">
        <v>4472</v>
      </c>
      <c r="AP1245" s="50">
        <v>1260.0</v>
      </c>
      <c r="AQ1245" s="50" t="s">
        <v>1716</v>
      </c>
      <c r="AR1245" s="50" t="s">
        <v>1701</v>
      </c>
      <c r="AS1245" s="50" t="s">
        <v>1740</v>
      </c>
      <c r="AT1245" s="50" t="s">
        <v>1741</v>
      </c>
      <c r="AU1245" s="50" t="s">
        <v>1742</v>
      </c>
      <c r="AV1245" s="50" t="s">
        <v>4415</v>
      </c>
      <c r="AW1245" s="50" t="s">
        <v>2698</v>
      </c>
      <c r="AX1245" s="50" t="s">
        <v>2768</v>
      </c>
      <c r="AY1245" s="50">
        <v>50.6229</v>
      </c>
      <c r="AZ1245" s="50">
        <v>-116.0628</v>
      </c>
      <c r="BA1245" s="50">
        <v>1009.0</v>
      </c>
    </row>
    <row r="1246" ht="14.25" customHeight="1">
      <c r="A1246" s="5" t="s">
        <v>1692</v>
      </c>
      <c r="B1246" s="5">
        <v>12.0</v>
      </c>
      <c r="C1246" s="10" t="s">
        <v>1693</v>
      </c>
      <c r="D1246" s="10" t="s">
        <v>4475</v>
      </c>
      <c r="E1246" s="5">
        <v>12036.0</v>
      </c>
      <c r="F1246" s="5" t="s">
        <v>4476</v>
      </c>
      <c r="G1246" s="10" t="s">
        <v>4477</v>
      </c>
      <c r="H1246" s="5" t="s">
        <v>4474</v>
      </c>
      <c r="I1246" s="5" t="s">
        <v>49</v>
      </c>
      <c r="J1246" s="5" t="s">
        <v>1746</v>
      </c>
      <c r="K1246" s="5">
        <v>1.0</v>
      </c>
      <c r="L1246" s="5">
        <v>14094.0</v>
      </c>
      <c r="M1246" s="8"/>
      <c r="N1246" s="11"/>
      <c r="O1246" s="11"/>
      <c r="P1246" s="11"/>
      <c r="Q1246" s="22"/>
      <c r="R1246" s="11"/>
      <c r="S1246" s="11"/>
      <c r="T1246" s="11"/>
      <c r="U1246" s="11"/>
      <c r="V1246" s="11"/>
      <c r="W1246" s="23"/>
      <c r="X1246" s="11"/>
      <c r="AK1246" s="9"/>
      <c r="AO1246" s="50" t="s">
        <v>4476</v>
      </c>
      <c r="AP1246" s="50">
        <v>1261.0</v>
      </c>
      <c r="AQ1246" s="50" t="s">
        <v>1716</v>
      </c>
      <c r="AR1246" s="50" t="s">
        <v>1701</v>
      </c>
      <c r="AS1246" s="50" t="s">
        <v>1740</v>
      </c>
      <c r="AT1246" s="50" t="s">
        <v>1741</v>
      </c>
      <c r="AU1246" s="50" t="s">
        <v>1742</v>
      </c>
      <c r="AV1246" s="50" t="s">
        <v>4415</v>
      </c>
      <c r="AW1246" s="50" t="s">
        <v>2698</v>
      </c>
      <c r="AX1246" s="50" t="s">
        <v>2699</v>
      </c>
      <c r="AY1246" s="50">
        <v>51.022</v>
      </c>
      <c r="AZ1246" s="50">
        <v>-118.2072</v>
      </c>
      <c r="BA1246" s="50">
        <v>527.0</v>
      </c>
    </row>
    <row r="1247" ht="14.25" customHeight="1">
      <c r="A1247" s="5" t="s">
        <v>1692</v>
      </c>
      <c r="B1247" s="5">
        <v>12.0</v>
      </c>
      <c r="C1247" s="10" t="s">
        <v>1693</v>
      </c>
      <c r="D1247" s="10" t="s">
        <v>4478</v>
      </c>
      <c r="E1247" s="5">
        <v>12051.0</v>
      </c>
      <c r="F1247" s="5" t="s">
        <v>4479</v>
      </c>
      <c r="G1247" s="5" t="s">
        <v>4480</v>
      </c>
      <c r="H1247" s="5" t="s">
        <v>4481</v>
      </c>
      <c r="I1247" s="5" t="s">
        <v>49</v>
      </c>
      <c r="J1247" s="5" t="s">
        <v>1746</v>
      </c>
      <c r="K1247" s="5">
        <v>1.0</v>
      </c>
      <c r="L1247" s="5">
        <v>14108.0</v>
      </c>
      <c r="M1247" s="8"/>
      <c r="N1247" s="11"/>
      <c r="O1247" s="11"/>
      <c r="P1247" s="11"/>
      <c r="Q1247" s="22"/>
      <c r="R1247" s="11"/>
      <c r="S1247" s="11"/>
      <c r="T1247" s="11"/>
      <c r="U1247" s="11"/>
      <c r="V1247" s="11"/>
      <c r="W1247" s="23"/>
      <c r="X1247" s="11"/>
      <c r="AK1247" s="9"/>
      <c r="AO1247" s="50" t="s">
        <v>4479</v>
      </c>
      <c r="AP1247" s="50">
        <v>1262.0</v>
      </c>
      <c r="AQ1247" s="50" t="s">
        <v>1716</v>
      </c>
      <c r="AR1247" s="50" t="s">
        <v>1701</v>
      </c>
      <c r="AS1247" s="50" t="s">
        <v>1740</v>
      </c>
      <c r="AT1247" s="50" t="s">
        <v>1741</v>
      </c>
      <c r="AU1247" s="50" t="s">
        <v>1742</v>
      </c>
      <c r="AV1247" s="50" t="s">
        <v>4415</v>
      </c>
      <c r="AW1247" s="50" t="s">
        <v>2698</v>
      </c>
      <c r="AX1247" s="50" t="s">
        <v>2699</v>
      </c>
      <c r="AY1247" s="50">
        <v>51.0253</v>
      </c>
      <c r="AZ1247" s="50">
        <v>-118.1514</v>
      </c>
      <c r="BA1247" s="50">
        <v>1561.0</v>
      </c>
    </row>
    <row r="1248" ht="14.25" customHeight="1">
      <c r="A1248" s="5" t="s">
        <v>1692</v>
      </c>
      <c r="B1248" s="5">
        <v>12.0</v>
      </c>
      <c r="C1248" s="10" t="s">
        <v>1693</v>
      </c>
      <c r="D1248" s="10" t="s">
        <v>4482</v>
      </c>
      <c r="E1248" s="5">
        <v>12038.0</v>
      </c>
      <c r="F1248" s="5" t="s">
        <v>4483</v>
      </c>
      <c r="G1248" s="10" t="s">
        <v>4484</v>
      </c>
      <c r="H1248" s="5" t="s">
        <v>4474</v>
      </c>
      <c r="I1248" s="5" t="s">
        <v>49</v>
      </c>
      <c r="J1248" s="5" t="s">
        <v>1746</v>
      </c>
      <c r="K1248" s="5">
        <v>1.0</v>
      </c>
      <c r="L1248" s="5">
        <v>14095.0</v>
      </c>
      <c r="M1248" s="8"/>
      <c r="N1248" s="11"/>
      <c r="O1248" s="11"/>
      <c r="P1248" s="11"/>
      <c r="Q1248" s="22"/>
      <c r="R1248" s="11"/>
      <c r="S1248" s="11"/>
      <c r="T1248" s="11"/>
      <c r="U1248" s="11"/>
      <c r="V1248" s="11"/>
      <c r="W1248" s="23"/>
      <c r="X1248" s="11"/>
      <c r="AK1248" s="9"/>
      <c r="AO1248" s="50" t="s">
        <v>4483</v>
      </c>
      <c r="AP1248" s="50">
        <v>1263.0</v>
      </c>
      <c r="AQ1248" s="50" t="s">
        <v>1716</v>
      </c>
      <c r="AR1248" s="50" t="s">
        <v>1701</v>
      </c>
      <c r="AS1248" s="50" t="s">
        <v>1740</v>
      </c>
      <c r="AT1248" s="50" t="s">
        <v>1741</v>
      </c>
      <c r="AU1248" s="50" t="s">
        <v>1742</v>
      </c>
      <c r="AV1248" s="50" t="s">
        <v>4415</v>
      </c>
      <c r="AW1248" s="50" t="s">
        <v>2698</v>
      </c>
      <c r="AX1248" s="50" t="s">
        <v>2699</v>
      </c>
      <c r="AY1248" s="50">
        <v>51.2344</v>
      </c>
      <c r="AZ1248" s="50">
        <v>-117.681</v>
      </c>
      <c r="BA1248" s="50">
        <v>1308.0</v>
      </c>
    </row>
    <row r="1249" ht="14.25" customHeight="1">
      <c r="A1249" s="5" t="s">
        <v>1692</v>
      </c>
      <c r="B1249" s="5">
        <v>12.0</v>
      </c>
      <c r="C1249" s="10" t="s">
        <v>1693</v>
      </c>
      <c r="D1249" s="10" t="s">
        <v>4485</v>
      </c>
      <c r="E1249" s="5">
        <v>12039.0</v>
      </c>
      <c r="F1249" s="5" t="s">
        <v>4486</v>
      </c>
      <c r="G1249" s="10" t="s">
        <v>4487</v>
      </c>
      <c r="H1249" s="5" t="s">
        <v>4474</v>
      </c>
      <c r="I1249" s="5" t="s">
        <v>49</v>
      </c>
      <c r="J1249" s="5" t="s">
        <v>1746</v>
      </c>
      <c r="K1249" s="5">
        <v>1.0</v>
      </c>
      <c r="L1249" s="5">
        <v>14096.0</v>
      </c>
      <c r="M1249" s="8"/>
      <c r="AK1249" s="9"/>
      <c r="AO1249" s="50" t="s">
        <v>4486</v>
      </c>
      <c r="AP1249" s="50">
        <v>1264.0</v>
      </c>
      <c r="AQ1249" s="50" t="s">
        <v>1716</v>
      </c>
      <c r="AR1249" s="50" t="s">
        <v>1701</v>
      </c>
      <c r="AS1249" s="50" t="s">
        <v>1740</v>
      </c>
      <c r="AT1249" s="50" t="s">
        <v>1741</v>
      </c>
      <c r="AU1249" s="50" t="s">
        <v>1742</v>
      </c>
      <c r="AV1249" s="50" t="s">
        <v>4415</v>
      </c>
      <c r="AW1249" s="50" t="s">
        <v>2698</v>
      </c>
      <c r="AX1249" s="50" t="s">
        <v>2699</v>
      </c>
      <c r="AY1249" s="50">
        <v>51.4149</v>
      </c>
      <c r="AZ1249" s="50">
        <v>-117.4741</v>
      </c>
      <c r="BA1249" s="50">
        <v>835.0</v>
      </c>
    </row>
    <row r="1250" ht="14.25" customHeight="1">
      <c r="A1250" s="5" t="s">
        <v>1692</v>
      </c>
      <c r="B1250" s="5">
        <v>12.0</v>
      </c>
      <c r="C1250" s="10" t="s">
        <v>1693</v>
      </c>
      <c r="D1250" s="10" t="s">
        <v>4488</v>
      </c>
      <c r="E1250" s="5">
        <v>12042.0</v>
      </c>
      <c r="F1250" s="5" t="s">
        <v>4489</v>
      </c>
      <c r="G1250" s="10" t="s">
        <v>4490</v>
      </c>
      <c r="H1250" s="5" t="s">
        <v>4491</v>
      </c>
      <c r="I1250" s="5" t="s">
        <v>49</v>
      </c>
      <c r="J1250" s="5" t="s">
        <v>1746</v>
      </c>
      <c r="K1250" s="5">
        <v>1.0</v>
      </c>
      <c r="L1250" s="5">
        <v>14099.0</v>
      </c>
      <c r="M1250" s="8"/>
      <c r="AK1250" s="9"/>
      <c r="AO1250" s="50" t="s">
        <v>4489</v>
      </c>
      <c r="AP1250" s="50">
        <v>1265.0</v>
      </c>
      <c r="AQ1250" s="50" t="s">
        <v>1716</v>
      </c>
      <c r="AR1250" s="50" t="s">
        <v>1701</v>
      </c>
      <c r="AS1250" s="50" t="s">
        <v>1740</v>
      </c>
      <c r="AT1250" s="50" t="s">
        <v>1741</v>
      </c>
      <c r="AU1250" s="50" t="s">
        <v>1742</v>
      </c>
      <c r="AV1250" s="50" t="s">
        <v>4415</v>
      </c>
      <c r="AW1250" s="50" t="s">
        <v>2698</v>
      </c>
      <c r="AX1250" s="50" t="s">
        <v>2699</v>
      </c>
      <c r="AY1250" s="50">
        <v>51.3145</v>
      </c>
      <c r="AZ1250" s="50">
        <v>-117.3741</v>
      </c>
      <c r="BA1250" s="50">
        <v>1638.0</v>
      </c>
    </row>
    <row r="1251" ht="14.25" customHeight="1">
      <c r="A1251" s="5" t="s">
        <v>422</v>
      </c>
      <c r="B1251" s="5">
        <v>12.0</v>
      </c>
      <c r="C1251" s="5" t="s">
        <v>1711</v>
      </c>
      <c r="D1251" s="5">
        <v>1266.0</v>
      </c>
      <c r="E1251" s="5">
        <v>12025.0</v>
      </c>
      <c r="F1251" s="18" t="s">
        <v>4492</v>
      </c>
      <c r="G1251" s="5" t="s">
        <v>4493</v>
      </c>
      <c r="H1251" s="5" t="s">
        <v>4494</v>
      </c>
      <c r="I1251" s="5" t="s">
        <v>49</v>
      </c>
      <c r="J1251" s="5" t="s">
        <v>1746</v>
      </c>
      <c r="K1251" s="5">
        <v>1.0</v>
      </c>
      <c r="L1251" s="5">
        <v>14082.0</v>
      </c>
      <c r="M1251" s="8"/>
      <c r="AK1251" s="9"/>
      <c r="AO1251" s="5" t="s">
        <v>4492</v>
      </c>
      <c r="AP1251" s="5">
        <v>1266.0</v>
      </c>
      <c r="AQ1251" s="5" t="s">
        <v>1716</v>
      </c>
      <c r="AR1251" s="5" t="s">
        <v>1717</v>
      </c>
      <c r="AS1251" s="5" t="s">
        <v>1740</v>
      </c>
      <c r="AT1251" s="5" t="s">
        <v>1835</v>
      </c>
      <c r="AU1251" s="5" t="s">
        <v>1742</v>
      </c>
      <c r="AV1251" s="5" t="s">
        <v>1720</v>
      </c>
      <c r="AW1251" s="5" t="s">
        <v>2368</v>
      </c>
      <c r="AX1251" s="5" t="s">
        <v>2401</v>
      </c>
      <c r="AY1251" s="5">
        <v>51.5401</v>
      </c>
      <c r="AZ1251" s="5">
        <v>-119.3947</v>
      </c>
      <c r="BA1251" s="5">
        <v>1518.0</v>
      </c>
    </row>
    <row r="1252" ht="14.25" customHeight="1">
      <c r="A1252" s="5" t="s">
        <v>422</v>
      </c>
      <c r="B1252" s="5">
        <v>12.0</v>
      </c>
      <c r="C1252" s="5" t="s">
        <v>1711</v>
      </c>
      <c r="D1252" s="5">
        <v>1267.0</v>
      </c>
      <c r="E1252" s="5">
        <v>12026.0</v>
      </c>
      <c r="F1252" s="18" t="s">
        <v>4495</v>
      </c>
      <c r="G1252" s="5" t="s">
        <v>4496</v>
      </c>
      <c r="H1252" s="5" t="s">
        <v>4497</v>
      </c>
      <c r="I1252" s="5" t="s">
        <v>49</v>
      </c>
      <c r="J1252" s="5" t="s">
        <v>1746</v>
      </c>
      <c r="K1252" s="5">
        <v>1.0</v>
      </c>
      <c r="L1252" s="5">
        <v>14083.0</v>
      </c>
      <c r="M1252" s="8"/>
      <c r="AK1252" s="9"/>
      <c r="AO1252" s="67" t="s">
        <v>4495</v>
      </c>
      <c r="AP1252" s="5">
        <v>1267.0</v>
      </c>
      <c r="AQ1252" s="5" t="s">
        <v>1716</v>
      </c>
      <c r="AR1252" s="5" t="s">
        <v>1717</v>
      </c>
      <c r="AS1252" s="5" t="s">
        <v>1718</v>
      </c>
      <c r="AT1252" s="5" t="s">
        <v>1835</v>
      </c>
      <c r="AU1252" s="5" t="s">
        <v>1836</v>
      </c>
      <c r="AV1252" s="5" t="s">
        <v>1720</v>
      </c>
      <c r="AW1252" s="5" t="s">
        <v>1947</v>
      </c>
      <c r="AX1252" s="5" t="s">
        <v>1986</v>
      </c>
      <c r="AY1252" s="5">
        <v>59.8928</v>
      </c>
      <c r="AZ1252" s="5">
        <v>-129.0939</v>
      </c>
      <c r="BA1252" s="5">
        <v>866.0</v>
      </c>
    </row>
    <row r="1253" ht="14.25" customHeight="1">
      <c r="B1253" s="5">
        <v>12.0</v>
      </c>
      <c r="C1253" s="5" t="s">
        <v>1711</v>
      </c>
      <c r="D1253" s="5">
        <v>1268.0</v>
      </c>
      <c r="E1253" s="5">
        <v>12027.0</v>
      </c>
      <c r="F1253" s="5" t="s">
        <v>4498</v>
      </c>
      <c r="G1253" s="5" t="s">
        <v>4499</v>
      </c>
      <c r="H1253" s="5" t="s">
        <v>4500</v>
      </c>
      <c r="I1253" s="5" t="s">
        <v>49</v>
      </c>
      <c r="J1253" s="5" t="s">
        <v>1829</v>
      </c>
      <c r="K1253" s="5">
        <v>1.0</v>
      </c>
      <c r="L1253" s="5">
        <v>14084.0</v>
      </c>
      <c r="M1253" s="73"/>
      <c r="N1253" s="74"/>
      <c r="O1253" s="74"/>
      <c r="P1253" s="74"/>
      <c r="Q1253" s="75"/>
      <c r="R1253" s="74"/>
      <c r="S1253" s="74"/>
      <c r="T1253" s="74"/>
      <c r="U1253" s="74"/>
      <c r="V1253" s="74"/>
      <c r="W1253" s="76"/>
      <c r="X1253" s="74"/>
      <c r="AK1253" s="9"/>
      <c r="AO1253" s="5" t="s">
        <v>4498</v>
      </c>
      <c r="AP1253" s="5">
        <v>1268.0</v>
      </c>
      <c r="AQ1253" s="5" t="s">
        <v>1700</v>
      </c>
      <c r="AR1253" s="5" t="s">
        <v>1739</v>
      </c>
      <c r="AS1253" s="5" t="s">
        <v>1740</v>
      </c>
      <c r="AT1253" s="5" t="s">
        <v>1741</v>
      </c>
      <c r="AU1253" s="5" t="s">
        <v>1959</v>
      </c>
      <c r="AV1253" s="5" t="s">
        <v>1720</v>
      </c>
      <c r="AW1253" s="5" t="s">
        <v>2003</v>
      </c>
      <c r="AX1253" s="5" t="s">
        <v>2258</v>
      </c>
      <c r="AY1253" s="5">
        <v>52.8597</v>
      </c>
      <c r="AZ1253" s="5">
        <v>-119.3386</v>
      </c>
      <c r="BA1253" s="5">
        <v>788.0</v>
      </c>
    </row>
    <row r="1254" ht="14.25" customHeight="1">
      <c r="A1254" s="5" t="s">
        <v>422</v>
      </c>
      <c r="B1254" s="5">
        <v>12.0</v>
      </c>
      <c r="C1254" s="5" t="s">
        <v>1711</v>
      </c>
      <c r="D1254" s="5">
        <v>1269.0</v>
      </c>
      <c r="E1254" s="5">
        <v>12028.0</v>
      </c>
      <c r="F1254" s="18" t="s">
        <v>4501</v>
      </c>
      <c r="G1254" s="5" t="s">
        <v>4502</v>
      </c>
      <c r="H1254" s="5" t="s">
        <v>4503</v>
      </c>
      <c r="I1254" s="5" t="s">
        <v>49</v>
      </c>
      <c r="J1254" s="5" t="s">
        <v>1746</v>
      </c>
      <c r="K1254" s="5">
        <v>1.0</v>
      </c>
      <c r="L1254" s="5">
        <v>14085.0</v>
      </c>
      <c r="M1254" s="8"/>
      <c r="AK1254" s="9"/>
      <c r="AO1254" s="67" t="s">
        <v>4501</v>
      </c>
      <c r="AP1254" s="5">
        <v>1269.0</v>
      </c>
      <c r="AQ1254" s="5" t="s">
        <v>1716</v>
      </c>
      <c r="AR1254" s="5" t="s">
        <v>1717</v>
      </c>
      <c r="AS1254" s="5" t="s">
        <v>1718</v>
      </c>
      <c r="AT1254" s="5" t="s">
        <v>1835</v>
      </c>
      <c r="AU1254" s="5" t="s">
        <v>1836</v>
      </c>
      <c r="AV1254" s="5" t="s">
        <v>1720</v>
      </c>
      <c r="AW1254" s="5" t="s">
        <v>2368</v>
      </c>
      <c r="AX1254" s="5" t="s">
        <v>2505</v>
      </c>
      <c r="AY1254" s="5">
        <v>50.1889</v>
      </c>
      <c r="AZ1254" s="5">
        <v>-121.6</v>
      </c>
      <c r="BA1254" s="5">
        <v>636.0</v>
      </c>
    </row>
    <row r="1255" ht="14.25" customHeight="1">
      <c r="A1255" s="5" t="s">
        <v>88</v>
      </c>
      <c r="B1255" s="5">
        <v>12.0</v>
      </c>
      <c r="C1255" s="5" t="s">
        <v>1711</v>
      </c>
      <c r="D1255" s="5">
        <v>1270.0</v>
      </c>
      <c r="E1255" s="5">
        <v>12029.0</v>
      </c>
      <c r="F1255" s="5" t="s">
        <v>4504</v>
      </c>
      <c r="G1255" s="10" t="s">
        <v>4505</v>
      </c>
      <c r="H1255" s="5" t="s">
        <v>4506</v>
      </c>
      <c r="I1255" s="5" t="s">
        <v>49</v>
      </c>
      <c r="J1255" s="5" t="s">
        <v>1891</v>
      </c>
      <c r="K1255" s="5">
        <v>1.0</v>
      </c>
      <c r="L1255" s="5">
        <v>14086.0</v>
      </c>
      <c r="M1255" s="8">
        <v>59.8928</v>
      </c>
      <c r="N1255" s="11">
        <v>-129.09333</v>
      </c>
      <c r="O1255" s="11" t="s">
        <v>1577</v>
      </c>
      <c r="P1255" s="11">
        <v>1270.0</v>
      </c>
      <c r="Q1255" s="22">
        <v>2.0</v>
      </c>
      <c r="R1255" s="11" t="s">
        <v>4504</v>
      </c>
      <c r="S1255" s="11" t="s">
        <v>1737</v>
      </c>
      <c r="T1255" s="11">
        <v>866.0</v>
      </c>
      <c r="U1255" s="11"/>
      <c r="V1255" s="11"/>
      <c r="W1255" s="11"/>
      <c r="X1255" s="11" t="s">
        <v>1738</v>
      </c>
      <c r="AK1255" s="9"/>
      <c r="AO1255" s="5" t="s">
        <v>4504</v>
      </c>
      <c r="AP1255" s="5">
        <v>1270.0</v>
      </c>
      <c r="AQ1255" s="5" t="s">
        <v>1716</v>
      </c>
      <c r="AR1255" s="5" t="s">
        <v>1739</v>
      </c>
      <c r="AS1255" s="5" t="s">
        <v>1740</v>
      </c>
      <c r="AT1255" s="5" t="s">
        <v>1741</v>
      </c>
      <c r="AU1255" s="5" t="s">
        <v>1742</v>
      </c>
      <c r="AV1255" s="5" t="s">
        <v>1720</v>
      </c>
      <c r="AW1255" s="5" t="s">
        <v>1947</v>
      </c>
      <c r="AX1255" s="5" t="s">
        <v>1986</v>
      </c>
      <c r="AY1255" s="5">
        <v>59.8929</v>
      </c>
      <c r="AZ1255" s="5">
        <v>-129.0939</v>
      </c>
      <c r="BA1255" s="5">
        <v>866.0</v>
      </c>
    </row>
    <row r="1256" ht="14.25" customHeight="1">
      <c r="A1256" s="5" t="s">
        <v>422</v>
      </c>
      <c r="B1256" s="5">
        <v>12.0</v>
      </c>
      <c r="C1256" s="5" t="s">
        <v>1711</v>
      </c>
      <c r="D1256" s="5">
        <v>1272.0</v>
      </c>
      <c r="E1256" s="5">
        <v>12030.0</v>
      </c>
      <c r="F1256" s="18" t="s">
        <v>4507</v>
      </c>
      <c r="G1256" s="5" t="s">
        <v>4508</v>
      </c>
      <c r="H1256" s="5" t="s">
        <v>4509</v>
      </c>
      <c r="I1256" s="5" t="s">
        <v>49</v>
      </c>
      <c r="J1256" s="5" t="s">
        <v>1746</v>
      </c>
      <c r="K1256" s="5">
        <v>1.0</v>
      </c>
      <c r="L1256" s="5">
        <v>14087.0</v>
      </c>
      <c r="M1256" s="8"/>
      <c r="AK1256" s="9"/>
      <c r="AO1256" s="67" t="s">
        <v>4507</v>
      </c>
      <c r="AP1256" s="5">
        <v>1272.0</v>
      </c>
      <c r="AQ1256" s="5" t="s">
        <v>1716</v>
      </c>
      <c r="AR1256" s="5" t="s">
        <v>1717</v>
      </c>
      <c r="AS1256" s="5" t="s">
        <v>1718</v>
      </c>
      <c r="AT1256" s="5" t="s">
        <v>1835</v>
      </c>
      <c r="AU1256" s="5" t="s">
        <v>1836</v>
      </c>
      <c r="AV1256" s="5" t="s">
        <v>1720</v>
      </c>
      <c r="AW1256" s="5" t="s">
        <v>2368</v>
      </c>
      <c r="AX1256" s="5" t="s">
        <v>2505</v>
      </c>
      <c r="AY1256" s="5">
        <v>50.9616</v>
      </c>
      <c r="AZ1256" s="5">
        <v>-122.2504</v>
      </c>
      <c r="BA1256" s="5">
        <v>1347.0</v>
      </c>
    </row>
    <row r="1257" ht="14.25" customHeight="1">
      <c r="A1257" s="5" t="s">
        <v>422</v>
      </c>
      <c r="B1257" s="5">
        <v>12.0</v>
      </c>
      <c r="C1257" s="5" t="s">
        <v>1711</v>
      </c>
      <c r="D1257" s="5">
        <v>1273.0</v>
      </c>
      <c r="E1257" s="5">
        <v>12031.0</v>
      </c>
      <c r="F1257" s="18" t="s">
        <v>4510</v>
      </c>
      <c r="G1257" s="5" t="s">
        <v>4511</v>
      </c>
      <c r="H1257" s="5" t="s">
        <v>4512</v>
      </c>
      <c r="I1257" s="5" t="s">
        <v>49</v>
      </c>
      <c r="J1257" s="5" t="s">
        <v>1746</v>
      </c>
      <c r="K1257" s="5">
        <v>1.0</v>
      </c>
      <c r="L1257" s="5">
        <v>14088.0</v>
      </c>
      <c r="M1257" s="8"/>
      <c r="AK1257" s="9"/>
      <c r="AO1257" s="67" t="s">
        <v>4510</v>
      </c>
      <c r="AP1257" s="5">
        <v>1273.0</v>
      </c>
      <c r="AQ1257" s="5" t="s">
        <v>1716</v>
      </c>
      <c r="AR1257" s="5" t="s">
        <v>1717</v>
      </c>
      <c r="AS1257" s="5" t="s">
        <v>1718</v>
      </c>
      <c r="AT1257" s="5" t="s">
        <v>1835</v>
      </c>
      <c r="AU1257" s="5" t="s">
        <v>1836</v>
      </c>
      <c r="AV1257" s="5" t="s">
        <v>1720</v>
      </c>
      <c r="AW1257" s="5" t="s">
        <v>2698</v>
      </c>
      <c r="AX1257" s="5" t="s">
        <v>2801</v>
      </c>
      <c r="AY1257" s="5">
        <v>49.898</v>
      </c>
      <c r="AZ1257" s="5">
        <v>-117.0887</v>
      </c>
      <c r="BA1257" s="5">
        <v>1250.0</v>
      </c>
    </row>
    <row r="1258" ht="14.25" customHeight="1">
      <c r="A1258" s="5" t="s">
        <v>422</v>
      </c>
      <c r="B1258" s="5">
        <v>12.0</v>
      </c>
      <c r="C1258" s="5" t="s">
        <v>1711</v>
      </c>
      <c r="D1258" s="5">
        <v>1274.0</v>
      </c>
      <c r="E1258" s="5">
        <v>12032.0</v>
      </c>
      <c r="F1258" s="5" t="s">
        <v>4513</v>
      </c>
      <c r="G1258" s="5" t="s">
        <v>4514</v>
      </c>
      <c r="H1258" s="5" t="s">
        <v>4515</v>
      </c>
      <c r="I1258" s="5" t="s">
        <v>49</v>
      </c>
      <c r="J1258" s="5" t="s">
        <v>1746</v>
      </c>
      <c r="K1258" s="5">
        <v>1.0</v>
      </c>
      <c r="L1258" s="5">
        <v>14089.0</v>
      </c>
      <c r="M1258" s="8"/>
      <c r="N1258" s="11"/>
      <c r="O1258" s="11"/>
      <c r="P1258" s="11"/>
      <c r="Q1258" s="22"/>
      <c r="R1258" s="11"/>
      <c r="S1258" s="11"/>
      <c r="T1258" s="11"/>
      <c r="U1258" s="11"/>
      <c r="V1258" s="11"/>
      <c r="W1258" s="23"/>
      <c r="X1258" s="11"/>
      <c r="AK1258" s="9"/>
      <c r="AO1258" s="5" t="s">
        <v>4513</v>
      </c>
      <c r="AP1258" s="5">
        <v>1274.0</v>
      </c>
      <c r="AQ1258" s="5" t="s">
        <v>1716</v>
      </c>
      <c r="AR1258" s="5" t="s">
        <v>2441</v>
      </c>
      <c r="AS1258" s="5" t="s">
        <v>1740</v>
      </c>
      <c r="AT1258" s="5" t="s">
        <v>1703</v>
      </c>
      <c r="AU1258" s="5" t="s">
        <v>1742</v>
      </c>
      <c r="AV1258" s="5" t="s">
        <v>1720</v>
      </c>
      <c r="AW1258" s="5" t="s">
        <v>1705</v>
      </c>
      <c r="AX1258" s="5" t="s">
        <v>1706</v>
      </c>
      <c r="AY1258" s="5">
        <v>49.207</v>
      </c>
      <c r="AZ1258" s="5">
        <v>-124.5668</v>
      </c>
      <c r="BA1258" s="5">
        <v>1459.0</v>
      </c>
    </row>
    <row r="1259" ht="14.25" customHeight="1">
      <c r="A1259" s="5" t="s">
        <v>422</v>
      </c>
      <c r="B1259" s="5">
        <v>12.0</v>
      </c>
      <c r="C1259" s="5" t="s">
        <v>4339</v>
      </c>
      <c r="D1259" s="5">
        <v>1275.0</v>
      </c>
      <c r="E1259" s="5">
        <v>12033.0</v>
      </c>
      <c r="F1259" s="5" t="s">
        <v>4516</v>
      </c>
      <c r="G1259" s="5" t="s">
        <v>4517</v>
      </c>
      <c r="H1259" s="5" t="s">
        <v>4518</v>
      </c>
      <c r="I1259" s="5" t="s">
        <v>49</v>
      </c>
      <c r="J1259" s="5" t="s">
        <v>1829</v>
      </c>
      <c r="K1259" s="5">
        <v>1.0</v>
      </c>
      <c r="L1259" s="5">
        <v>14090.0</v>
      </c>
      <c r="M1259" s="8">
        <v>52.1345694</v>
      </c>
      <c r="N1259" s="11">
        <v>-126.2626806</v>
      </c>
      <c r="O1259" s="11" t="s">
        <v>51</v>
      </c>
      <c r="P1259" s="16" t="s">
        <v>4519</v>
      </c>
      <c r="Q1259" s="72">
        <v>7.0</v>
      </c>
      <c r="R1259" s="11" t="s">
        <v>4520</v>
      </c>
      <c r="S1259" s="11" t="s">
        <v>4344</v>
      </c>
      <c r="T1259" s="11">
        <v>1423.0</v>
      </c>
      <c r="U1259" s="11"/>
      <c r="V1259" s="11" t="s">
        <v>4345</v>
      </c>
      <c r="W1259" s="60" t="s">
        <v>4521</v>
      </c>
      <c r="X1259" s="11" t="s">
        <v>4347</v>
      </c>
      <c r="AE1259" s="5" t="s">
        <v>4522</v>
      </c>
      <c r="AK1259" s="9"/>
      <c r="AO1259" s="5" t="s">
        <v>4516</v>
      </c>
      <c r="AP1259" s="5">
        <v>1275.0</v>
      </c>
      <c r="AQ1259" s="5" t="s">
        <v>1716</v>
      </c>
      <c r="AR1259" s="5" t="s">
        <v>1739</v>
      </c>
      <c r="AS1259" s="5" t="s">
        <v>1740</v>
      </c>
      <c r="AT1259" s="5" t="s">
        <v>1703</v>
      </c>
      <c r="AU1259" s="5" t="s">
        <v>1742</v>
      </c>
      <c r="AV1259" s="5" t="s">
        <v>1720</v>
      </c>
      <c r="AW1259" s="5" t="s">
        <v>1705</v>
      </c>
      <c r="AX1259" s="5" t="s">
        <v>1965</v>
      </c>
      <c r="AY1259" s="5">
        <v>52.1346</v>
      </c>
      <c r="AZ1259" s="5">
        <v>-126.2627</v>
      </c>
      <c r="BA1259" s="5">
        <v>1414.0</v>
      </c>
    </row>
    <row r="1260" ht="14.25" customHeight="1">
      <c r="B1260" s="5">
        <v>12.0</v>
      </c>
      <c r="C1260" s="5" t="s">
        <v>1711</v>
      </c>
      <c r="D1260" s="5">
        <v>1276.0</v>
      </c>
      <c r="E1260" s="5">
        <v>12034.0</v>
      </c>
      <c r="F1260" s="5" t="s">
        <v>4523</v>
      </c>
      <c r="G1260" s="5" t="s">
        <v>4524</v>
      </c>
      <c r="H1260" s="5" t="s">
        <v>4525</v>
      </c>
      <c r="I1260" s="5" t="s">
        <v>49</v>
      </c>
      <c r="J1260" s="5" t="s">
        <v>1829</v>
      </c>
      <c r="K1260" s="5">
        <v>1.0</v>
      </c>
      <c r="L1260" s="5">
        <v>14091.0</v>
      </c>
      <c r="M1260" s="8"/>
      <c r="AK1260" s="9"/>
      <c r="AO1260" s="5" t="s">
        <v>4523</v>
      </c>
      <c r="AP1260" s="5">
        <v>1276.0</v>
      </c>
      <c r="AQ1260" s="5" t="s">
        <v>1716</v>
      </c>
      <c r="AR1260" s="5" t="s">
        <v>1739</v>
      </c>
      <c r="AS1260" s="5" t="s">
        <v>1740</v>
      </c>
      <c r="AT1260" s="5" t="s">
        <v>1703</v>
      </c>
      <c r="AU1260" s="5" t="s">
        <v>1742</v>
      </c>
      <c r="AV1260" s="5" t="s">
        <v>1720</v>
      </c>
      <c r="AW1260" s="5" t="s">
        <v>1705</v>
      </c>
      <c r="AX1260" s="5" t="s">
        <v>1965</v>
      </c>
      <c r="AY1260" s="5">
        <v>51.6556</v>
      </c>
      <c r="AZ1260" s="5">
        <v>-126.1407</v>
      </c>
      <c r="BA1260" s="5">
        <v>1609.0</v>
      </c>
    </row>
    <row r="1261" ht="14.25" customHeight="1">
      <c r="B1261" s="5">
        <v>12.0</v>
      </c>
      <c r="C1261" s="5" t="s">
        <v>1711</v>
      </c>
      <c r="D1261" s="5">
        <v>1277.0</v>
      </c>
      <c r="E1261" s="5">
        <v>12035.0</v>
      </c>
      <c r="F1261" s="5" t="s">
        <v>4526</v>
      </c>
      <c r="G1261" s="5" t="s">
        <v>4527</v>
      </c>
      <c r="H1261" s="5" t="s">
        <v>4525</v>
      </c>
      <c r="I1261" s="5" t="s">
        <v>49</v>
      </c>
      <c r="J1261" s="5" t="s">
        <v>1891</v>
      </c>
      <c r="K1261" s="5">
        <v>1.0</v>
      </c>
      <c r="L1261" s="5">
        <v>14092.0</v>
      </c>
      <c r="M1261" s="8"/>
      <c r="AK1261" s="9"/>
      <c r="AO1261" s="5" t="s">
        <v>4526</v>
      </c>
      <c r="AP1261" s="5">
        <v>1277.0</v>
      </c>
      <c r="AQ1261" s="5" t="s">
        <v>1716</v>
      </c>
      <c r="AR1261" s="5" t="s">
        <v>1739</v>
      </c>
      <c r="AS1261" s="5" t="s">
        <v>1740</v>
      </c>
      <c r="AT1261" s="5" t="s">
        <v>1835</v>
      </c>
      <c r="AU1261" s="5" t="s">
        <v>1704</v>
      </c>
      <c r="AV1261" s="5" t="s">
        <v>1720</v>
      </c>
      <c r="AW1261" s="5" t="s">
        <v>2368</v>
      </c>
      <c r="AX1261" s="5" t="s">
        <v>2516</v>
      </c>
      <c r="AY1261" s="5">
        <v>49.8832</v>
      </c>
      <c r="AZ1261" s="5">
        <v>-119.5695</v>
      </c>
      <c r="BA1261" s="5">
        <v>650.0</v>
      </c>
    </row>
    <row r="1262" ht="14.25" customHeight="1">
      <c r="A1262" s="5" t="s">
        <v>422</v>
      </c>
      <c r="B1262" s="5">
        <v>12.0</v>
      </c>
      <c r="C1262" s="5" t="s">
        <v>1711</v>
      </c>
      <c r="D1262" s="5">
        <v>1279.0</v>
      </c>
      <c r="E1262" s="5">
        <v>12040.0</v>
      </c>
      <c r="F1262" s="18" t="s">
        <v>4528</v>
      </c>
      <c r="G1262" s="5" t="s">
        <v>4529</v>
      </c>
      <c r="H1262" s="5" t="s">
        <v>4530</v>
      </c>
      <c r="I1262" s="5" t="s">
        <v>49</v>
      </c>
      <c r="J1262" s="5" t="s">
        <v>1746</v>
      </c>
      <c r="K1262" s="5">
        <v>1.0</v>
      </c>
      <c r="L1262" s="5">
        <v>14097.0</v>
      </c>
      <c r="M1262" s="8"/>
      <c r="AK1262" s="9"/>
      <c r="AO1262" s="67" t="s">
        <v>4528</v>
      </c>
      <c r="AP1262" s="5">
        <v>1279.0</v>
      </c>
      <c r="AQ1262" s="5" t="s">
        <v>1716</v>
      </c>
      <c r="AR1262" s="5" t="s">
        <v>1717</v>
      </c>
      <c r="AS1262" s="5" t="s">
        <v>1718</v>
      </c>
      <c r="AT1262" s="5" t="s">
        <v>1835</v>
      </c>
      <c r="AU1262" s="5" t="s">
        <v>1836</v>
      </c>
      <c r="AV1262" s="5" t="s">
        <v>1720</v>
      </c>
      <c r="AW1262" s="5" t="s">
        <v>1947</v>
      </c>
      <c r="AX1262" s="5" t="s">
        <v>2148</v>
      </c>
      <c r="AY1262" s="5">
        <v>54.0417</v>
      </c>
      <c r="AZ1262" s="5">
        <v>-125.6</v>
      </c>
      <c r="BA1262" s="5">
        <v>800.0</v>
      </c>
    </row>
    <row r="1263" ht="14.25" customHeight="1">
      <c r="A1263" s="5" t="s">
        <v>422</v>
      </c>
      <c r="B1263" s="5">
        <v>12.0</v>
      </c>
      <c r="C1263" s="5" t="s">
        <v>1711</v>
      </c>
      <c r="D1263" s="5">
        <v>1280.0</v>
      </c>
      <c r="E1263" s="5">
        <v>12041.0</v>
      </c>
      <c r="F1263" s="18" t="s">
        <v>4531</v>
      </c>
      <c r="G1263" s="5" t="s">
        <v>4532</v>
      </c>
      <c r="H1263" s="5" t="s">
        <v>4533</v>
      </c>
      <c r="I1263" s="5" t="s">
        <v>49</v>
      </c>
      <c r="J1263" s="5" t="s">
        <v>1746</v>
      </c>
      <c r="K1263" s="5">
        <v>1.0</v>
      </c>
      <c r="L1263" s="5">
        <v>14098.0</v>
      </c>
      <c r="M1263" s="8"/>
      <c r="AK1263" s="9"/>
      <c r="AO1263" s="67" t="s">
        <v>4531</v>
      </c>
      <c r="AP1263" s="5">
        <v>1280.0</v>
      </c>
      <c r="AQ1263" s="5" t="s">
        <v>1716</v>
      </c>
      <c r="AR1263" s="5" t="s">
        <v>1717</v>
      </c>
      <c r="AS1263" s="5" t="s">
        <v>1718</v>
      </c>
      <c r="AT1263" s="5" t="s">
        <v>1835</v>
      </c>
      <c r="AU1263" s="5" t="s">
        <v>1836</v>
      </c>
      <c r="AV1263" s="5" t="s">
        <v>1720</v>
      </c>
      <c r="AW1263" s="5" t="s">
        <v>2698</v>
      </c>
      <c r="AX1263" s="5" t="s">
        <v>2801</v>
      </c>
      <c r="AY1263" s="5">
        <v>50.4747</v>
      </c>
      <c r="AZ1263" s="5">
        <v>-117.1998</v>
      </c>
      <c r="BA1263" s="5">
        <v>773.0</v>
      </c>
    </row>
    <row r="1264" ht="14.25" customHeight="1">
      <c r="B1264" s="5">
        <v>12.0</v>
      </c>
      <c r="C1264" s="5" t="s">
        <v>1711</v>
      </c>
      <c r="D1264" s="5">
        <v>1281.0</v>
      </c>
      <c r="E1264" s="5">
        <v>12429.0</v>
      </c>
      <c r="F1264" s="18" t="s">
        <v>4534</v>
      </c>
      <c r="G1264" s="5" t="s">
        <v>4535</v>
      </c>
      <c r="H1264" s="5" t="s">
        <v>4536</v>
      </c>
      <c r="I1264" s="5" t="s">
        <v>49</v>
      </c>
      <c r="J1264" s="5" t="s">
        <v>1746</v>
      </c>
      <c r="K1264" s="5">
        <v>1.0</v>
      </c>
      <c r="L1264" s="5">
        <v>14451.0</v>
      </c>
      <c r="M1264" s="8"/>
      <c r="AK1264" s="9"/>
      <c r="AO1264" s="67" t="s">
        <v>4534</v>
      </c>
      <c r="AP1264" s="5">
        <v>1281.0</v>
      </c>
      <c r="AQ1264" s="5" t="s">
        <v>1716</v>
      </c>
      <c r="AR1264" s="5" t="s">
        <v>1717</v>
      </c>
      <c r="AS1264" s="5" t="s">
        <v>2257</v>
      </c>
      <c r="AT1264" s="5" t="s">
        <v>1835</v>
      </c>
      <c r="AU1264" s="5" t="s">
        <v>1836</v>
      </c>
      <c r="AV1264" s="5" t="s">
        <v>1720</v>
      </c>
      <c r="AW1264" s="5" t="s">
        <v>2698</v>
      </c>
      <c r="AX1264" s="5" t="s">
        <v>2801</v>
      </c>
      <c r="AY1264" s="5">
        <v>50.291</v>
      </c>
      <c r="AZ1264" s="5">
        <v>-116.899</v>
      </c>
      <c r="BA1264" s="5">
        <v>795.0</v>
      </c>
    </row>
    <row r="1265" ht="14.25" customHeight="1">
      <c r="B1265" s="5">
        <v>12.0</v>
      </c>
      <c r="C1265" s="5" t="s">
        <v>1711</v>
      </c>
      <c r="D1265" s="5">
        <v>1282.0</v>
      </c>
      <c r="E1265" s="5">
        <v>12043.0</v>
      </c>
      <c r="F1265" s="18" t="s">
        <v>4537</v>
      </c>
      <c r="G1265" s="5" t="s">
        <v>4538</v>
      </c>
      <c r="H1265" s="5" t="s">
        <v>4539</v>
      </c>
      <c r="I1265" s="5" t="s">
        <v>49</v>
      </c>
      <c r="J1265" s="5" t="s">
        <v>1746</v>
      </c>
      <c r="K1265" s="5">
        <v>1.0</v>
      </c>
      <c r="L1265" s="5">
        <v>14100.0</v>
      </c>
      <c r="M1265" s="8"/>
      <c r="AK1265" s="9"/>
      <c r="AO1265" s="29" t="s">
        <v>4537</v>
      </c>
      <c r="AP1265" s="5">
        <v>1282.0</v>
      </c>
      <c r="AQ1265" s="5" t="s">
        <v>1716</v>
      </c>
      <c r="AR1265" s="5" t="s">
        <v>2441</v>
      </c>
      <c r="AS1265" s="5" t="s">
        <v>1740</v>
      </c>
      <c r="AT1265" s="5" t="s">
        <v>1835</v>
      </c>
      <c r="AU1265" s="5" t="s">
        <v>1742</v>
      </c>
      <c r="AV1265" s="5" t="s">
        <v>1720</v>
      </c>
      <c r="AW1265" s="5" t="s">
        <v>1705</v>
      </c>
      <c r="AX1265" s="5" t="s">
        <v>1747</v>
      </c>
      <c r="AY1265" s="5">
        <v>48.7728</v>
      </c>
      <c r="AZ1265" s="5">
        <v>-123.4747</v>
      </c>
      <c r="BA1265" s="5">
        <v>18.0</v>
      </c>
    </row>
    <row r="1266" ht="14.25" customHeight="1">
      <c r="A1266" s="5" t="s">
        <v>88</v>
      </c>
      <c r="B1266" s="5">
        <v>12.0</v>
      </c>
      <c r="C1266" s="5" t="s">
        <v>1711</v>
      </c>
      <c r="D1266" s="5">
        <v>1283.0</v>
      </c>
      <c r="E1266" s="5">
        <v>12044.0</v>
      </c>
      <c r="F1266" s="5" t="s">
        <v>4540</v>
      </c>
      <c r="G1266" s="10" t="s">
        <v>4541</v>
      </c>
      <c r="H1266" s="5" t="s">
        <v>4542</v>
      </c>
      <c r="I1266" s="5" t="s">
        <v>49</v>
      </c>
      <c r="J1266" s="5" t="s">
        <v>1891</v>
      </c>
      <c r="K1266" s="5">
        <v>1.0</v>
      </c>
      <c r="L1266" s="5">
        <v>14101.0</v>
      </c>
      <c r="M1266" s="8">
        <v>50.0825056</v>
      </c>
      <c r="N1266" s="5">
        <v>-123.0412722</v>
      </c>
      <c r="O1266" s="5" t="s">
        <v>51</v>
      </c>
      <c r="P1266" s="5">
        <v>1283.0</v>
      </c>
      <c r="Q1266" s="5">
        <v>4.0</v>
      </c>
      <c r="R1266" s="5" t="s">
        <v>4540</v>
      </c>
      <c r="S1266" s="5" t="s">
        <v>1737</v>
      </c>
      <c r="T1266" s="5">
        <v>595.0</v>
      </c>
      <c r="X1266" s="5" t="s">
        <v>1738</v>
      </c>
      <c r="AK1266" s="9"/>
      <c r="AO1266" s="5" t="s">
        <v>4540</v>
      </c>
      <c r="AP1266" s="5">
        <v>1283.0</v>
      </c>
      <c r="AQ1266" s="5" t="s">
        <v>1700</v>
      </c>
      <c r="AR1266" s="5" t="s">
        <v>1739</v>
      </c>
      <c r="AS1266" s="5" t="s">
        <v>1740</v>
      </c>
      <c r="AT1266" s="5" t="s">
        <v>1741</v>
      </c>
      <c r="AU1266" s="5" t="s">
        <v>1742</v>
      </c>
      <c r="AV1266" s="5" t="s">
        <v>1720</v>
      </c>
      <c r="AW1266" s="5" t="s">
        <v>1705</v>
      </c>
      <c r="AX1266" s="5" t="s">
        <v>1879</v>
      </c>
      <c r="AY1266" s="5">
        <v>50.0835</v>
      </c>
      <c r="AZ1266" s="5">
        <v>-123.0475</v>
      </c>
      <c r="BA1266" s="5">
        <v>592.0</v>
      </c>
    </row>
    <row r="1267" ht="14.25" customHeight="1">
      <c r="A1267" s="5" t="s">
        <v>422</v>
      </c>
      <c r="B1267" s="5">
        <v>12.0</v>
      </c>
      <c r="C1267" s="5" t="s">
        <v>1711</v>
      </c>
      <c r="D1267" s="5">
        <v>1285.0</v>
      </c>
      <c r="E1267" s="5">
        <v>12046.0</v>
      </c>
      <c r="F1267" s="18" t="s">
        <v>4543</v>
      </c>
      <c r="G1267" s="5" t="s">
        <v>4544</v>
      </c>
      <c r="H1267" s="5" t="s">
        <v>4545</v>
      </c>
      <c r="I1267" s="5" t="s">
        <v>49</v>
      </c>
      <c r="J1267" s="5" t="s">
        <v>1746</v>
      </c>
      <c r="K1267" s="5">
        <v>1.0</v>
      </c>
      <c r="L1267" s="5">
        <v>14103.0</v>
      </c>
      <c r="M1267" s="8"/>
      <c r="AK1267" s="9"/>
      <c r="AO1267" s="5" t="s">
        <v>4543</v>
      </c>
      <c r="AP1267" s="5">
        <v>1285.0</v>
      </c>
      <c r="AQ1267" s="5" t="s">
        <v>1716</v>
      </c>
      <c r="AR1267" s="5" t="s">
        <v>1717</v>
      </c>
      <c r="AS1267" s="5" t="s">
        <v>1718</v>
      </c>
      <c r="AT1267" s="5" t="s">
        <v>1841</v>
      </c>
      <c r="AU1267" s="5" t="s">
        <v>1836</v>
      </c>
      <c r="AW1267" s="5" t="s">
        <v>2368</v>
      </c>
      <c r="AX1267" s="5" t="s">
        <v>2516</v>
      </c>
      <c r="AY1267" s="5">
        <v>49.7383</v>
      </c>
      <c r="AZ1267" s="5">
        <v>-120.0669</v>
      </c>
      <c r="BA1267" s="5">
        <v>1397.0</v>
      </c>
    </row>
    <row r="1268" ht="14.25" customHeight="1">
      <c r="A1268" s="5" t="s">
        <v>422</v>
      </c>
      <c r="B1268" s="5">
        <v>12.0</v>
      </c>
      <c r="C1268" s="5" t="s">
        <v>1711</v>
      </c>
      <c r="D1268" s="5">
        <v>1288.0</v>
      </c>
      <c r="E1268" s="5">
        <v>12045.0</v>
      </c>
      <c r="F1268" s="18" t="s">
        <v>4546</v>
      </c>
      <c r="G1268" s="5" t="s">
        <v>4547</v>
      </c>
      <c r="H1268" s="5" t="s">
        <v>4548</v>
      </c>
      <c r="I1268" s="5" t="s">
        <v>49</v>
      </c>
      <c r="J1268" s="5" t="s">
        <v>1746</v>
      </c>
      <c r="K1268" s="5">
        <v>1.0</v>
      </c>
      <c r="L1268" s="5">
        <v>14102.0</v>
      </c>
      <c r="M1268" s="8"/>
      <c r="AK1268" s="9"/>
      <c r="AO1268" s="67" t="s">
        <v>4546</v>
      </c>
      <c r="AP1268" s="5">
        <v>1288.0</v>
      </c>
      <c r="AQ1268" s="5" t="s">
        <v>1716</v>
      </c>
      <c r="AR1268" s="5" t="s">
        <v>1717</v>
      </c>
      <c r="AS1268" s="5" t="s">
        <v>1718</v>
      </c>
      <c r="AT1268" s="5" t="s">
        <v>1835</v>
      </c>
      <c r="AU1268" s="5" t="s">
        <v>1836</v>
      </c>
      <c r="AV1268" s="5" t="s">
        <v>1720</v>
      </c>
      <c r="AW1268" s="5" t="s">
        <v>2193</v>
      </c>
      <c r="AX1268" s="5" t="s">
        <v>2291</v>
      </c>
      <c r="AY1268" s="5">
        <v>52.0159</v>
      </c>
      <c r="AZ1268" s="5">
        <v>-122.9137</v>
      </c>
      <c r="BA1268" s="5">
        <v>1252.0</v>
      </c>
    </row>
    <row r="1269" ht="14.25" customHeight="1">
      <c r="A1269" s="5" t="s">
        <v>88</v>
      </c>
      <c r="B1269" s="5">
        <v>12.0</v>
      </c>
      <c r="C1269" s="5" t="s">
        <v>1711</v>
      </c>
      <c r="D1269" s="5">
        <v>1289.0</v>
      </c>
      <c r="E1269" s="5">
        <v>12048.0</v>
      </c>
      <c r="F1269" s="18" t="s">
        <v>4549</v>
      </c>
      <c r="G1269" s="10" t="s">
        <v>4550</v>
      </c>
      <c r="H1269" s="5" t="s">
        <v>4551</v>
      </c>
      <c r="I1269" s="5" t="s">
        <v>49</v>
      </c>
      <c r="J1269" s="5" t="s">
        <v>1746</v>
      </c>
      <c r="K1269" s="5">
        <v>1.0</v>
      </c>
      <c r="L1269" s="5">
        <v>14105.0</v>
      </c>
      <c r="M1269" s="8"/>
      <c r="AK1269" s="9"/>
      <c r="AO1269" s="67" t="s">
        <v>4549</v>
      </c>
      <c r="AP1269" s="5">
        <v>1289.0</v>
      </c>
      <c r="AQ1269" s="5" t="s">
        <v>1716</v>
      </c>
      <c r="AR1269" s="5" t="s">
        <v>1717</v>
      </c>
      <c r="AS1269" s="5" t="s">
        <v>1718</v>
      </c>
      <c r="AT1269" s="5" t="s">
        <v>1835</v>
      </c>
      <c r="AU1269" s="5" t="s">
        <v>1836</v>
      </c>
      <c r="AV1269" s="5" t="s">
        <v>1720</v>
      </c>
      <c r="AW1269" s="5" t="s">
        <v>2698</v>
      </c>
      <c r="AX1269" s="5" t="s">
        <v>2801</v>
      </c>
      <c r="AY1269" s="5">
        <v>49.6946</v>
      </c>
      <c r="AZ1269" s="5">
        <v>-116.6974</v>
      </c>
      <c r="BA1269" s="5">
        <v>1170.0</v>
      </c>
    </row>
    <row r="1270" ht="14.25" customHeight="1">
      <c r="A1270" s="5" t="s">
        <v>422</v>
      </c>
      <c r="B1270" s="5">
        <v>12.0</v>
      </c>
      <c r="C1270" s="5" t="s">
        <v>1711</v>
      </c>
      <c r="D1270" s="5">
        <v>1291.0</v>
      </c>
      <c r="E1270" s="5">
        <v>12047.0</v>
      </c>
      <c r="F1270" s="18" t="s">
        <v>4552</v>
      </c>
      <c r="G1270" s="5" t="s">
        <v>4553</v>
      </c>
      <c r="H1270" s="5" t="s">
        <v>4554</v>
      </c>
      <c r="I1270" s="5" t="s">
        <v>49</v>
      </c>
      <c r="J1270" s="5" t="s">
        <v>1746</v>
      </c>
      <c r="K1270" s="5">
        <v>1.0</v>
      </c>
      <c r="L1270" s="5">
        <v>14104.0</v>
      </c>
      <c r="M1270" s="8"/>
      <c r="AK1270" s="9"/>
      <c r="AO1270" s="5" t="s">
        <v>4552</v>
      </c>
      <c r="AP1270" s="5">
        <v>1291.0</v>
      </c>
      <c r="AQ1270" s="5" t="s">
        <v>1716</v>
      </c>
      <c r="AR1270" s="5" t="s">
        <v>1717</v>
      </c>
      <c r="AS1270" s="5" t="s">
        <v>1740</v>
      </c>
      <c r="AT1270" s="5" t="s">
        <v>1835</v>
      </c>
      <c r="AU1270" s="5" t="s">
        <v>1742</v>
      </c>
      <c r="AV1270" s="5" t="s">
        <v>1720</v>
      </c>
      <c r="AW1270" s="5" t="s">
        <v>2368</v>
      </c>
      <c r="AX1270" s="5" t="s">
        <v>2369</v>
      </c>
      <c r="AY1270" s="5">
        <v>51.4128</v>
      </c>
      <c r="AZ1270" s="5">
        <v>-120.2239</v>
      </c>
      <c r="BA1270" s="5">
        <v>680.0</v>
      </c>
    </row>
    <row r="1271" ht="14.25" customHeight="1">
      <c r="B1271" s="5">
        <v>12.0</v>
      </c>
      <c r="C1271" s="5" t="s">
        <v>1711</v>
      </c>
      <c r="D1271" s="5">
        <v>1292.0</v>
      </c>
      <c r="E1271" s="5">
        <v>12049.0</v>
      </c>
      <c r="F1271" s="18" t="s">
        <v>4555</v>
      </c>
      <c r="G1271" s="5" t="s">
        <v>4556</v>
      </c>
      <c r="H1271" s="5" t="s">
        <v>4557</v>
      </c>
      <c r="I1271" s="5" t="s">
        <v>49</v>
      </c>
      <c r="J1271" s="5" t="s">
        <v>1746</v>
      </c>
      <c r="K1271" s="5">
        <v>1.0</v>
      </c>
      <c r="L1271" s="5">
        <v>14106.0</v>
      </c>
      <c r="M1271" s="8"/>
      <c r="AK1271" s="9"/>
      <c r="AO1271" s="5" t="s">
        <v>4555</v>
      </c>
      <c r="AP1271" s="5">
        <v>1292.0</v>
      </c>
      <c r="AQ1271" s="5" t="s">
        <v>1716</v>
      </c>
      <c r="AR1271" s="5" t="s">
        <v>1717</v>
      </c>
      <c r="AS1271" s="5" t="s">
        <v>1718</v>
      </c>
      <c r="AT1271" s="5" t="s">
        <v>1835</v>
      </c>
      <c r="AU1271" s="5" t="s">
        <v>1959</v>
      </c>
      <c r="AV1271" s="5" t="s">
        <v>1720</v>
      </c>
      <c r="AW1271" s="5" t="s">
        <v>2368</v>
      </c>
      <c r="AX1271" s="5" t="s">
        <v>2492</v>
      </c>
      <c r="AY1271" s="5">
        <v>49.5239</v>
      </c>
      <c r="AZ1271" s="5">
        <v>-120.9231</v>
      </c>
      <c r="BA1271" s="5">
        <v>1292.0</v>
      </c>
    </row>
    <row r="1272" ht="14.25" customHeight="1">
      <c r="A1272" s="5" t="s">
        <v>422</v>
      </c>
      <c r="B1272" s="5">
        <v>12.0</v>
      </c>
      <c r="C1272" s="5" t="s">
        <v>1711</v>
      </c>
      <c r="D1272" s="5">
        <v>1293.0</v>
      </c>
      <c r="E1272" s="5">
        <v>12050.0</v>
      </c>
      <c r="F1272" s="18" t="s">
        <v>4558</v>
      </c>
      <c r="G1272" s="5" t="s">
        <v>4559</v>
      </c>
      <c r="H1272" s="5" t="s">
        <v>4560</v>
      </c>
      <c r="I1272" s="5" t="s">
        <v>49</v>
      </c>
      <c r="J1272" s="5" t="s">
        <v>1746</v>
      </c>
      <c r="K1272" s="5">
        <v>1.0</v>
      </c>
      <c r="L1272" s="5">
        <v>14107.0</v>
      </c>
      <c r="M1272" s="8"/>
      <c r="AK1272" s="9"/>
      <c r="AO1272" s="5" t="s">
        <v>4558</v>
      </c>
      <c r="AP1272" s="5">
        <v>1293.0</v>
      </c>
      <c r="AQ1272" s="5" t="s">
        <v>1716</v>
      </c>
      <c r="AR1272" s="5" t="s">
        <v>1717</v>
      </c>
      <c r="AS1272" s="5" t="s">
        <v>1718</v>
      </c>
      <c r="AT1272" s="5" t="s">
        <v>1835</v>
      </c>
      <c r="AU1272" s="5" t="s">
        <v>1836</v>
      </c>
      <c r="AW1272" s="5" t="s">
        <v>2368</v>
      </c>
      <c r="AX1272" s="5" t="s">
        <v>2522</v>
      </c>
      <c r="AY1272" s="5">
        <v>50.5972</v>
      </c>
      <c r="AZ1272" s="5">
        <v>-118.4781</v>
      </c>
      <c r="BA1272" s="5">
        <v>1570.0</v>
      </c>
    </row>
    <row r="1273" ht="14.25" customHeight="1">
      <c r="B1273" s="5">
        <v>12.0</v>
      </c>
      <c r="C1273" s="5" t="s">
        <v>1711</v>
      </c>
      <c r="D1273" s="5">
        <v>1294.0</v>
      </c>
      <c r="E1273" s="5">
        <v>12052.0</v>
      </c>
      <c r="F1273" s="5" t="s">
        <v>4561</v>
      </c>
      <c r="G1273" s="5" t="s">
        <v>4562</v>
      </c>
      <c r="H1273" s="5" t="s">
        <v>4563</v>
      </c>
      <c r="I1273" s="5" t="s">
        <v>49</v>
      </c>
      <c r="J1273" s="5" t="s">
        <v>1746</v>
      </c>
      <c r="K1273" s="5">
        <v>1.0</v>
      </c>
      <c r="L1273" s="5">
        <v>14109.0</v>
      </c>
      <c r="M1273" s="8"/>
      <c r="AK1273" s="9"/>
      <c r="AO1273" s="5" t="s">
        <v>4561</v>
      </c>
      <c r="AP1273" s="5">
        <v>1294.0</v>
      </c>
      <c r="AQ1273" s="5" t="s">
        <v>1716</v>
      </c>
      <c r="AR1273" s="5" t="s">
        <v>1717</v>
      </c>
      <c r="AS1273" s="5" t="s">
        <v>2257</v>
      </c>
      <c r="AT1273" s="5" t="s">
        <v>1835</v>
      </c>
      <c r="AU1273" s="5" t="s">
        <v>2443</v>
      </c>
      <c r="AV1273" s="5" t="s">
        <v>1720</v>
      </c>
      <c r="AW1273" s="5" t="s">
        <v>1705</v>
      </c>
      <c r="AX1273" s="5" t="s">
        <v>1747</v>
      </c>
      <c r="AY1273" s="5">
        <v>48.4347</v>
      </c>
      <c r="AZ1273" s="5">
        <v>-123.3746</v>
      </c>
      <c r="BA1273" s="5">
        <v>10.0</v>
      </c>
    </row>
    <row r="1274" ht="14.25" customHeight="1">
      <c r="A1274" s="5" t="s">
        <v>422</v>
      </c>
      <c r="B1274" s="5">
        <v>12.0</v>
      </c>
      <c r="C1274" s="5" t="s">
        <v>1711</v>
      </c>
      <c r="D1274" s="5">
        <v>1299.0</v>
      </c>
      <c r="E1274" s="5">
        <v>12064.0</v>
      </c>
      <c r="F1274" s="18" t="s">
        <v>4564</v>
      </c>
      <c r="G1274" s="5" t="s">
        <v>4565</v>
      </c>
      <c r="H1274" s="5" t="s">
        <v>4566</v>
      </c>
      <c r="I1274" s="5" t="s">
        <v>49</v>
      </c>
      <c r="J1274" s="5" t="s">
        <v>1746</v>
      </c>
      <c r="K1274" s="5">
        <v>1.0</v>
      </c>
      <c r="L1274" s="5">
        <v>14120.0</v>
      </c>
      <c r="M1274" s="8"/>
      <c r="AK1274" s="9"/>
      <c r="AO1274" s="67" t="s">
        <v>4564</v>
      </c>
      <c r="AP1274" s="5">
        <v>1299.0</v>
      </c>
      <c r="AQ1274" s="5" t="s">
        <v>1716</v>
      </c>
      <c r="AR1274" s="5" t="s">
        <v>1717</v>
      </c>
      <c r="AS1274" s="5" t="s">
        <v>1718</v>
      </c>
      <c r="AT1274" s="5" t="s">
        <v>1835</v>
      </c>
      <c r="AU1274" s="5" t="s">
        <v>1836</v>
      </c>
      <c r="AV1274" s="5" t="s">
        <v>1720</v>
      </c>
      <c r="AW1274" s="5" t="s">
        <v>2368</v>
      </c>
      <c r="AX1274" s="5" t="s">
        <v>2492</v>
      </c>
      <c r="AY1274" s="5">
        <v>50.4699</v>
      </c>
      <c r="AZ1274" s="5">
        <v>-121.1948</v>
      </c>
      <c r="BA1274" s="5">
        <v>632.0</v>
      </c>
    </row>
    <row r="1275" ht="14.25" customHeight="1">
      <c r="A1275" s="5" t="s">
        <v>422</v>
      </c>
      <c r="B1275" s="5">
        <v>12.0</v>
      </c>
      <c r="C1275" s="5" t="s">
        <v>1711</v>
      </c>
      <c r="D1275" s="5">
        <v>1300.0</v>
      </c>
      <c r="E1275" s="5">
        <v>12065.0</v>
      </c>
      <c r="F1275" s="18" t="s">
        <v>4567</v>
      </c>
      <c r="G1275" s="5" t="s">
        <v>4568</v>
      </c>
      <c r="H1275" s="5" t="s">
        <v>4569</v>
      </c>
      <c r="I1275" s="5" t="s">
        <v>49</v>
      </c>
      <c r="J1275" s="5" t="s">
        <v>1746</v>
      </c>
      <c r="K1275" s="5">
        <v>1.0</v>
      </c>
      <c r="L1275" s="5">
        <v>14121.0</v>
      </c>
      <c r="M1275" s="8"/>
      <c r="AK1275" s="9"/>
      <c r="AO1275" s="67" t="s">
        <v>4567</v>
      </c>
      <c r="AP1275" s="5">
        <v>1300.0</v>
      </c>
      <c r="AQ1275" s="5" t="s">
        <v>1716</v>
      </c>
      <c r="AR1275" s="5" t="s">
        <v>1717</v>
      </c>
      <c r="AS1275" s="5" t="s">
        <v>1718</v>
      </c>
      <c r="AT1275" s="5" t="s">
        <v>1835</v>
      </c>
      <c r="AU1275" s="5" t="s">
        <v>1836</v>
      </c>
      <c r="AV1275" s="5" t="s">
        <v>1720</v>
      </c>
      <c r="AW1275" s="5" t="s">
        <v>2368</v>
      </c>
      <c r="AX1275" s="5" t="s">
        <v>2492</v>
      </c>
      <c r="AY1275" s="5">
        <v>50.4753</v>
      </c>
      <c r="AZ1275" s="5">
        <v>-121.2149</v>
      </c>
      <c r="BA1275" s="5">
        <v>1110.0</v>
      </c>
    </row>
    <row r="1276" ht="14.25" customHeight="1">
      <c r="A1276" s="5" t="s">
        <v>422</v>
      </c>
      <c r="B1276" s="5">
        <v>12.0</v>
      </c>
      <c r="C1276" s="5" t="s">
        <v>1711</v>
      </c>
      <c r="D1276" s="5">
        <v>1301.0</v>
      </c>
      <c r="E1276" s="5">
        <v>12067.0</v>
      </c>
      <c r="F1276" s="18" t="s">
        <v>4570</v>
      </c>
      <c r="G1276" s="5" t="s">
        <v>4571</v>
      </c>
      <c r="H1276" s="5" t="s">
        <v>4572</v>
      </c>
      <c r="I1276" s="5" t="s">
        <v>49</v>
      </c>
      <c r="J1276" s="5" t="s">
        <v>1746</v>
      </c>
      <c r="K1276" s="5">
        <v>1.0</v>
      </c>
      <c r="L1276" s="5">
        <v>14123.0</v>
      </c>
      <c r="M1276" s="8"/>
      <c r="AK1276" s="9"/>
      <c r="AO1276" s="67" t="s">
        <v>4570</v>
      </c>
      <c r="AP1276" s="5">
        <v>1301.0</v>
      </c>
      <c r="AQ1276" s="5" t="s">
        <v>1716</v>
      </c>
      <c r="AR1276" s="5" t="s">
        <v>1717</v>
      </c>
      <c r="AS1276" s="5" t="s">
        <v>1718</v>
      </c>
      <c r="AT1276" s="5" t="s">
        <v>1835</v>
      </c>
      <c r="AU1276" s="5" t="s">
        <v>1836</v>
      </c>
      <c r="AW1276" s="5" t="s">
        <v>2193</v>
      </c>
      <c r="AX1276" s="5" t="s">
        <v>2283</v>
      </c>
      <c r="AY1276" s="5">
        <v>51.871</v>
      </c>
      <c r="AZ1276" s="5">
        <v>-124.792</v>
      </c>
      <c r="BA1276" s="5">
        <v>1511.0</v>
      </c>
    </row>
    <row r="1277" ht="14.25" customHeight="1">
      <c r="A1277" s="5" t="s">
        <v>422</v>
      </c>
      <c r="B1277" s="5">
        <v>12.0</v>
      </c>
      <c r="C1277" s="5" t="s">
        <v>1711</v>
      </c>
      <c r="D1277" s="5">
        <v>1302.0</v>
      </c>
      <c r="E1277" s="5">
        <v>12066.0</v>
      </c>
      <c r="F1277" s="18" t="s">
        <v>4573</v>
      </c>
      <c r="G1277" s="5" t="s">
        <v>4574</v>
      </c>
      <c r="H1277" s="5" t="s">
        <v>4575</v>
      </c>
      <c r="I1277" s="5" t="s">
        <v>49</v>
      </c>
      <c r="J1277" s="5" t="s">
        <v>1746</v>
      </c>
      <c r="K1277" s="5">
        <v>1.0</v>
      </c>
      <c r="L1277" s="5">
        <v>14122.0</v>
      </c>
      <c r="M1277" s="8"/>
      <c r="AK1277" s="9"/>
      <c r="AO1277" s="67" t="s">
        <v>4573</v>
      </c>
      <c r="AP1277" s="5">
        <v>1302.0</v>
      </c>
      <c r="AQ1277" s="5" t="s">
        <v>1716</v>
      </c>
      <c r="AR1277" s="5" t="s">
        <v>1717</v>
      </c>
      <c r="AS1277" s="5" t="s">
        <v>1718</v>
      </c>
      <c r="AT1277" s="5" t="s">
        <v>1835</v>
      </c>
      <c r="AU1277" s="5" t="s">
        <v>1836</v>
      </c>
      <c r="AW1277" s="5" t="s">
        <v>2193</v>
      </c>
      <c r="AX1277" s="5" t="s">
        <v>2291</v>
      </c>
      <c r="AY1277" s="5">
        <v>52.1843</v>
      </c>
      <c r="AZ1277" s="5">
        <v>-122.0638</v>
      </c>
      <c r="BA1277" s="5">
        <v>940.0</v>
      </c>
    </row>
    <row r="1278" ht="14.25" customHeight="1">
      <c r="A1278" s="5" t="s">
        <v>422</v>
      </c>
      <c r="B1278" s="5">
        <v>12.0</v>
      </c>
      <c r="C1278" s="5" t="s">
        <v>1711</v>
      </c>
      <c r="D1278" s="5">
        <v>1303.0</v>
      </c>
      <c r="E1278" s="5">
        <v>12069.0</v>
      </c>
      <c r="F1278" s="18" t="s">
        <v>4576</v>
      </c>
      <c r="G1278" s="5" t="s">
        <v>4577</v>
      </c>
      <c r="H1278" s="5" t="s">
        <v>4578</v>
      </c>
      <c r="I1278" s="5" t="s">
        <v>49</v>
      </c>
      <c r="J1278" s="5" t="s">
        <v>1746</v>
      </c>
      <c r="K1278" s="5">
        <v>1.0</v>
      </c>
      <c r="L1278" s="5">
        <v>14125.0</v>
      </c>
      <c r="M1278" s="8"/>
      <c r="AK1278" s="9"/>
      <c r="AO1278" s="67" t="s">
        <v>4576</v>
      </c>
      <c r="AP1278" s="5">
        <v>1303.0</v>
      </c>
      <c r="AQ1278" s="5" t="s">
        <v>1716</v>
      </c>
      <c r="AR1278" s="5" t="s">
        <v>1717</v>
      </c>
      <c r="AS1278" s="5" t="s">
        <v>1718</v>
      </c>
      <c r="AT1278" s="5" t="s">
        <v>1835</v>
      </c>
      <c r="AU1278" s="5" t="s">
        <v>1836</v>
      </c>
      <c r="AV1278" s="5" t="s">
        <v>1720</v>
      </c>
      <c r="AW1278" s="5" t="s">
        <v>2193</v>
      </c>
      <c r="AX1278" s="5" t="s">
        <v>2194</v>
      </c>
      <c r="AY1278" s="5">
        <v>52.918</v>
      </c>
      <c r="AZ1278" s="5">
        <v>-123.918</v>
      </c>
      <c r="BA1278" s="5">
        <v>1114.0</v>
      </c>
    </row>
    <row r="1279" ht="14.25" customHeight="1">
      <c r="A1279" s="5" t="s">
        <v>422</v>
      </c>
      <c r="B1279" s="5">
        <v>12.0</v>
      </c>
      <c r="C1279" s="5" t="s">
        <v>1711</v>
      </c>
      <c r="D1279" s="5">
        <v>1304.0</v>
      </c>
      <c r="E1279" s="5">
        <v>12070.0</v>
      </c>
      <c r="F1279" s="18" t="s">
        <v>4579</v>
      </c>
      <c r="G1279" s="5" t="s">
        <v>4580</v>
      </c>
      <c r="H1279" s="5" t="s">
        <v>4581</v>
      </c>
      <c r="I1279" s="5" t="s">
        <v>49</v>
      </c>
      <c r="J1279" s="5" t="s">
        <v>1746</v>
      </c>
      <c r="K1279" s="5">
        <v>1.0</v>
      </c>
      <c r="L1279" s="5">
        <v>14126.0</v>
      </c>
      <c r="M1279" s="8"/>
      <c r="AK1279" s="9"/>
      <c r="AO1279" s="67" t="s">
        <v>4579</v>
      </c>
      <c r="AP1279" s="5">
        <v>1304.0</v>
      </c>
      <c r="AQ1279" s="5" t="s">
        <v>1716</v>
      </c>
      <c r="AR1279" s="5" t="s">
        <v>1717</v>
      </c>
      <c r="AS1279" s="5" t="s">
        <v>1718</v>
      </c>
      <c r="AT1279" s="5" t="s">
        <v>1835</v>
      </c>
      <c r="AU1279" s="5" t="s">
        <v>1836</v>
      </c>
      <c r="AW1279" s="5" t="s">
        <v>2193</v>
      </c>
      <c r="AX1279" s="5" t="s">
        <v>2194</v>
      </c>
      <c r="AY1279" s="5">
        <v>52.6785</v>
      </c>
      <c r="AZ1279" s="5">
        <v>-122.8884</v>
      </c>
      <c r="BA1279" s="5">
        <v>1200.0</v>
      </c>
    </row>
    <row r="1280" ht="14.25" customHeight="1">
      <c r="A1280" s="5" t="s">
        <v>422</v>
      </c>
      <c r="B1280" s="5">
        <v>12.0</v>
      </c>
      <c r="C1280" s="5" t="s">
        <v>1711</v>
      </c>
      <c r="D1280" s="5">
        <v>1305.0</v>
      </c>
      <c r="E1280" s="5">
        <v>12071.0</v>
      </c>
      <c r="F1280" s="18" t="s">
        <v>4582</v>
      </c>
      <c r="G1280" s="5" t="s">
        <v>4583</v>
      </c>
      <c r="H1280" s="5" t="s">
        <v>4584</v>
      </c>
      <c r="I1280" s="5" t="s">
        <v>49</v>
      </c>
      <c r="J1280" s="5" t="s">
        <v>1746</v>
      </c>
      <c r="K1280" s="5">
        <v>1.0</v>
      </c>
      <c r="L1280" s="5">
        <v>14127.0</v>
      </c>
      <c r="M1280" s="8"/>
      <c r="AK1280" s="9"/>
      <c r="AO1280" s="67" t="s">
        <v>4582</v>
      </c>
      <c r="AP1280" s="5">
        <v>1305.0</v>
      </c>
      <c r="AQ1280" s="5" t="s">
        <v>1716</v>
      </c>
      <c r="AR1280" s="5" t="s">
        <v>2441</v>
      </c>
      <c r="AS1280" s="5" t="s">
        <v>1718</v>
      </c>
      <c r="AT1280" s="5" t="s">
        <v>1835</v>
      </c>
      <c r="AU1280" s="5" t="s">
        <v>1836</v>
      </c>
      <c r="AV1280" s="5" t="s">
        <v>1720</v>
      </c>
      <c r="AW1280" s="5" t="s">
        <v>2698</v>
      </c>
      <c r="AX1280" s="5" t="s">
        <v>2801</v>
      </c>
      <c r="AY1280" s="5">
        <v>49.5691</v>
      </c>
      <c r="AZ1280" s="5">
        <v>-117.0309</v>
      </c>
      <c r="BA1280" s="5">
        <v>1681.0</v>
      </c>
    </row>
    <row r="1281" ht="14.25" customHeight="1">
      <c r="A1281" s="5" t="s">
        <v>422</v>
      </c>
      <c r="B1281" s="5">
        <v>12.0</v>
      </c>
      <c r="C1281" s="5" t="s">
        <v>1711</v>
      </c>
      <c r="D1281" s="5">
        <v>1306.0</v>
      </c>
      <c r="E1281" s="5">
        <v>12072.0</v>
      </c>
      <c r="F1281" s="18" t="s">
        <v>4585</v>
      </c>
      <c r="G1281" s="5" t="s">
        <v>4586</v>
      </c>
      <c r="H1281" s="5" t="s">
        <v>4587</v>
      </c>
      <c r="I1281" s="5" t="s">
        <v>49</v>
      </c>
      <c r="J1281" s="5" t="s">
        <v>1746</v>
      </c>
      <c r="K1281" s="5">
        <v>1.0</v>
      </c>
      <c r="L1281" s="5">
        <v>14128.0</v>
      </c>
      <c r="M1281" s="8"/>
      <c r="AK1281" s="9"/>
      <c r="AO1281" s="67" t="s">
        <v>4585</v>
      </c>
      <c r="AP1281" s="5">
        <v>1306.0</v>
      </c>
      <c r="AQ1281" s="5" t="s">
        <v>1716</v>
      </c>
      <c r="AR1281" s="5" t="s">
        <v>1717</v>
      </c>
      <c r="AS1281" s="5" t="s">
        <v>1718</v>
      </c>
      <c r="AT1281" s="5" t="s">
        <v>1835</v>
      </c>
      <c r="AU1281" s="5" t="s">
        <v>1836</v>
      </c>
      <c r="AV1281" s="5" t="s">
        <v>1720</v>
      </c>
      <c r="AW1281" s="5" t="s">
        <v>2698</v>
      </c>
      <c r="AX1281" s="5" t="s">
        <v>2768</v>
      </c>
      <c r="AY1281" s="5">
        <v>50.1825</v>
      </c>
      <c r="AZ1281" s="5">
        <v>-115.3049</v>
      </c>
      <c r="BA1281" s="5">
        <v>1465.0</v>
      </c>
    </row>
    <row r="1282" ht="14.25" customHeight="1">
      <c r="B1282" s="5">
        <v>12.0</v>
      </c>
      <c r="C1282" s="5" t="s">
        <v>1711</v>
      </c>
      <c r="D1282" s="5">
        <v>1310.0</v>
      </c>
      <c r="E1282" s="5">
        <v>12327.0</v>
      </c>
      <c r="F1282" s="18" t="s">
        <v>4588</v>
      </c>
      <c r="G1282" s="10" t="s">
        <v>4589</v>
      </c>
      <c r="H1282" s="5" t="s">
        <v>4590</v>
      </c>
      <c r="I1282" s="5" t="s">
        <v>49</v>
      </c>
      <c r="J1282" s="5" t="s">
        <v>1746</v>
      </c>
      <c r="K1282" s="5">
        <v>1.0</v>
      </c>
      <c r="L1282" s="5">
        <v>14382.0</v>
      </c>
      <c r="M1282" s="8"/>
      <c r="AK1282" s="9"/>
      <c r="AO1282" s="67" t="s">
        <v>4591</v>
      </c>
      <c r="AP1282" s="18">
        <v>1307.0</v>
      </c>
      <c r="AQ1282" s="18" t="s">
        <v>1716</v>
      </c>
      <c r="AR1282" s="18" t="s">
        <v>1717</v>
      </c>
      <c r="AS1282" s="18" t="s">
        <v>1718</v>
      </c>
      <c r="AT1282" s="18" t="s">
        <v>1835</v>
      </c>
      <c r="AU1282" s="18" t="s">
        <v>1836</v>
      </c>
      <c r="AV1282" s="18" t="s">
        <v>1720</v>
      </c>
      <c r="AW1282" s="18"/>
      <c r="AX1282" s="18" t="s">
        <v>2801</v>
      </c>
      <c r="AY1282" s="18">
        <v>50.0494</v>
      </c>
      <c r="AZ1282" s="18">
        <v>-117.0886</v>
      </c>
      <c r="BA1282" s="18">
        <v>1784.0</v>
      </c>
    </row>
    <row r="1283" ht="14.25" customHeight="1">
      <c r="B1283" s="5">
        <v>12.0</v>
      </c>
      <c r="C1283" s="5" t="s">
        <v>1711</v>
      </c>
      <c r="D1283" s="5">
        <v>1313.0</v>
      </c>
      <c r="E1283" s="5">
        <v>12328.0</v>
      </c>
      <c r="F1283" s="5" t="s">
        <v>4592</v>
      </c>
      <c r="G1283" s="5" t="s">
        <v>4593</v>
      </c>
      <c r="H1283" s="5" t="s">
        <v>4594</v>
      </c>
      <c r="I1283" s="5" t="s">
        <v>49</v>
      </c>
      <c r="J1283" s="5" t="s">
        <v>1746</v>
      </c>
      <c r="K1283" s="5">
        <v>1.0</v>
      </c>
      <c r="L1283" s="5">
        <v>14383.0</v>
      </c>
      <c r="M1283" s="8"/>
      <c r="AK1283" s="9"/>
      <c r="AO1283" s="5" t="s">
        <v>4592</v>
      </c>
      <c r="AP1283" s="5">
        <v>1313.0</v>
      </c>
      <c r="AQ1283" s="5" t="s">
        <v>1716</v>
      </c>
      <c r="AR1283" s="5" t="s">
        <v>1701</v>
      </c>
      <c r="AS1283" s="5" t="s">
        <v>1740</v>
      </c>
      <c r="AT1283" s="5" t="s">
        <v>1703</v>
      </c>
      <c r="AU1283" s="5" t="s">
        <v>1742</v>
      </c>
      <c r="AV1283" s="5" t="s">
        <v>1720</v>
      </c>
      <c r="AW1283" s="5" t="s">
        <v>1705</v>
      </c>
      <c r="AX1283" s="5" t="s">
        <v>1837</v>
      </c>
      <c r="AY1283" s="5">
        <v>49.5979</v>
      </c>
      <c r="AZ1283" s="5">
        <v>-123.6051</v>
      </c>
      <c r="BA1283" s="5">
        <v>1422.0</v>
      </c>
    </row>
    <row r="1284" ht="14.25" customHeight="1">
      <c r="A1284" s="5" t="s">
        <v>422</v>
      </c>
      <c r="B1284" s="5">
        <v>12.0</v>
      </c>
      <c r="C1284" s="5" t="s">
        <v>1711</v>
      </c>
      <c r="D1284" s="5">
        <v>1316.0</v>
      </c>
      <c r="E1284" s="5">
        <v>12329.0</v>
      </c>
      <c r="F1284" s="18" t="s">
        <v>4595</v>
      </c>
      <c r="G1284" s="5" t="s">
        <v>4596</v>
      </c>
      <c r="H1284" s="5" t="s">
        <v>4597</v>
      </c>
      <c r="I1284" s="5" t="s">
        <v>49</v>
      </c>
      <c r="J1284" s="5" t="s">
        <v>1746</v>
      </c>
      <c r="K1284" s="5">
        <v>1.0</v>
      </c>
      <c r="L1284" s="5">
        <v>14384.0</v>
      </c>
      <c r="M1284" s="8"/>
      <c r="AK1284" s="9"/>
      <c r="AO1284" s="67" t="s">
        <v>4595</v>
      </c>
      <c r="AP1284" s="5">
        <v>1316.0</v>
      </c>
      <c r="AQ1284" s="5" t="s">
        <v>1716</v>
      </c>
      <c r="AR1284" s="5" t="s">
        <v>1717</v>
      </c>
      <c r="AS1284" s="5" t="s">
        <v>2257</v>
      </c>
      <c r="AT1284" s="5" t="s">
        <v>1835</v>
      </c>
      <c r="AU1284" s="5" t="s">
        <v>1836</v>
      </c>
      <c r="AV1284" s="5" t="s">
        <v>1720</v>
      </c>
      <c r="AW1284" s="5" t="s">
        <v>2368</v>
      </c>
      <c r="AX1284" s="5" t="s">
        <v>2505</v>
      </c>
      <c r="AY1284" s="5">
        <v>50.4172</v>
      </c>
      <c r="AZ1284" s="5">
        <v>-121.375</v>
      </c>
      <c r="BA1284" s="5">
        <v>383.0</v>
      </c>
    </row>
    <row r="1285" ht="14.25" customHeight="1">
      <c r="A1285" s="5" t="s">
        <v>422</v>
      </c>
      <c r="B1285" s="5">
        <v>12.0</v>
      </c>
      <c r="C1285" s="5" t="s">
        <v>1711</v>
      </c>
      <c r="D1285" s="5">
        <v>1317.0</v>
      </c>
      <c r="E1285" s="5">
        <v>12330.0</v>
      </c>
      <c r="F1285" s="18" t="s">
        <v>4598</v>
      </c>
      <c r="G1285" s="5" t="s">
        <v>4599</v>
      </c>
      <c r="H1285" s="5" t="s">
        <v>4600</v>
      </c>
      <c r="I1285" s="5" t="s">
        <v>49</v>
      </c>
      <c r="J1285" s="5" t="s">
        <v>1746</v>
      </c>
      <c r="K1285" s="5">
        <v>1.0</v>
      </c>
      <c r="L1285" s="5">
        <v>14385.0</v>
      </c>
      <c r="M1285" s="8"/>
      <c r="AK1285" s="9"/>
      <c r="AO1285" s="67" t="s">
        <v>4598</v>
      </c>
      <c r="AP1285" s="5">
        <v>1317.0</v>
      </c>
      <c r="AQ1285" s="5" t="s">
        <v>1716</v>
      </c>
      <c r="AR1285" s="5" t="s">
        <v>1717</v>
      </c>
      <c r="AS1285" s="5" t="s">
        <v>1718</v>
      </c>
      <c r="AT1285" s="5" t="s">
        <v>1835</v>
      </c>
      <c r="AU1285" s="5" t="s">
        <v>1836</v>
      </c>
      <c r="AV1285" s="5" t="s">
        <v>1720</v>
      </c>
      <c r="AW1285" s="5" t="s">
        <v>2698</v>
      </c>
      <c r="AX1285" s="5" t="s">
        <v>2801</v>
      </c>
      <c r="AY1285" s="5">
        <v>50.44</v>
      </c>
      <c r="AZ1285" s="5">
        <v>-117.1422</v>
      </c>
      <c r="BA1285" s="5">
        <v>1068.0</v>
      </c>
    </row>
    <row r="1286" ht="14.25" customHeight="1">
      <c r="B1286" s="5">
        <v>12.0</v>
      </c>
      <c r="C1286" s="5" t="s">
        <v>1711</v>
      </c>
      <c r="D1286" s="5">
        <v>1318.0</v>
      </c>
      <c r="E1286" s="5">
        <v>12331.0</v>
      </c>
      <c r="F1286" s="18" t="s">
        <v>4601</v>
      </c>
      <c r="G1286" s="5" t="s">
        <v>4602</v>
      </c>
      <c r="H1286" s="5" t="s">
        <v>4603</v>
      </c>
      <c r="I1286" s="5" t="s">
        <v>49</v>
      </c>
      <c r="J1286" s="5" t="s">
        <v>1746</v>
      </c>
      <c r="K1286" s="5">
        <v>1.0</v>
      </c>
      <c r="L1286" s="5">
        <v>14387.0</v>
      </c>
      <c r="M1286" s="8"/>
      <c r="AK1286" s="9"/>
      <c r="AO1286" s="67" t="s">
        <v>4601</v>
      </c>
      <c r="AP1286" s="5">
        <v>1318.0</v>
      </c>
      <c r="AQ1286" s="5" t="s">
        <v>1716</v>
      </c>
      <c r="AR1286" s="5" t="s">
        <v>1717</v>
      </c>
      <c r="AS1286" s="5" t="s">
        <v>1718</v>
      </c>
      <c r="AT1286" s="5" t="s">
        <v>1835</v>
      </c>
      <c r="AU1286" s="5" t="s">
        <v>1836</v>
      </c>
      <c r="AV1286" s="5" t="s">
        <v>1720</v>
      </c>
      <c r="AY1286" s="5">
        <v>52.8647</v>
      </c>
      <c r="AZ1286" s="5">
        <v>-118.5186</v>
      </c>
      <c r="BA1286" s="5">
        <v>1120.0</v>
      </c>
    </row>
    <row r="1287" ht="14.25" customHeight="1">
      <c r="A1287" s="5" t="s">
        <v>422</v>
      </c>
      <c r="B1287" s="5">
        <v>12.0</v>
      </c>
      <c r="C1287" s="5" t="s">
        <v>1711</v>
      </c>
      <c r="D1287" s="5">
        <v>1319.0</v>
      </c>
      <c r="E1287" s="5">
        <v>12332.0</v>
      </c>
      <c r="F1287" s="18" t="s">
        <v>4604</v>
      </c>
      <c r="G1287" s="5" t="s">
        <v>4605</v>
      </c>
      <c r="H1287" s="5" t="s">
        <v>4606</v>
      </c>
      <c r="I1287" s="5" t="s">
        <v>49</v>
      </c>
      <c r="J1287" s="5" t="s">
        <v>1746</v>
      </c>
      <c r="K1287" s="5">
        <v>1.0</v>
      </c>
      <c r="L1287" s="5">
        <v>14388.0</v>
      </c>
      <c r="M1287" s="8"/>
      <c r="AK1287" s="9"/>
      <c r="AO1287" s="67" t="s">
        <v>4604</v>
      </c>
      <c r="AP1287" s="5">
        <v>1319.0</v>
      </c>
      <c r="AQ1287" s="5" t="s">
        <v>1716</v>
      </c>
      <c r="AR1287" s="5" t="s">
        <v>1717</v>
      </c>
      <c r="AS1287" s="5" t="s">
        <v>1718</v>
      </c>
      <c r="AT1287" s="5" t="s">
        <v>1835</v>
      </c>
      <c r="AU1287" s="5" t="s">
        <v>1836</v>
      </c>
      <c r="AV1287" s="5" t="s">
        <v>1720</v>
      </c>
      <c r="AW1287" s="5" t="s">
        <v>2368</v>
      </c>
      <c r="AX1287" s="5" t="s">
        <v>2369</v>
      </c>
      <c r="AY1287" s="5">
        <v>51.1508</v>
      </c>
      <c r="AZ1287" s="5">
        <v>-120.8506</v>
      </c>
      <c r="BA1287" s="5">
        <v>1065.0</v>
      </c>
    </row>
    <row r="1288" ht="14.25" customHeight="1">
      <c r="A1288" s="5" t="s">
        <v>422</v>
      </c>
      <c r="B1288" s="5">
        <v>12.0</v>
      </c>
      <c r="C1288" s="5" t="s">
        <v>1711</v>
      </c>
      <c r="D1288" s="5">
        <v>1320.0</v>
      </c>
      <c r="E1288" s="5">
        <v>12333.0</v>
      </c>
      <c r="F1288" s="18" t="s">
        <v>4607</v>
      </c>
      <c r="G1288" s="5" t="s">
        <v>4608</v>
      </c>
      <c r="H1288" s="5" t="s">
        <v>4609</v>
      </c>
      <c r="I1288" s="5" t="s">
        <v>49</v>
      </c>
      <c r="J1288" s="5" t="s">
        <v>1746</v>
      </c>
      <c r="K1288" s="5">
        <v>1.0</v>
      </c>
      <c r="L1288" s="5">
        <v>14389.0</v>
      </c>
      <c r="M1288" s="8"/>
      <c r="AK1288" s="9"/>
      <c r="AO1288" s="67" t="s">
        <v>4607</v>
      </c>
      <c r="AP1288" s="5">
        <v>1320.0</v>
      </c>
      <c r="AQ1288" s="5" t="s">
        <v>1716</v>
      </c>
      <c r="AR1288" s="5" t="s">
        <v>1717</v>
      </c>
      <c r="AS1288" s="5" t="s">
        <v>1718</v>
      </c>
      <c r="AT1288" s="5" t="s">
        <v>1835</v>
      </c>
      <c r="AU1288" s="5" t="s">
        <v>1836</v>
      </c>
      <c r="AV1288" s="5" t="s">
        <v>1720</v>
      </c>
      <c r="AW1288" s="5" t="s">
        <v>2368</v>
      </c>
      <c r="AX1288" s="5" t="s">
        <v>2505</v>
      </c>
      <c r="AY1288" s="5">
        <v>50.6364</v>
      </c>
      <c r="AZ1288" s="5">
        <v>-122.4347</v>
      </c>
      <c r="BA1288" s="5">
        <v>603.0</v>
      </c>
    </row>
    <row r="1289" ht="14.25" customHeight="1">
      <c r="A1289" s="5" t="s">
        <v>422</v>
      </c>
      <c r="B1289" s="5">
        <v>12.0</v>
      </c>
      <c r="C1289" s="5" t="s">
        <v>1711</v>
      </c>
      <c r="D1289" s="5">
        <v>1321.0</v>
      </c>
      <c r="E1289" s="5">
        <v>12334.0</v>
      </c>
      <c r="F1289" s="18" t="s">
        <v>4610</v>
      </c>
      <c r="G1289" s="5" t="s">
        <v>4611</v>
      </c>
      <c r="H1289" s="5" t="s">
        <v>4612</v>
      </c>
      <c r="I1289" s="5" t="s">
        <v>49</v>
      </c>
      <c r="J1289" s="5" t="s">
        <v>1746</v>
      </c>
      <c r="K1289" s="5">
        <v>1.0</v>
      </c>
      <c r="L1289" s="5">
        <v>14390.0</v>
      </c>
      <c r="M1289" s="8"/>
      <c r="AK1289" s="9"/>
      <c r="AO1289" s="67" t="s">
        <v>4610</v>
      </c>
      <c r="AP1289" s="5">
        <v>1321.0</v>
      </c>
      <c r="AQ1289" s="5" t="s">
        <v>1716</v>
      </c>
      <c r="AR1289" s="5" t="s">
        <v>1717</v>
      </c>
      <c r="AS1289" s="5" t="s">
        <v>1718</v>
      </c>
      <c r="AT1289" s="5" t="s">
        <v>1835</v>
      </c>
      <c r="AU1289" s="5" t="s">
        <v>1836</v>
      </c>
      <c r="AV1289" s="5" t="s">
        <v>1720</v>
      </c>
      <c r="AW1289" s="5" t="s">
        <v>2698</v>
      </c>
      <c r="AX1289" s="5" t="s">
        <v>2801</v>
      </c>
      <c r="AY1289" s="5">
        <v>49.8987</v>
      </c>
      <c r="AZ1289" s="5">
        <v>-117.0879</v>
      </c>
      <c r="BA1289" s="5">
        <v>1227.0</v>
      </c>
    </row>
    <row r="1290" ht="14.25" customHeight="1">
      <c r="A1290" s="5" t="s">
        <v>88</v>
      </c>
      <c r="B1290" s="5">
        <v>12.0</v>
      </c>
      <c r="C1290" s="5" t="s">
        <v>1711</v>
      </c>
      <c r="D1290" s="5">
        <v>1323.0</v>
      </c>
      <c r="E1290" s="5">
        <v>12336.0</v>
      </c>
      <c r="F1290" s="5" t="s">
        <v>4613</v>
      </c>
      <c r="G1290" s="10" t="s">
        <v>4614</v>
      </c>
      <c r="H1290" s="5" t="s">
        <v>4615</v>
      </c>
      <c r="I1290" s="5" t="s">
        <v>49</v>
      </c>
      <c r="J1290" s="5" t="s">
        <v>1891</v>
      </c>
      <c r="K1290" s="5">
        <v>1.0</v>
      </c>
      <c r="L1290" s="5">
        <v>14392.0</v>
      </c>
      <c r="M1290" s="8">
        <v>50.6905556</v>
      </c>
      <c r="N1290" s="5">
        <v>-119.1761111</v>
      </c>
      <c r="O1290" s="5" t="s">
        <v>142</v>
      </c>
      <c r="P1290" s="5">
        <v>1323.0</v>
      </c>
      <c r="Q1290" s="5">
        <v>2.0</v>
      </c>
      <c r="R1290" s="5" t="s">
        <v>4613</v>
      </c>
      <c r="S1290" s="5" t="s">
        <v>1737</v>
      </c>
      <c r="T1290" s="5">
        <v>892.0</v>
      </c>
      <c r="W1290" s="5">
        <v>43831.0</v>
      </c>
      <c r="X1290" s="5" t="s">
        <v>1738</v>
      </c>
      <c r="AK1290" s="9"/>
      <c r="AO1290" s="5" t="s">
        <v>4613</v>
      </c>
      <c r="AP1290" s="5">
        <v>1323.0</v>
      </c>
      <c r="AQ1290" s="5" t="s">
        <v>1700</v>
      </c>
      <c r="AR1290" s="5" t="s">
        <v>1739</v>
      </c>
      <c r="AS1290" s="5" t="s">
        <v>1740</v>
      </c>
      <c r="AT1290" s="5" t="s">
        <v>1741</v>
      </c>
      <c r="AU1290" s="5" t="s">
        <v>1959</v>
      </c>
      <c r="AV1290" s="5" t="s">
        <v>1720</v>
      </c>
      <c r="AW1290" s="5" t="s">
        <v>2368</v>
      </c>
      <c r="AX1290" s="5" t="s">
        <v>2522</v>
      </c>
      <c r="AY1290" s="5">
        <v>50.6906</v>
      </c>
      <c r="AZ1290" s="5">
        <v>-119.1761</v>
      </c>
      <c r="BA1290" s="5">
        <v>904.0</v>
      </c>
    </row>
    <row r="1291" ht="14.25" customHeight="1">
      <c r="B1291" s="5">
        <v>12.0</v>
      </c>
      <c r="C1291" s="5" t="s">
        <v>1711</v>
      </c>
      <c r="D1291" s="5">
        <v>1326.0</v>
      </c>
      <c r="E1291" s="5">
        <v>12340.0</v>
      </c>
      <c r="F1291" s="18" t="s">
        <v>4616</v>
      </c>
      <c r="G1291" s="5" t="s">
        <v>4617</v>
      </c>
      <c r="H1291" s="5" t="s">
        <v>4618</v>
      </c>
      <c r="I1291" s="5" t="s">
        <v>49</v>
      </c>
      <c r="J1291" s="5" t="s">
        <v>1746</v>
      </c>
      <c r="K1291" s="5">
        <v>1.0</v>
      </c>
      <c r="L1291" s="5">
        <v>14396.0</v>
      </c>
      <c r="M1291" s="8"/>
      <c r="AK1291" s="9"/>
      <c r="AO1291" s="5" t="s">
        <v>4616</v>
      </c>
      <c r="AP1291" s="5">
        <v>1326.0</v>
      </c>
      <c r="AQ1291" s="5" t="s">
        <v>1716</v>
      </c>
      <c r="AR1291" s="5" t="s">
        <v>1717</v>
      </c>
      <c r="AS1291" s="5" t="s">
        <v>1740</v>
      </c>
      <c r="AT1291" s="5" t="s">
        <v>1703</v>
      </c>
      <c r="AU1291" s="5" t="s">
        <v>1742</v>
      </c>
      <c r="AV1291" s="5" t="s">
        <v>1720</v>
      </c>
      <c r="AW1291" s="5" t="s">
        <v>2368</v>
      </c>
      <c r="AX1291" s="5" t="s">
        <v>2492</v>
      </c>
      <c r="AY1291" s="5">
        <v>49.3393</v>
      </c>
      <c r="AZ1291" s="5">
        <v>-120.4071</v>
      </c>
      <c r="BA1291" s="5">
        <v>1464.0</v>
      </c>
    </row>
    <row r="1292" ht="14.25" customHeight="1">
      <c r="B1292" s="5">
        <v>12.0</v>
      </c>
      <c r="C1292" s="5" t="s">
        <v>1711</v>
      </c>
      <c r="D1292" s="5">
        <v>1330.0</v>
      </c>
      <c r="E1292" s="5">
        <v>12339.0</v>
      </c>
      <c r="F1292" s="5" t="s">
        <v>4619</v>
      </c>
      <c r="G1292" s="5" t="s">
        <v>4620</v>
      </c>
      <c r="H1292" s="5" t="s">
        <v>4621</v>
      </c>
      <c r="I1292" s="5" t="s">
        <v>49</v>
      </c>
      <c r="J1292" s="5" t="s">
        <v>1891</v>
      </c>
      <c r="K1292" s="5">
        <v>1.0</v>
      </c>
      <c r="L1292" s="5">
        <v>14394.0</v>
      </c>
      <c r="M1292" s="8">
        <v>49.4696944</v>
      </c>
      <c r="N1292" s="5">
        <v>-120.7925</v>
      </c>
      <c r="O1292" s="5" t="s">
        <v>142</v>
      </c>
      <c r="P1292" s="5">
        <v>1330.0</v>
      </c>
      <c r="Q1292" s="5">
        <v>6.0</v>
      </c>
      <c r="R1292" s="5" t="s">
        <v>4619</v>
      </c>
      <c r="S1292" s="5" t="s">
        <v>1737</v>
      </c>
      <c r="T1292" s="5">
        <v>1543.0</v>
      </c>
      <c r="W1292" s="5">
        <v>43831.0</v>
      </c>
      <c r="X1292" s="5" t="s">
        <v>1738</v>
      </c>
      <c r="AK1292" s="9"/>
      <c r="AO1292" s="5" t="s">
        <v>4619</v>
      </c>
      <c r="AP1292" s="5">
        <v>1330.0</v>
      </c>
      <c r="AQ1292" s="5" t="s">
        <v>1716</v>
      </c>
      <c r="AR1292" s="5" t="s">
        <v>1739</v>
      </c>
      <c r="AS1292" s="5" t="s">
        <v>1740</v>
      </c>
      <c r="AT1292" s="5" t="s">
        <v>1741</v>
      </c>
      <c r="AU1292" s="5" t="s">
        <v>1704</v>
      </c>
      <c r="AV1292" s="5" t="s">
        <v>1720</v>
      </c>
      <c r="AW1292" s="5" t="s">
        <v>2368</v>
      </c>
      <c r="AX1292" s="5" t="s">
        <v>2492</v>
      </c>
      <c r="AY1292" s="5">
        <v>49.4697</v>
      </c>
      <c r="AZ1292" s="5">
        <v>-120.7925</v>
      </c>
      <c r="BA1292" s="5">
        <v>1543.0</v>
      </c>
    </row>
    <row r="1293" ht="14.25" customHeight="1">
      <c r="A1293" s="5" t="s">
        <v>2037</v>
      </c>
      <c r="B1293" s="5">
        <v>12.0</v>
      </c>
      <c r="C1293" s="5" t="s">
        <v>1711</v>
      </c>
      <c r="D1293" s="5">
        <v>1331.0</v>
      </c>
      <c r="E1293" s="5">
        <v>12337.0</v>
      </c>
      <c r="F1293" s="5" t="s">
        <v>4622</v>
      </c>
      <c r="G1293" s="5" t="s">
        <v>4623</v>
      </c>
      <c r="H1293" s="5" t="s">
        <v>4624</v>
      </c>
      <c r="I1293" s="5" t="s">
        <v>49</v>
      </c>
      <c r="J1293" s="5" t="s">
        <v>1746</v>
      </c>
      <c r="K1293" s="5">
        <v>1.0</v>
      </c>
      <c r="L1293" s="5">
        <v>14393.0</v>
      </c>
      <c r="M1293" s="8">
        <v>49.1167</v>
      </c>
      <c r="N1293" s="5">
        <v>-119.3</v>
      </c>
      <c r="O1293" s="5" t="s">
        <v>142</v>
      </c>
      <c r="P1293" s="5">
        <v>2170.0</v>
      </c>
      <c r="Q1293" s="5">
        <v>3.0</v>
      </c>
      <c r="R1293" s="5" t="s">
        <v>4625</v>
      </c>
      <c r="S1293" s="5" t="s">
        <v>1737</v>
      </c>
      <c r="T1293" s="5">
        <v>1384.0</v>
      </c>
      <c r="W1293" s="5">
        <v>44735.0</v>
      </c>
      <c r="X1293" s="5" t="s">
        <v>1738</v>
      </c>
      <c r="AK1293" s="9"/>
      <c r="AO1293" s="5" t="s">
        <v>4626</v>
      </c>
      <c r="AP1293" s="5">
        <v>1331.0</v>
      </c>
      <c r="AQ1293" s="5" t="s">
        <v>1716</v>
      </c>
      <c r="AR1293" s="5" t="s">
        <v>1717</v>
      </c>
      <c r="AS1293" s="5" t="s">
        <v>1740</v>
      </c>
      <c r="AT1293" s="5" t="s">
        <v>1703</v>
      </c>
      <c r="AU1293" s="5" t="s">
        <v>1742</v>
      </c>
      <c r="AV1293" s="5" t="s">
        <v>1720</v>
      </c>
      <c r="AW1293" s="5" t="s">
        <v>2368</v>
      </c>
      <c r="AX1293" s="5" t="s">
        <v>2516</v>
      </c>
      <c r="AY1293" s="5">
        <v>49.1046</v>
      </c>
      <c r="AZ1293" s="5">
        <v>-119.3914</v>
      </c>
      <c r="BA1293" s="5">
        <v>1127.0</v>
      </c>
    </row>
    <row r="1294" ht="14.25" customHeight="1">
      <c r="A1294" s="5" t="s">
        <v>88</v>
      </c>
      <c r="B1294" s="5">
        <v>12.0</v>
      </c>
      <c r="C1294" s="5" t="s">
        <v>1711</v>
      </c>
      <c r="D1294" s="5">
        <v>1332.0</v>
      </c>
      <c r="E1294" s="5">
        <v>12338.0</v>
      </c>
      <c r="F1294" s="5" t="s">
        <v>4627</v>
      </c>
      <c r="G1294" s="10" t="s">
        <v>4628</v>
      </c>
      <c r="H1294" s="5" t="s">
        <v>4621</v>
      </c>
      <c r="I1294" s="5" t="s">
        <v>49</v>
      </c>
      <c r="J1294" s="5" t="s">
        <v>1891</v>
      </c>
      <c r="K1294" s="5">
        <v>1.0</v>
      </c>
      <c r="L1294" s="5">
        <v>14395.0</v>
      </c>
      <c r="M1294" s="8">
        <v>49.27</v>
      </c>
      <c r="N1294" s="5">
        <v>-119.2202778</v>
      </c>
      <c r="O1294" s="5" t="s">
        <v>142</v>
      </c>
      <c r="P1294" s="5">
        <v>1332.0</v>
      </c>
      <c r="Q1294" s="5">
        <v>6.0</v>
      </c>
      <c r="R1294" s="5" t="s">
        <v>4627</v>
      </c>
      <c r="S1294" s="5" t="s">
        <v>1737</v>
      </c>
      <c r="T1294" s="5">
        <v>1520.0</v>
      </c>
      <c r="W1294" s="5">
        <v>43831.0</v>
      </c>
      <c r="X1294" s="5" t="s">
        <v>1738</v>
      </c>
      <c r="AK1294" s="9"/>
      <c r="AO1294" s="5" t="s">
        <v>4627</v>
      </c>
      <c r="AP1294" s="5">
        <v>1332.0</v>
      </c>
      <c r="AQ1294" s="5" t="s">
        <v>1716</v>
      </c>
      <c r="AR1294" s="5" t="s">
        <v>1739</v>
      </c>
      <c r="AS1294" s="5" t="s">
        <v>1740</v>
      </c>
      <c r="AT1294" s="5" t="s">
        <v>1835</v>
      </c>
      <c r="AU1294" s="5" t="s">
        <v>1704</v>
      </c>
      <c r="AV1294" s="5" t="s">
        <v>1720</v>
      </c>
      <c r="AW1294" s="5" t="s">
        <v>2368</v>
      </c>
      <c r="AX1294" s="5" t="s">
        <v>2516</v>
      </c>
      <c r="AY1294" s="5">
        <v>49.27</v>
      </c>
      <c r="AZ1294" s="5">
        <v>-119.2203</v>
      </c>
      <c r="BA1294" s="5">
        <v>1534.0</v>
      </c>
    </row>
    <row r="1295" ht="14.25" customHeight="1">
      <c r="B1295" s="5">
        <v>12.0</v>
      </c>
      <c r="C1295" s="5" t="s">
        <v>1711</v>
      </c>
      <c r="D1295" s="5">
        <v>1333.0</v>
      </c>
      <c r="E1295" s="5">
        <v>12341.0</v>
      </c>
      <c r="F1295" s="18" t="s">
        <v>4629</v>
      </c>
      <c r="G1295" s="5" t="s">
        <v>4630</v>
      </c>
      <c r="H1295" s="5" t="s">
        <v>4631</v>
      </c>
      <c r="I1295" s="5" t="s">
        <v>49</v>
      </c>
      <c r="J1295" s="5" t="s">
        <v>1746</v>
      </c>
      <c r="K1295" s="5">
        <v>1.0</v>
      </c>
      <c r="L1295" s="5">
        <v>14397.0</v>
      </c>
      <c r="M1295" s="8"/>
      <c r="AK1295" s="9"/>
      <c r="AO1295" s="67" t="s">
        <v>4629</v>
      </c>
      <c r="AP1295" s="5">
        <v>1333.0</v>
      </c>
      <c r="AQ1295" s="5" t="s">
        <v>1716</v>
      </c>
      <c r="AR1295" s="5" t="s">
        <v>2441</v>
      </c>
      <c r="AS1295" s="5" t="s">
        <v>1718</v>
      </c>
      <c r="AT1295" s="5" t="s">
        <v>1835</v>
      </c>
      <c r="AU1295" s="5" t="s">
        <v>1836</v>
      </c>
      <c r="AV1295" s="5" t="s">
        <v>1720</v>
      </c>
      <c r="AW1295" s="5" t="s">
        <v>2698</v>
      </c>
      <c r="AX1295" s="5" t="s">
        <v>2902</v>
      </c>
      <c r="AY1295" s="5">
        <v>49.7187</v>
      </c>
      <c r="AZ1295" s="5">
        <v>-115.0246</v>
      </c>
      <c r="BA1295" s="5">
        <v>1770.0</v>
      </c>
    </row>
    <row r="1296" ht="14.25" customHeight="1">
      <c r="A1296" s="5" t="s">
        <v>422</v>
      </c>
      <c r="B1296" s="5">
        <v>12.0</v>
      </c>
      <c r="C1296" s="5" t="s">
        <v>1711</v>
      </c>
      <c r="D1296" s="5">
        <v>1335.0</v>
      </c>
      <c r="E1296" s="5">
        <v>12417.0</v>
      </c>
      <c r="F1296" s="18" t="s">
        <v>4632</v>
      </c>
      <c r="G1296" s="5" t="s">
        <v>4633</v>
      </c>
      <c r="H1296" s="5" t="s">
        <v>4634</v>
      </c>
      <c r="I1296" s="5" t="s">
        <v>49</v>
      </c>
      <c r="J1296" s="5" t="s">
        <v>1746</v>
      </c>
      <c r="K1296" s="5">
        <v>1.0</v>
      </c>
      <c r="L1296" s="5">
        <v>14439.0</v>
      </c>
      <c r="M1296" s="8"/>
      <c r="AK1296" s="9"/>
      <c r="AO1296" s="67" t="s">
        <v>4632</v>
      </c>
      <c r="AP1296" s="5">
        <v>1335.0</v>
      </c>
      <c r="AQ1296" s="5" t="s">
        <v>1716</v>
      </c>
      <c r="AR1296" s="5" t="s">
        <v>1717</v>
      </c>
      <c r="AS1296" s="5" t="s">
        <v>1718</v>
      </c>
      <c r="AT1296" s="5" t="s">
        <v>1835</v>
      </c>
      <c r="AU1296" s="5" t="s">
        <v>1836</v>
      </c>
      <c r="AV1296" s="5" t="s">
        <v>1720</v>
      </c>
      <c r="AW1296" s="5" t="s">
        <v>1947</v>
      </c>
      <c r="AX1296" s="5" t="s">
        <v>1973</v>
      </c>
      <c r="AY1296" s="5">
        <v>54.6733</v>
      </c>
      <c r="AZ1296" s="5">
        <v>-127.97</v>
      </c>
      <c r="BA1296" s="5">
        <v>500.0</v>
      </c>
    </row>
    <row r="1297" ht="14.25" customHeight="1">
      <c r="A1297" s="5" t="s">
        <v>422</v>
      </c>
      <c r="B1297" s="5">
        <v>12.0</v>
      </c>
      <c r="C1297" s="5" t="s">
        <v>1711</v>
      </c>
      <c r="D1297" s="5">
        <v>1336.0</v>
      </c>
      <c r="E1297" s="5">
        <v>12418.0</v>
      </c>
      <c r="F1297" s="18" t="s">
        <v>4635</v>
      </c>
      <c r="G1297" s="5" t="s">
        <v>4636</v>
      </c>
      <c r="H1297" s="5" t="s">
        <v>4637</v>
      </c>
      <c r="I1297" s="5" t="s">
        <v>49</v>
      </c>
      <c r="J1297" s="5" t="s">
        <v>1746</v>
      </c>
      <c r="K1297" s="5">
        <v>1.0</v>
      </c>
      <c r="L1297" s="5">
        <v>14440.0</v>
      </c>
      <c r="M1297" s="8"/>
      <c r="AK1297" s="9"/>
      <c r="AO1297" s="67" t="s">
        <v>4635</v>
      </c>
      <c r="AP1297" s="5">
        <v>1336.0</v>
      </c>
      <c r="AQ1297" s="5" t="s">
        <v>1716</v>
      </c>
      <c r="AR1297" s="5" t="s">
        <v>1717</v>
      </c>
      <c r="AS1297" s="5" t="s">
        <v>2257</v>
      </c>
      <c r="AT1297" s="5" t="s">
        <v>1835</v>
      </c>
      <c r="AU1297" s="5" t="s">
        <v>1836</v>
      </c>
      <c r="AV1297" s="5" t="s">
        <v>1720</v>
      </c>
      <c r="AW1297" s="5" t="s">
        <v>2368</v>
      </c>
      <c r="AX1297" s="5" t="s">
        <v>2516</v>
      </c>
      <c r="AY1297" s="5">
        <v>49.0822</v>
      </c>
      <c r="AZ1297" s="5">
        <v>-119.7294</v>
      </c>
      <c r="BA1297" s="5">
        <v>392.0</v>
      </c>
    </row>
    <row r="1298" ht="14.25" customHeight="1">
      <c r="A1298" s="5" t="s">
        <v>422</v>
      </c>
      <c r="B1298" s="5">
        <v>12.0</v>
      </c>
      <c r="C1298" s="5" t="s">
        <v>1711</v>
      </c>
      <c r="D1298" s="5">
        <v>1337.0</v>
      </c>
      <c r="E1298" s="5">
        <v>12419.0</v>
      </c>
      <c r="F1298" s="18" t="s">
        <v>4638</v>
      </c>
      <c r="G1298" s="5" t="s">
        <v>4639</v>
      </c>
      <c r="H1298" s="5" t="s">
        <v>4640</v>
      </c>
      <c r="I1298" s="5" t="s">
        <v>49</v>
      </c>
      <c r="J1298" s="5" t="s">
        <v>1746</v>
      </c>
      <c r="K1298" s="5">
        <v>1.0</v>
      </c>
      <c r="L1298" s="5">
        <v>14441.0</v>
      </c>
      <c r="M1298" s="8"/>
      <c r="AK1298" s="9"/>
      <c r="AO1298" s="67" t="s">
        <v>4638</v>
      </c>
      <c r="AP1298" s="5">
        <v>1337.0</v>
      </c>
      <c r="AQ1298" s="5" t="s">
        <v>1716</v>
      </c>
      <c r="AR1298" s="5" t="s">
        <v>1717</v>
      </c>
      <c r="AS1298" s="5" t="s">
        <v>1718</v>
      </c>
      <c r="AT1298" s="5" t="s">
        <v>1835</v>
      </c>
      <c r="AU1298" s="5" t="s">
        <v>1836</v>
      </c>
      <c r="AV1298" s="5" t="s">
        <v>1720</v>
      </c>
      <c r="AW1298" s="5" t="s">
        <v>1947</v>
      </c>
      <c r="AX1298" s="5" t="s">
        <v>1986</v>
      </c>
      <c r="AY1298" s="5">
        <v>57.8613</v>
      </c>
      <c r="AZ1298" s="5">
        <v>-131.3834</v>
      </c>
      <c r="BA1298" s="5">
        <v>855.0</v>
      </c>
    </row>
    <row r="1299" ht="14.25" customHeight="1">
      <c r="A1299" s="5" t="s">
        <v>422</v>
      </c>
      <c r="B1299" s="5">
        <v>12.0</v>
      </c>
      <c r="C1299" s="5" t="s">
        <v>1711</v>
      </c>
      <c r="D1299" s="5">
        <v>1338.0</v>
      </c>
      <c r="E1299" s="5">
        <v>12420.0</v>
      </c>
      <c r="F1299" s="18" t="s">
        <v>4641</v>
      </c>
      <c r="G1299" s="5" t="s">
        <v>4642</v>
      </c>
      <c r="H1299" s="5" t="s">
        <v>4643</v>
      </c>
      <c r="I1299" s="5" t="s">
        <v>49</v>
      </c>
      <c r="J1299" s="5" t="s">
        <v>1746</v>
      </c>
      <c r="K1299" s="5">
        <v>1.0</v>
      </c>
      <c r="L1299" s="5">
        <v>14442.0</v>
      </c>
      <c r="M1299" s="8"/>
      <c r="AK1299" s="9"/>
      <c r="AO1299" s="67" t="s">
        <v>4641</v>
      </c>
      <c r="AP1299" s="5">
        <v>1338.0</v>
      </c>
      <c r="AQ1299" s="5" t="s">
        <v>1716</v>
      </c>
      <c r="AR1299" s="5" t="s">
        <v>1717</v>
      </c>
      <c r="AS1299" s="5" t="s">
        <v>2257</v>
      </c>
      <c r="AT1299" s="5" t="s">
        <v>1835</v>
      </c>
      <c r="AW1299" s="5" t="s">
        <v>2368</v>
      </c>
      <c r="AX1299" s="5" t="s">
        <v>2492</v>
      </c>
      <c r="AY1299" s="5">
        <v>49.7988</v>
      </c>
      <c r="AZ1299" s="5">
        <v>-121.0778</v>
      </c>
      <c r="BA1299" s="5">
        <v>100.0</v>
      </c>
    </row>
    <row r="1300" ht="14.25" customHeight="1">
      <c r="A1300" s="5" t="s">
        <v>1908</v>
      </c>
      <c r="B1300" s="5">
        <v>12.0</v>
      </c>
      <c r="C1300" s="5" t="s">
        <v>1711</v>
      </c>
      <c r="D1300" s="5">
        <v>1339.0</v>
      </c>
      <c r="E1300" s="5">
        <v>12423.0</v>
      </c>
      <c r="F1300" s="10" t="s">
        <v>4644</v>
      </c>
      <c r="G1300" s="10" t="s">
        <v>4645</v>
      </c>
      <c r="H1300" s="5" t="s">
        <v>4646</v>
      </c>
      <c r="I1300" s="5" t="s">
        <v>49</v>
      </c>
      <c r="J1300" s="5" t="s">
        <v>1891</v>
      </c>
      <c r="K1300" s="5">
        <v>1.0</v>
      </c>
      <c r="L1300" s="5">
        <v>14445.0</v>
      </c>
      <c r="M1300" s="8">
        <v>49.9736</v>
      </c>
      <c r="N1300" s="5">
        <v>-121.4902</v>
      </c>
      <c r="O1300" s="5" t="s">
        <v>51</v>
      </c>
      <c r="P1300" s="5">
        <v>1339.0</v>
      </c>
      <c r="Q1300" s="5">
        <v>1.0</v>
      </c>
      <c r="R1300" s="5" t="s">
        <v>4647</v>
      </c>
      <c r="S1300" s="5" t="s">
        <v>1737</v>
      </c>
      <c r="T1300" s="5">
        <v>19.0</v>
      </c>
      <c r="W1300" s="5">
        <v>43331.0</v>
      </c>
      <c r="X1300" s="5" t="s">
        <v>1738</v>
      </c>
      <c r="AK1300" s="9"/>
      <c r="AO1300" s="5" t="s">
        <v>4647</v>
      </c>
      <c r="AP1300" s="5">
        <v>1339.0</v>
      </c>
      <c r="AQ1300" s="5" t="s">
        <v>1716</v>
      </c>
      <c r="AR1300" s="5" t="s">
        <v>1739</v>
      </c>
      <c r="AS1300" s="5" t="s">
        <v>1740</v>
      </c>
      <c r="AT1300" s="5" t="s">
        <v>1741</v>
      </c>
      <c r="AU1300" s="5" t="s">
        <v>1742</v>
      </c>
      <c r="AV1300" s="5" t="s">
        <v>1720</v>
      </c>
      <c r="AW1300" s="5" t="s">
        <v>1705</v>
      </c>
      <c r="AX1300" s="5" t="s">
        <v>1883</v>
      </c>
      <c r="AY1300" s="5">
        <v>49.9754</v>
      </c>
      <c r="AZ1300" s="5">
        <v>-121.4892</v>
      </c>
      <c r="BA1300" s="5">
        <v>361.0</v>
      </c>
    </row>
    <row r="1301" ht="14.25" customHeight="1">
      <c r="A1301" s="5" t="s">
        <v>422</v>
      </c>
      <c r="B1301" s="5">
        <v>12.0</v>
      </c>
      <c r="C1301" s="5" t="s">
        <v>1711</v>
      </c>
      <c r="D1301" s="5">
        <v>1340.0</v>
      </c>
      <c r="E1301" s="5">
        <v>12421.0</v>
      </c>
      <c r="F1301" s="18" t="s">
        <v>4648</v>
      </c>
      <c r="G1301" s="5" t="s">
        <v>4649</v>
      </c>
      <c r="H1301" s="5" t="s">
        <v>4650</v>
      </c>
      <c r="I1301" s="5" t="s">
        <v>49</v>
      </c>
      <c r="J1301" s="5" t="s">
        <v>1746</v>
      </c>
      <c r="K1301" s="5">
        <v>1.0</v>
      </c>
      <c r="L1301" s="5">
        <v>14443.0</v>
      </c>
      <c r="M1301" s="8"/>
      <c r="AK1301" s="9"/>
      <c r="AO1301" s="67" t="s">
        <v>4648</v>
      </c>
      <c r="AP1301" s="5">
        <v>1340.0</v>
      </c>
      <c r="AQ1301" s="5" t="s">
        <v>1716</v>
      </c>
      <c r="AR1301" s="5" t="s">
        <v>1717</v>
      </c>
      <c r="AS1301" s="5" t="s">
        <v>1718</v>
      </c>
      <c r="AT1301" s="5" t="s">
        <v>1835</v>
      </c>
      <c r="AU1301" s="5" t="s">
        <v>1836</v>
      </c>
      <c r="AV1301" s="5" t="s">
        <v>1720</v>
      </c>
      <c r="AW1301" s="5" t="s">
        <v>2698</v>
      </c>
      <c r="AX1301" s="5" t="s">
        <v>2902</v>
      </c>
      <c r="AY1301" s="5">
        <v>49.5985</v>
      </c>
      <c r="AZ1301" s="5">
        <v>-116.2691</v>
      </c>
      <c r="BA1301" s="5">
        <v>1116.0</v>
      </c>
    </row>
    <row r="1302" ht="14.25" customHeight="1">
      <c r="A1302" s="5" t="s">
        <v>422</v>
      </c>
      <c r="B1302" s="5">
        <v>12.0</v>
      </c>
      <c r="C1302" s="5" t="s">
        <v>1711</v>
      </c>
      <c r="D1302" s="5">
        <v>1341.0</v>
      </c>
      <c r="E1302" s="5">
        <v>12422.0</v>
      </c>
      <c r="F1302" s="18" t="s">
        <v>4651</v>
      </c>
      <c r="G1302" s="5" t="s">
        <v>4652</v>
      </c>
      <c r="H1302" s="5" t="s">
        <v>4653</v>
      </c>
      <c r="I1302" s="5" t="s">
        <v>49</v>
      </c>
      <c r="J1302" s="5" t="s">
        <v>1746</v>
      </c>
      <c r="K1302" s="5">
        <v>1.0</v>
      </c>
      <c r="L1302" s="5">
        <v>14444.0</v>
      </c>
      <c r="M1302" s="8"/>
      <c r="AK1302" s="9"/>
      <c r="AO1302" s="67" t="s">
        <v>4651</v>
      </c>
      <c r="AP1302" s="5">
        <v>1341.0</v>
      </c>
      <c r="AQ1302" s="5" t="s">
        <v>1716</v>
      </c>
      <c r="AR1302" s="5" t="s">
        <v>1717</v>
      </c>
      <c r="AS1302" s="5" t="s">
        <v>1718</v>
      </c>
      <c r="AT1302" s="5" t="s">
        <v>1835</v>
      </c>
      <c r="AU1302" s="5" t="s">
        <v>1836</v>
      </c>
      <c r="AV1302" s="5" t="s">
        <v>1720</v>
      </c>
      <c r="AW1302" s="5" t="s">
        <v>2698</v>
      </c>
      <c r="AX1302" s="5" t="s">
        <v>2797</v>
      </c>
      <c r="AY1302" s="5">
        <v>49.4088</v>
      </c>
      <c r="AZ1302" s="5">
        <v>-117.9604</v>
      </c>
      <c r="BA1302" s="5">
        <v>863.0</v>
      </c>
    </row>
    <row r="1303" ht="14.25" customHeight="1">
      <c r="A1303" s="5" t="s">
        <v>422</v>
      </c>
      <c r="B1303" s="5">
        <v>12.0</v>
      </c>
      <c r="C1303" s="5" t="s">
        <v>1711</v>
      </c>
      <c r="D1303" s="5">
        <v>1342.0</v>
      </c>
      <c r="E1303" s="5">
        <v>12424.0</v>
      </c>
      <c r="F1303" s="18" t="s">
        <v>4654</v>
      </c>
      <c r="G1303" s="5" t="s">
        <v>4655</v>
      </c>
      <c r="H1303" s="5" t="s">
        <v>4656</v>
      </c>
      <c r="I1303" s="5" t="s">
        <v>49</v>
      </c>
      <c r="J1303" s="5" t="s">
        <v>1746</v>
      </c>
      <c r="K1303" s="5">
        <v>1.0</v>
      </c>
      <c r="L1303" s="5">
        <v>14446.0</v>
      </c>
      <c r="M1303" s="8"/>
      <c r="AK1303" s="9"/>
      <c r="AO1303" s="67" t="s">
        <v>4654</v>
      </c>
      <c r="AP1303" s="5">
        <v>1342.0</v>
      </c>
      <c r="AQ1303" s="5" t="s">
        <v>1716</v>
      </c>
      <c r="AR1303" s="5" t="s">
        <v>1717</v>
      </c>
      <c r="AS1303" s="5" t="s">
        <v>1718</v>
      </c>
      <c r="AT1303" s="5" t="s">
        <v>1835</v>
      </c>
      <c r="AU1303" s="5" t="s">
        <v>1836</v>
      </c>
      <c r="AV1303" s="5" t="s">
        <v>1720</v>
      </c>
      <c r="AW1303" s="5" t="s">
        <v>2368</v>
      </c>
      <c r="AX1303" s="5" t="s">
        <v>2492</v>
      </c>
      <c r="AY1303" s="5">
        <v>49.1819</v>
      </c>
      <c r="AZ1303" s="5">
        <v>-120.4167</v>
      </c>
      <c r="BA1303" s="5">
        <v>1925.0</v>
      </c>
    </row>
    <row r="1304" ht="14.25" customHeight="1">
      <c r="A1304" s="5" t="s">
        <v>422</v>
      </c>
      <c r="B1304" s="5">
        <v>12.0</v>
      </c>
      <c r="C1304" s="5" t="s">
        <v>1711</v>
      </c>
      <c r="D1304" s="5">
        <v>1343.0</v>
      </c>
      <c r="E1304" s="5">
        <v>12425.0</v>
      </c>
      <c r="F1304" s="18" t="s">
        <v>4657</v>
      </c>
      <c r="G1304" s="5" t="s">
        <v>4658</v>
      </c>
      <c r="H1304" s="5" t="s">
        <v>4659</v>
      </c>
      <c r="I1304" s="5" t="s">
        <v>49</v>
      </c>
      <c r="J1304" s="5" t="s">
        <v>1746</v>
      </c>
      <c r="K1304" s="5">
        <v>1.0</v>
      </c>
      <c r="L1304" s="5">
        <v>14447.0</v>
      </c>
      <c r="M1304" s="8"/>
      <c r="AK1304" s="9"/>
      <c r="AO1304" s="67" t="s">
        <v>4657</v>
      </c>
      <c r="AP1304" s="5">
        <v>1343.0</v>
      </c>
      <c r="AQ1304" s="5" t="s">
        <v>1716</v>
      </c>
      <c r="AR1304" s="5" t="s">
        <v>1717</v>
      </c>
      <c r="AS1304" s="5" t="s">
        <v>1718</v>
      </c>
      <c r="AT1304" s="5" t="s">
        <v>1835</v>
      </c>
      <c r="AU1304" s="5" t="s">
        <v>1836</v>
      </c>
      <c r="AV1304" s="5" t="s">
        <v>1720</v>
      </c>
      <c r="AW1304" s="5" t="s">
        <v>2368</v>
      </c>
      <c r="AX1304" s="5" t="s">
        <v>2516</v>
      </c>
      <c r="AY1304" s="5">
        <v>49.2661</v>
      </c>
      <c r="AZ1304" s="5">
        <v>-119.9158</v>
      </c>
      <c r="BA1304" s="5">
        <v>1929.0</v>
      </c>
    </row>
    <row r="1305" ht="14.25" customHeight="1">
      <c r="A1305" s="5" t="s">
        <v>88</v>
      </c>
      <c r="B1305" s="5">
        <v>12.0</v>
      </c>
      <c r="C1305" s="5" t="s">
        <v>1711</v>
      </c>
      <c r="D1305" s="5">
        <v>1345.0</v>
      </c>
      <c r="E1305" s="5">
        <v>12455.0</v>
      </c>
      <c r="F1305" s="5" t="s">
        <v>4660</v>
      </c>
      <c r="G1305" s="28" t="s">
        <v>4661</v>
      </c>
      <c r="H1305" s="5" t="s">
        <v>4662</v>
      </c>
      <c r="I1305" s="5" t="s">
        <v>49</v>
      </c>
      <c r="J1305" s="5" t="s">
        <v>1829</v>
      </c>
      <c r="K1305" s="5">
        <v>1.0</v>
      </c>
      <c r="L1305" s="5">
        <v>14477.0</v>
      </c>
      <c r="M1305" s="8">
        <v>55.3072222</v>
      </c>
      <c r="N1305" s="5">
        <v>-125.3666667</v>
      </c>
      <c r="O1305" s="5" t="s">
        <v>1290</v>
      </c>
      <c r="P1305" s="5">
        <v>1345.0</v>
      </c>
      <c r="Q1305" s="5">
        <v>1.0</v>
      </c>
      <c r="R1305" s="5" t="s">
        <v>4660</v>
      </c>
      <c r="S1305" s="5" t="s">
        <v>1737</v>
      </c>
      <c r="T1305" s="5">
        <v>600.0</v>
      </c>
      <c r="W1305" s="5">
        <v>43831.0</v>
      </c>
      <c r="X1305" s="5" t="s">
        <v>1738</v>
      </c>
      <c r="AK1305" s="9"/>
      <c r="AO1305" s="5" t="s">
        <v>4660</v>
      </c>
      <c r="AP1305" s="5">
        <v>1345.0</v>
      </c>
      <c r="AQ1305" s="5" t="s">
        <v>1716</v>
      </c>
      <c r="AR1305" s="5" t="s">
        <v>1739</v>
      </c>
      <c r="AS1305" s="5" t="s">
        <v>1740</v>
      </c>
      <c r="AT1305" s="5" t="s">
        <v>1741</v>
      </c>
      <c r="AU1305" s="5" t="s">
        <v>1742</v>
      </c>
      <c r="AV1305" s="5" t="s">
        <v>1720</v>
      </c>
      <c r="AW1305" s="5" t="s">
        <v>2003</v>
      </c>
      <c r="AX1305" s="5" t="s">
        <v>2099</v>
      </c>
      <c r="AY1305" s="5">
        <v>55.3144</v>
      </c>
      <c r="AZ1305" s="5">
        <v>-125.3484</v>
      </c>
      <c r="BA1305" s="5">
        <v>996.0</v>
      </c>
    </row>
    <row r="1306" ht="14.25" customHeight="1">
      <c r="B1306" s="5">
        <v>12.0</v>
      </c>
      <c r="C1306" s="5" t="s">
        <v>1711</v>
      </c>
      <c r="D1306" s="5">
        <v>1347.0</v>
      </c>
      <c r="E1306" s="5">
        <v>12430.0</v>
      </c>
      <c r="F1306" s="5" t="s">
        <v>4663</v>
      </c>
      <c r="G1306" s="5" t="s">
        <v>4664</v>
      </c>
      <c r="H1306" s="5" t="s">
        <v>4665</v>
      </c>
      <c r="I1306" s="5" t="s">
        <v>49</v>
      </c>
      <c r="J1306" s="5" t="s">
        <v>1746</v>
      </c>
      <c r="K1306" s="5">
        <v>1.0</v>
      </c>
      <c r="L1306" s="5">
        <v>14452.0</v>
      </c>
      <c r="M1306" s="8"/>
      <c r="AK1306" s="9"/>
      <c r="AO1306" s="5" t="s">
        <v>4663</v>
      </c>
      <c r="AP1306" s="5">
        <v>1347.0</v>
      </c>
      <c r="AQ1306" s="5" t="s">
        <v>1716</v>
      </c>
      <c r="AR1306" s="5" t="s">
        <v>4666</v>
      </c>
      <c r="AS1306" s="5" t="s">
        <v>1740</v>
      </c>
      <c r="AT1306" s="5" t="s">
        <v>1835</v>
      </c>
      <c r="AU1306" s="5" t="s">
        <v>1742</v>
      </c>
      <c r="AV1306" s="5" t="s">
        <v>1720</v>
      </c>
      <c r="AW1306" s="5" t="s">
        <v>1705</v>
      </c>
      <c r="AX1306" s="5" t="s">
        <v>1723</v>
      </c>
      <c r="AY1306" s="5">
        <v>49.5936</v>
      </c>
      <c r="AZ1306" s="5">
        <v>-125.1313</v>
      </c>
      <c r="BA1306" s="5">
        <v>970.0</v>
      </c>
    </row>
    <row r="1307" ht="14.25" customHeight="1">
      <c r="B1307" s="5">
        <v>12.0</v>
      </c>
      <c r="C1307" s="5" t="s">
        <v>1711</v>
      </c>
      <c r="D1307" s="5">
        <v>1348.0</v>
      </c>
      <c r="E1307" s="5">
        <v>12440.0</v>
      </c>
      <c r="F1307" s="5" t="s">
        <v>4667</v>
      </c>
      <c r="G1307" s="5" t="s">
        <v>4668</v>
      </c>
      <c r="H1307" s="5" t="s">
        <v>4669</v>
      </c>
      <c r="I1307" s="5" t="s">
        <v>49</v>
      </c>
      <c r="J1307" s="5" t="s">
        <v>1829</v>
      </c>
      <c r="K1307" s="5">
        <v>1.0</v>
      </c>
      <c r="L1307" s="5">
        <v>14462.0</v>
      </c>
      <c r="M1307" s="8"/>
      <c r="AK1307" s="9"/>
      <c r="AO1307" s="5" t="s">
        <v>4667</v>
      </c>
      <c r="AP1307" s="5">
        <v>1348.0</v>
      </c>
      <c r="AQ1307" s="5" t="s">
        <v>1716</v>
      </c>
      <c r="AR1307" s="5" t="s">
        <v>1739</v>
      </c>
      <c r="AS1307" s="5" t="s">
        <v>1740</v>
      </c>
      <c r="AT1307" s="5" t="s">
        <v>1835</v>
      </c>
      <c r="AU1307" s="5" t="s">
        <v>1742</v>
      </c>
      <c r="AV1307" s="5" t="s">
        <v>1720</v>
      </c>
      <c r="AW1307" s="5" t="s">
        <v>1705</v>
      </c>
      <c r="AX1307" s="5" t="s">
        <v>1710</v>
      </c>
      <c r="AY1307" s="5">
        <v>51.38</v>
      </c>
      <c r="AZ1307" s="5">
        <v>-125.7695</v>
      </c>
      <c r="BA1307" s="5">
        <v>1532.0</v>
      </c>
    </row>
    <row r="1308" ht="14.25" customHeight="1">
      <c r="B1308" s="5">
        <v>12.0</v>
      </c>
      <c r="C1308" s="5" t="s">
        <v>1711</v>
      </c>
      <c r="D1308" s="5">
        <v>1349.0</v>
      </c>
      <c r="E1308" s="5">
        <v>12431.0</v>
      </c>
      <c r="F1308" s="5" t="s">
        <v>4670</v>
      </c>
      <c r="G1308" s="5" t="s">
        <v>4671</v>
      </c>
      <c r="H1308" s="5" t="s">
        <v>4672</v>
      </c>
      <c r="I1308" s="5" t="s">
        <v>49</v>
      </c>
      <c r="J1308" s="5" t="s">
        <v>1829</v>
      </c>
      <c r="K1308" s="5">
        <v>1.0</v>
      </c>
      <c r="L1308" s="5">
        <v>14453.0</v>
      </c>
      <c r="M1308" s="8"/>
      <c r="AK1308" s="9"/>
      <c r="AO1308" s="5" t="s">
        <v>4670</v>
      </c>
      <c r="AP1308" s="5">
        <v>1349.0</v>
      </c>
      <c r="AQ1308" s="5" t="s">
        <v>1716</v>
      </c>
      <c r="AR1308" s="5" t="s">
        <v>1739</v>
      </c>
      <c r="AS1308" s="5" t="s">
        <v>1740</v>
      </c>
      <c r="AT1308" s="5" t="s">
        <v>1835</v>
      </c>
      <c r="AU1308" s="5" t="s">
        <v>1742</v>
      </c>
      <c r="AV1308" s="5" t="s">
        <v>1720</v>
      </c>
      <c r="AW1308" s="5" t="s">
        <v>1705</v>
      </c>
      <c r="AX1308" s="5" t="s">
        <v>1837</v>
      </c>
      <c r="AY1308" s="5">
        <v>51.1019</v>
      </c>
      <c r="AZ1308" s="5">
        <v>-124.9502</v>
      </c>
      <c r="BA1308" s="5">
        <v>1481.0</v>
      </c>
    </row>
    <row r="1309" ht="14.25" customHeight="1">
      <c r="B1309" s="5">
        <v>12.0</v>
      </c>
      <c r="C1309" s="5" t="s">
        <v>1711</v>
      </c>
      <c r="D1309" s="5">
        <v>1350.0</v>
      </c>
      <c r="E1309" s="5">
        <v>12432.0</v>
      </c>
      <c r="F1309" s="5" t="s">
        <v>4673</v>
      </c>
      <c r="G1309" s="5" t="s">
        <v>4674</v>
      </c>
      <c r="H1309" s="5" t="s">
        <v>4675</v>
      </c>
      <c r="I1309" s="5" t="s">
        <v>49</v>
      </c>
      <c r="J1309" s="5" t="s">
        <v>4676</v>
      </c>
      <c r="K1309" s="5">
        <v>1.0</v>
      </c>
      <c r="L1309" s="5">
        <v>14454.0</v>
      </c>
      <c r="M1309" s="8"/>
      <c r="AK1309" s="9"/>
      <c r="AO1309" s="5" t="s">
        <v>4673</v>
      </c>
      <c r="AP1309" s="5">
        <v>1350.0</v>
      </c>
      <c r="AQ1309" s="5" t="s">
        <v>1716</v>
      </c>
      <c r="AR1309" s="5" t="s">
        <v>1701</v>
      </c>
      <c r="AS1309" s="5" t="s">
        <v>1740</v>
      </c>
      <c r="AT1309" s="5" t="s">
        <v>1835</v>
      </c>
      <c r="AU1309" s="5" t="s">
        <v>1742</v>
      </c>
      <c r="AV1309" s="5" t="s">
        <v>1720</v>
      </c>
      <c r="AW1309" s="5" t="s">
        <v>1705</v>
      </c>
      <c r="AX1309" s="5" t="s">
        <v>1710</v>
      </c>
      <c r="AY1309" s="5">
        <v>50.2258</v>
      </c>
      <c r="AZ1309" s="5">
        <v>-126.3563</v>
      </c>
      <c r="BA1309" s="5">
        <v>1295.0</v>
      </c>
    </row>
    <row r="1310" ht="14.25" customHeight="1">
      <c r="A1310" s="5" t="s">
        <v>422</v>
      </c>
      <c r="B1310" s="5">
        <v>12.0</v>
      </c>
      <c r="C1310" s="5" t="s">
        <v>1711</v>
      </c>
      <c r="D1310" s="5">
        <v>1351.0</v>
      </c>
      <c r="E1310" s="5">
        <v>12443.0</v>
      </c>
      <c r="F1310" s="18" t="s">
        <v>4677</v>
      </c>
      <c r="G1310" s="5" t="s">
        <v>4678</v>
      </c>
      <c r="H1310" s="5" t="s">
        <v>4679</v>
      </c>
      <c r="I1310" s="5" t="s">
        <v>49</v>
      </c>
      <c r="J1310" s="5" t="s">
        <v>1746</v>
      </c>
      <c r="K1310" s="5">
        <v>1.0</v>
      </c>
      <c r="L1310" s="5">
        <v>14465.0</v>
      </c>
      <c r="M1310" s="8"/>
      <c r="AK1310" s="9"/>
      <c r="AO1310" s="67" t="s">
        <v>4677</v>
      </c>
      <c r="AP1310" s="5">
        <v>1351.0</v>
      </c>
      <c r="AQ1310" s="5" t="s">
        <v>1716</v>
      </c>
      <c r="AR1310" s="5" t="s">
        <v>1717</v>
      </c>
      <c r="AS1310" s="5" t="s">
        <v>1718</v>
      </c>
      <c r="AT1310" s="5" t="s">
        <v>1835</v>
      </c>
      <c r="AU1310" s="5" t="s">
        <v>1836</v>
      </c>
      <c r="AV1310" s="5" t="s">
        <v>1720</v>
      </c>
      <c r="AW1310" s="5" t="s">
        <v>2368</v>
      </c>
      <c r="AX1310" s="5" t="s">
        <v>2516</v>
      </c>
      <c r="AY1310" s="5">
        <v>49.19</v>
      </c>
      <c r="AZ1310" s="5">
        <v>-120.0042</v>
      </c>
      <c r="BA1310" s="5">
        <v>570.0</v>
      </c>
    </row>
    <row r="1311" ht="14.25" customHeight="1">
      <c r="B1311" s="5">
        <v>12.0</v>
      </c>
      <c r="C1311" s="5" t="s">
        <v>1711</v>
      </c>
      <c r="D1311" s="5">
        <v>1352.0</v>
      </c>
      <c r="E1311" s="5">
        <v>12448.0</v>
      </c>
      <c r="F1311" s="18" t="s">
        <v>4680</v>
      </c>
      <c r="G1311" s="5" t="s">
        <v>4681</v>
      </c>
      <c r="H1311" s="5" t="s">
        <v>4682</v>
      </c>
      <c r="I1311" s="5" t="s">
        <v>49</v>
      </c>
      <c r="J1311" s="5" t="s">
        <v>1746</v>
      </c>
      <c r="K1311" s="5">
        <v>1.0</v>
      </c>
      <c r="L1311" s="5">
        <v>14470.0</v>
      </c>
      <c r="M1311" s="8"/>
      <c r="AK1311" s="9"/>
      <c r="AO1311" s="67" t="s">
        <v>4680</v>
      </c>
      <c r="AP1311" s="5">
        <v>1352.0</v>
      </c>
      <c r="AQ1311" s="5" t="s">
        <v>1716</v>
      </c>
      <c r="AR1311" s="5" t="s">
        <v>1717</v>
      </c>
      <c r="AS1311" s="5" t="s">
        <v>1718</v>
      </c>
      <c r="AT1311" s="5" t="s">
        <v>1835</v>
      </c>
      <c r="AU1311" s="5" t="s">
        <v>1836</v>
      </c>
      <c r="AV1311" s="5" t="s">
        <v>1720</v>
      </c>
      <c r="AW1311" s="5" t="s">
        <v>2698</v>
      </c>
      <c r="AX1311" s="5" t="s">
        <v>2797</v>
      </c>
      <c r="AY1311" s="5">
        <v>49.6956</v>
      </c>
      <c r="AZ1311" s="5">
        <v>-118.1197</v>
      </c>
      <c r="BA1311" s="5">
        <v>720.0</v>
      </c>
    </row>
    <row r="1312" ht="14.25" customHeight="1">
      <c r="A1312" s="5" t="s">
        <v>422</v>
      </c>
      <c r="B1312" s="5">
        <v>12.0</v>
      </c>
      <c r="C1312" s="5" t="s">
        <v>1711</v>
      </c>
      <c r="D1312" s="5">
        <v>1355.0</v>
      </c>
      <c r="E1312" s="5">
        <v>12449.0</v>
      </c>
      <c r="F1312" s="18" t="s">
        <v>4683</v>
      </c>
      <c r="G1312" s="5" t="s">
        <v>4684</v>
      </c>
      <c r="H1312" s="5" t="s">
        <v>4685</v>
      </c>
      <c r="I1312" s="5" t="s">
        <v>49</v>
      </c>
      <c r="J1312" s="5" t="s">
        <v>1746</v>
      </c>
      <c r="K1312" s="5">
        <v>1.0</v>
      </c>
      <c r="L1312" s="5">
        <v>14471.0</v>
      </c>
      <c r="M1312" s="8"/>
      <c r="AK1312" s="9"/>
      <c r="AO1312" s="67" t="s">
        <v>4683</v>
      </c>
      <c r="AP1312" s="5">
        <v>1355.0</v>
      </c>
      <c r="AQ1312" s="5" t="s">
        <v>1716</v>
      </c>
      <c r="AR1312" s="5" t="s">
        <v>1717</v>
      </c>
      <c r="AS1312" s="5" t="s">
        <v>1718</v>
      </c>
      <c r="AT1312" s="5" t="s">
        <v>1835</v>
      </c>
      <c r="AU1312" s="5" t="s">
        <v>1836</v>
      </c>
      <c r="AV1312" s="5" t="s">
        <v>1720</v>
      </c>
      <c r="AW1312" s="5" t="s">
        <v>2698</v>
      </c>
      <c r="AX1312" s="5" t="s">
        <v>2801</v>
      </c>
      <c r="AY1312" s="5">
        <v>49.2761</v>
      </c>
      <c r="AZ1312" s="5">
        <v>-116.3724</v>
      </c>
      <c r="BA1312" s="5">
        <v>1330.0</v>
      </c>
    </row>
    <row r="1313" ht="14.25" customHeight="1">
      <c r="A1313" s="5" t="s">
        <v>88</v>
      </c>
      <c r="B1313" s="5">
        <v>12.0</v>
      </c>
      <c r="C1313" s="5" t="s">
        <v>1711</v>
      </c>
      <c r="D1313" s="5">
        <v>1358.0</v>
      </c>
      <c r="E1313" s="5">
        <v>12450.0</v>
      </c>
      <c r="F1313" s="18" t="s">
        <v>4686</v>
      </c>
      <c r="G1313" s="10" t="s">
        <v>4687</v>
      </c>
      <c r="H1313" s="5" t="s">
        <v>4688</v>
      </c>
      <c r="I1313" s="5" t="s">
        <v>49</v>
      </c>
      <c r="J1313" s="5" t="s">
        <v>1746</v>
      </c>
      <c r="K1313" s="5">
        <v>1.0</v>
      </c>
      <c r="L1313" s="5">
        <v>14472.0</v>
      </c>
      <c r="M1313" s="8"/>
      <c r="AK1313" s="9"/>
      <c r="AO1313" s="5" t="s">
        <v>4686</v>
      </c>
      <c r="AP1313" s="5">
        <v>1358.0</v>
      </c>
      <c r="AQ1313" s="5" t="s">
        <v>1716</v>
      </c>
      <c r="AR1313" s="5" t="s">
        <v>1717</v>
      </c>
      <c r="AS1313" s="5" t="s">
        <v>1718</v>
      </c>
      <c r="AT1313" s="5" t="s">
        <v>1835</v>
      </c>
      <c r="AU1313" s="5" t="s">
        <v>1836</v>
      </c>
      <c r="AV1313" s="5" t="s">
        <v>1720</v>
      </c>
      <c r="AW1313" s="5" t="s">
        <v>1947</v>
      </c>
      <c r="AX1313" s="5" t="s">
        <v>2948</v>
      </c>
      <c r="AY1313" s="5">
        <v>55.3747</v>
      </c>
      <c r="AZ1313" s="5">
        <v>-127.7889</v>
      </c>
      <c r="BA1313" s="5">
        <v>680.0</v>
      </c>
    </row>
    <row r="1314" ht="14.25" customHeight="1">
      <c r="B1314" s="5">
        <v>12.0</v>
      </c>
      <c r="C1314" s="5" t="s">
        <v>1711</v>
      </c>
      <c r="D1314" s="5">
        <v>1359.0</v>
      </c>
      <c r="E1314" s="5">
        <v>12451.0</v>
      </c>
      <c r="F1314" s="5" t="s">
        <v>2646</v>
      </c>
      <c r="G1314" s="5" t="s">
        <v>4689</v>
      </c>
      <c r="H1314" s="5" t="s">
        <v>4690</v>
      </c>
      <c r="I1314" s="5" t="s">
        <v>49</v>
      </c>
      <c r="J1314" s="5" t="s">
        <v>1891</v>
      </c>
      <c r="K1314" s="5">
        <v>1.0</v>
      </c>
      <c r="L1314" s="5">
        <v>14473.0</v>
      </c>
      <c r="M1314" s="77">
        <v>50.50025</v>
      </c>
      <c r="N1314" s="78">
        <v>-119.7013889</v>
      </c>
      <c r="O1314" s="78" t="s">
        <v>142</v>
      </c>
      <c r="P1314" s="78">
        <v>1132.0</v>
      </c>
      <c r="Q1314" s="79">
        <v>3.0</v>
      </c>
      <c r="R1314" s="78" t="s">
        <v>4241</v>
      </c>
      <c r="S1314" s="78" t="s">
        <v>1737</v>
      </c>
      <c r="T1314" s="78">
        <v>1153.0</v>
      </c>
      <c r="U1314" s="78"/>
      <c r="V1314" s="78"/>
      <c r="W1314" s="78"/>
      <c r="X1314" s="78" t="s">
        <v>1738</v>
      </c>
      <c r="Y1314" s="78"/>
      <c r="AK1314" s="9"/>
      <c r="AO1314" s="5" t="s">
        <v>2646</v>
      </c>
      <c r="AP1314" s="5">
        <v>1359.0</v>
      </c>
      <c r="AQ1314" s="5" t="s">
        <v>1700</v>
      </c>
      <c r="AR1314" s="5" t="s">
        <v>1739</v>
      </c>
      <c r="AS1314" s="5" t="s">
        <v>1740</v>
      </c>
      <c r="AT1314" s="5" t="s">
        <v>1741</v>
      </c>
      <c r="AU1314" s="5" t="s">
        <v>1959</v>
      </c>
      <c r="AV1314" s="5" t="s">
        <v>1720</v>
      </c>
      <c r="AW1314" s="5" t="s">
        <v>2368</v>
      </c>
      <c r="AX1314" s="5" t="s">
        <v>2522</v>
      </c>
      <c r="AY1314" s="5">
        <v>50.4972</v>
      </c>
      <c r="AZ1314" s="5">
        <v>-119.7269</v>
      </c>
      <c r="BA1314" s="5">
        <v>1100.0</v>
      </c>
    </row>
    <row r="1315" ht="14.25" customHeight="1">
      <c r="A1315" s="5" t="s">
        <v>88</v>
      </c>
      <c r="B1315" s="5">
        <v>12.0</v>
      </c>
      <c r="C1315" s="5" t="s">
        <v>1711</v>
      </c>
      <c r="D1315" s="5">
        <v>1362.0</v>
      </c>
      <c r="E1315" s="5">
        <v>12453.0</v>
      </c>
      <c r="F1315" s="5" t="s">
        <v>4691</v>
      </c>
      <c r="G1315" s="10" t="s">
        <v>4692</v>
      </c>
      <c r="H1315" s="5" t="s">
        <v>4693</v>
      </c>
      <c r="I1315" s="5" t="s">
        <v>49</v>
      </c>
      <c r="J1315" s="5" t="s">
        <v>1746</v>
      </c>
      <c r="K1315" s="5">
        <v>1.0</v>
      </c>
      <c r="L1315" s="5">
        <v>14475.0</v>
      </c>
      <c r="M1315" s="8">
        <v>49.6102</v>
      </c>
      <c r="N1315" s="11">
        <v>-126.0327</v>
      </c>
      <c r="O1315" s="11" t="s">
        <v>51</v>
      </c>
      <c r="P1315" s="11">
        <v>1362.0</v>
      </c>
      <c r="Q1315" s="22">
        <v>1.0</v>
      </c>
      <c r="R1315" s="11" t="s">
        <v>4691</v>
      </c>
      <c r="S1315" s="11" t="s">
        <v>4045</v>
      </c>
      <c r="T1315" s="11">
        <v>71.0</v>
      </c>
      <c r="U1315" s="11"/>
      <c r="V1315" s="11"/>
      <c r="W1315" s="23">
        <v>43648.0</v>
      </c>
      <c r="X1315" s="11" t="s">
        <v>1738</v>
      </c>
      <c r="AK1315" s="9"/>
      <c r="AO1315" s="5" t="s">
        <v>4691</v>
      </c>
      <c r="AP1315" s="5">
        <v>1362.0</v>
      </c>
      <c r="AQ1315" s="5" t="s">
        <v>1716</v>
      </c>
      <c r="AR1315" s="5" t="s">
        <v>1739</v>
      </c>
      <c r="AS1315" s="5" t="s">
        <v>1740</v>
      </c>
      <c r="AT1315" s="5" t="s">
        <v>1741</v>
      </c>
      <c r="AU1315" s="5" t="s">
        <v>1742</v>
      </c>
      <c r="AV1315" s="5" t="s">
        <v>1720</v>
      </c>
      <c r="AW1315" s="5" t="s">
        <v>1705</v>
      </c>
      <c r="AX1315" s="5" t="s">
        <v>1723</v>
      </c>
      <c r="AY1315" s="5">
        <v>49.6102</v>
      </c>
      <c r="AZ1315" s="5">
        <v>-126.0327</v>
      </c>
      <c r="BA1315" s="5">
        <v>71.0</v>
      </c>
    </row>
    <row r="1316" ht="14.25" customHeight="1">
      <c r="A1316" s="5" t="s">
        <v>88</v>
      </c>
      <c r="B1316" s="5">
        <v>12.0</v>
      </c>
      <c r="C1316" s="5" t="s">
        <v>1711</v>
      </c>
      <c r="D1316" s="5">
        <v>1375.0</v>
      </c>
      <c r="E1316" s="5">
        <v>12452.0</v>
      </c>
      <c r="F1316" s="5" t="s">
        <v>4694</v>
      </c>
      <c r="G1316" s="10" t="s">
        <v>4695</v>
      </c>
      <c r="H1316" s="5" t="s">
        <v>4696</v>
      </c>
      <c r="I1316" s="5" t="s">
        <v>49</v>
      </c>
      <c r="J1316" s="5" t="s">
        <v>1891</v>
      </c>
      <c r="K1316" s="5">
        <v>1.0</v>
      </c>
      <c r="L1316" s="5">
        <v>14474.0</v>
      </c>
      <c r="M1316" s="8">
        <v>49.8744444</v>
      </c>
      <c r="N1316" s="11">
        <v>-122.2811111</v>
      </c>
      <c r="O1316" s="11" t="s">
        <v>51</v>
      </c>
      <c r="P1316" s="11">
        <v>1375.0</v>
      </c>
      <c r="Q1316" s="22">
        <v>2.0</v>
      </c>
      <c r="R1316" s="11" t="s">
        <v>4694</v>
      </c>
      <c r="S1316" s="11" t="s">
        <v>1737</v>
      </c>
      <c r="T1316" s="11">
        <v>305.0</v>
      </c>
      <c r="U1316" s="11"/>
      <c r="V1316" s="11"/>
      <c r="W1316" s="23">
        <v>43831.0</v>
      </c>
      <c r="X1316" s="11" t="s">
        <v>1738</v>
      </c>
      <c r="AK1316" s="9"/>
      <c r="AO1316" s="5" t="s">
        <v>4694</v>
      </c>
      <c r="AP1316" s="5">
        <v>1375.0</v>
      </c>
      <c r="AQ1316" s="5" t="s">
        <v>1716</v>
      </c>
      <c r="AR1316" s="5" t="s">
        <v>1739</v>
      </c>
      <c r="AS1316" s="5" t="s">
        <v>1740</v>
      </c>
      <c r="AT1316" s="5" t="s">
        <v>1741</v>
      </c>
      <c r="AU1316" s="5" t="s">
        <v>1742</v>
      </c>
      <c r="AV1316" s="5" t="s">
        <v>1720</v>
      </c>
      <c r="AW1316" s="5" t="s">
        <v>1705</v>
      </c>
      <c r="AX1316" s="5" t="s">
        <v>1883</v>
      </c>
      <c r="AY1316" s="5">
        <v>49.8747</v>
      </c>
      <c r="AZ1316" s="5">
        <v>-122.2816</v>
      </c>
      <c r="BA1316" s="5">
        <v>308.0</v>
      </c>
    </row>
    <row r="1317" ht="14.25" customHeight="1">
      <c r="B1317" s="5">
        <v>12.0</v>
      </c>
      <c r="C1317" s="5" t="s">
        <v>1711</v>
      </c>
      <c r="D1317" s="5">
        <v>1377.0</v>
      </c>
      <c r="E1317" s="5">
        <v>12456.0</v>
      </c>
      <c r="F1317" s="5" t="s">
        <v>4697</v>
      </c>
      <c r="G1317" s="5" t="s">
        <v>4698</v>
      </c>
      <c r="H1317" s="5" t="s">
        <v>4699</v>
      </c>
      <c r="I1317" s="5" t="s">
        <v>49</v>
      </c>
      <c r="J1317" s="5" t="s">
        <v>1891</v>
      </c>
      <c r="K1317" s="5">
        <v>1.0</v>
      </c>
      <c r="L1317" s="5">
        <v>14478.0</v>
      </c>
      <c r="M1317" s="8">
        <v>56.7116389</v>
      </c>
      <c r="N1317" s="11">
        <v>-130.6783611</v>
      </c>
      <c r="O1317" s="11" t="s">
        <v>1290</v>
      </c>
      <c r="P1317" s="11">
        <v>1377.0</v>
      </c>
      <c r="Q1317" s="22">
        <v>1.0</v>
      </c>
      <c r="R1317" s="11" t="s">
        <v>4697</v>
      </c>
      <c r="S1317" s="11" t="s">
        <v>1737</v>
      </c>
      <c r="T1317" s="11">
        <v>276.0</v>
      </c>
      <c r="U1317" s="11"/>
      <c r="V1317" s="11"/>
      <c r="W1317" s="23">
        <v>43831.0</v>
      </c>
      <c r="X1317" s="11" t="s">
        <v>1738</v>
      </c>
      <c r="AK1317" s="9"/>
      <c r="AO1317" s="5" t="s">
        <v>4697</v>
      </c>
      <c r="AP1317" s="5">
        <v>1377.0</v>
      </c>
      <c r="AQ1317" s="5" t="s">
        <v>1716</v>
      </c>
      <c r="AR1317" s="5" t="s">
        <v>1739</v>
      </c>
      <c r="AS1317" s="5" t="s">
        <v>1740</v>
      </c>
      <c r="AT1317" s="5" t="s">
        <v>1835</v>
      </c>
      <c r="AU1317" s="5" t="s">
        <v>1742</v>
      </c>
      <c r="AV1317" s="5" t="s">
        <v>1720</v>
      </c>
      <c r="AW1317" s="5" t="s">
        <v>1947</v>
      </c>
      <c r="AX1317" s="5" t="s">
        <v>1986</v>
      </c>
      <c r="AY1317" s="5">
        <v>56.7116</v>
      </c>
      <c r="AZ1317" s="5">
        <v>-130.6784</v>
      </c>
      <c r="BA1317" s="5">
        <v>276.0</v>
      </c>
    </row>
    <row r="1318" ht="14.25" customHeight="1">
      <c r="A1318" s="5" t="s">
        <v>1908</v>
      </c>
      <c r="B1318" s="5">
        <v>12.0</v>
      </c>
      <c r="C1318" s="5" t="s">
        <v>1711</v>
      </c>
      <c r="D1318" s="5">
        <v>1378.0</v>
      </c>
      <c r="E1318" s="5">
        <v>12458.0</v>
      </c>
      <c r="F1318" s="5" t="s">
        <v>4700</v>
      </c>
      <c r="G1318" s="10" t="s">
        <v>4701</v>
      </c>
      <c r="H1318" s="5" t="s">
        <v>4702</v>
      </c>
      <c r="I1318" s="5" t="s">
        <v>49</v>
      </c>
      <c r="J1318" s="5" t="s">
        <v>1891</v>
      </c>
      <c r="K1318" s="5">
        <v>1.0</v>
      </c>
      <c r="L1318" s="5">
        <v>14480.0</v>
      </c>
      <c r="M1318" s="8">
        <v>50.2678056</v>
      </c>
      <c r="N1318" s="11">
        <v>-127.0796111</v>
      </c>
      <c r="O1318" s="11" t="s">
        <v>142</v>
      </c>
      <c r="P1318" s="11">
        <v>1378.0</v>
      </c>
      <c r="Q1318" s="22">
        <v>1.0</v>
      </c>
      <c r="R1318" s="11" t="s">
        <v>4700</v>
      </c>
      <c r="S1318" s="11" t="s">
        <v>4045</v>
      </c>
      <c r="T1318" s="11">
        <v>462.0</v>
      </c>
      <c r="U1318" s="11"/>
      <c r="V1318" s="11"/>
      <c r="W1318" s="23">
        <v>43831.0</v>
      </c>
      <c r="X1318" s="11" t="s">
        <v>1738</v>
      </c>
      <c r="AK1318" s="9"/>
      <c r="AO1318" s="5" t="s">
        <v>4700</v>
      </c>
      <c r="AP1318" s="5">
        <v>1378.0</v>
      </c>
      <c r="AQ1318" s="5" t="s">
        <v>1716</v>
      </c>
      <c r="AR1318" s="5" t="s">
        <v>1739</v>
      </c>
      <c r="AS1318" s="5" t="s">
        <v>1740</v>
      </c>
      <c r="AT1318" s="5" t="s">
        <v>1741</v>
      </c>
      <c r="AU1318" s="5" t="s">
        <v>1742</v>
      </c>
      <c r="AV1318" s="5" t="s">
        <v>1720</v>
      </c>
      <c r="AW1318" s="5" t="s">
        <v>1705</v>
      </c>
      <c r="AX1318" s="5" t="s">
        <v>1723</v>
      </c>
      <c r="AY1318" s="5">
        <v>50.2651</v>
      </c>
      <c r="AZ1318" s="5">
        <v>-127.0835</v>
      </c>
      <c r="BA1318" s="5">
        <v>384.0</v>
      </c>
    </row>
    <row r="1319" ht="14.25" customHeight="1">
      <c r="A1319" s="5" t="s">
        <v>422</v>
      </c>
      <c r="B1319" s="5">
        <v>12.0</v>
      </c>
      <c r="C1319" s="5" t="s">
        <v>1711</v>
      </c>
      <c r="D1319" s="5">
        <v>1382.0</v>
      </c>
      <c r="E1319" s="5">
        <v>12457.0</v>
      </c>
      <c r="F1319" s="18" t="s">
        <v>4703</v>
      </c>
      <c r="G1319" s="5" t="s">
        <v>4704</v>
      </c>
      <c r="H1319" s="5" t="s">
        <v>4705</v>
      </c>
      <c r="I1319" s="5" t="s">
        <v>49</v>
      </c>
      <c r="J1319" s="5" t="s">
        <v>1746</v>
      </c>
      <c r="K1319" s="5">
        <v>1.0</v>
      </c>
      <c r="L1319" s="5">
        <v>14479.0</v>
      </c>
      <c r="M1319" s="8"/>
      <c r="AK1319" s="9"/>
      <c r="AO1319" s="67" t="s">
        <v>4703</v>
      </c>
      <c r="AP1319" s="5">
        <v>1382.0</v>
      </c>
      <c r="AQ1319" s="5" t="s">
        <v>1716</v>
      </c>
      <c r="AR1319" s="5" t="s">
        <v>1717</v>
      </c>
      <c r="AS1319" s="5" t="s">
        <v>1718</v>
      </c>
      <c r="AT1319" s="5" t="s">
        <v>1835</v>
      </c>
      <c r="AU1319" s="5" t="s">
        <v>1836</v>
      </c>
      <c r="AW1319" s="5" t="s">
        <v>2368</v>
      </c>
      <c r="AX1319" s="5" t="s">
        <v>2516</v>
      </c>
      <c r="AY1319" s="5">
        <v>49.1156</v>
      </c>
      <c r="AZ1319" s="5">
        <v>-119.6758</v>
      </c>
      <c r="BA1319" s="5">
        <v>1865.0</v>
      </c>
    </row>
    <row r="1320" ht="14.25" customHeight="1">
      <c r="A1320" s="5" t="s">
        <v>1908</v>
      </c>
      <c r="B1320" s="5">
        <v>12.0</v>
      </c>
      <c r="C1320" s="5" t="s">
        <v>1711</v>
      </c>
      <c r="D1320" s="5">
        <v>1383.0</v>
      </c>
      <c r="E1320" s="5">
        <v>12460.0</v>
      </c>
      <c r="F1320" s="5" t="s">
        <v>4706</v>
      </c>
      <c r="G1320" s="10" t="s">
        <v>4707</v>
      </c>
      <c r="H1320" s="5" t="s">
        <v>4708</v>
      </c>
      <c r="I1320" s="5" t="s">
        <v>49</v>
      </c>
      <c r="J1320" s="5" t="s">
        <v>1891</v>
      </c>
      <c r="K1320" s="5">
        <v>1.0</v>
      </c>
      <c r="L1320" s="5">
        <v>14482.0</v>
      </c>
      <c r="M1320" s="8">
        <v>50.0825</v>
      </c>
      <c r="N1320" s="11">
        <v>-123.0413</v>
      </c>
      <c r="O1320" s="11" t="s">
        <v>183</v>
      </c>
      <c r="P1320" s="11">
        <v>1383.0</v>
      </c>
      <c r="Q1320" s="22">
        <v>6.0</v>
      </c>
      <c r="R1320" s="11" t="s">
        <v>4706</v>
      </c>
      <c r="S1320" s="11" t="s">
        <v>1737</v>
      </c>
      <c r="T1320" s="11">
        <v>456.0</v>
      </c>
      <c r="U1320" s="11"/>
      <c r="V1320" s="11"/>
      <c r="W1320" s="23">
        <v>43691.0</v>
      </c>
      <c r="X1320" s="11" t="s">
        <v>1738</v>
      </c>
      <c r="AK1320" s="9"/>
      <c r="AO1320" s="5" t="s">
        <v>4706</v>
      </c>
      <c r="AP1320" s="5">
        <v>1383.0</v>
      </c>
      <c r="AQ1320" s="5" t="s">
        <v>1716</v>
      </c>
      <c r="AR1320" s="5" t="s">
        <v>1739</v>
      </c>
      <c r="AS1320" s="5" t="s">
        <v>1740</v>
      </c>
      <c r="AT1320" s="5" t="s">
        <v>1741</v>
      </c>
      <c r="AU1320" s="5" t="s">
        <v>1772</v>
      </c>
      <c r="AV1320" s="5" t="s">
        <v>1720</v>
      </c>
      <c r="AW1320" s="5" t="s">
        <v>1705</v>
      </c>
      <c r="AX1320" s="5" t="s">
        <v>1706</v>
      </c>
      <c r="AY1320" s="5">
        <v>49.4041</v>
      </c>
      <c r="AZ1320" s="5">
        <v>-124.7584</v>
      </c>
      <c r="BA1320" s="5">
        <v>669.0</v>
      </c>
    </row>
    <row r="1321" ht="14.25" customHeight="1">
      <c r="A1321" s="5" t="s">
        <v>422</v>
      </c>
      <c r="B1321" s="5">
        <v>12.0</v>
      </c>
      <c r="C1321" s="5" t="s">
        <v>1711</v>
      </c>
      <c r="D1321" s="5">
        <v>1384.0</v>
      </c>
      <c r="E1321" s="5">
        <v>12459.0</v>
      </c>
      <c r="F1321" s="18" t="s">
        <v>4709</v>
      </c>
      <c r="G1321" s="5" t="s">
        <v>4710</v>
      </c>
      <c r="H1321" s="5" t="s">
        <v>4711</v>
      </c>
      <c r="I1321" s="5" t="s">
        <v>49</v>
      </c>
      <c r="J1321" s="5" t="s">
        <v>1746</v>
      </c>
      <c r="K1321" s="5">
        <v>1.0</v>
      </c>
      <c r="L1321" s="5">
        <v>14481.0</v>
      </c>
      <c r="M1321" s="8"/>
      <c r="AK1321" s="9"/>
      <c r="AO1321" s="67" t="s">
        <v>4709</v>
      </c>
      <c r="AP1321" s="5">
        <v>1384.0</v>
      </c>
      <c r="AQ1321" s="5" t="s">
        <v>1716</v>
      </c>
      <c r="AR1321" s="5" t="s">
        <v>1717</v>
      </c>
      <c r="AS1321" s="5" t="s">
        <v>1718</v>
      </c>
      <c r="AT1321" s="5" t="s">
        <v>1835</v>
      </c>
      <c r="AU1321" s="5" t="s">
        <v>1836</v>
      </c>
      <c r="AV1321" s="5" t="s">
        <v>1720</v>
      </c>
      <c r="AW1321" s="5" t="s">
        <v>2368</v>
      </c>
      <c r="AX1321" s="5" t="s">
        <v>2516</v>
      </c>
      <c r="AY1321" s="5">
        <v>49.2381</v>
      </c>
      <c r="AZ1321" s="5">
        <v>-119.4322</v>
      </c>
      <c r="BA1321" s="5">
        <v>1457.0</v>
      </c>
    </row>
    <row r="1322" ht="14.25" customHeight="1">
      <c r="A1322" s="5" t="s">
        <v>422</v>
      </c>
      <c r="B1322" s="5">
        <v>12.0</v>
      </c>
      <c r="C1322" s="5" t="s">
        <v>1711</v>
      </c>
      <c r="D1322" s="5">
        <v>1385.0</v>
      </c>
      <c r="E1322" s="5">
        <v>12461.0</v>
      </c>
      <c r="F1322" s="18" t="s">
        <v>4712</v>
      </c>
      <c r="G1322" s="5" t="s">
        <v>4713</v>
      </c>
      <c r="H1322" s="5" t="s">
        <v>4714</v>
      </c>
      <c r="I1322" s="5" t="s">
        <v>49</v>
      </c>
      <c r="J1322" s="5" t="s">
        <v>1746</v>
      </c>
      <c r="K1322" s="5">
        <v>1.0</v>
      </c>
      <c r="L1322" s="5">
        <v>14483.0</v>
      </c>
      <c r="M1322" s="8"/>
      <c r="AK1322" s="9"/>
      <c r="AO1322" s="67" t="s">
        <v>4712</v>
      </c>
      <c r="AP1322" s="5">
        <v>1385.0</v>
      </c>
      <c r="AQ1322" s="5" t="s">
        <v>1716</v>
      </c>
      <c r="AR1322" s="5" t="s">
        <v>1717</v>
      </c>
      <c r="AS1322" s="5" t="s">
        <v>1718</v>
      </c>
      <c r="AT1322" s="5" t="s">
        <v>1835</v>
      </c>
      <c r="AU1322" s="5" t="s">
        <v>1836</v>
      </c>
      <c r="AW1322" s="5" t="s">
        <v>2368</v>
      </c>
      <c r="AX1322" s="5" t="s">
        <v>2505</v>
      </c>
      <c r="AY1322" s="5">
        <v>51.1781</v>
      </c>
      <c r="AZ1322" s="5">
        <v>-122.0783</v>
      </c>
      <c r="BA1322" s="5">
        <v>500.0</v>
      </c>
    </row>
    <row r="1323" ht="14.25" customHeight="1">
      <c r="B1323" s="5">
        <v>12.0</v>
      </c>
      <c r="C1323" s="5" t="s">
        <v>1711</v>
      </c>
      <c r="D1323" s="5">
        <v>1386.0</v>
      </c>
      <c r="E1323" s="5">
        <v>12463.0</v>
      </c>
      <c r="F1323" s="18" t="s">
        <v>4715</v>
      </c>
      <c r="G1323" s="5" t="s">
        <v>4716</v>
      </c>
      <c r="H1323" s="5" t="s">
        <v>4717</v>
      </c>
      <c r="I1323" s="5" t="s">
        <v>49</v>
      </c>
      <c r="J1323" s="5" t="s">
        <v>1746</v>
      </c>
      <c r="K1323" s="5">
        <v>1.0</v>
      </c>
      <c r="L1323" s="5">
        <v>14485.0</v>
      </c>
      <c r="M1323" s="8"/>
      <c r="AK1323" s="9"/>
      <c r="AO1323" s="67" t="s">
        <v>4715</v>
      </c>
      <c r="AP1323" s="5">
        <v>1386.0</v>
      </c>
      <c r="AQ1323" s="5" t="s">
        <v>1716</v>
      </c>
      <c r="AR1323" s="5" t="s">
        <v>1717</v>
      </c>
      <c r="AS1323" s="5" t="s">
        <v>2257</v>
      </c>
      <c r="AT1323" s="5" t="s">
        <v>1835</v>
      </c>
      <c r="AU1323" s="5" t="s">
        <v>1742</v>
      </c>
      <c r="AW1323" s="5" t="s">
        <v>2368</v>
      </c>
      <c r="AX1323" s="5" t="s">
        <v>2522</v>
      </c>
      <c r="AY1323" s="5">
        <v>50.6022</v>
      </c>
      <c r="AZ1323" s="5">
        <v>-118.4229</v>
      </c>
      <c r="BA1323" s="5">
        <v>1200.0</v>
      </c>
    </row>
    <row r="1324" ht="14.25" customHeight="1">
      <c r="A1324" s="5" t="s">
        <v>4338</v>
      </c>
      <c r="B1324" s="5">
        <v>12.0</v>
      </c>
      <c r="C1324" s="10" t="s">
        <v>4339</v>
      </c>
      <c r="D1324" s="5">
        <v>1387.0</v>
      </c>
      <c r="E1324" s="5">
        <v>12464.0</v>
      </c>
      <c r="F1324" s="5" t="s">
        <v>4718</v>
      </c>
      <c r="G1324" s="10" t="s">
        <v>4719</v>
      </c>
      <c r="H1324" s="5" t="s">
        <v>4720</v>
      </c>
      <c r="I1324" s="5" t="s">
        <v>49</v>
      </c>
      <c r="J1324" s="5" t="s">
        <v>1829</v>
      </c>
      <c r="K1324" s="5">
        <v>1.0</v>
      </c>
      <c r="L1324" s="5">
        <v>14486.0</v>
      </c>
      <c r="M1324" s="8"/>
      <c r="AK1324" s="9"/>
      <c r="AO1324" s="5" t="s">
        <v>4718</v>
      </c>
      <c r="AP1324" s="5">
        <v>1387.0</v>
      </c>
      <c r="AQ1324" s="5" t="s">
        <v>3003</v>
      </c>
      <c r="AR1324" s="5" t="s">
        <v>1739</v>
      </c>
      <c r="AS1324" s="5" t="s">
        <v>1740</v>
      </c>
      <c r="AT1324" s="5" t="s">
        <v>1835</v>
      </c>
      <c r="AU1324" s="5" t="s">
        <v>1742</v>
      </c>
      <c r="AV1324" s="5" t="s">
        <v>1720</v>
      </c>
      <c r="AW1324" s="5" t="s">
        <v>2193</v>
      </c>
      <c r="AX1324" s="5" t="s">
        <v>2283</v>
      </c>
      <c r="AY1324" s="5">
        <v>51.3735</v>
      </c>
      <c r="AZ1324" s="5">
        <v>-125.1645</v>
      </c>
      <c r="BA1324" s="5">
        <v>2712.0</v>
      </c>
    </row>
    <row r="1325" ht="14.25" customHeight="1">
      <c r="A1325" s="5" t="s">
        <v>422</v>
      </c>
      <c r="B1325" s="5">
        <v>12.0</v>
      </c>
      <c r="C1325" s="5" t="s">
        <v>1711</v>
      </c>
      <c r="D1325" s="5">
        <v>1389.0</v>
      </c>
      <c r="E1325" s="5">
        <v>13021.0</v>
      </c>
      <c r="F1325" s="51" t="s">
        <v>4721</v>
      </c>
      <c r="G1325" s="5" t="s">
        <v>127</v>
      </c>
      <c r="H1325" s="5" t="s">
        <v>4722</v>
      </c>
      <c r="I1325" s="5" t="s">
        <v>49</v>
      </c>
      <c r="J1325" s="5" t="s">
        <v>1746</v>
      </c>
      <c r="K1325" s="5">
        <v>1.0</v>
      </c>
      <c r="L1325" s="5">
        <v>14953.0</v>
      </c>
      <c r="M1325" s="8"/>
      <c r="AK1325" s="9"/>
      <c r="AO1325" s="5" t="s">
        <v>4723</v>
      </c>
      <c r="AP1325" s="5">
        <v>1389.0</v>
      </c>
      <c r="AQ1325" s="5" t="s">
        <v>1716</v>
      </c>
      <c r="AR1325" s="5" t="s">
        <v>1717</v>
      </c>
      <c r="AS1325" s="5" t="s">
        <v>1740</v>
      </c>
      <c r="AT1325" s="5" t="s">
        <v>1835</v>
      </c>
      <c r="AU1325" s="5" t="s">
        <v>1742</v>
      </c>
      <c r="AV1325" s="5" t="s">
        <v>1720</v>
      </c>
      <c r="AW1325" s="5" t="s">
        <v>2698</v>
      </c>
      <c r="AX1325" s="5" t="s">
        <v>2902</v>
      </c>
      <c r="AY1325" s="5">
        <v>49.8331</v>
      </c>
      <c r="AZ1325" s="5">
        <v>-114.8823</v>
      </c>
      <c r="BA1325" s="5">
        <v>1172.0</v>
      </c>
    </row>
    <row r="1326" ht="14.25" customHeight="1">
      <c r="B1326" s="5">
        <v>12.0</v>
      </c>
      <c r="C1326" s="5" t="s">
        <v>1711</v>
      </c>
      <c r="D1326" s="5">
        <v>1390.0</v>
      </c>
      <c r="E1326" s="5">
        <v>12522.0</v>
      </c>
      <c r="F1326" s="18" t="s">
        <v>4724</v>
      </c>
      <c r="G1326" s="5" t="s">
        <v>4725</v>
      </c>
      <c r="H1326" s="5" t="s">
        <v>4726</v>
      </c>
      <c r="I1326" s="5" t="s">
        <v>49</v>
      </c>
      <c r="J1326" s="5" t="s">
        <v>1746</v>
      </c>
      <c r="K1326" s="5">
        <v>1.0</v>
      </c>
      <c r="L1326" s="5">
        <v>14544.0</v>
      </c>
      <c r="M1326" s="8"/>
      <c r="AK1326" s="9"/>
      <c r="AO1326" s="67" t="s">
        <v>4724</v>
      </c>
      <c r="AP1326" s="5">
        <v>1390.0</v>
      </c>
      <c r="AQ1326" s="5" t="s">
        <v>1716</v>
      </c>
      <c r="AR1326" s="5" t="s">
        <v>1717</v>
      </c>
      <c r="AS1326" s="5" t="s">
        <v>1718</v>
      </c>
      <c r="AT1326" s="5" t="s">
        <v>1835</v>
      </c>
      <c r="AU1326" s="5" t="s">
        <v>1836</v>
      </c>
      <c r="AW1326" s="5" t="s">
        <v>2698</v>
      </c>
      <c r="AX1326" s="5" t="s">
        <v>2902</v>
      </c>
      <c r="AY1326" s="5">
        <v>49.8331</v>
      </c>
      <c r="AZ1326" s="5">
        <v>-114.8823</v>
      </c>
      <c r="BA1326" s="5">
        <v>1172.0</v>
      </c>
    </row>
    <row r="1327" ht="14.25" customHeight="1">
      <c r="B1327" s="5">
        <v>12.0</v>
      </c>
      <c r="C1327" s="5" t="s">
        <v>1711</v>
      </c>
      <c r="D1327" s="5">
        <v>1392.0</v>
      </c>
      <c r="E1327" s="5">
        <v>12523.0</v>
      </c>
      <c r="F1327" s="5" t="s">
        <v>4727</v>
      </c>
      <c r="G1327" s="5" t="s">
        <v>4728</v>
      </c>
      <c r="H1327" s="5" t="s">
        <v>4729</v>
      </c>
      <c r="I1327" s="5" t="s">
        <v>49</v>
      </c>
      <c r="J1327" s="5" t="s">
        <v>1746</v>
      </c>
      <c r="K1327" s="5">
        <v>1.0</v>
      </c>
      <c r="L1327" s="5">
        <v>14545.0</v>
      </c>
      <c r="M1327" s="8"/>
      <c r="AK1327" s="9"/>
      <c r="AO1327" s="5" t="s">
        <v>4727</v>
      </c>
      <c r="AP1327" s="5">
        <v>1392.0</v>
      </c>
      <c r="AQ1327" s="5" t="s">
        <v>1716</v>
      </c>
      <c r="AR1327" s="5" t="s">
        <v>1739</v>
      </c>
      <c r="AS1327" s="5" t="s">
        <v>1740</v>
      </c>
      <c r="AT1327" s="5" t="s">
        <v>1835</v>
      </c>
      <c r="AU1327" s="5" t="s">
        <v>1742</v>
      </c>
      <c r="AV1327" s="5" t="s">
        <v>1720</v>
      </c>
      <c r="AW1327" s="5" t="s">
        <v>2368</v>
      </c>
      <c r="AX1327" s="5" t="s">
        <v>2492</v>
      </c>
      <c r="AY1327" s="5">
        <v>49.5557</v>
      </c>
      <c r="AZ1327" s="5">
        <v>-120.1732</v>
      </c>
      <c r="BA1327" s="5">
        <v>1595.0</v>
      </c>
    </row>
    <row r="1328" ht="14.25" customHeight="1">
      <c r="A1328" s="5" t="s">
        <v>2037</v>
      </c>
      <c r="B1328" s="5">
        <v>12.0</v>
      </c>
      <c r="C1328" s="5" t="s">
        <v>1711</v>
      </c>
      <c r="D1328" s="5">
        <v>1396.0</v>
      </c>
      <c r="E1328" s="5">
        <v>12524.0</v>
      </c>
      <c r="F1328" s="5" t="s">
        <v>4730</v>
      </c>
      <c r="G1328" s="5" t="s">
        <v>4731</v>
      </c>
      <c r="H1328" s="5" t="s">
        <v>4732</v>
      </c>
      <c r="I1328" s="5" t="s">
        <v>49</v>
      </c>
      <c r="J1328" s="5" t="s">
        <v>1746</v>
      </c>
      <c r="K1328" s="5">
        <v>1.0</v>
      </c>
      <c r="L1328" s="5">
        <v>14546.0</v>
      </c>
      <c r="M1328" s="8"/>
      <c r="AE1328" s="5" t="s">
        <v>4733</v>
      </c>
      <c r="AK1328" s="9"/>
      <c r="AO1328" s="5" t="s">
        <v>4734</v>
      </c>
      <c r="AP1328" s="5">
        <v>1396.0</v>
      </c>
      <c r="AQ1328" s="5" t="s">
        <v>1716</v>
      </c>
      <c r="AR1328" s="5" t="s">
        <v>1717</v>
      </c>
      <c r="AS1328" s="5" t="s">
        <v>1740</v>
      </c>
      <c r="AT1328" s="5" t="s">
        <v>1835</v>
      </c>
      <c r="AU1328" s="5" t="s">
        <v>1742</v>
      </c>
      <c r="AV1328" s="5" t="s">
        <v>1720</v>
      </c>
      <c r="AW1328" s="5" t="s">
        <v>2368</v>
      </c>
      <c r="AX1328" s="5" t="s">
        <v>2516</v>
      </c>
      <c r="AY1328" s="5">
        <v>49.4352</v>
      </c>
      <c r="AZ1328" s="5">
        <v>-119.9976</v>
      </c>
      <c r="BA1328" s="5">
        <v>1716.0</v>
      </c>
    </row>
    <row r="1329" ht="14.25" customHeight="1">
      <c r="A1329" s="5" t="s">
        <v>422</v>
      </c>
      <c r="B1329" s="5">
        <v>12.0</v>
      </c>
      <c r="C1329" s="5" t="s">
        <v>1711</v>
      </c>
      <c r="D1329" s="5">
        <v>1397.0</v>
      </c>
      <c r="E1329" s="5">
        <v>12525.0</v>
      </c>
      <c r="F1329" s="18" t="s">
        <v>4735</v>
      </c>
      <c r="G1329" s="5" t="s">
        <v>4736</v>
      </c>
      <c r="H1329" s="5" t="s">
        <v>4737</v>
      </c>
      <c r="I1329" s="5" t="s">
        <v>49</v>
      </c>
      <c r="J1329" s="5" t="s">
        <v>1746</v>
      </c>
      <c r="K1329" s="5">
        <v>1.0</v>
      </c>
      <c r="L1329" s="5">
        <v>14547.0</v>
      </c>
      <c r="M1329" s="8"/>
      <c r="AK1329" s="9"/>
      <c r="AO1329" s="67" t="s">
        <v>4735</v>
      </c>
      <c r="AP1329" s="5">
        <v>1397.0</v>
      </c>
      <c r="AQ1329" s="5" t="s">
        <v>1716</v>
      </c>
      <c r="AR1329" s="5" t="s">
        <v>1717</v>
      </c>
      <c r="AS1329" s="5" t="s">
        <v>1718</v>
      </c>
      <c r="AT1329" s="5" t="s">
        <v>1835</v>
      </c>
      <c r="AU1329" s="5" t="s">
        <v>1836</v>
      </c>
      <c r="AV1329" s="5" t="s">
        <v>1720</v>
      </c>
      <c r="AW1329" s="5" t="s">
        <v>1947</v>
      </c>
      <c r="AX1329" s="5" t="s">
        <v>1973</v>
      </c>
      <c r="AY1329" s="5">
        <v>54.4738</v>
      </c>
      <c r="AZ1329" s="5">
        <v>-128.5819</v>
      </c>
      <c r="BA1329" s="5">
        <v>220.0</v>
      </c>
    </row>
    <row r="1330" ht="14.25" customHeight="1">
      <c r="A1330" s="5" t="s">
        <v>1908</v>
      </c>
      <c r="B1330" s="5">
        <v>12.0</v>
      </c>
      <c r="C1330" s="5" t="s">
        <v>1711</v>
      </c>
      <c r="D1330" s="5">
        <v>1398.0</v>
      </c>
      <c r="E1330" s="5">
        <v>12526.0</v>
      </c>
      <c r="F1330" s="5" t="s">
        <v>4738</v>
      </c>
      <c r="G1330" s="10" t="s">
        <v>4739</v>
      </c>
      <c r="H1330" s="5" t="s">
        <v>4740</v>
      </c>
      <c r="I1330" s="5" t="s">
        <v>49</v>
      </c>
      <c r="J1330" s="5" t="s">
        <v>1746</v>
      </c>
      <c r="K1330" s="5">
        <v>1.0</v>
      </c>
      <c r="L1330" s="5">
        <v>14548.0</v>
      </c>
      <c r="M1330" s="8">
        <v>49.2075</v>
      </c>
      <c r="N1330" s="5">
        <v>-125.1218</v>
      </c>
      <c r="O1330" s="5" t="s">
        <v>51</v>
      </c>
      <c r="P1330" s="5">
        <v>1398.0</v>
      </c>
      <c r="Q1330" s="5">
        <v>3.0</v>
      </c>
      <c r="R1330" s="5" t="s">
        <v>4738</v>
      </c>
      <c r="S1330" s="5" t="s">
        <v>4045</v>
      </c>
      <c r="T1330" s="5">
        <v>354.0</v>
      </c>
      <c r="W1330" s="5">
        <v>44039.0</v>
      </c>
      <c r="X1330" s="5" t="s">
        <v>1738</v>
      </c>
      <c r="AK1330" s="9"/>
      <c r="AO1330" s="5" t="s">
        <v>4738</v>
      </c>
      <c r="AP1330" s="5">
        <v>1398.0</v>
      </c>
      <c r="AQ1330" s="5" t="s">
        <v>1716</v>
      </c>
      <c r="AR1330" s="5" t="s">
        <v>1739</v>
      </c>
      <c r="AS1330" s="5" t="s">
        <v>1740</v>
      </c>
      <c r="AT1330" s="5" t="s">
        <v>1741</v>
      </c>
      <c r="AU1330" s="5" t="s">
        <v>1742</v>
      </c>
      <c r="AV1330" s="5" t="s">
        <v>1720</v>
      </c>
      <c r="AW1330" s="5" t="s">
        <v>1705</v>
      </c>
      <c r="AX1330" s="5" t="s">
        <v>1706</v>
      </c>
      <c r="AY1330" s="5">
        <v>49.2075</v>
      </c>
      <c r="AZ1330" s="5">
        <v>-125.1218</v>
      </c>
      <c r="BA1330" s="5">
        <v>354.0</v>
      </c>
    </row>
    <row r="1331" ht="14.25" customHeight="1">
      <c r="A1331" s="5" t="s">
        <v>2037</v>
      </c>
      <c r="B1331" s="5">
        <v>12.0</v>
      </c>
      <c r="C1331" s="5" t="s">
        <v>1711</v>
      </c>
      <c r="D1331" s="5">
        <v>1399.0</v>
      </c>
      <c r="E1331" s="5">
        <v>12622.0</v>
      </c>
      <c r="F1331" s="5" t="s">
        <v>4741</v>
      </c>
      <c r="G1331" s="5" t="s">
        <v>4742</v>
      </c>
      <c r="H1331" s="5" t="s">
        <v>4743</v>
      </c>
      <c r="I1331" s="5" t="s">
        <v>49</v>
      </c>
      <c r="J1331" s="5" t="s">
        <v>1746</v>
      </c>
      <c r="K1331" s="5">
        <v>1.0</v>
      </c>
      <c r="L1331" s="5">
        <v>14644.0</v>
      </c>
      <c r="M1331" s="8">
        <v>50.08745</v>
      </c>
      <c r="N1331" s="5">
        <v>-120.74573</v>
      </c>
      <c r="O1331" s="5" t="s">
        <v>142</v>
      </c>
      <c r="P1331" s="5">
        <v>294.0</v>
      </c>
      <c r="Q1331" s="5">
        <v>1.0</v>
      </c>
      <c r="R1331" s="5" t="s">
        <v>4744</v>
      </c>
      <c r="S1331" s="5" t="s">
        <v>1737</v>
      </c>
      <c r="T1331" s="5">
        <v>640.0</v>
      </c>
      <c r="U1331" s="5" t="s">
        <v>645</v>
      </c>
      <c r="W1331" s="5">
        <v>28491.0</v>
      </c>
      <c r="X1331" s="5" t="s">
        <v>1738</v>
      </c>
      <c r="AK1331" s="9"/>
      <c r="AO1331" s="55" t="s">
        <v>4741</v>
      </c>
      <c r="AP1331" s="5">
        <v>1399.0</v>
      </c>
      <c r="AQ1331" s="5" t="s">
        <v>1700</v>
      </c>
      <c r="AR1331" s="5" t="s">
        <v>1739</v>
      </c>
      <c r="AS1331" s="5" t="s">
        <v>1740</v>
      </c>
      <c r="AT1331" s="5" t="s">
        <v>1741</v>
      </c>
      <c r="AU1331" s="5" t="s">
        <v>1772</v>
      </c>
      <c r="AV1331" s="5" t="s">
        <v>1720</v>
      </c>
      <c r="AW1331" s="5" t="s">
        <v>2368</v>
      </c>
      <c r="AX1331" s="5" t="s">
        <v>2492</v>
      </c>
      <c r="AY1331" s="5">
        <v>50.1214</v>
      </c>
      <c r="AZ1331" s="5">
        <v>-120.7442</v>
      </c>
      <c r="BA1331" s="5">
        <v>640.0</v>
      </c>
    </row>
    <row r="1332" ht="14.25" customHeight="1">
      <c r="A1332" s="5" t="s">
        <v>422</v>
      </c>
      <c r="B1332" s="5">
        <v>12.0</v>
      </c>
      <c r="C1332" s="5" t="s">
        <v>1711</v>
      </c>
      <c r="D1332" s="5">
        <v>1400.0</v>
      </c>
      <c r="E1332" s="5">
        <v>12612.0</v>
      </c>
      <c r="F1332" s="18" t="s">
        <v>4745</v>
      </c>
      <c r="G1332" s="5" t="s">
        <v>4746</v>
      </c>
      <c r="H1332" s="5" t="s">
        <v>4747</v>
      </c>
      <c r="I1332" s="5" t="s">
        <v>49</v>
      </c>
      <c r="J1332" s="5" t="s">
        <v>1746</v>
      </c>
      <c r="K1332" s="5">
        <v>1.0</v>
      </c>
      <c r="L1332" s="5">
        <v>14634.0</v>
      </c>
      <c r="M1332" s="8"/>
      <c r="AK1332" s="9"/>
      <c r="AO1332" s="67" t="s">
        <v>4745</v>
      </c>
      <c r="AP1332" s="5">
        <v>1400.0</v>
      </c>
      <c r="AQ1332" s="5" t="s">
        <v>1716</v>
      </c>
      <c r="AR1332" s="5" t="s">
        <v>2441</v>
      </c>
      <c r="AS1332" s="5" t="s">
        <v>1718</v>
      </c>
      <c r="AT1332" s="5" t="s">
        <v>1835</v>
      </c>
      <c r="AU1332" s="5" t="s">
        <v>1836</v>
      </c>
      <c r="AV1332" s="5" t="s">
        <v>1720</v>
      </c>
      <c r="AW1332" s="5" t="s">
        <v>2698</v>
      </c>
      <c r="AX1332" s="5" t="s">
        <v>2801</v>
      </c>
      <c r="AY1332" s="5">
        <v>50.3334</v>
      </c>
      <c r="AZ1332" s="5">
        <v>-116.8502</v>
      </c>
      <c r="BA1332" s="5">
        <v>1100.0</v>
      </c>
    </row>
    <row r="1333" ht="14.25" customHeight="1">
      <c r="A1333" s="5" t="s">
        <v>422</v>
      </c>
      <c r="B1333" s="5">
        <v>12.0</v>
      </c>
      <c r="C1333" s="5" t="s">
        <v>1711</v>
      </c>
      <c r="D1333" s="5">
        <v>1401.0</v>
      </c>
      <c r="E1333" s="5">
        <v>12623.0</v>
      </c>
      <c r="F1333" s="18" t="s">
        <v>4748</v>
      </c>
      <c r="G1333" s="5" t="s">
        <v>4749</v>
      </c>
      <c r="H1333" s="5" t="s">
        <v>4750</v>
      </c>
      <c r="I1333" s="5" t="s">
        <v>49</v>
      </c>
      <c r="J1333" s="5" t="s">
        <v>1746</v>
      </c>
      <c r="K1333" s="5">
        <v>1.0</v>
      </c>
      <c r="L1333" s="5">
        <v>14645.0</v>
      </c>
      <c r="M1333" s="8"/>
      <c r="AK1333" s="9"/>
      <c r="AO1333" s="5" t="s">
        <v>4748</v>
      </c>
      <c r="AP1333" s="5">
        <v>1401.0</v>
      </c>
      <c r="AQ1333" s="5" t="s">
        <v>1716</v>
      </c>
      <c r="AR1333" s="5" t="s">
        <v>1717</v>
      </c>
      <c r="AS1333" s="5" t="s">
        <v>2257</v>
      </c>
      <c r="AT1333" s="5" t="s">
        <v>1835</v>
      </c>
      <c r="AU1333" s="5" t="s">
        <v>1836</v>
      </c>
      <c r="AW1333" s="5" t="s">
        <v>2368</v>
      </c>
      <c r="AX1333" s="5" t="s">
        <v>2369</v>
      </c>
      <c r="AY1333" s="5">
        <v>50.6733</v>
      </c>
      <c r="AZ1333" s="5">
        <v>-120.4817</v>
      </c>
      <c r="BA1333" s="5">
        <v>780.0</v>
      </c>
    </row>
    <row r="1334" ht="14.25" customHeight="1">
      <c r="A1334" s="5" t="s">
        <v>422</v>
      </c>
      <c r="B1334" s="5">
        <v>12.0</v>
      </c>
      <c r="C1334" s="5" t="s">
        <v>1711</v>
      </c>
      <c r="D1334" s="5">
        <v>1402.0</v>
      </c>
      <c r="E1334" s="5">
        <v>12624.0</v>
      </c>
      <c r="F1334" s="18" t="s">
        <v>4751</v>
      </c>
      <c r="G1334" s="5" t="s">
        <v>4752</v>
      </c>
      <c r="H1334" s="5" t="s">
        <v>4753</v>
      </c>
      <c r="I1334" s="5" t="s">
        <v>49</v>
      </c>
      <c r="J1334" s="5" t="s">
        <v>1746</v>
      </c>
      <c r="K1334" s="5">
        <v>1.0</v>
      </c>
      <c r="L1334" s="5">
        <v>14646.0</v>
      </c>
      <c r="M1334" s="8"/>
      <c r="AK1334" s="9"/>
      <c r="AO1334" s="67" t="s">
        <v>4751</v>
      </c>
      <c r="AP1334" s="5">
        <v>1402.0</v>
      </c>
      <c r="AQ1334" s="5" t="s">
        <v>1716</v>
      </c>
      <c r="AR1334" s="5" t="s">
        <v>1717</v>
      </c>
      <c r="AS1334" s="5" t="s">
        <v>1718</v>
      </c>
      <c r="AT1334" s="5" t="s">
        <v>1835</v>
      </c>
      <c r="AU1334" s="5" t="s">
        <v>1836</v>
      </c>
      <c r="AV1334" s="5" t="s">
        <v>1720</v>
      </c>
      <c r="AW1334" s="5" t="s">
        <v>2698</v>
      </c>
      <c r="AX1334" s="5" t="s">
        <v>2801</v>
      </c>
      <c r="AY1334" s="5">
        <v>49.5335</v>
      </c>
      <c r="AZ1334" s="5">
        <v>-117.2423</v>
      </c>
      <c r="BA1334" s="5">
        <v>817.0</v>
      </c>
    </row>
    <row r="1335" ht="14.25" customHeight="1">
      <c r="A1335" s="5" t="s">
        <v>1908</v>
      </c>
      <c r="B1335" s="5">
        <v>12.0</v>
      </c>
      <c r="C1335" s="5" t="s">
        <v>1711</v>
      </c>
      <c r="D1335" s="5">
        <v>1403.0</v>
      </c>
      <c r="E1335" s="5">
        <v>12952.0</v>
      </c>
      <c r="F1335" s="12" t="s">
        <v>4754</v>
      </c>
      <c r="G1335" s="10" t="s">
        <v>4755</v>
      </c>
      <c r="H1335" s="5" t="s">
        <v>4756</v>
      </c>
      <c r="I1335" s="5" t="s">
        <v>49</v>
      </c>
      <c r="J1335" s="5" t="s">
        <v>1746</v>
      </c>
      <c r="K1335" s="5">
        <v>1.0</v>
      </c>
      <c r="L1335" s="5">
        <v>14884.0</v>
      </c>
      <c r="M1335" s="8"/>
      <c r="AK1335" s="9"/>
      <c r="AO1335" s="5" t="s">
        <v>4757</v>
      </c>
      <c r="AP1335" s="5">
        <v>1403.0</v>
      </c>
      <c r="AQ1335" s="5" t="s">
        <v>1716</v>
      </c>
      <c r="AR1335" s="5" t="s">
        <v>1717</v>
      </c>
      <c r="AS1335" s="5" t="s">
        <v>1740</v>
      </c>
      <c r="AT1335" s="5" t="s">
        <v>1835</v>
      </c>
      <c r="AU1335" s="5" t="s">
        <v>1742</v>
      </c>
      <c r="AV1335" s="5" t="s">
        <v>1720</v>
      </c>
      <c r="AW1335" s="5" t="s">
        <v>2368</v>
      </c>
      <c r="AX1335" s="5" t="s">
        <v>2505</v>
      </c>
      <c r="AY1335" s="5">
        <v>51.221</v>
      </c>
      <c r="AZ1335" s="5">
        <v>-122.1574</v>
      </c>
      <c r="BA1335" s="5">
        <v>455.0</v>
      </c>
    </row>
    <row r="1336" ht="14.25" customHeight="1">
      <c r="A1336" s="5" t="s">
        <v>422</v>
      </c>
      <c r="B1336" s="5">
        <v>12.0</v>
      </c>
      <c r="C1336" s="5" t="s">
        <v>1711</v>
      </c>
      <c r="D1336" s="5">
        <v>1404.0</v>
      </c>
      <c r="E1336" s="5">
        <v>12953.0</v>
      </c>
      <c r="G1336" s="5" t="s">
        <v>127</v>
      </c>
      <c r="H1336" s="5" t="s">
        <v>4758</v>
      </c>
      <c r="I1336" s="5" t="s">
        <v>49</v>
      </c>
      <c r="J1336" s="5" t="s">
        <v>1746</v>
      </c>
      <c r="K1336" s="5">
        <v>1.0</v>
      </c>
      <c r="L1336" s="5">
        <v>14885.0</v>
      </c>
      <c r="M1336" s="8"/>
      <c r="AK1336" s="9"/>
      <c r="AO1336" s="5" t="s">
        <v>4759</v>
      </c>
      <c r="AP1336" s="5">
        <v>1404.0</v>
      </c>
      <c r="AQ1336" s="5" t="s">
        <v>1716</v>
      </c>
      <c r="AR1336" s="5" t="s">
        <v>1717</v>
      </c>
      <c r="AS1336" s="5" t="s">
        <v>1718</v>
      </c>
      <c r="AT1336" s="5" t="s">
        <v>1835</v>
      </c>
      <c r="AU1336" s="5" t="s">
        <v>1836</v>
      </c>
      <c r="AV1336" s="5" t="s">
        <v>1720</v>
      </c>
      <c r="AW1336" s="5" t="s">
        <v>2698</v>
      </c>
      <c r="AX1336" s="5" t="s">
        <v>2801</v>
      </c>
      <c r="AY1336" s="5">
        <v>49.1431</v>
      </c>
      <c r="AZ1336" s="5">
        <v>-116.5225</v>
      </c>
      <c r="BA1336" s="5">
        <v>894.0</v>
      </c>
    </row>
    <row r="1337" ht="14.25" customHeight="1">
      <c r="A1337" s="5" t="s">
        <v>422</v>
      </c>
      <c r="B1337" s="5">
        <v>12.0</v>
      </c>
      <c r="C1337" s="5" t="s">
        <v>1711</v>
      </c>
      <c r="D1337" s="5">
        <v>1407.0</v>
      </c>
      <c r="E1337" s="5">
        <v>12955.0</v>
      </c>
      <c r="G1337" s="5" t="s">
        <v>127</v>
      </c>
      <c r="H1337" s="5" t="s">
        <v>4760</v>
      </c>
      <c r="I1337" s="5" t="s">
        <v>49</v>
      </c>
      <c r="J1337" s="5" t="s">
        <v>1746</v>
      </c>
      <c r="K1337" s="5">
        <v>1.0</v>
      </c>
      <c r="L1337" s="5">
        <v>14887.0</v>
      </c>
      <c r="M1337" s="8"/>
      <c r="AK1337" s="9"/>
      <c r="AO1337" s="5" t="s">
        <v>4761</v>
      </c>
      <c r="AP1337" s="5">
        <v>1407.0</v>
      </c>
      <c r="AQ1337" s="5" t="s">
        <v>1716</v>
      </c>
      <c r="AR1337" s="5" t="s">
        <v>1717</v>
      </c>
      <c r="AS1337" s="5" t="s">
        <v>1718</v>
      </c>
      <c r="AT1337" s="5" t="s">
        <v>1835</v>
      </c>
      <c r="AU1337" s="5" t="s">
        <v>1836</v>
      </c>
      <c r="AW1337" s="5" t="s">
        <v>2368</v>
      </c>
      <c r="AX1337" s="5" t="s">
        <v>2516</v>
      </c>
      <c r="AY1337" s="5">
        <v>49.1431</v>
      </c>
      <c r="AZ1337" s="5">
        <v>-120.0294</v>
      </c>
      <c r="BA1337" s="5">
        <v>757.0</v>
      </c>
    </row>
    <row r="1338" ht="14.25" customHeight="1">
      <c r="A1338" s="5" t="s">
        <v>1908</v>
      </c>
      <c r="B1338" s="5">
        <v>12.0</v>
      </c>
      <c r="C1338" s="5" t="s">
        <v>1711</v>
      </c>
      <c r="D1338" s="5">
        <v>1408.0</v>
      </c>
      <c r="E1338" s="5">
        <v>12957.0</v>
      </c>
      <c r="F1338" s="12" t="s">
        <v>4762</v>
      </c>
      <c r="G1338" s="10" t="s">
        <v>4763</v>
      </c>
      <c r="H1338" s="5" t="s">
        <v>4764</v>
      </c>
      <c r="I1338" s="5" t="s">
        <v>49</v>
      </c>
      <c r="J1338" s="5" t="s">
        <v>1746</v>
      </c>
      <c r="K1338" s="5">
        <v>1.0</v>
      </c>
      <c r="L1338" s="5">
        <v>14889.0</v>
      </c>
      <c r="M1338" s="8">
        <v>50.1711</v>
      </c>
      <c r="N1338" s="5">
        <v>-125.5757</v>
      </c>
      <c r="O1338" s="5" t="s">
        <v>51</v>
      </c>
      <c r="P1338" s="5">
        <v>1408.0</v>
      </c>
      <c r="Q1338" s="5">
        <v>2.0</v>
      </c>
      <c r="R1338" s="5" t="s">
        <v>4765</v>
      </c>
      <c r="S1338" s="5" t="s">
        <v>4045</v>
      </c>
      <c r="T1338" s="5">
        <v>289.0</v>
      </c>
      <c r="W1338" s="5">
        <v>44277.0</v>
      </c>
      <c r="X1338" s="5" t="s">
        <v>1738</v>
      </c>
      <c r="AK1338" s="9"/>
      <c r="AO1338" s="5" t="s">
        <v>4765</v>
      </c>
      <c r="AP1338" s="5">
        <v>1408.0</v>
      </c>
      <c r="AQ1338" s="5" t="s">
        <v>1716</v>
      </c>
      <c r="AR1338" s="5" t="s">
        <v>1739</v>
      </c>
      <c r="AS1338" s="5" t="s">
        <v>1740</v>
      </c>
      <c r="AT1338" s="5" t="s">
        <v>1741</v>
      </c>
      <c r="AU1338" s="5" t="s">
        <v>1742</v>
      </c>
      <c r="AV1338" s="5" t="s">
        <v>1720</v>
      </c>
      <c r="AW1338" s="5" t="s">
        <v>1705</v>
      </c>
      <c r="AX1338" s="5" t="s">
        <v>1723</v>
      </c>
      <c r="AY1338" s="5">
        <v>50.1711</v>
      </c>
      <c r="AZ1338" s="5">
        <v>-125.5757</v>
      </c>
      <c r="BA1338" s="5">
        <v>289.0</v>
      </c>
    </row>
    <row r="1339" ht="14.25" customHeight="1">
      <c r="A1339" s="5" t="s">
        <v>422</v>
      </c>
      <c r="B1339" s="5">
        <v>12.0</v>
      </c>
      <c r="C1339" s="5" t="s">
        <v>1711</v>
      </c>
      <c r="D1339" s="5">
        <v>1409.0</v>
      </c>
      <c r="E1339" s="5">
        <v>12958.0</v>
      </c>
      <c r="G1339" s="5" t="s">
        <v>127</v>
      </c>
      <c r="H1339" s="5" t="s">
        <v>4766</v>
      </c>
      <c r="I1339" s="5" t="s">
        <v>49</v>
      </c>
      <c r="J1339" s="5" t="s">
        <v>1746</v>
      </c>
      <c r="K1339" s="5">
        <v>1.0</v>
      </c>
      <c r="L1339" s="5">
        <v>14890.0</v>
      </c>
      <c r="M1339" s="8"/>
      <c r="AK1339" s="9"/>
      <c r="AO1339" s="5" t="s">
        <v>4767</v>
      </c>
      <c r="AP1339" s="5">
        <v>1409.0</v>
      </c>
      <c r="AQ1339" s="5" t="s">
        <v>1716</v>
      </c>
      <c r="AR1339" s="5" t="s">
        <v>1717</v>
      </c>
      <c r="AS1339" s="5" t="s">
        <v>1718</v>
      </c>
      <c r="AT1339" s="5" t="s">
        <v>1835</v>
      </c>
      <c r="AU1339" s="5" t="s">
        <v>1836</v>
      </c>
      <c r="AV1339" s="5" t="s">
        <v>1720</v>
      </c>
      <c r="AY1339" s="5">
        <v>49.8886</v>
      </c>
      <c r="AZ1339" s="5">
        <v>-115.648</v>
      </c>
      <c r="BA1339" s="5">
        <v>1041.0</v>
      </c>
    </row>
    <row r="1340" ht="14.25" customHeight="1">
      <c r="A1340" s="5" t="s">
        <v>422</v>
      </c>
      <c r="B1340" s="5">
        <v>12.0</v>
      </c>
      <c r="C1340" s="5" t="s">
        <v>1711</v>
      </c>
      <c r="D1340" s="5">
        <v>1410.0</v>
      </c>
      <c r="E1340" s="5">
        <v>12959.0</v>
      </c>
      <c r="G1340" s="5" t="s">
        <v>127</v>
      </c>
      <c r="H1340" s="5" t="s">
        <v>4768</v>
      </c>
      <c r="I1340" s="5" t="s">
        <v>49</v>
      </c>
      <c r="J1340" s="5" t="s">
        <v>1746</v>
      </c>
      <c r="K1340" s="5">
        <v>1.0</v>
      </c>
      <c r="L1340" s="5">
        <v>14891.0</v>
      </c>
      <c r="M1340" s="8"/>
      <c r="AK1340" s="9"/>
      <c r="AO1340" s="5" t="s">
        <v>4769</v>
      </c>
      <c r="AP1340" s="5">
        <v>1410.0</v>
      </c>
      <c r="AQ1340" s="5" t="s">
        <v>1716</v>
      </c>
      <c r="AR1340" s="5" t="s">
        <v>1717</v>
      </c>
      <c r="AS1340" s="5" t="s">
        <v>1740</v>
      </c>
      <c r="AT1340" s="5" t="s">
        <v>1835</v>
      </c>
      <c r="AU1340" s="5" t="s">
        <v>1742</v>
      </c>
      <c r="AV1340" s="5" t="s">
        <v>1720</v>
      </c>
      <c r="AW1340" s="5" t="s">
        <v>1705</v>
      </c>
      <c r="AX1340" s="5" t="s">
        <v>1883</v>
      </c>
      <c r="AY1340" s="5">
        <v>49.0149</v>
      </c>
      <c r="AZ1340" s="5">
        <v>-121.0717</v>
      </c>
      <c r="BA1340" s="5">
        <v>0.0</v>
      </c>
    </row>
    <row r="1341" ht="14.25" customHeight="1">
      <c r="A1341" s="5" t="s">
        <v>422</v>
      </c>
      <c r="B1341" s="5">
        <v>12.0</v>
      </c>
      <c r="C1341" s="5" t="s">
        <v>1711</v>
      </c>
      <c r="D1341" s="5">
        <v>1630.0</v>
      </c>
      <c r="E1341" s="5">
        <v>12986.0</v>
      </c>
      <c r="G1341" s="5" t="s">
        <v>127</v>
      </c>
      <c r="H1341" s="5" t="s">
        <v>4770</v>
      </c>
      <c r="I1341" s="5" t="s">
        <v>49</v>
      </c>
      <c r="J1341" s="5" t="s">
        <v>1746</v>
      </c>
      <c r="K1341" s="5">
        <v>1.0</v>
      </c>
      <c r="L1341" s="5">
        <v>14918.0</v>
      </c>
      <c r="M1341" s="8"/>
      <c r="AK1341" s="9"/>
      <c r="AO1341" s="5" t="s">
        <v>4771</v>
      </c>
      <c r="AP1341" s="5">
        <v>1630.0</v>
      </c>
      <c r="AQ1341" s="5" t="s">
        <v>1716</v>
      </c>
      <c r="AR1341" s="5" t="s">
        <v>1717</v>
      </c>
      <c r="AS1341" s="5" t="s">
        <v>1740</v>
      </c>
      <c r="AT1341" s="5" t="s">
        <v>1835</v>
      </c>
      <c r="AU1341" s="5" t="s">
        <v>1742</v>
      </c>
      <c r="AV1341" s="5" t="s">
        <v>1720</v>
      </c>
      <c r="AW1341" s="5" t="s">
        <v>1705</v>
      </c>
      <c r="AX1341" s="5" t="s">
        <v>1883</v>
      </c>
      <c r="AY1341" s="5">
        <v>49.3264</v>
      </c>
      <c r="AZ1341" s="5">
        <v>-121.2819</v>
      </c>
      <c r="BA1341" s="5">
        <v>631.0</v>
      </c>
    </row>
    <row r="1342" ht="14.25" customHeight="1">
      <c r="A1342" s="5" t="s">
        <v>422</v>
      </c>
      <c r="B1342" s="5">
        <v>12.0</v>
      </c>
      <c r="C1342" s="5" t="s">
        <v>1711</v>
      </c>
      <c r="D1342" s="5">
        <v>1670.0</v>
      </c>
      <c r="E1342" s="5">
        <v>12987.0</v>
      </c>
      <c r="G1342" s="5" t="s">
        <v>127</v>
      </c>
      <c r="H1342" s="5" t="s">
        <v>4772</v>
      </c>
      <c r="I1342" s="5" t="s">
        <v>49</v>
      </c>
      <c r="J1342" s="5" t="s">
        <v>1746</v>
      </c>
      <c r="K1342" s="5">
        <v>1.0</v>
      </c>
      <c r="L1342" s="5">
        <v>14919.0</v>
      </c>
      <c r="M1342" s="64"/>
      <c r="N1342" s="36"/>
      <c r="P1342" s="36"/>
      <c r="R1342" s="36"/>
      <c r="T1342" s="37"/>
      <c r="W1342" s="36"/>
      <c r="AK1342" s="9"/>
      <c r="AO1342" s="5" t="s">
        <v>4773</v>
      </c>
      <c r="AP1342" s="5">
        <v>1670.0</v>
      </c>
      <c r="AQ1342" s="5" t="s">
        <v>1716</v>
      </c>
      <c r="AR1342" s="5" t="s">
        <v>1717</v>
      </c>
      <c r="AS1342" s="5" t="s">
        <v>1740</v>
      </c>
      <c r="AT1342" s="5" t="s">
        <v>1703</v>
      </c>
      <c r="AU1342" s="5" t="s">
        <v>1742</v>
      </c>
      <c r="AV1342" s="5" t="s">
        <v>1720</v>
      </c>
      <c r="AW1342" s="5" t="s">
        <v>2368</v>
      </c>
      <c r="AX1342" s="5" t="s">
        <v>2369</v>
      </c>
      <c r="AY1342" s="5">
        <v>50.8728</v>
      </c>
      <c r="AZ1342" s="5">
        <v>-119.9672</v>
      </c>
      <c r="BA1342" s="5">
        <v>930.0</v>
      </c>
    </row>
    <row r="1343" ht="14.25" customHeight="1">
      <c r="A1343" s="5" t="s">
        <v>422</v>
      </c>
      <c r="B1343" s="5">
        <v>12.0</v>
      </c>
      <c r="C1343" s="5" t="s">
        <v>1711</v>
      </c>
      <c r="D1343" s="5">
        <v>1691.0</v>
      </c>
      <c r="E1343" s="5">
        <v>12992.0</v>
      </c>
      <c r="G1343" s="5" t="s">
        <v>127</v>
      </c>
      <c r="H1343" s="5" t="s">
        <v>4774</v>
      </c>
      <c r="I1343" s="5" t="s">
        <v>49</v>
      </c>
      <c r="J1343" s="5" t="s">
        <v>1746</v>
      </c>
      <c r="K1343" s="5">
        <v>1.0</v>
      </c>
      <c r="L1343" s="5">
        <v>14924.0</v>
      </c>
      <c r="M1343" s="8"/>
      <c r="AK1343" s="9"/>
      <c r="AO1343" s="5" t="s">
        <v>4775</v>
      </c>
      <c r="AP1343" s="5">
        <v>1691.0</v>
      </c>
      <c r="AQ1343" s="5" t="s">
        <v>1716</v>
      </c>
      <c r="AR1343" s="5" t="s">
        <v>1717</v>
      </c>
      <c r="AS1343" s="5" t="s">
        <v>1740</v>
      </c>
      <c r="AT1343" s="5" t="s">
        <v>1835</v>
      </c>
      <c r="AU1343" s="5" t="s">
        <v>1742</v>
      </c>
      <c r="AV1343" s="5" t="s">
        <v>1720</v>
      </c>
      <c r="AW1343" s="5" t="s">
        <v>2368</v>
      </c>
      <c r="AX1343" s="5" t="s">
        <v>2492</v>
      </c>
      <c r="AY1343" s="5">
        <v>50.2917</v>
      </c>
      <c r="AZ1343" s="5">
        <v>-121.1736</v>
      </c>
      <c r="BA1343" s="5">
        <v>432.0</v>
      </c>
    </row>
    <row r="1344" ht="14.25" customHeight="1">
      <c r="A1344" s="5" t="s">
        <v>422</v>
      </c>
      <c r="B1344" s="5">
        <v>12.0</v>
      </c>
      <c r="C1344" s="5" t="s">
        <v>1711</v>
      </c>
      <c r="D1344" s="5">
        <v>1692.0</v>
      </c>
      <c r="E1344" s="5">
        <v>12993.0</v>
      </c>
      <c r="G1344" s="5" t="s">
        <v>127</v>
      </c>
      <c r="H1344" s="5" t="s">
        <v>4776</v>
      </c>
      <c r="I1344" s="5" t="s">
        <v>49</v>
      </c>
      <c r="J1344" s="5" t="s">
        <v>1746</v>
      </c>
      <c r="K1344" s="5">
        <v>1.0</v>
      </c>
      <c r="L1344" s="5">
        <v>14925.0</v>
      </c>
      <c r="M1344" s="8"/>
      <c r="AK1344" s="9"/>
      <c r="AO1344" s="5" t="s">
        <v>4777</v>
      </c>
      <c r="AP1344" s="5">
        <v>1692.0</v>
      </c>
      <c r="AQ1344" s="5" t="s">
        <v>1716</v>
      </c>
      <c r="AR1344" s="5" t="s">
        <v>1717</v>
      </c>
      <c r="AS1344" s="5" t="s">
        <v>1718</v>
      </c>
      <c r="AT1344" s="5" t="s">
        <v>1835</v>
      </c>
      <c r="AU1344" s="5" t="s">
        <v>1836</v>
      </c>
      <c r="AV1344" s="5" t="s">
        <v>1720</v>
      </c>
      <c r="AW1344" s="5" t="s">
        <v>2368</v>
      </c>
      <c r="AX1344" s="5" t="s">
        <v>2369</v>
      </c>
      <c r="AY1344" s="5">
        <v>50.6056</v>
      </c>
      <c r="AZ1344" s="5">
        <v>-121.1106</v>
      </c>
      <c r="BA1344" s="5">
        <v>1640.0</v>
      </c>
    </row>
    <row r="1345" ht="14.25" customHeight="1">
      <c r="A1345" s="5" t="s">
        <v>422</v>
      </c>
      <c r="B1345" s="5">
        <v>12.0</v>
      </c>
      <c r="C1345" s="5" t="s">
        <v>1711</v>
      </c>
      <c r="D1345" s="5">
        <v>1730.0</v>
      </c>
      <c r="E1345" s="5">
        <v>12994.0</v>
      </c>
      <c r="G1345" s="5" t="s">
        <v>127</v>
      </c>
      <c r="H1345" s="5" t="s">
        <v>4778</v>
      </c>
      <c r="I1345" s="5" t="s">
        <v>49</v>
      </c>
      <c r="J1345" s="5" t="s">
        <v>1746</v>
      </c>
      <c r="K1345" s="5">
        <v>1.0</v>
      </c>
      <c r="L1345" s="5">
        <v>14926.0</v>
      </c>
      <c r="M1345" s="8"/>
      <c r="AK1345" s="9"/>
      <c r="AO1345" s="5" t="s">
        <v>4779</v>
      </c>
      <c r="AP1345" s="5">
        <v>1730.0</v>
      </c>
      <c r="AQ1345" s="5" t="s">
        <v>1716</v>
      </c>
      <c r="AR1345" s="5" t="s">
        <v>1717</v>
      </c>
      <c r="AS1345" s="5" t="s">
        <v>1740</v>
      </c>
      <c r="AT1345" s="5" t="s">
        <v>1835</v>
      </c>
      <c r="AU1345" s="5" t="s">
        <v>1742</v>
      </c>
      <c r="AV1345" s="5" t="s">
        <v>1720</v>
      </c>
      <c r="AW1345" s="5" t="s">
        <v>2368</v>
      </c>
      <c r="AX1345" s="5" t="s">
        <v>2522</v>
      </c>
      <c r="AY1345" s="5">
        <v>50.9261</v>
      </c>
      <c r="AZ1345" s="5">
        <v>-118.4724</v>
      </c>
      <c r="BA1345" s="5">
        <v>572.0</v>
      </c>
    </row>
    <row r="1346" ht="14.25" customHeight="1">
      <c r="A1346" s="5" t="s">
        <v>422</v>
      </c>
      <c r="B1346" s="5">
        <v>12.0</v>
      </c>
      <c r="C1346" s="5" t="s">
        <v>1711</v>
      </c>
      <c r="D1346" s="5">
        <v>1750.0</v>
      </c>
      <c r="E1346" s="5">
        <v>12995.0</v>
      </c>
      <c r="G1346" s="5" t="s">
        <v>127</v>
      </c>
      <c r="H1346" s="5" t="s">
        <v>4780</v>
      </c>
      <c r="I1346" s="5" t="s">
        <v>49</v>
      </c>
      <c r="J1346" s="5" t="s">
        <v>1746</v>
      </c>
      <c r="K1346" s="5">
        <v>1.0</v>
      </c>
      <c r="L1346" s="5">
        <v>14927.0</v>
      </c>
      <c r="M1346" s="8"/>
      <c r="AK1346" s="9"/>
      <c r="AO1346" s="5" t="s">
        <v>4781</v>
      </c>
      <c r="AP1346" s="5">
        <v>1750.0</v>
      </c>
      <c r="AQ1346" s="5" t="s">
        <v>1716</v>
      </c>
      <c r="AR1346" s="5" t="s">
        <v>1717</v>
      </c>
      <c r="AS1346" s="5" t="s">
        <v>1740</v>
      </c>
      <c r="AT1346" s="5" t="s">
        <v>1835</v>
      </c>
      <c r="AU1346" s="5" t="s">
        <v>1742</v>
      </c>
      <c r="AV1346" s="5" t="s">
        <v>1720</v>
      </c>
      <c r="AW1346" s="5" t="s">
        <v>2368</v>
      </c>
      <c r="AX1346" s="5" t="s">
        <v>2522</v>
      </c>
      <c r="AY1346" s="5">
        <v>50.4333</v>
      </c>
      <c r="AZ1346" s="5">
        <v>-118.7247</v>
      </c>
      <c r="BA1346" s="5">
        <v>844.0</v>
      </c>
    </row>
    <row r="1347" ht="14.25" customHeight="1">
      <c r="A1347" s="5" t="s">
        <v>422</v>
      </c>
      <c r="B1347" s="5">
        <v>12.0</v>
      </c>
      <c r="C1347" s="5" t="s">
        <v>1711</v>
      </c>
      <c r="D1347" s="5">
        <v>1771.0</v>
      </c>
      <c r="E1347" s="5">
        <v>12996.0</v>
      </c>
      <c r="G1347" s="5" t="s">
        <v>127</v>
      </c>
      <c r="H1347" s="5" t="s">
        <v>4782</v>
      </c>
      <c r="I1347" s="5" t="s">
        <v>49</v>
      </c>
      <c r="J1347" s="5" t="s">
        <v>1746</v>
      </c>
      <c r="K1347" s="5">
        <v>1.0</v>
      </c>
      <c r="L1347" s="5">
        <v>14928.0</v>
      </c>
      <c r="M1347" s="8"/>
      <c r="AK1347" s="9"/>
      <c r="AO1347" s="5" t="s">
        <v>4783</v>
      </c>
      <c r="AP1347" s="5">
        <v>1771.0</v>
      </c>
      <c r="AQ1347" s="5" t="s">
        <v>1716</v>
      </c>
      <c r="AR1347" s="5" t="s">
        <v>1717</v>
      </c>
      <c r="AS1347" s="5" t="s">
        <v>1740</v>
      </c>
      <c r="AT1347" s="5" t="s">
        <v>1835</v>
      </c>
      <c r="AU1347" s="5" t="s">
        <v>1742</v>
      </c>
      <c r="AV1347" s="5" t="s">
        <v>1720</v>
      </c>
      <c r="AW1347" s="5" t="s">
        <v>2368</v>
      </c>
      <c r="AY1347" s="5">
        <v>51.3067</v>
      </c>
      <c r="AZ1347" s="5">
        <v>-119.4253</v>
      </c>
      <c r="BA1347" s="5">
        <v>590.0</v>
      </c>
    </row>
    <row r="1348" ht="14.25" customHeight="1">
      <c r="B1348" s="5">
        <v>12.0</v>
      </c>
      <c r="C1348" s="5" t="s">
        <v>1711</v>
      </c>
      <c r="D1348" s="5">
        <v>1790.0</v>
      </c>
      <c r="E1348" s="5">
        <v>13000.0</v>
      </c>
      <c r="F1348" s="10" t="s">
        <v>4784</v>
      </c>
      <c r="G1348" s="10" t="s">
        <v>4785</v>
      </c>
      <c r="H1348" s="5" t="s">
        <v>4786</v>
      </c>
      <c r="I1348" s="5" t="s">
        <v>49</v>
      </c>
      <c r="J1348" s="5" t="s">
        <v>1746</v>
      </c>
      <c r="K1348" s="5">
        <v>1.0</v>
      </c>
      <c r="L1348" s="5">
        <v>14932.0</v>
      </c>
      <c r="M1348" s="8"/>
      <c r="AK1348" s="9"/>
      <c r="AO1348" s="5" t="s">
        <v>3780</v>
      </c>
      <c r="AP1348" s="5">
        <v>1790.0</v>
      </c>
      <c r="AQ1348" s="5" t="s">
        <v>1716</v>
      </c>
      <c r="AR1348" s="5" t="s">
        <v>1739</v>
      </c>
      <c r="AS1348" s="5" t="s">
        <v>1740</v>
      </c>
      <c r="AT1348" s="5" t="s">
        <v>1741</v>
      </c>
      <c r="AU1348" s="5" t="s">
        <v>1742</v>
      </c>
      <c r="AV1348" s="5" t="s">
        <v>1720</v>
      </c>
      <c r="AW1348" s="5" t="s">
        <v>2698</v>
      </c>
      <c r="AX1348" s="5" t="s">
        <v>2768</v>
      </c>
      <c r="AY1348" s="5">
        <v>51.1753</v>
      </c>
      <c r="AZ1348" s="5">
        <v>-117.1757</v>
      </c>
      <c r="BA1348" s="5">
        <v>1529.0</v>
      </c>
    </row>
    <row r="1349" ht="14.25" customHeight="1">
      <c r="A1349" s="5" t="s">
        <v>422</v>
      </c>
      <c r="B1349" s="5">
        <v>12.0</v>
      </c>
      <c r="C1349" s="5" t="s">
        <v>1711</v>
      </c>
      <c r="D1349" s="5">
        <v>1794.0</v>
      </c>
      <c r="E1349" s="5">
        <v>13001.0</v>
      </c>
      <c r="G1349" s="5" t="s">
        <v>127</v>
      </c>
      <c r="H1349" s="5" t="s">
        <v>4787</v>
      </c>
      <c r="I1349" s="5" t="s">
        <v>49</v>
      </c>
      <c r="J1349" s="5" t="s">
        <v>1746</v>
      </c>
      <c r="K1349" s="5">
        <v>1.0</v>
      </c>
      <c r="L1349" s="5">
        <v>14933.0</v>
      </c>
      <c r="M1349" s="8"/>
      <c r="AK1349" s="9"/>
      <c r="AO1349" s="5" t="s">
        <v>4788</v>
      </c>
      <c r="AP1349" s="5">
        <v>1794.0</v>
      </c>
      <c r="AQ1349" s="5" t="s">
        <v>1716</v>
      </c>
      <c r="AR1349" s="5" t="s">
        <v>1717</v>
      </c>
      <c r="AS1349" s="5" t="s">
        <v>1740</v>
      </c>
      <c r="AT1349" s="5" t="s">
        <v>1835</v>
      </c>
      <c r="AU1349" s="5" t="s">
        <v>1742</v>
      </c>
      <c r="AV1349" s="5" t="s">
        <v>1720</v>
      </c>
      <c r="AW1349" s="5" t="s">
        <v>2368</v>
      </c>
      <c r="AX1349" s="5" t="s">
        <v>2522</v>
      </c>
      <c r="AY1349" s="5">
        <v>50.4044</v>
      </c>
      <c r="AZ1349" s="5">
        <v>-119.4369</v>
      </c>
      <c r="BA1349" s="5">
        <v>1380.0</v>
      </c>
    </row>
    <row r="1350" ht="14.25" customHeight="1">
      <c r="A1350" s="5" t="s">
        <v>422</v>
      </c>
      <c r="B1350" s="5">
        <v>12.0</v>
      </c>
      <c r="C1350" s="5" t="s">
        <v>1711</v>
      </c>
      <c r="D1350" s="5">
        <v>1810.0</v>
      </c>
      <c r="E1350" s="5">
        <v>13002.0</v>
      </c>
      <c r="G1350" s="5" t="s">
        <v>127</v>
      </c>
      <c r="H1350" s="5" t="s">
        <v>4789</v>
      </c>
      <c r="I1350" s="5" t="s">
        <v>49</v>
      </c>
      <c r="J1350" s="5" t="s">
        <v>1746</v>
      </c>
      <c r="K1350" s="5">
        <v>1.0</v>
      </c>
      <c r="L1350" s="5">
        <v>14934.0</v>
      </c>
      <c r="M1350" s="8"/>
      <c r="AK1350" s="9"/>
      <c r="AO1350" s="5" t="s">
        <v>4790</v>
      </c>
      <c r="AP1350" s="5">
        <v>1810.0</v>
      </c>
      <c r="AQ1350" s="5" t="s">
        <v>1716</v>
      </c>
      <c r="AR1350" s="5" t="s">
        <v>2441</v>
      </c>
      <c r="AS1350" s="5" t="s">
        <v>1740</v>
      </c>
      <c r="AT1350" s="5" t="s">
        <v>1835</v>
      </c>
      <c r="AU1350" s="5" t="s">
        <v>1742</v>
      </c>
      <c r="AV1350" s="5" t="s">
        <v>1720</v>
      </c>
      <c r="AW1350" s="5" t="s">
        <v>2698</v>
      </c>
      <c r="AX1350" s="5" t="s">
        <v>2768</v>
      </c>
      <c r="AY1350" s="5">
        <v>49.8886</v>
      </c>
      <c r="AZ1350" s="5">
        <v>-115.6481</v>
      </c>
      <c r="BA1350" s="5">
        <v>1053.0</v>
      </c>
    </row>
    <row r="1351" ht="14.25" customHeight="1">
      <c r="A1351" s="5" t="s">
        <v>422</v>
      </c>
      <c r="B1351" s="5">
        <v>12.0</v>
      </c>
      <c r="C1351" s="5" t="s">
        <v>1711</v>
      </c>
      <c r="D1351" s="5">
        <v>1831.0</v>
      </c>
      <c r="E1351" s="5">
        <v>13003.0</v>
      </c>
      <c r="G1351" s="5" t="s">
        <v>127</v>
      </c>
      <c r="H1351" s="5" t="s">
        <v>4791</v>
      </c>
      <c r="I1351" s="5" t="s">
        <v>49</v>
      </c>
      <c r="J1351" s="5" t="s">
        <v>1746</v>
      </c>
      <c r="K1351" s="5">
        <v>1.0</v>
      </c>
      <c r="L1351" s="5">
        <v>14935.0</v>
      </c>
      <c r="M1351" s="8"/>
      <c r="AK1351" s="9"/>
      <c r="AO1351" s="5" t="s">
        <v>4792</v>
      </c>
      <c r="AP1351" s="5">
        <v>1831.0</v>
      </c>
      <c r="AQ1351" s="5" t="s">
        <v>1716</v>
      </c>
      <c r="AR1351" s="5" t="s">
        <v>1717</v>
      </c>
      <c r="AS1351" s="5" t="s">
        <v>1718</v>
      </c>
      <c r="AT1351" s="5" t="s">
        <v>1835</v>
      </c>
      <c r="AU1351" s="5" t="s">
        <v>1836</v>
      </c>
      <c r="AW1351" s="5" t="s">
        <v>2698</v>
      </c>
      <c r="AX1351" s="5" t="s">
        <v>2801</v>
      </c>
      <c r="AY1351" s="5">
        <v>50.3421</v>
      </c>
      <c r="AZ1351" s="5">
        <v>-116.849</v>
      </c>
      <c r="BA1351" s="5">
        <v>985.0</v>
      </c>
    </row>
    <row r="1352" ht="14.25" customHeight="1">
      <c r="A1352" s="5" t="s">
        <v>422</v>
      </c>
      <c r="B1352" s="5">
        <v>12.0</v>
      </c>
      <c r="C1352" s="5" t="s">
        <v>1707</v>
      </c>
      <c r="D1352" s="5">
        <v>1851.0</v>
      </c>
      <c r="E1352" s="5">
        <v>13004.0</v>
      </c>
      <c r="F1352" s="51" t="s">
        <v>4793</v>
      </c>
      <c r="G1352" s="5" t="s">
        <v>127</v>
      </c>
      <c r="H1352" s="5" t="s">
        <v>4794</v>
      </c>
      <c r="I1352" s="5" t="s">
        <v>49</v>
      </c>
      <c r="J1352" s="5" t="s">
        <v>1746</v>
      </c>
      <c r="K1352" s="5">
        <v>1.0</v>
      </c>
      <c r="L1352" s="5">
        <v>14936.0</v>
      </c>
      <c r="M1352" s="8"/>
      <c r="AK1352" s="9"/>
      <c r="AO1352" s="50" t="s">
        <v>4795</v>
      </c>
      <c r="AP1352" s="50">
        <v>1851.0</v>
      </c>
      <c r="AQ1352" s="50" t="s">
        <v>1700</v>
      </c>
      <c r="AR1352" s="50" t="s">
        <v>1701</v>
      </c>
      <c r="AS1352" s="50" t="s">
        <v>1702</v>
      </c>
      <c r="AT1352" s="50" t="s">
        <v>1703</v>
      </c>
      <c r="AU1352" s="50" t="s">
        <v>1704</v>
      </c>
      <c r="AV1352" s="50" t="s">
        <v>1702</v>
      </c>
      <c r="AW1352" s="50" t="s">
        <v>1705</v>
      </c>
      <c r="AX1352" s="50" t="s">
        <v>1965</v>
      </c>
      <c r="AY1352" s="50">
        <v>52.3619</v>
      </c>
      <c r="AZ1352" s="50">
        <v>-128.88</v>
      </c>
      <c r="BA1352" s="50">
        <v>43.0</v>
      </c>
    </row>
    <row r="1353" ht="14.25" customHeight="1">
      <c r="A1353" s="5" t="s">
        <v>1908</v>
      </c>
      <c r="B1353" s="5">
        <v>12.0</v>
      </c>
      <c r="C1353" s="5" t="s">
        <v>1711</v>
      </c>
      <c r="D1353" s="5">
        <v>1911.0</v>
      </c>
      <c r="E1353" s="5">
        <v>13015.0</v>
      </c>
      <c r="F1353" s="12" t="s">
        <v>4796</v>
      </c>
      <c r="G1353" s="10" t="s">
        <v>4797</v>
      </c>
      <c r="H1353" s="5" t="s">
        <v>4798</v>
      </c>
      <c r="I1353" s="5" t="s">
        <v>49</v>
      </c>
      <c r="J1353" s="5" t="s">
        <v>1746</v>
      </c>
      <c r="K1353" s="5">
        <v>1.0</v>
      </c>
      <c r="L1353" s="5">
        <v>14947.0</v>
      </c>
      <c r="M1353" s="8"/>
      <c r="AK1353" s="9"/>
      <c r="AO1353" s="5" t="s">
        <v>4799</v>
      </c>
      <c r="AP1353" s="5">
        <v>1911.0</v>
      </c>
      <c r="AQ1353" s="5" t="s">
        <v>1716</v>
      </c>
      <c r="AR1353" s="5" t="s">
        <v>1717</v>
      </c>
      <c r="AS1353" s="5" t="s">
        <v>1740</v>
      </c>
      <c r="AT1353" s="5" t="s">
        <v>1741</v>
      </c>
      <c r="AU1353" s="5" t="s">
        <v>1742</v>
      </c>
      <c r="AV1353" s="5" t="s">
        <v>1720</v>
      </c>
      <c r="AW1353" s="5" t="s">
        <v>2698</v>
      </c>
      <c r="AX1353" s="5" t="s">
        <v>2827</v>
      </c>
      <c r="AY1353" s="5">
        <v>49.072</v>
      </c>
      <c r="AZ1353" s="5">
        <v>-118.9755</v>
      </c>
      <c r="BA1353" s="5">
        <v>844.0</v>
      </c>
    </row>
    <row r="1354" ht="14.25" customHeight="1">
      <c r="A1354" s="5" t="s">
        <v>1908</v>
      </c>
      <c r="B1354" s="5">
        <v>12.0</v>
      </c>
      <c r="C1354" s="5" t="s">
        <v>1711</v>
      </c>
      <c r="D1354" s="5">
        <v>1994.0</v>
      </c>
      <c r="E1354" s="5">
        <v>13022.0</v>
      </c>
      <c r="F1354" s="12" t="s">
        <v>4800</v>
      </c>
      <c r="G1354" s="10" t="s">
        <v>4801</v>
      </c>
      <c r="H1354" s="5" t="s">
        <v>4802</v>
      </c>
      <c r="I1354" s="5" t="s">
        <v>49</v>
      </c>
      <c r="J1354" s="5" t="s">
        <v>1746</v>
      </c>
      <c r="K1354" s="5">
        <v>1.0</v>
      </c>
      <c r="L1354" s="5">
        <v>14954.0</v>
      </c>
      <c r="M1354" s="8"/>
      <c r="AK1354" s="9"/>
      <c r="AO1354" s="67" t="s">
        <v>4803</v>
      </c>
      <c r="AP1354" s="5">
        <v>1994.0</v>
      </c>
      <c r="AQ1354" s="5" t="s">
        <v>1716</v>
      </c>
      <c r="AR1354" s="5" t="s">
        <v>1717</v>
      </c>
      <c r="AS1354" s="5" t="s">
        <v>1740</v>
      </c>
      <c r="AT1354" s="5" t="s">
        <v>1741</v>
      </c>
      <c r="AU1354" s="5" t="s">
        <v>1742</v>
      </c>
      <c r="AV1354" s="5" t="s">
        <v>1720</v>
      </c>
      <c r="AW1354" s="5" t="s">
        <v>1947</v>
      </c>
      <c r="AX1354" s="5" t="s">
        <v>1973</v>
      </c>
      <c r="AY1354" s="5">
        <v>54.4667</v>
      </c>
      <c r="AZ1354" s="5">
        <v>-128.5667</v>
      </c>
      <c r="BA1354" s="5">
        <v>218.0</v>
      </c>
    </row>
    <row r="1355" ht="14.25" customHeight="1">
      <c r="A1355" s="5" t="s">
        <v>1908</v>
      </c>
      <c r="B1355" s="5">
        <v>12.0</v>
      </c>
      <c r="C1355" s="5" t="s">
        <v>1711</v>
      </c>
      <c r="D1355" s="5">
        <v>2130.0</v>
      </c>
      <c r="E1355" s="5">
        <v>13023.0</v>
      </c>
      <c r="F1355" s="12" t="s">
        <v>4804</v>
      </c>
      <c r="G1355" s="10" t="s">
        <v>4805</v>
      </c>
      <c r="H1355" s="5" t="s">
        <v>4806</v>
      </c>
      <c r="I1355" s="5" t="s">
        <v>49</v>
      </c>
      <c r="J1355" s="5" t="s">
        <v>1746</v>
      </c>
      <c r="K1355" s="5">
        <v>1.0</v>
      </c>
      <c r="L1355" s="5">
        <v>14955.0</v>
      </c>
      <c r="M1355" s="8"/>
      <c r="AK1355" s="9"/>
      <c r="AO1355" s="67" t="s">
        <v>4807</v>
      </c>
      <c r="AP1355" s="5">
        <v>2130.0</v>
      </c>
      <c r="AQ1355" s="5" t="s">
        <v>1716</v>
      </c>
      <c r="AR1355" s="5" t="s">
        <v>1717</v>
      </c>
      <c r="AS1355" s="5" t="s">
        <v>1740</v>
      </c>
      <c r="AT1355" s="5" t="s">
        <v>1741</v>
      </c>
      <c r="AU1355" s="5" t="s">
        <v>1742</v>
      </c>
      <c r="AV1355" s="5" t="s">
        <v>1720</v>
      </c>
      <c r="AW1355" s="5" t="s">
        <v>2368</v>
      </c>
      <c r="AX1355" s="5" t="s">
        <v>2522</v>
      </c>
      <c r="AY1355" s="5">
        <v>50.7969</v>
      </c>
      <c r="AZ1355" s="5">
        <v>-118.9432</v>
      </c>
      <c r="BA1355" s="5">
        <v>1029.0</v>
      </c>
    </row>
    <row r="1356" ht="14.25" customHeight="1">
      <c r="A1356" s="5" t="s">
        <v>1908</v>
      </c>
      <c r="B1356" s="5">
        <v>12.0</v>
      </c>
      <c r="C1356" s="5" t="s">
        <v>1711</v>
      </c>
      <c r="D1356" s="5">
        <v>2170.0</v>
      </c>
      <c r="E1356" s="5">
        <v>13040.0</v>
      </c>
      <c r="F1356" s="12" t="s">
        <v>4808</v>
      </c>
      <c r="G1356" s="10" t="s">
        <v>4809</v>
      </c>
      <c r="H1356" s="5" t="s">
        <v>4810</v>
      </c>
      <c r="I1356" s="5" t="s">
        <v>49</v>
      </c>
      <c r="J1356" s="5" t="s">
        <v>1746</v>
      </c>
      <c r="K1356" s="5">
        <v>1.0</v>
      </c>
      <c r="L1356" s="5">
        <v>14972.0</v>
      </c>
      <c r="M1356" s="8"/>
      <c r="AK1356" s="9"/>
      <c r="AO1356" s="5" t="s">
        <v>4625</v>
      </c>
      <c r="AP1356" s="5">
        <v>2170.0</v>
      </c>
      <c r="AQ1356" s="5" t="s">
        <v>1716</v>
      </c>
      <c r="AR1356" s="5" t="s">
        <v>1717</v>
      </c>
      <c r="AS1356" s="5" t="s">
        <v>1740</v>
      </c>
      <c r="AT1356" s="5" t="s">
        <v>1835</v>
      </c>
      <c r="AU1356" s="5" t="s">
        <v>1742</v>
      </c>
      <c r="AV1356" s="5" t="s">
        <v>1720</v>
      </c>
      <c r="AW1356" s="5" t="s">
        <v>2368</v>
      </c>
      <c r="AX1356" s="5" t="s">
        <v>2516</v>
      </c>
      <c r="AY1356" s="5">
        <v>49.1167</v>
      </c>
      <c r="AZ1356" s="5">
        <v>-119.3</v>
      </c>
      <c r="BA1356" s="5">
        <v>1384.0</v>
      </c>
    </row>
    <row r="1357" ht="14.25" customHeight="1">
      <c r="A1357" s="5" t="s">
        <v>422</v>
      </c>
      <c r="B1357" s="5">
        <v>12.0</v>
      </c>
      <c r="C1357" s="5" t="s">
        <v>1711</v>
      </c>
      <c r="D1357" s="5">
        <v>2230.0</v>
      </c>
      <c r="E1357" s="5">
        <v>13041.0</v>
      </c>
      <c r="G1357" s="5" t="s">
        <v>127</v>
      </c>
      <c r="H1357" s="5" t="s">
        <v>4811</v>
      </c>
      <c r="I1357" s="5" t="s">
        <v>49</v>
      </c>
      <c r="J1357" s="5" t="s">
        <v>1746</v>
      </c>
      <c r="K1357" s="5">
        <v>1.0</v>
      </c>
      <c r="L1357" s="5">
        <v>14973.0</v>
      </c>
      <c r="M1357" s="8"/>
      <c r="AK1357" s="9"/>
      <c r="AO1357" s="5" t="s">
        <v>4812</v>
      </c>
      <c r="AP1357" s="5">
        <v>2230.0</v>
      </c>
      <c r="AQ1357" s="5" t="s">
        <v>1716</v>
      </c>
      <c r="AR1357" s="5" t="s">
        <v>1717</v>
      </c>
      <c r="AS1357" s="5" t="s">
        <v>1740</v>
      </c>
      <c r="AT1357" s="5" t="s">
        <v>1741</v>
      </c>
      <c r="AU1357" s="5" t="s">
        <v>1742</v>
      </c>
      <c r="AV1357" s="5" t="s">
        <v>1720</v>
      </c>
      <c r="AW1357" s="5" t="s">
        <v>2368</v>
      </c>
      <c r="AX1357" s="5" t="s">
        <v>2505</v>
      </c>
      <c r="AY1357" s="5">
        <v>50.9056</v>
      </c>
      <c r="AZ1357" s="5">
        <v>-121.535</v>
      </c>
      <c r="BA1357" s="5">
        <v>1155.0</v>
      </c>
    </row>
    <row r="1358" ht="14.25" customHeight="1">
      <c r="A1358" s="5" t="s">
        <v>422</v>
      </c>
      <c r="B1358" s="5">
        <v>12.0</v>
      </c>
      <c r="C1358" s="5" t="s">
        <v>1711</v>
      </c>
      <c r="D1358" s="5">
        <v>2270.0</v>
      </c>
      <c r="E1358" s="5">
        <v>13059.0</v>
      </c>
      <c r="G1358" s="5" t="s">
        <v>127</v>
      </c>
      <c r="H1358" s="5" t="s">
        <v>4813</v>
      </c>
      <c r="I1358" s="5" t="s">
        <v>49</v>
      </c>
      <c r="J1358" s="5" t="s">
        <v>1746</v>
      </c>
      <c r="K1358" s="5">
        <v>1.0</v>
      </c>
      <c r="L1358" s="5">
        <v>14983.0</v>
      </c>
      <c r="M1358" s="8"/>
      <c r="AK1358" s="9"/>
      <c r="AO1358" s="5" t="s">
        <v>4814</v>
      </c>
      <c r="AP1358" s="5">
        <v>2270.0</v>
      </c>
      <c r="AQ1358" s="5" t="s">
        <v>1716</v>
      </c>
      <c r="AR1358" s="5" t="s">
        <v>1717</v>
      </c>
      <c r="AS1358" s="5" t="s">
        <v>1740</v>
      </c>
      <c r="AT1358" s="5" t="s">
        <v>1741</v>
      </c>
      <c r="AU1358" s="5" t="s">
        <v>1742</v>
      </c>
      <c r="AV1358" s="5" t="s">
        <v>1720</v>
      </c>
      <c r="AW1358" s="5" t="s">
        <v>2368</v>
      </c>
      <c r="AX1358" s="5" t="s">
        <v>2516</v>
      </c>
      <c r="AY1358" s="5">
        <v>49.3305</v>
      </c>
      <c r="AZ1358" s="5">
        <v>-119.7325</v>
      </c>
      <c r="BA1358" s="5">
        <v>1130.0</v>
      </c>
    </row>
    <row r="1359" ht="14.25" customHeight="1">
      <c r="A1359" s="5" t="s">
        <v>422</v>
      </c>
      <c r="B1359" s="5">
        <v>12.0</v>
      </c>
      <c r="C1359" s="5" t="s">
        <v>1711</v>
      </c>
      <c r="D1359" s="5">
        <v>2290.0</v>
      </c>
      <c r="E1359" s="5">
        <v>13060.0</v>
      </c>
      <c r="G1359" s="5" t="s">
        <v>127</v>
      </c>
      <c r="H1359" s="5" t="s">
        <v>4815</v>
      </c>
      <c r="I1359" s="5" t="s">
        <v>49</v>
      </c>
      <c r="J1359" s="5" t="s">
        <v>1746</v>
      </c>
      <c r="K1359" s="5">
        <v>1.0</v>
      </c>
      <c r="L1359" s="5">
        <v>14984.0</v>
      </c>
      <c r="M1359" s="8"/>
      <c r="AK1359" s="9"/>
      <c r="AO1359" s="5" t="s">
        <v>4816</v>
      </c>
      <c r="AP1359" s="5">
        <v>2290.0</v>
      </c>
      <c r="AQ1359" s="5" t="s">
        <v>1716</v>
      </c>
      <c r="AR1359" s="5" t="s">
        <v>1717</v>
      </c>
      <c r="AS1359" s="5" t="s">
        <v>1740</v>
      </c>
      <c r="AT1359" s="5" t="s">
        <v>1741</v>
      </c>
      <c r="AU1359" s="5" t="s">
        <v>1742</v>
      </c>
      <c r="AV1359" s="5" t="s">
        <v>1720</v>
      </c>
      <c r="AW1359" s="5" t="s">
        <v>2368</v>
      </c>
      <c r="AX1359" s="5" t="s">
        <v>2369</v>
      </c>
      <c r="AY1359" s="5">
        <v>50.9056</v>
      </c>
      <c r="AZ1359" s="5">
        <v>-121.5347</v>
      </c>
      <c r="BA1359" s="5">
        <v>1166.0</v>
      </c>
    </row>
    <row r="1360" ht="14.25" customHeight="1">
      <c r="A1360" s="5" t="s">
        <v>422</v>
      </c>
      <c r="B1360" s="5">
        <v>12.0</v>
      </c>
      <c r="C1360" s="5" t="s">
        <v>1711</v>
      </c>
      <c r="D1360" s="5">
        <v>2330.0</v>
      </c>
      <c r="E1360" s="5">
        <v>13062.0</v>
      </c>
      <c r="G1360" s="5" t="s">
        <v>127</v>
      </c>
      <c r="H1360" s="5" t="s">
        <v>4817</v>
      </c>
      <c r="I1360" s="5" t="s">
        <v>49</v>
      </c>
      <c r="J1360" s="5" t="s">
        <v>1746</v>
      </c>
      <c r="K1360" s="5">
        <v>1.0</v>
      </c>
      <c r="L1360" s="5">
        <v>14986.0</v>
      </c>
      <c r="M1360" s="8"/>
      <c r="AK1360" s="9"/>
      <c r="AO1360" s="5" t="s">
        <v>4818</v>
      </c>
      <c r="AP1360" s="5">
        <v>2330.0</v>
      </c>
      <c r="AQ1360" s="5" t="s">
        <v>1716</v>
      </c>
      <c r="AR1360" s="5" t="s">
        <v>1717</v>
      </c>
      <c r="AS1360" s="5" t="s">
        <v>1740</v>
      </c>
      <c r="AT1360" s="5" t="s">
        <v>1741</v>
      </c>
      <c r="AU1360" s="5" t="s">
        <v>1742</v>
      </c>
      <c r="AV1360" s="5" t="s">
        <v>1720</v>
      </c>
      <c r="AW1360" s="5" t="s">
        <v>2698</v>
      </c>
      <c r="AX1360" s="5" t="s">
        <v>2902</v>
      </c>
      <c r="AY1360" s="5">
        <v>49.0253</v>
      </c>
      <c r="AZ1360" s="5">
        <v>-114.5866</v>
      </c>
      <c r="BA1360" s="5">
        <v>1500.0</v>
      </c>
    </row>
    <row r="1361" ht="14.25" customHeight="1">
      <c r="A1361" s="5" t="s">
        <v>422</v>
      </c>
      <c r="B1361" s="5">
        <v>12.0</v>
      </c>
      <c r="C1361" s="5" t="s">
        <v>1711</v>
      </c>
      <c r="D1361" s="5">
        <v>2350.0</v>
      </c>
      <c r="E1361" s="5">
        <v>13063.0</v>
      </c>
      <c r="G1361" s="5" t="s">
        <v>127</v>
      </c>
      <c r="H1361" s="5" t="s">
        <v>4819</v>
      </c>
      <c r="I1361" s="5" t="s">
        <v>49</v>
      </c>
      <c r="J1361" s="5" t="s">
        <v>1746</v>
      </c>
      <c r="K1361" s="5">
        <v>1.0</v>
      </c>
      <c r="L1361" s="5">
        <v>14987.0</v>
      </c>
      <c r="M1361" s="8"/>
      <c r="AK1361" s="9"/>
      <c r="AO1361" s="27" t="s">
        <v>4820</v>
      </c>
      <c r="AP1361" s="5">
        <v>2350.0</v>
      </c>
      <c r="AQ1361" s="5" t="s">
        <v>1716</v>
      </c>
      <c r="AR1361" s="5" t="s">
        <v>1717</v>
      </c>
      <c r="AS1361" s="5" t="s">
        <v>1740</v>
      </c>
      <c r="AT1361" s="5" t="s">
        <v>1741</v>
      </c>
      <c r="AU1361" s="5" t="s">
        <v>1742</v>
      </c>
      <c r="AV1361" s="5" t="s">
        <v>1720</v>
      </c>
      <c r="AW1361" s="5" t="s">
        <v>2698</v>
      </c>
      <c r="AX1361" s="5" t="s">
        <v>2902</v>
      </c>
      <c r="AY1361" s="5">
        <v>49.0253</v>
      </c>
      <c r="AZ1361" s="5">
        <v>-114.5866</v>
      </c>
      <c r="BA1361" s="5">
        <v>1500.0</v>
      </c>
    </row>
    <row r="1362" ht="14.25" customHeight="1">
      <c r="A1362" s="5" t="s">
        <v>422</v>
      </c>
      <c r="B1362" s="5">
        <v>12.0</v>
      </c>
      <c r="C1362" s="5" t="s">
        <v>1711</v>
      </c>
      <c r="D1362" s="5">
        <v>2370.0</v>
      </c>
      <c r="E1362" s="5">
        <v>13064.0</v>
      </c>
      <c r="G1362" s="5" t="s">
        <v>127</v>
      </c>
      <c r="H1362" s="5" t="s">
        <v>4821</v>
      </c>
      <c r="I1362" s="5" t="s">
        <v>49</v>
      </c>
      <c r="J1362" s="5" t="s">
        <v>1746</v>
      </c>
      <c r="K1362" s="5">
        <v>1.0</v>
      </c>
      <c r="L1362" s="5">
        <v>14988.0</v>
      </c>
      <c r="M1362" s="8"/>
      <c r="AK1362" s="9"/>
      <c r="AO1362" s="5" t="s">
        <v>4822</v>
      </c>
      <c r="AP1362" s="5">
        <v>2370.0</v>
      </c>
      <c r="AQ1362" s="5" t="s">
        <v>1716</v>
      </c>
      <c r="AR1362" s="5" t="s">
        <v>1717</v>
      </c>
      <c r="AS1362" s="5" t="s">
        <v>1740</v>
      </c>
      <c r="AT1362" s="5" t="s">
        <v>1741</v>
      </c>
      <c r="AU1362" s="5" t="s">
        <v>1742</v>
      </c>
      <c r="AV1362" s="5" t="s">
        <v>1720</v>
      </c>
      <c r="AW1362" s="5" t="s">
        <v>2698</v>
      </c>
      <c r="AX1362" s="5" t="s">
        <v>2902</v>
      </c>
      <c r="AY1362" s="5">
        <v>49.049</v>
      </c>
      <c r="AZ1362" s="5">
        <v>-115.046</v>
      </c>
      <c r="BA1362" s="5">
        <v>1119.0</v>
      </c>
    </row>
    <row r="1363" ht="14.25" customHeight="1">
      <c r="A1363" s="5" t="s">
        <v>422</v>
      </c>
      <c r="B1363" s="5">
        <v>12.0</v>
      </c>
      <c r="C1363" s="5" t="s">
        <v>1711</v>
      </c>
      <c r="D1363" s="5">
        <v>2390.0</v>
      </c>
      <c r="E1363" s="5">
        <v>13067.0</v>
      </c>
      <c r="G1363" s="5" t="s">
        <v>127</v>
      </c>
      <c r="H1363" s="5" t="s">
        <v>4823</v>
      </c>
      <c r="I1363" s="5" t="s">
        <v>49</v>
      </c>
      <c r="J1363" s="5" t="s">
        <v>1746</v>
      </c>
      <c r="K1363" s="5">
        <v>1.0</v>
      </c>
      <c r="L1363" s="5">
        <v>14991.0</v>
      </c>
      <c r="M1363" s="8"/>
      <c r="AK1363" s="9"/>
      <c r="AO1363" s="5" t="s">
        <v>4824</v>
      </c>
      <c r="AP1363" s="5">
        <v>2390.0</v>
      </c>
      <c r="AQ1363" s="5" t="s">
        <v>1716</v>
      </c>
      <c r="AR1363" s="5" t="s">
        <v>1717</v>
      </c>
      <c r="AS1363" s="5" t="s">
        <v>1740</v>
      </c>
      <c r="AT1363" s="5" t="s">
        <v>1741</v>
      </c>
      <c r="AU1363" s="5" t="s">
        <v>1742</v>
      </c>
      <c r="AV1363" s="5" t="s">
        <v>1720</v>
      </c>
      <c r="AW1363" s="5" t="s">
        <v>2698</v>
      </c>
      <c r="AX1363" s="5" t="s">
        <v>2768</v>
      </c>
      <c r="AY1363" s="5">
        <v>49.8899</v>
      </c>
      <c r="AZ1363" s="5">
        <v>-115.6439</v>
      </c>
      <c r="BA1363" s="5">
        <v>952.0</v>
      </c>
    </row>
    <row r="1364" ht="14.25" customHeight="1">
      <c r="A1364" s="5" t="s">
        <v>422</v>
      </c>
      <c r="B1364" s="5">
        <v>12.0</v>
      </c>
      <c r="C1364" s="5" t="s">
        <v>1711</v>
      </c>
      <c r="D1364" s="80">
        <v>2410.0</v>
      </c>
      <c r="E1364" s="5">
        <v>13068.0</v>
      </c>
      <c r="G1364" s="5" t="s">
        <v>127</v>
      </c>
      <c r="H1364" s="5" t="s">
        <v>4825</v>
      </c>
      <c r="I1364" s="5" t="s">
        <v>49</v>
      </c>
      <c r="J1364" s="5" t="s">
        <v>1746</v>
      </c>
      <c r="K1364" s="5">
        <v>1.0</v>
      </c>
      <c r="L1364" s="5">
        <v>14992.0</v>
      </c>
      <c r="AK1364" s="9"/>
      <c r="AO1364" s="5" t="s">
        <v>4826</v>
      </c>
      <c r="AP1364" s="5">
        <v>2410.0</v>
      </c>
      <c r="AQ1364" s="5" t="s">
        <v>1716</v>
      </c>
      <c r="AR1364" s="5" t="s">
        <v>1717</v>
      </c>
      <c r="AS1364" s="5" t="s">
        <v>1740</v>
      </c>
      <c r="AT1364" s="5" t="s">
        <v>1741</v>
      </c>
      <c r="AU1364" s="5" t="s">
        <v>1742</v>
      </c>
      <c r="AV1364" s="5" t="s">
        <v>1720</v>
      </c>
      <c r="AW1364" s="5" t="s">
        <v>1705</v>
      </c>
      <c r="AX1364" s="5" t="s">
        <v>1883</v>
      </c>
      <c r="AY1364" s="5">
        <v>49.101</v>
      </c>
      <c r="AZ1364" s="5">
        <v>-120.759</v>
      </c>
      <c r="BA1364" s="5">
        <v>2022.0</v>
      </c>
    </row>
    <row r="1365" ht="14.25" customHeight="1">
      <c r="A1365" s="5" t="s">
        <v>422</v>
      </c>
      <c r="B1365" s="5">
        <v>12.0</v>
      </c>
      <c r="C1365" s="5" t="s">
        <v>1711</v>
      </c>
      <c r="D1365" s="5">
        <v>2430.0</v>
      </c>
      <c r="E1365" s="5">
        <v>13073.0</v>
      </c>
      <c r="G1365" s="5" t="s">
        <v>127</v>
      </c>
      <c r="H1365" s="5" t="s">
        <v>4827</v>
      </c>
      <c r="I1365" s="5" t="s">
        <v>49</v>
      </c>
      <c r="J1365" s="5" t="s">
        <v>1746</v>
      </c>
      <c r="K1365" s="5">
        <v>1.0</v>
      </c>
      <c r="L1365" s="5">
        <v>14995.0</v>
      </c>
      <c r="M1365" s="8"/>
      <c r="AK1365" s="9"/>
      <c r="AO1365" s="5" t="s">
        <v>4828</v>
      </c>
      <c r="AP1365" s="5">
        <v>2430.0</v>
      </c>
      <c r="AQ1365" s="5" t="s">
        <v>1716</v>
      </c>
      <c r="AR1365" s="5" t="s">
        <v>1717</v>
      </c>
      <c r="AS1365" s="5" t="s">
        <v>1740</v>
      </c>
      <c r="AT1365" s="5" t="s">
        <v>2442</v>
      </c>
      <c r="AU1365" s="5" t="s">
        <v>1742</v>
      </c>
      <c r="AV1365" s="5" t="s">
        <v>1720</v>
      </c>
      <c r="AW1365" s="5" t="s">
        <v>2003</v>
      </c>
      <c r="AX1365" s="5" t="s">
        <v>2024</v>
      </c>
      <c r="AY1365" s="5">
        <v>55.9055</v>
      </c>
      <c r="AZ1365" s="5">
        <v>-122.6992</v>
      </c>
      <c r="BA1365" s="5">
        <v>1100.0</v>
      </c>
    </row>
    <row r="1366" ht="14.25" customHeight="1">
      <c r="A1366" s="5" t="s">
        <v>1908</v>
      </c>
      <c r="B1366" s="5">
        <v>12.0</v>
      </c>
      <c r="C1366" s="5" t="s">
        <v>1711</v>
      </c>
      <c r="D1366" s="5">
        <v>2450.0</v>
      </c>
      <c r="E1366" s="5">
        <v>13077.0</v>
      </c>
      <c r="F1366" s="12" t="s">
        <v>4829</v>
      </c>
      <c r="G1366" s="10" t="s">
        <v>4830</v>
      </c>
      <c r="H1366" s="5" t="s">
        <v>4831</v>
      </c>
      <c r="I1366" s="5" t="s">
        <v>49</v>
      </c>
      <c r="J1366" s="5" t="s">
        <v>1746</v>
      </c>
      <c r="K1366" s="5">
        <v>1.0</v>
      </c>
      <c r="L1366" s="5">
        <v>14999.0</v>
      </c>
      <c r="M1366" s="8"/>
      <c r="AK1366" s="9"/>
      <c r="AO1366" s="5" t="s">
        <v>4832</v>
      </c>
      <c r="AP1366" s="5">
        <v>2450.0</v>
      </c>
      <c r="AQ1366" s="5" t="s">
        <v>1700</v>
      </c>
      <c r="AR1366" s="5" t="s">
        <v>1739</v>
      </c>
      <c r="AS1366" s="5" t="s">
        <v>1740</v>
      </c>
      <c r="AT1366" s="5" t="s">
        <v>1835</v>
      </c>
      <c r="AU1366" s="5" t="s">
        <v>1959</v>
      </c>
      <c r="AV1366" s="5" t="s">
        <v>1720</v>
      </c>
      <c r="AW1366" s="5" t="s">
        <v>2698</v>
      </c>
      <c r="AX1366" s="5" t="s">
        <v>2902</v>
      </c>
      <c r="AY1366" s="5">
        <v>49.4539</v>
      </c>
      <c r="AZ1366" s="5">
        <v>-115.9872</v>
      </c>
      <c r="BA1366" s="5">
        <v>1540.0</v>
      </c>
    </row>
    <row r="1367" ht="14.25" customHeight="1">
      <c r="A1367" s="5" t="s">
        <v>422</v>
      </c>
      <c r="B1367" s="5">
        <v>12.0</v>
      </c>
      <c r="C1367" s="5" t="s">
        <v>1711</v>
      </c>
      <c r="D1367" s="5">
        <v>2470.0</v>
      </c>
      <c r="E1367" s="5">
        <v>13074.0</v>
      </c>
      <c r="G1367" s="5" t="s">
        <v>127</v>
      </c>
      <c r="H1367" s="5" t="s">
        <v>4833</v>
      </c>
      <c r="I1367" s="5" t="s">
        <v>49</v>
      </c>
      <c r="J1367" s="5" t="s">
        <v>1746</v>
      </c>
      <c r="K1367" s="5">
        <v>1.0</v>
      </c>
      <c r="L1367" s="5">
        <v>14996.0</v>
      </c>
      <c r="M1367" s="8"/>
      <c r="AK1367" s="9"/>
      <c r="AO1367" s="5" t="s">
        <v>4834</v>
      </c>
      <c r="AP1367" s="5">
        <v>2470.0</v>
      </c>
      <c r="AQ1367" s="5" t="s">
        <v>1716</v>
      </c>
      <c r="AR1367" s="5" t="s">
        <v>1717</v>
      </c>
      <c r="AS1367" s="5" t="s">
        <v>1740</v>
      </c>
      <c r="AT1367" s="5" t="s">
        <v>1741</v>
      </c>
      <c r="AU1367" s="5" t="s">
        <v>1742</v>
      </c>
      <c r="AV1367" s="5" t="s">
        <v>1720</v>
      </c>
      <c r="AW1367" s="5" t="s">
        <v>2368</v>
      </c>
      <c r="AX1367" s="5" t="s">
        <v>2516</v>
      </c>
      <c r="AY1367" s="5">
        <v>49.1333</v>
      </c>
      <c r="AZ1367" s="5">
        <v>-120.05</v>
      </c>
      <c r="BA1367" s="5">
        <v>1380.0</v>
      </c>
    </row>
    <row r="1368" ht="14.25" customHeight="1">
      <c r="A1368" s="5" t="s">
        <v>422</v>
      </c>
      <c r="B1368" s="5">
        <v>12.0</v>
      </c>
      <c r="C1368" s="5" t="s">
        <v>1711</v>
      </c>
      <c r="D1368" s="5">
        <v>2490.0</v>
      </c>
      <c r="E1368" s="5">
        <v>13075.0</v>
      </c>
      <c r="G1368" s="5" t="s">
        <v>127</v>
      </c>
      <c r="H1368" s="5" t="s">
        <v>4835</v>
      </c>
      <c r="I1368" s="5" t="s">
        <v>49</v>
      </c>
      <c r="J1368" s="5" t="s">
        <v>1746</v>
      </c>
      <c r="K1368" s="5">
        <v>1.0</v>
      </c>
      <c r="L1368" s="5">
        <v>14997.0</v>
      </c>
      <c r="M1368" s="8"/>
      <c r="AK1368" s="9"/>
      <c r="AO1368" s="5" t="s">
        <v>4836</v>
      </c>
      <c r="AP1368" s="5">
        <v>2490.0</v>
      </c>
      <c r="AQ1368" s="5" t="s">
        <v>1716</v>
      </c>
      <c r="AR1368" s="5" t="s">
        <v>1717</v>
      </c>
      <c r="AS1368" s="5" t="s">
        <v>1740</v>
      </c>
      <c r="AT1368" s="5" t="s">
        <v>1741</v>
      </c>
      <c r="AU1368" s="5" t="s">
        <v>1742</v>
      </c>
      <c r="AV1368" s="5" t="s">
        <v>1720</v>
      </c>
      <c r="AW1368" s="5" t="s">
        <v>2698</v>
      </c>
      <c r="AX1368" s="5" t="s">
        <v>2902</v>
      </c>
      <c r="AY1368" s="5">
        <v>49.049</v>
      </c>
      <c r="AZ1368" s="5">
        <v>-115.046</v>
      </c>
      <c r="BA1368" s="5">
        <v>1121.0</v>
      </c>
    </row>
    <row r="1369" ht="14.25" customHeight="1">
      <c r="A1369" s="5" t="s">
        <v>1908</v>
      </c>
      <c r="B1369" s="5">
        <v>12.0</v>
      </c>
      <c r="C1369" s="5" t="s">
        <v>1711</v>
      </c>
      <c r="D1369" s="5">
        <v>2512.0</v>
      </c>
      <c r="E1369" s="5">
        <v>13078.0</v>
      </c>
      <c r="F1369" s="12" t="s">
        <v>4837</v>
      </c>
      <c r="G1369" s="10" t="s">
        <v>4838</v>
      </c>
      <c r="H1369" s="5" t="s">
        <v>4839</v>
      </c>
      <c r="I1369" s="5" t="s">
        <v>49</v>
      </c>
      <c r="J1369" s="5" t="s">
        <v>1746</v>
      </c>
      <c r="K1369" s="5">
        <v>1.0</v>
      </c>
      <c r="L1369" s="5">
        <v>15000.0</v>
      </c>
      <c r="M1369" s="8"/>
      <c r="AK1369" s="9"/>
      <c r="AO1369" s="5" t="s">
        <v>4840</v>
      </c>
      <c r="AP1369" s="5">
        <v>2512.0</v>
      </c>
      <c r="AQ1369" s="5" t="s">
        <v>1716</v>
      </c>
      <c r="AR1369" s="5" t="s">
        <v>1717</v>
      </c>
      <c r="AS1369" s="5" t="s">
        <v>1740</v>
      </c>
      <c r="AT1369" s="5" t="s">
        <v>1703</v>
      </c>
      <c r="AU1369" s="5" t="s">
        <v>1742</v>
      </c>
      <c r="AV1369" s="5" t="s">
        <v>1720</v>
      </c>
      <c r="AW1369" s="5" t="s">
        <v>2368</v>
      </c>
      <c r="AX1369" s="5" t="s">
        <v>2369</v>
      </c>
      <c r="AY1369" s="5">
        <v>51.765</v>
      </c>
      <c r="AZ1369" s="5">
        <v>-119.6751</v>
      </c>
      <c r="BA1369" s="5">
        <v>920.0</v>
      </c>
    </row>
    <row r="1370" ht="14.25" customHeight="1">
      <c r="A1370" s="5" t="s">
        <v>1908</v>
      </c>
      <c r="B1370" s="5">
        <v>12.0</v>
      </c>
      <c r="C1370" s="5" t="s">
        <v>1711</v>
      </c>
      <c r="D1370" s="5">
        <v>2513.0</v>
      </c>
      <c r="E1370" s="5">
        <v>13079.0</v>
      </c>
      <c r="F1370" s="12" t="s">
        <v>4841</v>
      </c>
      <c r="G1370" s="10" t="s">
        <v>4842</v>
      </c>
      <c r="H1370" s="5" t="s">
        <v>4843</v>
      </c>
      <c r="I1370" s="5" t="s">
        <v>49</v>
      </c>
      <c r="J1370" s="5" t="s">
        <v>1891</v>
      </c>
      <c r="K1370" s="5">
        <v>1.0</v>
      </c>
      <c r="L1370" s="5">
        <v>15001.0</v>
      </c>
      <c r="M1370" s="8"/>
      <c r="AK1370" s="9"/>
      <c r="AO1370" s="5" t="s">
        <v>4844</v>
      </c>
      <c r="AP1370" s="5">
        <v>2513.0</v>
      </c>
      <c r="AQ1370" s="5" t="s">
        <v>1716</v>
      </c>
      <c r="AR1370" s="5" t="s">
        <v>1701</v>
      </c>
      <c r="AS1370" s="5" t="s">
        <v>1740</v>
      </c>
      <c r="AT1370" s="5" t="s">
        <v>1703</v>
      </c>
      <c r="AU1370" s="5" t="s">
        <v>1704</v>
      </c>
      <c r="AV1370" s="5" t="s">
        <v>1720</v>
      </c>
      <c r="AW1370" s="5" t="s">
        <v>2368</v>
      </c>
      <c r="AX1370" s="5" t="s">
        <v>2369</v>
      </c>
      <c r="AY1370" s="5">
        <v>51.5561</v>
      </c>
      <c r="AZ1370" s="5">
        <v>-119.7382</v>
      </c>
      <c r="BA1370" s="5">
        <v>1069.0</v>
      </c>
    </row>
    <row r="1371" ht="14.25" customHeight="1">
      <c r="A1371" s="5" t="s">
        <v>422</v>
      </c>
      <c r="B1371" s="5">
        <v>12.0</v>
      </c>
      <c r="C1371" s="5" t="s">
        <v>1711</v>
      </c>
      <c r="D1371" s="5">
        <v>2550.0</v>
      </c>
      <c r="E1371" s="5">
        <v>13080.0</v>
      </c>
      <c r="G1371" s="5" t="s">
        <v>127</v>
      </c>
      <c r="H1371" s="5" t="s">
        <v>4845</v>
      </c>
      <c r="I1371" s="5" t="s">
        <v>49</v>
      </c>
      <c r="J1371" s="5" t="s">
        <v>1746</v>
      </c>
      <c r="K1371" s="5">
        <v>1.0</v>
      </c>
      <c r="L1371" s="5">
        <v>15002.0</v>
      </c>
      <c r="M1371" s="8"/>
      <c r="AK1371" s="9"/>
      <c r="AO1371" s="5" t="s">
        <v>4846</v>
      </c>
      <c r="AP1371" s="5">
        <v>2550.0</v>
      </c>
      <c r="AQ1371" s="5" t="s">
        <v>1716</v>
      </c>
      <c r="AR1371" s="5" t="s">
        <v>1717</v>
      </c>
      <c r="AS1371" s="5" t="s">
        <v>1740</v>
      </c>
      <c r="AT1371" s="5" t="s">
        <v>1741</v>
      </c>
      <c r="AU1371" s="5" t="s">
        <v>1742</v>
      </c>
      <c r="AV1371" s="5" t="s">
        <v>1720</v>
      </c>
      <c r="AW1371" s="5" t="s">
        <v>2698</v>
      </c>
      <c r="AX1371" s="5" t="s">
        <v>2801</v>
      </c>
      <c r="AY1371" s="5">
        <v>49.6328</v>
      </c>
      <c r="AZ1371" s="5">
        <v>-117.0925</v>
      </c>
      <c r="BA1371" s="5">
        <v>1090.0</v>
      </c>
    </row>
    <row r="1372" ht="14.25" customHeight="1">
      <c r="A1372" s="5" t="s">
        <v>422</v>
      </c>
      <c r="B1372" s="5">
        <v>12.0</v>
      </c>
      <c r="C1372" s="5" t="s">
        <v>1711</v>
      </c>
      <c r="D1372" s="5">
        <v>2570.0</v>
      </c>
      <c r="E1372" s="5">
        <v>13132.0</v>
      </c>
      <c r="G1372" s="5" t="s">
        <v>127</v>
      </c>
      <c r="H1372" s="5" t="s">
        <v>4847</v>
      </c>
      <c r="I1372" s="5" t="s">
        <v>49</v>
      </c>
      <c r="J1372" s="5" t="s">
        <v>1746</v>
      </c>
      <c r="K1372" s="5">
        <v>1.0</v>
      </c>
      <c r="L1372" s="5">
        <v>15054.0</v>
      </c>
      <c r="M1372" s="8"/>
      <c r="AK1372" s="9"/>
      <c r="AO1372" s="5" t="s">
        <v>4848</v>
      </c>
      <c r="AP1372" s="5">
        <v>2570.0</v>
      </c>
      <c r="AQ1372" s="5" t="s">
        <v>1716</v>
      </c>
      <c r="AR1372" s="5" t="s">
        <v>1717</v>
      </c>
      <c r="AS1372" s="5" t="s">
        <v>1740</v>
      </c>
      <c r="AT1372" s="5" t="s">
        <v>1741</v>
      </c>
      <c r="AU1372" s="5" t="s">
        <v>1742</v>
      </c>
      <c r="AV1372" s="5" t="s">
        <v>1720</v>
      </c>
      <c r="AW1372" s="5" t="s">
        <v>2698</v>
      </c>
      <c r="AX1372" s="5" t="s">
        <v>2797</v>
      </c>
      <c r="AY1372" s="5">
        <v>49.4189</v>
      </c>
      <c r="AZ1372" s="5">
        <v>-118.0517</v>
      </c>
      <c r="BA1372" s="5">
        <v>655.0</v>
      </c>
    </row>
    <row r="1373" ht="14.25" customHeight="1">
      <c r="A1373" s="5" t="s">
        <v>422</v>
      </c>
      <c r="B1373" s="5">
        <v>12.0</v>
      </c>
      <c r="C1373" s="5" t="s">
        <v>1711</v>
      </c>
      <c r="D1373" s="5">
        <v>2591.0</v>
      </c>
      <c r="E1373" s="5">
        <v>13133.0</v>
      </c>
      <c r="G1373" s="5" t="s">
        <v>127</v>
      </c>
      <c r="H1373" s="5" t="s">
        <v>4849</v>
      </c>
      <c r="I1373" s="5" t="s">
        <v>49</v>
      </c>
      <c r="J1373" s="5" t="s">
        <v>1746</v>
      </c>
      <c r="K1373" s="5">
        <v>1.0</v>
      </c>
      <c r="L1373" s="5">
        <v>15055.0</v>
      </c>
      <c r="M1373" s="8"/>
      <c r="AK1373" s="9"/>
      <c r="AO1373" s="5" t="s">
        <v>4850</v>
      </c>
      <c r="AP1373" s="5">
        <v>2591.0</v>
      </c>
      <c r="AQ1373" s="5" t="s">
        <v>1716</v>
      </c>
      <c r="AR1373" s="5" t="s">
        <v>1717</v>
      </c>
      <c r="AS1373" s="5" t="s">
        <v>1740</v>
      </c>
      <c r="AT1373" s="5" t="s">
        <v>1741</v>
      </c>
      <c r="AU1373" s="5" t="s">
        <v>1742</v>
      </c>
      <c r="AV1373" s="5" t="s">
        <v>1720</v>
      </c>
      <c r="AW1373" s="5" t="s">
        <v>2698</v>
      </c>
      <c r="AX1373" s="5" t="s">
        <v>2902</v>
      </c>
      <c r="AY1373" s="5">
        <v>49.1167</v>
      </c>
      <c r="AZ1373" s="5">
        <v>-118.0667</v>
      </c>
      <c r="BA1373" s="5">
        <v>1093.0</v>
      </c>
    </row>
    <row r="1374" ht="14.25" customHeight="1">
      <c r="A1374" s="5" t="s">
        <v>422</v>
      </c>
      <c r="B1374" s="5">
        <v>12.0</v>
      </c>
      <c r="C1374" s="5" t="s">
        <v>1711</v>
      </c>
      <c r="D1374" s="5">
        <v>2593.0</v>
      </c>
      <c r="E1374" s="5">
        <v>13134.0</v>
      </c>
      <c r="G1374" s="5" t="s">
        <v>127</v>
      </c>
      <c r="H1374" s="5" t="s">
        <v>4851</v>
      </c>
      <c r="I1374" s="5" t="s">
        <v>49</v>
      </c>
      <c r="J1374" s="5" t="s">
        <v>1746</v>
      </c>
      <c r="K1374" s="5">
        <v>1.0</v>
      </c>
      <c r="L1374" s="5">
        <v>15056.0</v>
      </c>
      <c r="M1374" s="8"/>
      <c r="AK1374" s="9"/>
      <c r="AO1374" s="5" t="s">
        <v>4852</v>
      </c>
      <c r="AP1374" s="5">
        <v>2593.0</v>
      </c>
      <c r="AQ1374" s="5" t="s">
        <v>1716</v>
      </c>
      <c r="AR1374" s="5" t="s">
        <v>1717</v>
      </c>
      <c r="AS1374" s="5" t="s">
        <v>1740</v>
      </c>
      <c r="AT1374" s="5" t="s">
        <v>1741</v>
      </c>
      <c r="AU1374" s="5" t="s">
        <v>1742</v>
      </c>
      <c r="AV1374" s="5" t="s">
        <v>1720</v>
      </c>
      <c r="AW1374" s="5" t="s">
        <v>2698</v>
      </c>
      <c r="AY1374" s="5">
        <v>50.1189</v>
      </c>
      <c r="AZ1374" s="5">
        <v>-116.8984</v>
      </c>
      <c r="BA1374" s="5">
        <v>885.0</v>
      </c>
    </row>
    <row r="1375" ht="14.25" customHeight="1">
      <c r="A1375" s="5" t="s">
        <v>422</v>
      </c>
      <c r="B1375" s="5">
        <v>12.0</v>
      </c>
      <c r="C1375" s="5" t="s">
        <v>1711</v>
      </c>
      <c r="D1375" s="5">
        <v>2630.0</v>
      </c>
      <c r="E1375" s="5">
        <v>13144.0</v>
      </c>
      <c r="G1375" s="5" t="s">
        <v>127</v>
      </c>
      <c r="H1375" s="5" t="s">
        <v>4853</v>
      </c>
      <c r="I1375" s="5" t="s">
        <v>49</v>
      </c>
      <c r="J1375" s="5" t="s">
        <v>1746</v>
      </c>
      <c r="K1375" s="5">
        <v>1.0</v>
      </c>
      <c r="L1375" s="5">
        <v>15066.0</v>
      </c>
      <c r="M1375" s="8"/>
      <c r="AK1375" s="9"/>
      <c r="AO1375" s="5" t="s">
        <v>4854</v>
      </c>
      <c r="AP1375" s="5">
        <v>2630.0</v>
      </c>
      <c r="AQ1375" s="5" t="s">
        <v>1716</v>
      </c>
      <c r="AR1375" s="5" t="s">
        <v>1717</v>
      </c>
      <c r="AS1375" s="5" t="s">
        <v>1740</v>
      </c>
      <c r="AT1375" s="5" t="s">
        <v>1741</v>
      </c>
      <c r="AU1375" s="5" t="s">
        <v>1742</v>
      </c>
      <c r="AV1375" s="5" t="s">
        <v>1720</v>
      </c>
      <c r="AW1375" s="5" t="s">
        <v>2698</v>
      </c>
      <c r="AX1375" s="5" t="s">
        <v>2797</v>
      </c>
      <c r="AY1375" s="5">
        <v>49.6368</v>
      </c>
      <c r="AZ1375" s="5">
        <v>-117.5189</v>
      </c>
      <c r="BA1375" s="5">
        <v>820.0</v>
      </c>
    </row>
    <row r="1376" ht="14.25" customHeight="1">
      <c r="A1376" s="5" t="s">
        <v>422</v>
      </c>
      <c r="B1376" s="5">
        <v>12.0</v>
      </c>
      <c r="C1376" s="5" t="s">
        <v>1711</v>
      </c>
      <c r="D1376" s="5">
        <v>2710.0</v>
      </c>
      <c r="E1376" s="5">
        <v>13178.0</v>
      </c>
      <c r="G1376" s="5" t="s">
        <v>127</v>
      </c>
      <c r="H1376" s="5" t="s">
        <v>4855</v>
      </c>
      <c r="I1376" s="5" t="s">
        <v>49</v>
      </c>
      <c r="J1376" s="5" t="s">
        <v>1746</v>
      </c>
      <c r="K1376" s="5">
        <v>1.0</v>
      </c>
      <c r="L1376" s="5">
        <v>15100.0</v>
      </c>
      <c r="M1376" s="8"/>
      <c r="AK1376" s="9"/>
      <c r="AO1376" s="5" t="s">
        <v>4856</v>
      </c>
      <c r="AP1376" s="5">
        <v>2710.0</v>
      </c>
      <c r="AQ1376" s="5" t="s">
        <v>1716</v>
      </c>
      <c r="AR1376" s="5" t="s">
        <v>1717</v>
      </c>
      <c r="AS1376" s="5" t="s">
        <v>1740</v>
      </c>
      <c r="AT1376" s="5" t="s">
        <v>1741</v>
      </c>
      <c r="AU1376" s="5" t="s">
        <v>1742</v>
      </c>
      <c r="AV1376" s="5" t="s">
        <v>1720</v>
      </c>
      <c r="AW1376" s="5" t="s">
        <v>2698</v>
      </c>
      <c r="AX1376" s="5" t="s">
        <v>2827</v>
      </c>
      <c r="AY1376" s="5">
        <v>49.1157</v>
      </c>
      <c r="AZ1376" s="5">
        <v>-118.0775</v>
      </c>
      <c r="BA1376" s="5">
        <v>1500.0</v>
      </c>
    </row>
    <row r="1377" ht="14.25" customHeight="1">
      <c r="A1377" s="5" t="s">
        <v>422</v>
      </c>
      <c r="B1377" s="5">
        <v>12.0</v>
      </c>
      <c r="C1377" s="5" t="s">
        <v>1711</v>
      </c>
      <c r="D1377" s="5">
        <v>2750.0</v>
      </c>
      <c r="E1377" s="5">
        <v>13179.0</v>
      </c>
      <c r="G1377" s="5" t="s">
        <v>127</v>
      </c>
      <c r="H1377" s="5" t="s">
        <v>4857</v>
      </c>
      <c r="I1377" s="5" t="s">
        <v>49</v>
      </c>
      <c r="J1377" s="5" t="s">
        <v>1746</v>
      </c>
      <c r="K1377" s="5">
        <v>1.0</v>
      </c>
      <c r="L1377" s="5">
        <v>15101.0</v>
      </c>
      <c r="M1377" s="8"/>
      <c r="AK1377" s="9"/>
      <c r="AO1377" s="5" t="s">
        <v>4858</v>
      </c>
      <c r="AP1377" s="5">
        <v>2750.0</v>
      </c>
      <c r="AQ1377" s="5" t="s">
        <v>1716</v>
      </c>
      <c r="AR1377" s="5" t="s">
        <v>1717</v>
      </c>
      <c r="AS1377" s="5" t="s">
        <v>1740</v>
      </c>
      <c r="AT1377" s="5" t="s">
        <v>1741</v>
      </c>
      <c r="AU1377" s="5" t="s">
        <v>1742</v>
      </c>
      <c r="AV1377" s="5" t="s">
        <v>1720</v>
      </c>
      <c r="AW1377" s="5" t="s">
        <v>2698</v>
      </c>
      <c r="AX1377" s="5" t="s">
        <v>2797</v>
      </c>
      <c r="AY1377" s="5">
        <v>50.0527</v>
      </c>
      <c r="AZ1377" s="5">
        <v>-117.805</v>
      </c>
      <c r="BA1377" s="5">
        <v>1320.0</v>
      </c>
    </row>
    <row r="1378" ht="14.25" customHeight="1">
      <c r="A1378" s="5" t="s">
        <v>422</v>
      </c>
      <c r="B1378" s="5">
        <v>12.0</v>
      </c>
      <c r="C1378" s="5" t="s">
        <v>1711</v>
      </c>
      <c r="D1378" s="5">
        <v>2770.0</v>
      </c>
      <c r="E1378" s="5">
        <v>13180.0</v>
      </c>
      <c r="G1378" s="5" t="s">
        <v>127</v>
      </c>
      <c r="H1378" s="5" t="s">
        <v>4859</v>
      </c>
      <c r="I1378" s="5" t="s">
        <v>49</v>
      </c>
      <c r="J1378" s="5" t="s">
        <v>1746</v>
      </c>
      <c r="K1378" s="5">
        <v>1.0</v>
      </c>
      <c r="L1378" s="5">
        <v>15102.0</v>
      </c>
      <c r="M1378" s="8"/>
      <c r="AK1378" s="9"/>
      <c r="AO1378" s="5" t="s">
        <v>4860</v>
      </c>
      <c r="AP1378" s="5">
        <v>2770.0</v>
      </c>
      <c r="AQ1378" s="5" t="s">
        <v>1716</v>
      </c>
      <c r="AR1378" s="5" t="s">
        <v>1717</v>
      </c>
      <c r="AS1378" s="5" t="s">
        <v>1740</v>
      </c>
      <c r="AT1378" s="5" t="s">
        <v>1741</v>
      </c>
      <c r="AU1378" s="5" t="s">
        <v>1742</v>
      </c>
      <c r="AV1378" s="5" t="s">
        <v>1720</v>
      </c>
      <c r="AW1378" s="5" t="s">
        <v>2003</v>
      </c>
      <c r="AX1378" s="5" t="s">
        <v>2004</v>
      </c>
      <c r="AY1378" s="5">
        <v>57.3333</v>
      </c>
      <c r="AZ1378" s="5">
        <v>-122.0167</v>
      </c>
      <c r="BA1378" s="5">
        <v>1000.0</v>
      </c>
    </row>
    <row r="1379" ht="14.25" customHeight="1">
      <c r="A1379" s="5" t="s">
        <v>422</v>
      </c>
      <c r="B1379" s="5">
        <v>12.0</v>
      </c>
      <c r="C1379" s="5" t="s">
        <v>1711</v>
      </c>
      <c r="D1379" s="5">
        <v>2810.0</v>
      </c>
      <c r="E1379" s="5">
        <v>13181.0</v>
      </c>
      <c r="G1379" s="5" t="s">
        <v>127</v>
      </c>
      <c r="H1379" s="5" t="s">
        <v>4861</v>
      </c>
      <c r="I1379" s="5" t="s">
        <v>49</v>
      </c>
      <c r="J1379" s="5" t="s">
        <v>1746</v>
      </c>
      <c r="K1379" s="5">
        <v>1.0</v>
      </c>
      <c r="L1379" s="5">
        <v>15103.0</v>
      </c>
      <c r="M1379" s="8"/>
      <c r="AK1379" s="9"/>
      <c r="AO1379" s="5" t="s">
        <v>4862</v>
      </c>
      <c r="AP1379" s="5">
        <v>2810.0</v>
      </c>
      <c r="AQ1379" s="5" t="s">
        <v>1716</v>
      </c>
      <c r="AR1379" s="5" t="s">
        <v>1717</v>
      </c>
      <c r="AS1379" s="5" t="s">
        <v>1740</v>
      </c>
      <c r="AT1379" s="5" t="s">
        <v>1741</v>
      </c>
      <c r="AU1379" s="5" t="s">
        <v>1742</v>
      </c>
      <c r="AV1379" s="5" t="s">
        <v>1720</v>
      </c>
      <c r="AW1379" s="5" t="s">
        <v>2003</v>
      </c>
      <c r="AX1379" s="5" t="s">
        <v>2087</v>
      </c>
      <c r="AY1379" s="5">
        <v>56.1063</v>
      </c>
      <c r="AZ1379" s="5">
        <v>-124.4888</v>
      </c>
      <c r="BA1379" s="5">
        <v>750.0</v>
      </c>
    </row>
    <row r="1380" ht="14.25" customHeight="1">
      <c r="A1380" s="5" t="s">
        <v>422</v>
      </c>
      <c r="B1380" s="5">
        <v>12.0</v>
      </c>
      <c r="C1380" s="5" t="s">
        <v>1711</v>
      </c>
      <c r="D1380" s="5">
        <v>2850.0</v>
      </c>
      <c r="E1380" s="5">
        <v>13194.0</v>
      </c>
      <c r="G1380" s="5" t="s">
        <v>127</v>
      </c>
      <c r="H1380" s="5" t="s">
        <v>4863</v>
      </c>
      <c r="I1380" s="5" t="s">
        <v>49</v>
      </c>
      <c r="J1380" s="5" t="s">
        <v>1746</v>
      </c>
      <c r="K1380" s="5">
        <v>1.0</v>
      </c>
      <c r="L1380" s="5">
        <v>15110.0</v>
      </c>
      <c r="M1380" s="8"/>
      <c r="AK1380" s="9"/>
      <c r="AO1380" s="5" t="s">
        <v>4864</v>
      </c>
      <c r="AP1380" s="5">
        <v>2850.0</v>
      </c>
      <c r="AQ1380" s="5" t="s">
        <v>1716</v>
      </c>
      <c r="AR1380" s="5" t="s">
        <v>1717</v>
      </c>
      <c r="AS1380" s="5" t="s">
        <v>1740</v>
      </c>
      <c r="AT1380" s="5" t="s">
        <v>1741</v>
      </c>
      <c r="AU1380" s="5" t="s">
        <v>1742</v>
      </c>
      <c r="AV1380" s="5" t="s">
        <v>1720</v>
      </c>
      <c r="AW1380" s="5" t="s">
        <v>2003</v>
      </c>
      <c r="AX1380" s="5" t="s">
        <v>2099</v>
      </c>
      <c r="AY1380" s="5">
        <v>55.7472</v>
      </c>
      <c r="AZ1380" s="5">
        <v>-125.5661</v>
      </c>
      <c r="BA1380" s="5">
        <v>963.0</v>
      </c>
    </row>
    <row r="1381" ht="14.25" customHeight="1">
      <c r="A1381" s="5" t="s">
        <v>422</v>
      </c>
      <c r="B1381" s="5">
        <v>12.0</v>
      </c>
      <c r="C1381" s="5" t="s">
        <v>1711</v>
      </c>
      <c r="D1381" s="5">
        <v>2871.0</v>
      </c>
      <c r="E1381" s="5">
        <v>13195.0</v>
      </c>
      <c r="G1381" s="5" t="s">
        <v>127</v>
      </c>
      <c r="H1381" s="5" t="s">
        <v>4865</v>
      </c>
      <c r="I1381" s="5" t="s">
        <v>49</v>
      </c>
      <c r="J1381" s="5" t="s">
        <v>1746</v>
      </c>
      <c r="K1381" s="5">
        <v>1.0</v>
      </c>
      <c r="L1381" s="5">
        <v>15111.0</v>
      </c>
      <c r="M1381" s="8"/>
      <c r="AK1381" s="9"/>
      <c r="AO1381" s="5" t="s">
        <v>4866</v>
      </c>
      <c r="AP1381" s="5">
        <v>2871.0</v>
      </c>
      <c r="AQ1381" s="5" t="s">
        <v>1716</v>
      </c>
      <c r="AR1381" s="5" t="s">
        <v>1717</v>
      </c>
      <c r="AS1381" s="5" t="s">
        <v>1740</v>
      </c>
      <c r="AT1381" s="5" t="s">
        <v>1741</v>
      </c>
      <c r="AU1381" s="5" t="s">
        <v>1742</v>
      </c>
      <c r="AV1381" s="5" t="s">
        <v>1720</v>
      </c>
      <c r="AW1381" s="5" t="s">
        <v>2193</v>
      </c>
      <c r="AY1381" s="5">
        <v>53.2381</v>
      </c>
      <c r="AZ1381" s="5">
        <v>-123.535</v>
      </c>
      <c r="BA1381" s="5">
        <v>840.0</v>
      </c>
    </row>
    <row r="1382" ht="14.25" customHeight="1">
      <c r="A1382" s="5" t="s">
        <v>422</v>
      </c>
      <c r="B1382" s="5">
        <v>12.0</v>
      </c>
      <c r="C1382" s="5" t="s">
        <v>1711</v>
      </c>
      <c r="D1382" s="5">
        <v>2890.0</v>
      </c>
      <c r="E1382" s="5">
        <v>13196.0</v>
      </c>
      <c r="G1382" s="5" t="s">
        <v>127</v>
      </c>
      <c r="H1382" s="5" t="s">
        <v>4867</v>
      </c>
      <c r="I1382" s="5" t="s">
        <v>49</v>
      </c>
      <c r="J1382" s="5" t="s">
        <v>1746</v>
      </c>
      <c r="K1382" s="5">
        <v>1.0</v>
      </c>
      <c r="L1382" s="5">
        <v>15112.0</v>
      </c>
      <c r="M1382" s="8"/>
      <c r="AK1382" s="9"/>
      <c r="AO1382" s="5" t="s">
        <v>4868</v>
      </c>
      <c r="AP1382" s="5">
        <v>2890.0</v>
      </c>
      <c r="AQ1382" s="5" t="s">
        <v>1716</v>
      </c>
      <c r="AR1382" s="5" t="s">
        <v>1717</v>
      </c>
      <c r="AS1382" s="5" t="s">
        <v>1740</v>
      </c>
      <c r="AT1382" s="5" t="s">
        <v>1741</v>
      </c>
      <c r="AU1382" s="5" t="s">
        <v>1742</v>
      </c>
      <c r="AV1382" s="5" t="s">
        <v>1720</v>
      </c>
      <c r="AW1382" s="5" t="s">
        <v>2368</v>
      </c>
      <c r="AX1382" s="5" t="s">
        <v>2505</v>
      </c>
      <c r="AY1382" s="5">
        <v>50.6495</v>
      </c>
      <c r="AZ1382" s="5">
        <v>-122.4195</v>
      </c>
      <c r="BA1382" s="5">
        <v>532.0</v>
      </c>
    </row>
    <row r="1383" ht="14.25" customHeight="1">
      <c r="A1383" s="5" t="s">
        <v>422</v>
      </c>
      <c r="B1383" s="5">
        <v>12.0</v>
      </c>
      <c r="C1383" s="5" t="s">
        <v>1711</v>
      </c>
      <c r="D1383" s="5">
        <v>2910.0</v>
      </c>
      <c r="E1383" s="5">
        <v>13197.0</v>
      </c>
      <c r="G1383" s="5" t="s">
        <v>127</v>
      </c>
      <c r="H1383" s="5" t="s">
        <v>4869</v>
      </c>
      <c r="I1383" s="5" t="s">
        <v>49</v>
      </c>
      <c r="J1383" s="5" t="s">
        <v>1746</v>
      </c>
      <c r="K1383" s="5">
        <v>1.0</v>
      </c>
      <c r="L1383" s="5">
        <v>15113.0</v>
      </c>
      <c r="M1383" s="8"/>
      <c r="AK1383" s="9"/>
      <c r="AO1383" s="5" t="s">
        <v>4870</v>
      </c>
      <c r="AP1383" s="5">
        <v>2910.0</v>
      </c>
      <c r="AQ1383" s="5" t="s">
        <v>1716</v>
      </c>
      <c r="AR1383" s="5" t="s">
        <v>1717</v>
      </c>
      <c r="AS1383" s="5" t="s">
        <v>1740</v>
      </c>
      <c r="AT1383" s="5" t="s">
        <v>1741</v>
      </c>
      <c r="AU1383" s="5" t="s">
        <v>1742</v>
      </c>
      <c r="AV1383" s="5" t="s">
        <v>1720</v>
      </c>
      <c r="AW1383" s="5" t="s">
        <v>2368</v>
      </c>
      <c r="AX1383" s="5" t="s">
        <v>2369</v>
      </c>
      <c r="AY1383" s="5">
        <v>51.0</v>
      </c>
      <c r="AZ1383" s="5">
        <v>-119.8167</v>
      </c>
      <c r="BA1383" s="5">
        <v>1541.0</v>
      </c>
    </row>
    <row r="1384" ht="14.25" customHeight="1">
      <c r="A1384" s="5" t="s">
        <v>422</v>
      </c>
      <c r="B1384" s="5">
        <v>12.0</v>
      </c>
      <c r="C1384" s="5" t="s">
        <v>1711</v>
      </c>
      <c r="D1384" s="5">
        <v>2930.0</v>
      </c>
      <c r="E1384" s="5">
        <v>13199.0</v>
      </c>
      <c r="G1384" s="5" t="s">
        <v>127</v>
      </c>
      <c r="H1384" s="5" t="s">
        <v>4871</v>
      </c>
      <c r="I1384" s="5" t="s">
        <v>49</v>
      </c>
      <c r="J1384" s="5" t="s">
        <v>1746</v>
      </c>
      <c r="K1384" s="5">
        <v>1.0</v>
      </c>
      <c r="L1384" s="5">
        <v>15115.0</v>
      </c>
      <c r="M1384" s="8"/>
      <c r="AK1384" s="9"/>
      <c r="AO1384" s="5" t="s">
        <v>4872</v>
      </c>
      <c r="AP1384" s="5">
        <v>2930.0</v>
      </c>
      <c r="AQ1384" s="5" t="s">
        <v>1716</v>
      </c>
      <c r="AR1384" s="5" t="s">
        <v>1717</v>
      </c>
      <c r="AS1384" s="5" t="s">
        <v>1740</v>
      </c>
      <c r="AT1384" s="5" t="s">
        <v>1741</v>
      </c>
      <c r="AU1384" s="5" t="s">
        <v>1742</v>
      </c>
      <c r="AV1384" s="5" t="s">
        <v>1720</v>
      </c>
      <c r="AW1384" s="5" t="s">
        <v>2368</v>
      </c>
      <c r="AX1384" s="5" t="s">
        <v>2522</v>
      </c>
      <c r="AY1384" s="5">
        <v>50.1667</v>
      </c>
      <c r="AZ1384" s="5">
        <v>-118.4167</v>
      </c>
      <c r="BA1384" s="5">
        <v>971.0</v>
      </c>
    </row>
    <row r="1385" ht="14.25" customHeight="1">
      <c r="A1385" s="5" t="s">
        <v>422</v>
      </c>
      <c r="B1385" s="5">
        <v>12.0</v>
      </c>
      <c r="C1385" s="5" t="s">
        <v>1711</v>
      </c>
      <c r="D1385" s="5">
        <v>2950.0</v>
      </c>
      <c r="E1385" s="5">
        <v>13198.0</v>
      </c>
      <c r="G1385" s="5" t="s">
        <v>127</v>
      </c>
      <c r="H1385" s="5" t="s">
        <v>4873</v>
      </c>
      <c r="I1385" s="5" t="s">
        <v>49</v>
      </c>
      <c r="J1385" s="5" t="s">
        <v>1746</v>
      </c>
      <c r="K1385" s="5">
        <v>1.0</v>
      </c>
      <c r="L1385" s="5">
        <v>15114.0</v>
      </c>
      <c r="M1385" s="8"/>
      <c r="AK1385" s="9"/>
      <c r="AO1385" s="5" t="s">
        <v>4874</v>
      </c>
      <c r="AP1385" s="5">
        <v>2950.0</v>
      </c>
      <c r="AQ1385" s="5" t="s">
        <v>1716</v>
      </c>
      <c r="AR1385" s="5" t="s">
        <v>1717</v>
      </c>
      <c r="AS1385" s="5" t="s">
        <v>1740</v>
      </c>
      <c r="AT1385" s="5" t="s">
        <v>1835</v>
      </c>
      <c r="AU1385" s="5" t="s">
        <v>1742</v>
      </c>
      <c r="AV1385" s="5" t="s">
        <v>1720</v>
      </c>
      <c r="AW1385" s="5" t="s">
        <v>2368</v>
      </c>
      <c r="AX1385" s="5" t="s">
        <v>2369</v>
      </c>
      <c r="AY1385" s="5">
        <v>50.4386</v>
      </c>
      <c r="AZ1385" s="5">
        <v>-120.3661</v>
      </c>
      <c r="BA1385" s="5">
        <v>1170.0</v>
      </c>
    </row>
    <row r="1386" ht="14.25" customHeight="1">
      <c r="A1386" s="5" t="s">
        <v>422</v>
      </c>
      <c r="B1386" s="5">
        <v>12.0</v>
      </c>
      <c r="C1386" s="5" t="s">
        <v>1711</v>
      </c>
      <c r="D1386" s="5">
        <v>2970.0</v>
      </c>
      <c r="E1386" s="5">
        <v>13201.0</v>
      </c>
      <c r="G1386" s="5" t="s">
        <v>127</v>
      </c>
      <c r="H1386" s="5" t="s">
        <v>4875</v>
      </c>
      <c r="I1386" s="5" t="s">
        <v>49</v>
      </c>
      <c r="J1386" s="5" t="s">
        <v>1746</v>
      </c>
      <c r="K1386" s="5">
        <v>1.0</v>
      </c>
      <c r="L1386" s="5">
        <v>15117.0</v>
      </c>
      <c r="M1386" s="8"/>
      <c r="AK1386" s="9"/>
      <c r="AO1386" s="5" t="s">
        <v>4876</v>
      </c>
      <c r="AP1386" s="5">
        <v>2970.0</v>
      </c>
      <c r="AQ1386" s="5" t="s">
        <v>1716</v>
      </c>
      <c r="AR1386" s="5" t="s">
        <v>1717</v>
      </c>
      <c r="AS1386" s="5" t="s">
        <v>1740</v>
      </c>
      <c r="AT1386" s="5" t="s">
        <v>1741</v>
      </c>
      <c r="AU1386" s="5" t="s">
        <v>1742</v>
      </c>
      <c r="AV1386" s="5" t="s">
        <v>1720</v>
      </c>
      <c r="AW1386" s="5" t="s">
        <v>2368</v>
      </c>
      <c r="AX1386" s="5" t="s">
        <v>2516</v>
      </c>
      <c r="AY1386" s="5">
        <v>49.95</v>
      </c>
      <c r="AZ1386" s="5">
        <v>-119.55</v>
      </c>
      <c r="BA1386" s="5">
        <v>738.0</v>
      </c>
    </row>
    <row r="1387" ht="14.25" customHeight="1">
      <c r="A1387" s="5" t="s">
        <v>422</v>
      </c>
      <c r="B1387" s="5">
        <v>12.0</v>
      </c>
      <c r="C1387" s="5" t="s">
        <v>1711</v>
      </c>
      <c r="D1387" s="5">
        <v>2990.0</v>
      </c>
      <c r="E1387" s="5">
        <v>13200.0</v>
      </c>
      <c r="G1387" s="5" t="s">
        <v>127</v>
      </c>
      <c r="H1387" s="5" t="s">
        <v>4877</v>
      </c>
      <c r="I1387" s="5" t="s">
        <v>49</v>
      </c>
      <c r="J1387" s="5" t="s">
        <v>1746</v>
      </c>
      <c r="K1387" s="5">
        <v>1.0</v>
      </c>
      <c r="L1387" s="5">
        <v>15116.0</v>
      </c>
      <c r="M1387" s="8"/>
      <c r="AK1387" s="9"/>
      <c r="AO1387" s="27" t="s">
        <v>4878</v>
      </c>
      <c r="AP1387" s="5">
        <v>2990.0</v>
      </c>
      <c r="AQ1387" s="5" t="s">
        <v>1716</v>
      </c>
      <c r="AR1387" s="5" t="s">
        <v>1717</v>
      </c>
      <c r="AS1387" s="5" t="s">
        <v>1740</v>
      </c>
      <c r="AT1387" s="5" t="s">
        <v>1835</v>
      </c>
      <c r="AU1387" s="5" t="s">
        <v>1742</v>
      </c>
      <c r="AV1387" s="5" t="s">
        <v>1720</v>
      </c>
      <c r="AW1387" s="5" t="s">
        <v>2368</v>
      </c>
      <c r="AX1387" s="5" t="s">
        <v>2505</v>
      </c>
      <c r="AY1387" s="5">
        <v>50.8798</v>
      </c>
      <c r="AZ1387" s="5">
        <v>-122.2195</v>
      </c>
      <c r="BA1387" s="5">
        <v>860.0</v>
      </c>
    </row>
    <row r="1388" ht="14.25" customHeight="1">
      <c r="A1388" s="5" t="s">
        <v>422</v>
      </c>
      <c r="B1388" s="5">
        <v>12.0</v>
      </c>
      <c r="C1388" s="5" t="s">
        <v>1711</v>
      </c>
      <c r="D1388" s="5">
        <v>3010.0</v>
      </c>
      <c r="E1388" s="5">
        <v>13202.0</v>
      </c>
      <c r="G1388" s="5" t="s">
        <v>127</v>
      </c>
      <c r="H1388" s="5" t="s">
        <v>4879</v>
      </c>
      <c r="I1388" s="5" t="s">
        <v>49</v>
      </c>
      <c r="J1388" s="5" t="s">
        <v>1746</v>
      </c>
      <c r="K1388" s="5">
        <v>1.0</v>
      </c>
      <c r="L1388" s="5">
        <v>15118.0</v>
      </c>
      <c r="M1388" s="8"/>
      <c r="AK1388" s="9"/>
      <c r="AO1388" s="5" t="s">
        <v>4880</v>
      </c>
      <c r="AP1388" s="5">
        <v>3010.0</v>
      </c>
      <c r="AQ1388" s="5" t="s">
        <v>1716</v>
      </c>
      <c r="AR1388" s="5" t="s">
        <v>1717</v>
      </c>
      <c r="AS1388" s="5" t="s">
        <v>1740</v>
      </c>
      <c r="AT1388" s="5" t="s">
        <v>1741</v>
      </c>
      <c r="AU1388" s="5" t="s">
        <v>1742</v>
      </c>
      <c r="AV1388" s="5" t="s">
        <v>1720</v>
      </c>
      <c r="AW1388" s="5" t="s">
        <v>2368</v>
      </c>
      <c r="AX1388" s="5" t="s">
        <v>2522</v>
      </c>
      <c r="AY1388" s="5">
        <v>49.8686</v>
      </c>
      <c r="AZ1388" s="5">
        <v>-119.6738</v>
      </c>
      <c r="BA1388" s="5">
        <v>750.0</v>
      </c>
    </row>
    <row r="1389" ht="14.25" customHeight="1">
      <c r="A1389" s="5" t="s">
        <v>422</v>
      </c>
      <c r="B1389" s="5">
        <v>12.0</v>
      </c>
      <c r="C1389" s="5" t="s">
        <v>1711</v>
      </c>
      <c r="D1389" s="5">
        <v>3030.0</v>
      </c>
      <c r="E1389" s="5">
        <v>13203.0</v>
      </c>
      <c r="G1389" s="5" t="s">
        <v>127</v>
      </c>
      <c r="H1389" s="5" t="s">
        <v>4881</v>
      </c>
      <c r="I1389" s="5" t="s">
        <v>49</v>
      </c>
      <c r="J1389" s="5" t="s">
        <v>1746</v>
      </c>
      <c r="K1389" s="5">
        <v>1.0</v>
      </c>
      <c r="L1389" s="5">
        <v>15119.0</v>
      </c>
      <c r="M1389" s="8"/>
      <c r="AK1389" s="9"/>
      <c r="AO1389" s="5" t="s">
        <v>4882</v>
      </c>
      <c r="AP1389" s="5">
        <v>3030.0</v>
      </c>
      <c r="AQ1389" s="5" t="s">
        <v>1716</v>
      </c>
      <c r="AR1389" s="5" t="s">
        <v>1717</v>
      </c>
      <c r="AS1389" s="5" t="s">
        <v>1740</v>
      </c>
      <c r="AT1389" s="5" t="s">
        <v>1835</v>
      </c>
      <c r="AU1389" s="5" t="s">
        <v>1742</v>
      </c>
      <c r="AV1389" s="5" t="s">
        <v>1720</v>
      </c>
      <c r="AW1389" s="5" t="s">
        <v>2368</v>
      </c>
      <c r="AX1389" s="5" t="s">
        <v>2522</v>
      </c>
      <c r="AY1389" s="5">
        <v>51.0019</v>
      </c>
      <c r="AZ1389" s="5">
        <v>-119.3403</v>
      </c>
      <c r="BA1389" s="5">
        <v>1000.0</v>
      </c>
    </row>
    <row r="1390" ht="14.25" customHeight="1">
      <c r="A1390" s="5" t="s">
        <v>422</v>
      </c>
      <c r="B1390" s="5">
        <v>12.0</v>
      </c>
      <c r="C1390" s="5" t="s">
        <v>1711</v>
      </c>
      <c r="D1390" s="5">
        <v>3050.0</v>
      </c>
      <c r="E1390" s="5">
        <v>13204.0</v>
      </c>
      <c r="G1390" s="5" t="s">
        <v>127</v>
      </c>
      <c r="H1390" s="5" t="s">
        <v>4883</v>
      </c>
      <c r="I1390" s="5" t="s">
        <v>49</v>
      </c>
      <c r="J1390" s="5" t="s">
        <v>1746</v>
      </c>
      <c r="K1390" s="5">
        <v>1.0</v>
      </c>
      <c r="L1390" s="5">
        <v>15120.0</v>
      </c>
      <c r="M1390" s="8"/>
      <c r="AK1390" s="9"/>
      <c r="AO1390" s="5" t="s">
        <v>4884</v>
      </c>
      <c r="AP1390" s="5">
        <v>3050.0</v>
      </c>
      <c r="AQ1390" s="5" t="s">
        <v>1716</v>
      </c>
      <c r="AR1390" s="5" t="s">
        <v>1717</v>
      </c>
      <c r="AS1390" s="5" t="s">
        <v>1740</v>
      </c>
      <c r="AT1390" s="5" t="s">
        <v>1741</v>
      </c>
      <c r="AU1390" s="5" t="s">
        <v>1742</v>
      </c>
      <c r="AV1390" s="5" t="s">
        <v>1720</v>
      </c>
      <c r="AW1390" s="5" t="s">
        <v>2698</v>
      </c>
      <c r="AY1390" s="5">
        <v>49.0333</v>
      </c>
      <c r="AZ1390" s="5">
        <v>-115.0333</v>
      </c>
      <c r="BA1390" s="5">
        <v>1103.0</v>
      </c>
    </row>
    <row r="1391" ht="14.25" customHeight="1">
      <c r="A1391" s="5" t="s">
        <v>422</v>
      </c>
      <c r="B1391" s="5">
        <v>12.0</v>
      </c>
      <c r="C1391" s="5" t="s">
        <v>1711</v>
      </c>
      <c r="D1391" s="5">
        <v>3090.0</v>
      </c>
      <c r="E1391" s="5">
        <v>13205.0</v>
      </c>
      <c r="G1391" s="5" t="s">
        <v>127</v>
      </c>
      <c r="H1391" s="5" t="s">
        <v>4885</v>
      </c>
      <c r="I1391" s="5" t="s">
        <v>49</v>
      </c>
      <c r="J1391" s="5" t="s">
        <v>4886</v>
      </c>
      <c r="K1391" s="5">
        <v>1.0</v>
      </c>
      <c r="L1391" s="5">
        <v>15121.0</v>
      </c>
      <c r="M1391" s="8"/>
      <c r="AK1391" s="9"/>
      <c r="AO1391" s="5" t="s">
        <v>4887</v>
      </c>
      <c r="AP1391" s="5">
        <v>3090.0</v>
      </c>
      <c r="AQ1391" s="5" t="s">
        <v>1716</v>
      </c>
      <c r="AR1391" s="5" t="s">
        <v>1717</v>
      </c>
      <c r="AS1391" s="5" t="s">
        <v>1740</v>
      </c>
      <c r="AT1391" s="5" t="s">
        <v>1741</v>
      </c>
      <c r="AU1391" s="5" t="s">
        <v>1742</v>
      </c>
      <c r="AV1391" s="5" t="s">
        <v>1720</v>
      </c>
      <c r="AW1391" s="5" t="s">
        <v>2368</v>
      </c>
      <c r="AX1391" s="5" t="s">
        <v>2369</v>
      </c>
      <c r="AY1391" s="5">
        <v>50.9619</v>
      </c>
      <c r="AZ1391" s="5">
        <v>-119.6879</v>
      </c>
      <c r="BA1391" s="5">
        <v>449.0</v>
      </c>
    </row>
    <row r="1392" ht="14.25" customHeight="1">
      <c r="A1392" s="5" t="s">
        <v>1908</v>
      </c>
      <c r="B1392" s="5">
        <v>12.0</v>
      </c>
      <c r="C1392" s="5" t="s">
        <v>1711</v>
      </c>
      <c r="D1392" s="5">
        <v>3110.0</v>
      </c>
      <c r="E1392" s="5">
        <v>13209.0</v>
      </c>
      <c r="F1392" s="12" t="s">
        <v>4888</v>
      </c>
      <c r="G1392" s="10" t="s">
        <v>4889</v>
      </c>
      <c r="H1392" s="5" t="s">
        <v>4890</v>
      </c>
      <c r="I1392" s="5" t="s">
        <v>49</v>
      </c>
      <c r="J1392" s="5" t="s">
        <v>1746</v>
      </c>
      <c r="K1392" s="5">
        <v>1.0</v>
      </c>
      <c r="L1392" s="5">
        <v>15125.0</v>
      </c>
      <c r="M1392" s="8">
        <v>49.8167</v>
      </c>
      <c r="N1392" s="11">
        <v>-114.8667</v>
      </c>
      <c r="O1392" s="11" t="s">
        <v>142</v>
      </c>
      <c r="P1392" s="11">
        <v>3110.0</v>
      </c>
      <c r="Q1392" s="22">
        <v>4.0</v>
      </c>
      <c r="R1392" s="11" t="s">
        <v>4891</v>
      </c>
      <c r="S1392" s="11" t="s">
        <v>1737</v>
      </c>
      <c r="T1392" s="11">
        <v>1208.0</v>
      </c>
      <c r="U1392" s="11"/>
      <c r="V1392" s="11"/>
      <c r="W1392" s="23">
        <v>45213.0</v>
      </c>
      <c r="X1392" s="11" t="s">
        <v>1738</v>
      </c>
      <c r="AK1392" s="9"/>
      <c r="AO1392" s="5" t="s">
        <v>4891</v>
      </c>
      <c r="AP1392" s="5">
        <v>3110.0</v>
      </c>
      <c r="AQ1392" s="5" t="s">
        <v>1716</v>
      </c>
      <c r="AR1392" s="5" t="s">
        <v>1739</v>
      </c>
      <c r="AS1392" s="5" t="s">
        <v>1740</v>
      </c>
      <c r="AT1392" s="5" t="s">
        <v>1741</v>
      </c>
      <c r="AU1392" s="5" t="s">
        <v>1742</v>
      </c>
      <c r="AV1392" s="5" t="s">
        <v>1720</v>
      </c>
      <c r="AW1392" s="5" t="s">
        <v>2698</v>
      </c>
      <c r="AX1392" s="5" t="s">
        <v>2902</v>
      </c>
      <c r="AY1392" s="5">
        <v>49.833</v>
      </c>
      <c r="AZ1392" s="5">
        <v>-114.8829</v>
      </c>
      <c r="BA1392" s="5">
        <v>1208.0</v>
      </c>
    </row>
    <row r="1393" ht="14.25" customHeight="1">
      <c r="A1393" s="5" t="s">
        <v>422</v>
      </c>
      <c r="B1393" s="5">
        <v>12.0</v>
      </c>
      <c r="C1393" s="5" t="s">
        <v>1711</v>
      </c>
      <c r="D1393" s="5">
        <v>3130.0</v>
      </c>
      <c r="E1393" s="5">
        <v>13206.0</v>
      </c>
      <c r="G1393" s="5" t="s">
        <v>127</v>
      </c>
      <c r="H1393" s="5" t="s">
        <v>4892</v>
      </c>
      <c r="I1393" s="5" t="s">
        <v>49</v>
      </c>
      <c r="J1393" s="5" t="s">
        <v>1746</v>
      </c>
      <c r="K1393" s="5">
        <v>1.0</v>
      </c>
      <c r="L1393" s="5">
        <v>15122.0</v>
      </c>
      <c r="M1393" s="8"/>
      <c r="AK1393" s="9"/>
      <c r="AO1393" s="27" t="s">
        <v>4893</v>
      </c>
      <c r="AP1393" s="5">
        <v>3130.0</v>
      </c>
      <c r="AQ1393" s="5" t="s">
        <v>1716</v>
      </c>
      <c r="AR1393" s="5" t="s">
        <v>1717</v>
      </c>
      <c r="AS1393" s="5" t="s">
        <v>1740</v>
      </c>
      <c r="AT1393" s="5" t="s">
        <v>1741</v>
      </c>
      <c r="AU1393" s="5" t="s">
        <v>1742</v>
      </c>
      <c r="AV1393" s="5" t="s">
        <v>1720</v>
      </c>
      <c r="AW1393" s="5" t="s">
        <v>2698</v>
      </c>
      <c r="AX1393" s="5" t="s">
        <v>2801</v>
      </c>
      <c r="AY1393" s="5">
        <v>50.5341</v>
      </c>
      <c r="AZ1393" s="5">
        <v>-117.0077</v>
      </c>
      <c r="BA1393" s="5">
        <v>698.0</v>
      </c>
    </row>
    <row r="1394" ht="14.25" customHeight="1">
      <c r="A1394" s="5" t="s">
        <v>1908</v>
      </c>
      <c r="B1394" s="5">
        <v>12.0</v>
      </c>
      <c r="C1394" s="5" t="s">
        <v>1711</v>
      </c>
      <c r="D1394" s="5">
        <v>3190.0</v>
      </c>
      <c r="E1394" s="5">
        <v>13207.0</v>
      </c>
      <c r="F1394" s="12" t="s">
        <v>4894</v>
      </c>
      <c r="G1394" s="10" t="s">
        <v>4895</v>
      </c>
      <c r="H1394" s="5" t="s">
        <v>4896</v>
      </c>
      <c r="I1394" s="5" t="s">
        <v>49</v>
      </c>
      <c r="J1394" s="5" t="s">
        <v>1746</v>
      </c>
      <c r="K1394" s="5">
        <v>1.0</v>
      </c>
      <c r="L1394" s="5">
        <v>15123.0</v>
      </c>
      <c r="M1394" s="8">
        <v>52.50739167</v>
      </c>
      <c r="N1394" s="11">
        <v>-118.5202833</v>
      </c>
      <c r="O1394" s="11" t="s">
        <v>170</v>
      </c>
      <c r="P1394" s="11">
        <v>3190.0</v>
      </c>
      <c r="Q1394" s="22">
        <v>2.0</v>
      </c>
      <c r="R1394" s="11" t="s">
        <v>4897</v>
      </c>
      <c r="S1394" s="11" t="s">
        <v>1737</v>
      </c>
      <c r="T1394" s="11">
        <v>1123.0</v>
      </c>
      <c r="U1394" s="11"/>
      <c r="V1394" s="11"/>
      <c r="W1394" s="23">
        <v>45214.0</v>
      </c>
      <c r="X1394" s="11" t="s">
        <v>1738</v>
      </c>
      <c r="AK1394" s="9"/>
      <c r="AO1394" s="27" t="s">
        <v>4897</v>
      </c>
      <c r="AP1394" s="5">
        <v>3190.0</v>
      </c>
      <c r="AQ1394" s="5" t="s">
        <v>1716</v>
      </c>
      <c r="AR1394" s="5" t="s">
        <v>1739</v>
      </c>
      <c r="AS1394" s="5" t="s">
        <v>1740</v>
      </c>
      <c r="AT1394" s="5" t="s">
        <v>1741</v>
      </c>
      <c r="AU1394" s="5" t="s">
        <v>1742</v>
      </c>
      <c r="AV1394" s="5" t="s">
        <v>1720</v>
      </c>
      <c r="AW1394" s="5" t="s">
        <v>2003</v>
      </c>
      <c r="AX1394" s="5" t="s">
        <v>2258</v>
      </c>
      <c r="AY1394" s="5">
        <v>52.8643</v>
      </c>
      <c r="AZ1394" s="5">
        <v>-118.5203</v>
      </c>
      <c r="BA1394" s="5">
        <v>1123.0</v>
      </c>
    </row>
    <row r="1395" ht="14.25" customHeight="1">
      <c r="A1395" s="5" t="s">
        <v>1908</v>
      </c>
      <c r="B1395" s="5">
        <v>12.0</v>
      </c>
      <c r="C1395" s="5" t="s">
        <v>1711</v>
      </c>
      <c r="D1395" s="5">
        <v>3191.0</v>
      </c>
      <c r="E1395" s="5">
        <v>13208.0</v>
      </c>
      <c r="F1395" s="12" t="s">
        <v>4898</v>
      </c>
      <c r="G1395" s="10" t="s">
        <v>4899</v>
      </c>
      <c r="H1395" s="5" t="s">
        <v>4896</v>
      </c>
      <c r="I1395" s="5" t="s">
        <v>49</v>
      </c>
      <c r="J1395" s="5" t="s">
        <v>1746</v>
      </c>
      <c r="K1395" s="5">
        <v>1.0</v>
      </c>
      <c r="L1395" s="5">
        <v>15124.0</v>
      </c>
      <c r="M1395" s="8">
        <v>52.5073917</v>
      </c>
      <c r="N1395" s="11">
        <v>-118.774265</v>
      </c>
      <c r="O1395" s="11" t="s">
        <v>170</v>
      </c>
      <c r="P1395" s="11">
        <v>3191.0</v>
      </c>
      <c r="Q1395" s="22">
        <v>2.0</v>
      </c>
      <c r="R1395" s="11" t="s">
        <v>4900</v>
      </c>
      <c r="S1395" s="11" t="s">
        <v>1737</v>
      </c>
      <c r="T1395" s="11">
        <v>957.0</v>
      </c>
      <c r="U1395" s="11"/>
      <c r="V1395" s="11"/>
      <c r="W1395" s="23">
        <v>45214.0</v>
      </c>
      <c r="X1395" s="11" t="s">
        <v>1738</v>
      </c>
      <c r="AK1395" s="9"/>
      <c r="AO1395" s="5" t="s">
        <v>4900</v>
      </c>
      <c r="AP1395" s="5">
        <v>3191.0</v>
      </c>
      <c r="AQ1395" s="5" t="s">
        <v>1716</v>
      </c>
      <c r="AR1395" s="5" t="s">
        <v>1739</v>
      </c>
      <c r="AS1395" s="5" t="s">
        <v>1740</v>
      </c>
      <c r="AT1395" s="5" t="s">
        <v>1741</v>
      </c>
      <c r="AU1395" s="5" t="s">
        <v>1742</v>
      </c>
      <c r="AV1395" s="5" t="s">
        <v>1720</v>
      </c>
      <c r="AW1395" s="5" t="s">
        <v>2003</v>
      </c>
      <c r="AX1395" s="5" t="s">
        <v>2258</v>
      </c>
      <c r="AY1395" s="5">
        <v>52.5074</v>
      </c>
      <c r="AZ1395" s="5">
        <v>-118.7743</v>
      </c>
      <c r="BA1395" s="5">
        <v>957.0</v>
      </c>
    </row>
    <row r="1396" ht="14.25" customHeight="1">
      <c r="A1396" s="5" t="s">
        <v>138</v>
      </c>
      <c r="B1396" s="5">
        <v>12.0</v>
      </c>
      <c r="C1396" s="12" t="s">
        <v>4901</v>
      </c>
      <c r="D1396" s="5">
        <v>3730.0</v>
      </c>
      <c r="E1396" s="10"/>
      <c r="F1396" s="12" t="s">
        <v>4902</v>
      </c>
      <c r="G1396" s="12" t="s">
        <v>4903</v>
      </c>
      <c r="M1396" s="8">
        <v>49.0251</v>
      </c>
      <c r="N1396" s="11">
        <v>-119.6909</v>
      </c>
      <c r="O1396" s="11" t="s">
        <v>142</v>
      </c>
      <c r="P1396" s="11">
        <v>3810.0</v>
      </c>
      <c r="Q1396" s="22">
        <v>1.0</v>
      </c>
      <c r="R1396" s="11" t="s">
        <v>4904</v>
      </c>
      <c r="S1396" s="11" t="s">
        <v>1737</v>
      </c>
      <c r="T1396" s="11">
        <v>416.0</v>
      </c>
      <c r="U1396" s="11"/>
      <c r="V1396" s="11"/>
      <c r="W1396" s="23">
        <v>45469.0</v>
      </c>
      <c r="X1396" s="11" t="s">
        <v>1738</v>
      </c>
      <c r="AK1396" s="9"/>
      <c r="AO1396" s="5" t="s">
        <v>4905</v>
      </c>
      <c r="AP1396" s="5">
        <v>3810.0</v>
      </c>
      <c r="AQ1396" s="5" t="s">
        <v>1700</v>
      </c>
      <c r="AR1396" s="5" t="s">
        <v>1739</v>
      </c>
      <c r="AS1396" s="5" t="s">
        <v>1740</v>
      </c>
      <c r="AT1396" s="5" t="s">
        <v>1741</v>
      </c>
      <c r="AU1396" s="5" t="s">
        <v>1742</v>
      </c>
      <c r="AV1396" s="5" t="s">
        <v>1720</v>
      </c>
      <c r="AW1396" s="5" t="s">
        <v>2368</v>
      </c>
      <c r="AX1396" s="5" t="s">
        <v>2516</v>
      </c>
      <c r="AY1396" s="5">
        <v>49.0251</v>
      </c>
      <c r="AZ1396" s="5">
        <v>-119.6909</v>
      </c>
      <c r="BA1396" s="5">
        <v>461.0</v>
      </c>
    </row>
    <row r="1397" ht="14.25" customHeight="1">
      <c r="A1397" s="5" t="s">
        <v>138</v>
      </c>
      <c r="B1397" s="5">
        <v>12.0</v>
      </c>
      <c r="C1397" s="12" t="s">
        <v>4901</v>
      </c>
      <c r="D1397" s="5">
        <v>3851.0</v>
      </c>
      <c r="E1397" s="10"/>
      <c r="F1397" s="12" t="s">
        <v>4906</v>
      </c>
      <c r="G1397" s="12" t="s">
        <v>4907</v>
      </c>
      <c r="M1397" s="8">
        <v>54.438</v>
      </c>
      <c r="N1397" s="11">
        <v>-128.5714</v>
      </c>
      <c r="O1397" s="11" t="s">
        <v>51</v>
      </c>
      <c r="P1397" s="11">
        <v>3851.0</v>
      </c>
      <c r="Q1397" s="22">
        <v>2.0</v>
      </c>
      <c r="R1397" s="11" t="s">
        <v>4908</v>
      </c>
      <c r="S1397" s="11" t="s">
        <v>1737</v>
      </c>
      <c r="T1397" s="11">
        <v>199.0</v>
      </c>
      <c r="U1397" s="11"/>
      <c r="V1397" s="11"/>
      <c r="W1397" s="23">
        <v>45484.0</v>
      </c>
      <c r="X1397" s="11" t="s">
        <v>1738</v>
      </c>
      <c r="AK1397" s="9"/>
      <c r="AO1397" s="5" t="s">
        <v>4908</v>
      </c>
      <c r="AP1397" s="5">
        <v>3851.0</v>
      </c>
      <c r="AQ1397" s="5" t="s">
        <v>1716</v>
      </c>
      <c r="AR1397" s="5" t="s">
        <v>1739</v>
      </c>
      <c r="AS1397" s="5" t="s">
        <v>1740</v>
      </c>
      <c r="AT1397" s="5" t="s">
        <v>1741</v>
      </c>
      <c r="AU1397" s="5" t="s">
        <v>1742</v>
      </c>
      <c r="AV1397" s="5" t="s">
        <v>1720</v>
      </c>
      <c r="AW1397" s="5" t="s">
        <v>1947</v>
      </c>
      <c r="AX1397" s="5" t="s">
        <v>1973</v>
      </c>
      <c r="AY1397" s="5">
        <v>54.438</v>
      </c>
      <c r="AZ1397" s="5">
        <v>-128.5714</v>
      </c>
      <c r="BA1397" s="5">
        <v>199.0</v>
      </c>
    </row>
    <row r="1398" ht="14.25" customHeight="1">
      <c r="A1398" s="5" t="s">
        <v>138</v>
      </c>
      <c r="B1398" s="5">
        <v>12.0</v>
      </c>
      <c r="C1398" s="12" t="s">
        <v>4901</v>
      </c>
      <c r="D1398" s="5">
        <v>3873.0</v>
      </c>
      <c r="E1398" s="10"/>
      <c r="F1398" s="12" t="s">
        <v>4909</v>
      </c>
      <c r="G1398" s="12" t="s">
        <v>4910</v>
      </c>
      <c r="M1398" s="8"/>
      <c r="AK1398" s="9"/>
      <c r="AO1398" s="5" t="s">
        <v>4911</v>
      </c>
      <c r="AP1398" s="5">
        <v>3873.0</v>
      </c>
      <c r="AQ1398" s="5" t="s">
        <v>1716</v>
      </c>
      <c r="AR1398" s="5" t="s">
        <v>1739</v>
      </c>
      <c r="AS1398" s="5" t="s">
        <v>1740</v>
      </c>
      <c r="AT1398" s="5" t="s">
        <v>1741</v>
      </c>
      <c r="AU1398" s="5" t="s">
        <v>1704</v>
      </c>
      <c r="AV1398" s="5" t="s">
        <v>1720</v>
      </c>
      <c r="AW1398" s="5" t="s">
        <v>2368</v>
      </c>
      <c r="AX1398" s="5" t="s">
        <v>2492</v>
      </c>
      <c r="AY1398" s="5">
        <v>49.3394</v>
      </c>
      <c r="AZ1398" s="5">
        <v>-120.4071</v>
      </c>
      <c r="BA1398" s="5">
        <v>1455.0</v>
      </c>
    </row>
    <row r="1399" ht="14.25" customHeight="1">
      <c r="A1399" s="5" t="s">
        <v>138</v>
      </c>
      <c r="B1399" s="5">
        <v>12.0</v>
      </c>
      <c r="C1399" s="12" t="s">
        <v>4901</v>
      </c>
      <c r="D1399" s="5">
        <v>3991.0</v>
      </c>
      <c r="E1399" s="10"/>
      <c r="F1399" s="12" t="s">
        <v>4912</v>
      </c>
      <c r="G1399" s="12" t="s">
        <v>4913</v>
      </c>
      <c r="M1399" s="8"/>
      <c r="AK1399" s="9"/>
      <c r="AO1399" s="5" t="s">
        <v>4914</v>
      </c>
      <c r="AP1399" s="5">
        <v>3991.0</v>
      </c>
      <c r="AQ1399" s="5" t="s">
        <v>1716</v>
      </c>
      <c r="AR1399" s="5" t="s">
        <v>2441</v>
      </c>
      <c r="AS1399" s="5" t="s">
        <v>1740</v>
      </c>
      <c r="AT1399" s="5" t="s">
        <v>1741</v>
      </c>
      <c r="AU1399" s="5" t="s">
        <v>1772</v>
      </c>
      <c r="AV1399" s="5" t="s">
        <v>1720</v>
      </c>
      <c r="AW1399" s="5" t="s">
        <v>1947</v>
      </c>
      <c r="AX1399" s="5" t="s">
        <v>2148</v>
      </c>
      <c r="AY1399" s="5">
        <v>54.2591</v>
      </c>
      <c r="AZ1399" s="5">
        <v>-125.7599</v>
      </c>
      <c r="BA1399" s="5">
        <v>830.0</v>
      </c>
    </row>
    <row r="1400" ht="14.25" customHeight="1">
      <c r="A1400" s="5" t="s">
        <v>138</v>
      </c>
      <c r="B1400" s="5">
        <v>12.0</v>
      </c>
      <c r="C1400" s="12" t="s">
        <v>4901</v>
      </c>
      <c r="D1400" s="5">
        <v>4232.0</v>
      </c>
      <c r="E1400" s="10"/>
      <c r="F1400" s="12" t="s">
        <v>4915</v>
      </c>
      <c r="G1400" s="12" t="s">
        <v>4916</v>
      </c>
      <c r="M1400" s="8">
        <v>59.3394</v>
      </c>
      <c r="N1400" s="11">
        <v>-122.0718</v>
      </c>
      <c r="O1400" s="11" t="s">
        <v>2008</v>
      </c>
      <c r="P1400" s="11">
        <v>4232.0</v>
      </c>
      <c r="Q1400" s="22">
        <v>7.0</v>
      </c>
      <c r="R1400" s="11" t="s">
        <v>4917</v>
      </c>
      <c r="S1400" s="11" t="s">
        <v>1737</v>
      </c>
      <c r="T1400" s="11">
        <v>704.0</v>
      </c>
      <c r="U1400" s="11"/>
      <c r="V1400" s="11"/>
      <c r="W1400" s="23">
        <v>45545.0</v>
      </c>
      <c r="X1400" s="11" t="s">
        <v>1738</v>
      </c>
      <c r="AK1400" s="9"/>
      <c r="AO1400" s="5" t="s">
        <v>4917</v>
      </c>
      <c r="AP1400" s="5">
        <v>4232.0</v>
      </c>
      <c r="AQ1400" s="5" t="s">
        <v>1716</v>
      </c>
      <c r="AR1400" s="5" t="s">
        <v>1739</v>
      </c>
      <c r="AS1400" s="5" t="s">
        <v>1740</v>
      </c>
      <c r="AT1400" s="5" t="s">
        <v>1741</v>
      </c>
      <c r="AU1400" s="5" t="s">
        <v>1742</v>
      </c>
      <c r="AV1400" s="5" t="s">
        <v>1720</v>
      </c>
      <c r="AW1400" s="5" t="s">
        <v>2003</v>
      </c>
      <c r="AX1400" s="5" t="s">
        <v>2009</v>
      </c>
      <c r="AY1400" s="5">
        <v>59.3394</v>
      </c>
      <c r="AZ1400" s="5">
        <v>-122.0718</v>
      </c>
      <c r="BA1400" s="5">
        <v>704.0</v>
      </c>
    </row>
    <row r="1401" ht="14.25" customHeight="1">
      <c r="A1401" s="5" t="s">
        <v>138</v>
      </c>
      <c r="B1401" s="5">
        <v>12.0</v>
      </c>
      <c r="C1401" s="12" t="s">
        <v>4901</v>
      </c>
      <c r="D1401" s="5">
        <v>4250.0</v>
      </c>
      <c r="E1401" s="10"/>
      <c r="F1401" s="12" t="s">
        <v>4918</v>
      </c>
      <c r="G1401" s="12" t="s">
        <v>4919</v>
      </c>
      <c r="M1401" s="8"/>
      <c r="AK1401" s="9"/>
      <c r="AO1401" s="27" t="s">
        <v>4920</v>
      </c>
      <c r="AP1401" s="5">
        <v>4250.0</v>
      </c>
      <c r="AQ1401" s="5" t="s">
        <v>1716</v>
      </c>
      <c r="AR1401" s="5" t="s">
        <v>1717</v>
      </c>
      <c r="AS1401" s="5" t="s">
        <v>1740</v>
      </c>
      <c r="AT1401" s="5" t="s">
        <v>1741</v>
      </c>
      <c r="AU1401" s="5" t="s">
        <v>1742</v>
      </c>
      <c r="AV1401" s="5" t="s">
        <v>1720</v>
      </c>
      <c r="AW1401" s="5" t="s">
        <v>2193</v>
      </c>
      <c r="AX1401" s="5" t="s">
        <v>2287</v>
      </c>
      <c r="AY1401" s="5">
        <v>51.2333</v>
      </c>
      <c r="AZ1401" s="5">
        <v>-122.15</v>
      </c>
      <c r="BA1401" s="5">
        <v>577.0</v>
      </c>
    </row>
    <row r="1402" ht="14.25" customHeight="1">
      <c r="A1402" s="5" t="s">
        <v>138</v>
      </c>
      <c r="B1402" s="5">
        <v>12.0</v>
      </c>
      <c r="C1402" s="12" t="s">
        <v>4901</v>
      </c>
      <c r="D1402" s="5">
        <v>4270.0</v>
      </c>
      <c r="E1402" s="10"/>
      <c r="F1402" s="12" t="s">
        <v>4921</v>
      </c>
      <c r="G1402" s="12" t="s">
        <v>4922</v>
      </c>
      <c r="M1402" s="8">
        <v>55.6907</v>
      </c>
      <c r="N1402" s="11">
        <v>-121.6137</v>
      </c>
      <c r="O1402" s="11" t="s">
        <v>153</v>
      </c>
      <c r="P1402" s="11">
        <v>4270.0</v>
      </c>
      <c r="Q1402" s="22">
        <v>1.0</v>
      </c>
      <c r="R1402" s="11" t="s">
        <v>4923</v>
      </c>
      <c r="S1402" s="11" t="s">
        <v>1737</v>
      </c>
      <c r="T1402" s="11">
        <v>616.0</v>
      </c>
      <c r="U1402" s="11"/>
      <c r="V1402" s="11"/>
      <c r="W1402" s="23">
        <v>45555.0</v>
      </c>
      <c r="X1402" s="11" t="s">
        <v>1738</v>
      </c>
      <c r="AK1402" s="9"/>
      <c r="AO1402" s="5" t="s">
        <v>4924</v>
      </c>
      <c r="AP1402" s="5">
        <v>4270.0</v>
      </c>
      <c r="AQ1402" s="5" t="s">
        <v>1700</v>
      </c>
      <c r="AR1402" s="5" t="s">
        <v>1739</v>
      </c>
      <c r="AS1402" s="5" t="s">
        <v>1740</v>
      </c>
      <c r="AT1402" s="5" t="s">
        <v>1741</v>
      </c>
      <c r="AU1402" s="5" t="s">
        <v>1772</v>
      </c>
      <c r="AV1402" s="5" t="s">
        <v>1720</v>
      </c>
      <c r="AW1402" s="5" t="s">
        <v>2003</v>
      </c>
      <c r="AX1402" s="5" t="s">
        <v>2024</v>
      </c>
      <c r="AY1402" s="5">
        <v>55.6907</v>
      </c>
      <c r="AZ1402" s="5">
        <v>-121.6137</v>
      </c>
      <c r="BA1402" s="5">
        <v>616.0</v>
      </c>
    </row>
    <row r="1403" ht="14.25" customHeight="1">
      <c r="A1403" s="5" t="s">
        <v>138</v>
      </c>
      <c r="B1403" s="5">
        <v>12.0</v>
      </c>
      <c r="C1403" s="12" t="s">
        <v>4901</v>
      </c>
      <c r="D1403" s="5">
        <v>4352.0</v>
      </c>
      <c r="E1403" s="10"/>
      <c r="F1403" s="12" t="s">
        <v>4925</v>
      </c>
      <c r="G1403" s="12" t="s">
        <v>4926</v>
      </c>
      <c r="M1403" s="8">
        <v>53.3159</v>
      </c>
      <c r="N1403" s="11">
        <v>-119.6007</v>
      </c>
      <c r="O1403" s="11" t="s">
        <v>170</v>
      </c>
      <c r="P1403" s="11">
        <v>4352.0</v>
      </c>
      <c r="Q1403" s="22">
        <v>2.0</v>
      </c>
      <c r="R1403" s="11" t="s">
        <v>1005</v>
      </c>
      <c r="S1403" s="11" t="s">
        <v>1737</v>
      </c>
      <c r="T1403" s="11">
        <v>1088.0</v>
      </c>
      <c r="U1403" s="11"/>
      <c r="V1403" s="11"/>
      <c r="W1403" s="23">
        <v>45575.0</v>
      </c>
      <c r="X1403" s="11" t="s">
        <v>1738</v>
      </c>
      <c r="AK1403" s="9"/>
      <c r="AO1403" s="5" t="s">
        <v>1005</v>
      </c>
      <c r="AP1403" s="5">
        <v>4352.0</v>
      </c>
      <c r="AQ1403" s="5" t="s">
        <v>1716</v>
      </c>
      <c r="AR1403" s="5" t="s">
        <v>1739</v>
      </c>
      <c r="AS1403" s="5" t="s">
        <v>1740</v>
      </c>
      <c r="AT1403" s="5" t="s">
        <v>1741</v>
      </c>
      <c r="AU1403" s="5" t="s">
        <v>1742</v>
      </c>
      <c r="AV1403" s="5" t="s">
        <v>1720</v>
      </c>
      <c r="AW1403" s="5" t="s">
        <v>2003</v>
      </c>
      <c r="AX1403" s="5" t="s">
        <v>2258</v>
      </c>
      <c r="AY1403" s="5">
        <v>53.3159</v>
      </c>
      <c r="AZ1403" s="5">
        <v>-119.6007</v>
      </c>
      <c r="BA1403" s="5">
        <v>1088.0</v>
      </c>
    </row>
    <row r="1404" ht="14.25" customHeight="1">
      <c r="A1404" s="5" t="s">
        <v>138</v>
      </c>
      <c r="B1404" s="5">
        <v>12.0</v>
      </c>
      <c r="C1404" s="12" t="s">
        <v>4901</v>
      </c>
      <c r="D1404" s="5">
        <v>4393.0</v>
      </c>
      <c r="E1404" s="10"/>
      <c r="F1404" s="12" t="s">
        <v>4927</v>
      </c>
      <c r="G1404" s="12" t="s">
        <v>4928</v>
      </c>
      <c r="M1404" s="8">
        <v>50.3752</v>
      </c>
      <c r="N1404" s="11">
        <v>-126.5401</v>
      </c>
      <c r="O1404" s="11" t="s">
        <v>51</v>
      </c>
      <c r="P1404" s="11">
        <v>4393.0</v>
      </c>
      <c r="Q1404" s="22">
        <v>2.0</v>
      </c>
      <c r="R1404" s="11" t="s">
        <v>4929</v>
      </c>
      <c r="S1404" s="11" t="s">
        <v>4045</v>
      </c>
      <c r="T1404" s="11">
        <v>211.0</v>
      </c>
      <c r="U1404" s="11"/>
      <c r="V1404" s="11"/>
      <c r="W1404" s="23">
        <v>45601.0</v>
      </c>
      <c r="X1404" s="11" t="s">
        <v>1738</v>
      </c>
      <c r="AK1404" s="9"/>
      <c r="AO1404" s="5" t="s">
        <v>4929</v>
      </c>
      <c r="AP1404" s="5">
        <v>4393.0</v>
      </c>
      <c r="AQ1404" s="5" t="s">
        <v>1716</v>
      </c>
      <c r="AR1404" s="5" t="s">
        <v>1739</v>
      </c>
      <c r="AS1404" s="5" t="s">
        <v>1740</v>
      </c>
      <c r="AT1404" s="5" t="s">
        <v>1741</v>
      </c>
      <c r="AU1404" s="5" t="s">
        <v>1742</v>
      </c>
      <c r="AV1404" s="5" t="s">
        <v>1720</v>
      </c>
      <c r="AW1404" s="5" t="s">
        <v>1705</v>
      </c>
      <c r="AX1404" s="5" t="s">
        <v>1723</v>
      </c>
      <c r="AY1404" s="5">
        <v>50.3752</v>
      </c>
      <c r="AZ1404" s="5">
        <v>-126.5401</v>
      </c>
      <c r="BA1404" s="5">
        <v>211.0</v>
      </c>
    </row>
    <row r="1405" ht="14.25" customHeight="1">
      <c r="A1405" s="5" t="s">
        <v>138</v>
      </c>
      <c r="B1405" s="5">
        <v>12.0</v>
      </c>
      <c r="C1405" s="12" t="s">
        <v>4901</v>
      </c>
      <c r="D1405" s="5">
        <v>4513.0</v>
      </c>
      <c r="E1405" s="10"/>
      <c r="F1405" s="12" t="s">
        <v>4930</v>
      </c>
      <c r="G1405" s="12" t="s">
        <v>4931</v>
      </c>
      <c r="M1405" s="8"/>
      <c r="AK1405" s="9"/>
      <c r="AO1405" s="5" t="s">
        <v>4932</v>
      </c>
      <c r="AP1405" s="5">
        <v>4513.0</v>
      </c>
      <c r="AQ1405" s="5" t="s">
        <v>1716</v>
      </c>
      <c r="AR1405" s="5" t="s">
        <v>1739</v>
      </c>
      <c r="AS1405" s="5" t="s">
        <v>1740</v>
      </c>
      <c r="AT1405" s="5" t="s">
        <v>1741</v>
      </c>
      <c r="AU1405" s="5" t="s">
        <v>1742</v>
      </c>
      <c r="AV1405" s="5" t="s">
        <v>1720</v>
      </c>
      <c r="AW1405" s="5" t="s">
        <v>1705</v>
      </c>
      <c r="AX1405" s="5" t="s">
        <v>1747</v>
      </c>
      <c r="AY1405" s="5">
        <v>48.8199</v>
      </c>
      <c r="AZ1405" s="5">
        <v>-124.131</v>
      </c>
      <c r="BA1405" s="5">
        <v>197.0</v>
      </c>
    </row>
    <row r="1406" ht="14.25" customHeight="1">
      <c r="A1406" s="5" t="s">
        <v>138</v>
      </c>
      <c r="B1406" s="5">
        <v>12.0</v>
      </c>
      <c r="C1406" s="12" t="s">
        <v>4901</v>
      </c>
      <c r="D1406" s="5">
        <v>4552.0</v>
      </c>
      <c r="E1406" s="10"/>
      <c r="F1406" s="12" t="s">
        <v>4933</v>
      </c>
      <c r="G1406" s="12" t="s">
        <v>4934</v>
      </c>
      <c r="M1406" s="8"/>
      <c r="AK1406" s="9"/>
      <c r="AO1406" s="5" t="s">
        <v>4935</v>
      </c>
      <c r="AP1406" s="5">
        <v>4552.0</v>
      </c>
      <c r="AQ1406" s="5" t="s">
        <v>1716</v>
      </c>
      <c r="AR1406" s="5" t="s">
        <v>1739</v>
      </c>
      <c r="AS1406" s="5" t="s">
        <v>1740</v>
      </c>
      <c r="AT1406" s="5" t="s">
        <v>1741</v>
      </c>
      <c r="AU1406" s="5" t="s">
        <v>1742</v>
      </c>
      <c r="AV1406" s="5" t="s">
        <v>1720</v>
      </c>
      <c r="AW1406" s="5" t="s">
        <v>1705</v>
      </c>
      <c r="AX1406" s="5" t="s">
        <v>1879</v>
      </c>
      <c r="AY1406" s="5">
        <v>49.752</v>
      </c>
      <c r="AZ1406" s="5">
        <v>-123.0983</v>
      </c>
      <c r="BA1406" s="5">
        <v>262.0</v>
      </c>
    </row>
    <row r="1407" ht="14.25" customHeight="1">
      <c r="A1407" s="5" t="s">
        <v>138</v>
      </c>
      <c r="B1407" s="5">
        <v>12.0</v>
      </c>
      <c r="C1407" s="12" t="s">
        <v>4901</v>
      </c>
      <c r="D1407" s="5">
        <v>4973.0</v>
      </c>
      <c r="F1407" s="12" t="s">
        <v>4936</v>
      </c>
      <c r="G1407" s="12" t="s">
        <v>4937</v>
      </c>
      <c r="M1407" s="8"/>
      <c r="AK1407" s="9"/>
      <c r="AO1407" s="5" t="s">
        <v>4938</v>
      </c>
      <c r="AP1407" s="5">
        <v>4973.0</v>
      </c>
      <c r="AQ1407" s="5" t="s">
        <v>1716</v>
      </c>
      <c r="AR1407" s="5" t="s">
        <v>1739</v>
      </c>
      <c r="AS1407" s="5" t="s">
        <v>1740</v>
      </c>
      <c r="AT1407" s="5" t="s">
        <v>1741</v>
      </c>
      <c r="AU1407" s="5" t="s">
        <v>1742</v>
      </c>
      <c r="AV1407" s="5" t="s">
        <v>1720</v>
      </c>
      <c r="AW1407" s="5" t="s">
        <v>2193</v>
      </c>
      <c r="AX1407" s="5" t="s">
        <v>2194</v>
      </c>
      <c r="AY1407" s="5">
        <v>52.9639</v>
      </c>
      <c r="AZ1407" s="5">
        <v>-122.8311</v>
      </c>
      <c r="BA1407" s="5">
        <v>826.0</v>
      </c>
    </row>
    <row r="1408" ht="14.25" customHeight="1">
      <c r="A1408" s="5" t="s">
        <v>328</v>
      </c>
      <c r="B1408" s="5">
        <v>12.0</v>
      </c>
      <c r="C1408" s="12" t="s">
        <v>4901</v>
      </c>
      <c r="D1408" s="12" t="s">
        <v>4939</v>
      </c>
      <c r="F1408" s="12" t="s">
        <v>4940</v>
      </c>
      <c r="G1408" s="12" t="s">
        <v>4941</v>
      </c>
      <c r="M1408" s="8">
        <v>54.3233</v>
      </c>
      <c r="N1408" s="5">
        <v>-129.3252</v>
      </c>
      <c r="O1408" s="5" t="s">
        <v>1577</v>
      </c>
      <c r="P1408" s="5">
        <v>4332.0</v>
      </c>
      <c r="Q1408" s="5">
        <v>1.0</v>
      </c>
      <c r="R1408" s="5" t="s">
        <v>4942</v>
      </c>
      <c r="S1408" s="5" t="s">
        <v>1737</v>
      </c>
      <c r="T1408" s="5">
        <v>10.0</v>
      </c>
      <c r="W1408" s="5">
        <v>45544.0</v>
      </c>
      <c r="X1408" s="5" t="s">
        <v>1738</v>
      </c>
      <c r="AK1408" s="9"/>
      <c r="AO1408" s="5" t="s">
        <v>4942</v>
      </c>
      <c r="AP1408" s="5">
        <v>4332.0</v>
      </c>
      <c r="AQ1408" s="5" t="s">
        <v>1716</v>
      </c>
      <c r="AR1408" s="5" t="s">
        <v>1701</v>
      </c>
      <c r="AS1408" s="5" t="s">
        <v>1740</v>
      </c>
      <c r="AT1408" s="5" t="s">
        <v>1741</v>
      </c>
      <c r="AU1408" s="5" t="s">
        <v>1704</v>
      </c>
      <c r="AV1408" s="5" t="s">
        <v>1720</v>
      </c>
      <c r="AW1408" s="5" t="s">
        <v>1947</v>
      </c>
      <c r="AX1408" s="5" t="s">
        <v>1973</v>
      </c>
      <c r="AY1408" s="5">
        <v>54.3233</v>
      </c>
      <c r="AZ1408" s="5">
        <v>-129.3252</v>
      </c>
      <c r="BA1408" s="5">
        <v>10.0</v>
      </c>
    </row>
    <row r="1409" ht="14.25" customHeight="1">
      <c r="A1409" s="5" t="s">
        <v>138</v>
      </c>
      <c r="B1409" s="5">
        <v>12.0</v>
      </c>
      <c r="C1409" s="12" t="s">
        <v>4901</v>
      </c>
      <c r="D1409" s="12" t="s">
        <v>4943</v>
      </c>
      <c r="F1409" s="12" t="s">
        <v>4944</v>
      </c>
      <c r="G1409" s="12" t="s">
        <v>4945</v>
      </c>
      <c r="M1409" s="8">
        <v>51.4733333</v>
      </c>
      <c r="N1409" s="5">
        <v>-121.36</v>
      </c>
      <c r="O1409" s="5" t="s">
        <v>148</v>
      </c>
      <c r="P1409" s="5">
        <v>509.0</v>
      </c>
      <c r="Q1409" s="5">
        <v>6.0</v>
      </c>
      <c r="R1409" s="5" t="s">
        <v>4946</v>
      </c>
      <c r="S1409" s="5" t="s">
        <v>1737</v>
      </c>
      <c r="T1409" s="5">
        <v>1276.0</v>
      </c>
      <c r="W1409" s="5">
        <v>43831.0</v>
      </c>
      <c r="X1409" s="5" t="s">
        <v>1738</v>
      </c>
      <c r="AK1409" s="9"/>
      <c r="AO1409" s="5" t="s">
        <v>4947</v>
      </c>
      <c r="AP1409" s="5">
        <v>509.0</v>
      </c>
      <c r="AQ1409" s="5" t="s">
        <v>3003</v>
      </c>
      <c r="AR1409" s="5" t="s">
        <v>1701</v>
      </c>
      <c r="AS1409" s="5" t="s">
        <v>2257</v>
      </c>
      <c r="AT1409" s="5" t="s">
        <v>2442</v>
      </c>
      <c r="AU1409" s="5" t="s">
        <v>2443</v>
      </c>
      <c r="AV1409" s="5" t="s">
        <v>1720</v>
      </c>
      <c r="AW1409" s="5" t="s">
        <v>2193</v>
      </c>
      <c r="AX1409" s="5" t="s">
        <v>2287</v>
      </c>
      <c r="AY1409" s="5">
        <v>51.4733</v>
      </c>
      <c r="AZ1409" s="5">
        <v>-121.36</v>
      </c>
      <c r="BA1409" s="5">
        <v>1276.0</v>
      </c>
    </row>
    <row r="1410" ht="14.25" customHeight="1">
      <c r="A1410" s="5" t="s">
        <v>422</v>
      </c>
      <c r="B1410" s="5">
        <v>12.0</v>
      </c>
      <c r="C1410" s="5" t="s">
        <v>1707</v>
      </c>
      <c r="D1410" s="5" t="s">
        <v>4948</v>
      </c>
      <c r="E1410" s="5">
        <v>13135.0</v>
      </c>
      <c r="G1410" s="5" t="s">
        <v>4949</v>
      </c>
      <c r="H1410" s="5" t="s">
        <v>4950</v>
      </c>
      <c r="I1410" s="5" t="s">
        <v>49</v>
      </c>
      <c r="J1410" s="5" t="s">
        <v>4951</v>
      </c>
      <c r="K1410" s="5">
        <v>1.0</v>
      </c>
      <c r="L1410" s="5">
        <v>15057.0</v>
      </c>
      <c r="M1410" s="8"/>
      <c r="AK1410" s="9"/>
    </row>
    <row r="1411" ht="14.25" customHeight="1">
      <c r="A1411" s="5" t="s">
        <v>422</v>
      </c>
      <c r="B1411" s="5">
        <v>12.0</v>
      </c>
      <c r="C1411" s="5" t="s">
        <v>1707</v>
      </c>
      <c r="D1411" s="5" t="s">
        <v>4952</v>
      </c>
      <c r="E1411" s="5">
        <v>13136.0</v>
      </c>
      <c r="G1411" s="5" t="s">
        <v>4953</v>
      </c>
      <c r="H1411" s="5" t="s">
        <v>4950</v>
      </c>
      <c r="I1411" s="5" t="s">
        <v>49</v>
      </c>
      <c r="J1411" s="5" t="s">
        <v>4951</v>
      </c>
      <c r="K1411" s="5">
        <v>1.0</v>
      </c>
      <c r="L1411" s="5">
        <v>15058.0</v>
      </c>
      <c r="M1411" s="8"/>
      <c r="AK1411" s="9"/>
    </row>
    <row r="1412" ht="14.25" customHeight="1">
      <c r="A1412" s="5" t="s">
        <v>422</v>
      </c>
      <c r="B1412" s="5">
        <v>12.0</v>
      </c>
      <c r="C1412" s="5" t="s">
        <v>1707</v>
      </c>
      <c r="D1412" s="5" t="s">
        <v>4954</v>
      </c>
      <c r="E1412" s="5">
        <v>13137.0</v>
      </c>
      <c r="G1412" s="5" t="s">
        <v>4955</v>
      </c>
      <c r="H1412" s="5" t="s">
        <v>4950</v>
      </c>
      <c r="I1412" s="5" t="s">
        <v>49</v>
      </c>
      <c r="J1412" s="5" t="s">
        <v>4951</v>
      </c>
      <c r="K1412" s="5">
        <v>1.0</v>
      </c>
      <c r="L1412" s="5">
        <v>15059.0</v>
      </c>
      <c r="M1412" s="8"/>
      <c r="AK1412" s="9"/>
    </row>
    <row r="1413" ht="14.25" customHeight="1">
      <c r="A1413" s="5" t="s">
        <v>422</v>
      </c>
      <c r="B1413" s="5">
        <v>12.0</v>
      </c>
      <c r="C1413" s="5" t="s">
        <v>1707</v>
      </c>
      <c r="D1413" s="5" t="s">
        <v>4956</v>
      </c>
      <c r="E1413" s="5">
        <v>13138.0</v>
      </c>
      <c r="G1413" s="5" t="s">
        <v>4957</v>
      </c>
      <c r="H1413" s="5" t="s">
        <v>4950</v>
      </c>
      <c r="I1413" s="5" t="s">
        <v>49</v>
      </c>
      <c r="J1413" s="5" t="s">
        <v>4951</v>
      </c>
      <c r="K1413" s="5">
        <v>1.0</v>
      </c>
      <c r="L1413" s="5">
        <v>15060.0</v>
      </c>
      <c r="M1413" s="8"/>
      <c r="AK1413" s="9"/>
    </row>
    <row r="1414" ht="14.25" customHeight="1">
      <c r="A1414" s="5" t="s">
        <v>422</v>
      </c>
      <c r="B1414" s="5">
        <v>12.0</v>
      </c>
      <c r="C1414" s="5" t="s">
        <v>1707</v>
      </c>
      <c r="D1414" s="5" t="s">
        <v>4958</v>
      </c>
      <c r="E1414" s="5">
        <v>13139.0</v>
      </c>
      <c r="G1414" s="5" t="s">
        <v>4959</v>
      </c>
      <c r="H1414" s="5" t="s">
        <v>4950</v>
      </c>
      <c r="I1414" s="5" t="s">
        <v>49</v>
      </c>
      <c r="J1414" s="5" t="s">
        <v>4951</v>
      </c>
      <c r="K1414" s="5">
        <v>1.0</v>
      </c>
      <c r="L1414" s="5">
        <v>15061.0</v>
      </c>
      <c r="M1414" s="8"/>
      <c r="AK1414" s="9"/>
    </row>
    <row r="1415" ht="14.25" customHeight="1">
      <c r="A1415" s="5" t="s">
        <v>422</v>
      </c>
      <c r="B1415" s="5">
        <v>12.0</v>
      </c>
      <c r="C1415" s="5" t="s">
        <v>1707</v>
      </c>
      <c r="D1415" s="5" t="s">
        <v>4960</v>
      </c>
      <c r="E1415" s="5">
        <v>13140.0</v>
      </c>
      <c r="G1415" s="5" t="s">
        <v>4961</v>
      </c>
      <c r="H1415" s="5" t="s">
        <v>4950</v>
      </c>
      <c r="I1415" s="5" t="s">
        <v>49</v>
      </c>
      <c r="J1415" s="5" t="s">
        <v>4951</v>
      </c>
      <c r="K1415" s="5">
        <v>1.0</v>
      </c>
      <c r="L1415" s="5">
        <v>15062.0</v>
      </c>
      <c r="M1415" s="8"/>
      <c r="AK1415" s="9"/>
      <c r="AO1415" s="27"/>
    </row>
    <row r="1416" ht="14.25" customHeight="1">
      <c r="A1416" s="5" t="s">
        <v>422</v>
      </c>
      <c r="B1416" s="5">
        <v>12.0</v>
      </c>
      <c r="C1416" s="5" t="s">
        <v>1707</v>
      </c>
      <c r="D1416" s="5" t="s">
        <v>4962</v>
      </c>
      <c r="E1416" s="5">
        <v>13141.0</v>
      </c>
      <c r="G1416" s="5" t="s">
        <v>4963</v>
      </c>
      <c r="H1416" s="5" t="s">
        <v>4950</v>
      </c>
      <c r="I1416" s="5" t="s">
        <v>49</v>
      </c>
      <c r="J1416" s="5" t="s">
        <v>4951</v>
      </c>
      <c r="K1416" s="5">
        <v>1.0</v>
      </c>
      <c r="L1416" s="5">
        <v>15063.0</v>
      </c>
      <c r="M1416" s="8"/>
      <c r="AK1416" s="9"/>
      <c r="AO1416" s="50" t="s">
        <v>4964</v>
      </c>
      <c r="AP1416" s="50">
        <v>95.0</v>
      </c>
      <c r="AQ1416" s="50" t="s">
        <v>1716</v>
      </c>
      <c r="AR1416" s="50" t="s">
        <v>2441</v>
      </c>
      <c r="AS1416" s="50" t="s">
        <v>1702</v>
      </c>
      <c r="AT1416" s="50" t="s">
        <v>1703</v>
      </c>
      <c r="AU1416" s="50" t="s">
        <v>1704</v>
      </c>
      <c r="AV1416" s="50" t="s">
        <v>1702</v>
      </c>
      <c r="AW1416" s="50" t="s">
        <v>1705</v>
      </c>
      <c r="AX1416" s="50" t="s">
        <v>1952</v>
      </c>
      <c r="AY1416" s="50">
        <v>54.2</v>
      </c>
      <c r="AZ1416" s="50">
        <v>-133.0</v>
      </c>
      <c r="BA1416" s="50">
        <v>41.0</v>
      </c>
    </row>
    <row r="1417" ht="14.25" customHeight="1">
      <c r="A1417" s="5" t="s">
        <v>422</v>
      </c>
      <c r="B1417" s="5">
        <v>12.0</v>
      </c>
      <c r="C1417" s="5" t="s">
        <v>1707</v>
      </c>
      <c r="D1417" s="5" t="s">
        <v>4965</v>
      </c>
      <c r="E1417" s="5">
        <v>13142.0</v>
      </c>
      <c r="G1417" s="5" t="s">
        <v>4966</v>
      </c>
      <c r="H1417" s="5" t="s">
        <v>4950</v>
      </c>
      <c r="I1417" s="5" t="s">
        <v>49</v>
      </c>
      <c r="J1417" s="5" t="s">
        <v>4951</v>
      </c>
      <c r="K1417" s="5">
        <v>1.0</v>
      </c>
      <c r="L1417" s="5">
        <v>15064.0</v>
      </c>
      <c r="M1417" s="8"/>
      <c r="AK1417" s="9"/>
      <c r="AO1417" s="50" t="s">
        <v>4967</v>
      </c>
      <c r="AP1417" s="50">
        <v>92.0</v>
      </c>
      <c r="AQ1417" s="50" t="s">
        <v>1716</v>
      </c>
      <c r="AR1417" s="50" t="s">
        <v>2441</v>
      </c>
      <c r="AS1417" s="50" t="s">
        <v>1702</v>
      </c>
      <c r="AT1417" s="50" t="s">
        <v>1703</v>
      </c>
      <c r="AU1417" s="50" t="s">
        <v>1704</v>
      </c>
      <c r="AV1417" s="50" t="s">
        <v>1702</v>
      </c>
      <c r="AW1417" s="50" t="s">
        <v>1705</v>
      </c>
      <c r="AX1417" s="50" t="s">
        <v>1965</v>
      </c>
      <c r="AY1417" s="50">
        <v>52.3</v>
      </c>
      <c r="AZ1417" s="50">
        <v>-128.7</v>
      </c>
      <c r="BA1417" s="50">
        <v>26.0</v>
      </c>
    </row>
    <row r="1418" ht="14.25" customHeight="1">
      <c r="A1418" s="5" t="s">
        <v>4968</v>
      </c>
      <c r="B1418" s="5">
        <v>9.0</v>
      </c>
      <c r="C1418" s="5" t="s">
        <v>4969</v>
      </c>
      <c r="D1418" s="10" t="s">
        <v>4970</v>
      </c>
      <c r="E1418" s="5">
        <v>13010.0</v>
      </c>
      <c r="F1418" s="12" t="s">
        <v>4971</v>
      </c>
      <c r="G1418" s="5" t="s">
        <v>4972</v>
      </c>
      <c r="H1418" s="5" t="s">
        <v>4973</v>
      </c>
      <c r="I1418" s="5" t="s">
        <v>49</v>
      </c>
      <c r="J1418" s="5" t="s">
        <v>4974</v>
      </c>
      <c r="K1418" s="5">
        <v>1.0</v>
      </c>
      <c r="L1418" s="5">
        <v>14942.0</v>
      </c>
      <c r="M1418" s="8"/>
      <c r="V1418" s="11"/>
      <c r="W1418" s="11"/>
      <c r="X1418" s="11"/>
      <c r="Y1418" s="11"/>
      <c r="Z1418" s="72"/>
      <c r="AA1418" s="11"/>
      <c r="AB1418" s="13"/>
      <c r="AC1418" s="11"/>
      <c r="AK1418" s="9"/>
    </row>
    <row r="1419" ht="14.25" customHeight="1">
      <c r="A1419" s="5" t="s">
        <v>4968</v>
      </c>
      <c r="B1419" s="5">
        <v>9.0</v>
      </c>
      <c r="C1419" s="5" t="s">
        <v>4969</v>
      </c>
      <c r="D1419" s="10" t="s">
        <v>4975</v>
      </c>
      <c r="E1419" s="5">
        <v>12947.0</v>
      </c>
      <c r="F1419" s="12" t="s">
        <v>4976</v>
      </c>
      <c r="G1419" s="5" t="s">
        <v>4977</v>
      </c>
      <c r="H1419" s="5" t="s">
        <v>4978</v>
      </c>
      <c r="I1419" s="5" t="s">
        <v>49</v>
      </c>
      <c r="J1419" s="5" t="s">
        <v>4979</v>
      </c>
      <c r="K1419" s="5">
        <v>1.0</v>
      </c>
      <c r="L1419" s="5">
        <v>14879.0</v>
      </c>
      <c r="M1419" s="8"/>
      <c r="V1419" s="11"/>
      <c r="W1419" s="11"/>
      <c r="X1419" s="11"/>
      <c r="Y1419" s="11"/>
      <c r="Z1419" s="72"/>
      <c r="AA1419" s="11"/>
      <c r="AB1419" s="13"/>
      <c r="AC1419" s="11"/>
      <c r="AK1419" s="9"/>
    </row>
    <row r="1420" ht="14.25" customHeight="1">
      <c r="A1420" s="5" t="s">
        <v>4980</v>
      </c>
      <c r="B1420" s="5">
        <v>9.0</v>
      </c>
      <c r="C1420" s="5" t="s">
        <v>4969</v>
      </c>
      <c r="D1420" s="10" t="s">
        <v>4981</v>
      </c>
      <c r="E1420" s="5">
        <v>12939.0</v>
      </c>
      <c r="F1420" s="51" t="s">
        <v>4976</v>
      </c>
      <c r="G1420" s="5" t="s">
        <v>4977</v>
      </c>
      <c r="H1420" s="5" t="s">
        <v>4982</v>
      </c>
      <c r="I1420" s="5" t="s">
        <v>49</v>
      </c>
      <c r="J1420" s="5" t="s">
        <v>4983</v>
      </c>
      <c r="K1420" s="5">
        <v>1.0</v>
      </c>
      <c r="L1420" s="5">
        <v>14871.0</v>
      </c>
      <c r="M1420" s="8"/>
      <c r="AK1420" s="9"/>
    </row>
    <row r="1421" ht="14.25" customHeight="1">
      <c r="A1421" s="5" t="s">
        <v>4984</v>
      </c>
      <c r="B1421" s="5">
        <v>9.0</v>
      </c>
      <c r="C1421" s="5" t="s">
        <v>4969</v>
      </c>
      <c r="D1421" s="10" t="s">
        <v>4985</v>
      </c>
      <c r="E1421" s="5">
        <v>12950.0</v>
      </c>
      <c r="F1421" s="12" t="s">
        <v>4986</v>
      </c>
      <c r="G1421" s="10" t="s">
        <v>4987</v>
      </c>
      <c r="H1421" s="5" t="s">
        <v>4978</v>
      </c>
      <c r="I1421" s="5" t="s">
        <v>49</v>
      </c>
      <c r="J1421" s="5" t="s">
        <v>4974</v>
      </c>
      <c r="K1421" s="5">
        <v>1.0</v>
      </c>
      <c r="L1421" s="5">
        <v>14882.0</v>
      </c>
      <c r="M1421" s="8"/>
      <c r="V1421" s="11"/>
      <c r="W1421" s="11"/>
      <c r="X1421" s="11"/>
      <c r="Y1421" s="11"/>
      <c r="Z1421" s="72"/>
      <c r="AA1421" s="11"/>
      <c r="AB1421" s="13"/>
      <c r="AC1421" s="11"/>
      <c r="AK1421" s="9"/>
    </row>
    <row r="1422" ht="14.25" customHeight="1">
      <c r="A1422" s="5" t="s">
        <v>4988</v>
      </c>
      <c r="B1422" s="5">
        <v>9.0</v>
      </c>
      <c r="C1422" s="5" t="s">
        <v>4969</v>
      </c>
      <c r="D1422" s="5" t="s">
        <v>4989</v>
      </c>
      <c r="E1422" s="5">
        <v>12941.0</v>
      </c>
      <c r="F1422" s="51" t="s">
        <v>4990</v>
      </c>
      <c r="G1422" s="5" t="s">
        <v>127</v>
      </c>
      <c r="H1422" s="5" t="s">
        <v>84</v>
      </c>
      <c r="I1422" s="5" t="s">
        <v>49</v>
      </c>
      <c r="K1422" s="5">
        <v>1.0</v>
      </c>
      <c r="L1422" s="5">
        <v>14873.0</v>
      </c>
      <c r="M1422" s="8"/>
      <c r="AK1422" s="9"/>
    </row>
    <row r="1423" ht="14.25" customHeight="1">
      <c r="A1423" s="5" t="s">
        <v>4984</v>
      </c>
      <c r="B1423" s="5">
        <v>9.0</v>
      </c>
      <c r="C1423" s="5" t="s">
        <v>4969</v>
      </c>
      <c r="D1423" s="10" t="s">
        <v>4991</v>
      </c>
      <c r="E1423" s="5">
        <v>13025.0</v>
      </c>
      <c r="F1423" s="12" t="s">
        <v>4992</v>
      </c>
      <c r="G1423" s="10" t="s">
        <v>4993</v>
      </c>
      <c r="H1423" s="5" t="s">
        <v>4994</v>
      </c>
      <c r="I1423" s="5" t="s">
        <v>49</v>
      </c>
      <c r="J1423" s="5" t="s">
        <v>4979</v>
      </c>
      <c r="K1423" s="5">
        <v>1.0</v>
      </c>
      <c r="L1423" s="5">
        <v>14957.0</v>
      </c>
      <c r="M1423" s="8"/>
      <c r="V1423" s="11"/>
      <c r="W1423" s="11"/>
      <c r="X1423" s="11"/>
      <c r="Y1423" s="11"/>
      <c r="Z1423" s="72"/>
      <c r="AA1423" s="11"/>
      <c r="AB1423" s="13"/>
      <c r="AC1423" s="11"/>
      <c r="AK1423" s="9"/>
    </row>
    <row r="1424" ht="14.25" customHeight="1">
      <c r="A1424" s="5" t="s">
        <v>422</v>
      </c>
      <c r="B1424" s="5">
        <v>9.0</v>
      </c>
      <c r="C1424" s="5" t="s">
        <v>4969</v>
      </c>
      <c r="D1424" s="5" t="s">
        <v>4995</v>
      </c>
      <c r="E1424" s="5">
        <v>12946.0</v>
      </c>
      <c r="F1424" s="51" t="s">
        <v>4996</v>
      </c>
      <c r="G1424" s="5" t="s">
        <v>127</v>
      </c>
      <c r="H1424" s="5" t="s">
        <v>84</v>
      </c>
      <c r="I1424" s="5" t="s">
        <v>49</v>
      </c>
      <c r="K1424" s="5">
        <v>1.0</v>
      </c>
      <c r="L1424" s="5">
        <v>14878.0</v>
      </c>
      <c r="M1424" s="8"/>
      <c r="AK1424" s="9"/>
    </row>
    <row r="1425" ht="14.25" customHeight="1">
      <c r="A1425" s="5" t="s">
        <v>4980</v>
      </c>
      <c r="B1425" s="5">
        <v>9.0</v>
      </c>
      <c r="C1425" s="5" t="s">
        <v>4969</v>
      </c>
      <c r="D1425" s="10" t="s">
        <v>4997</v>
      </c>
      <c r="E1425" s="5">
        <v>12938.0</v>
      </c>
      <c r="F1425" s="51" t="s">
        <v>4998</v>
      </c>
      <c r="G1425" s="5" t="s">
        <v>4999</v>
      </c>
      <c r="H1425" s="5" t="s">
        <v>5000</v>
      </c>
      <c r="I1425" s="5" t="s">
        <v>49</v>
      </c>
      <c r="J1425" s="5" t="s">
        <v>4983</v>
      </c>
      <c r="K1425" s="5">
        <v>1.0</v>
      </c>
      <c r="L1425" s="5">
        <v>14870.0</v>
      </c>
      <c r="M1425" s="8"/>
      <c r="V1425" s="11"/>
      <c r="W1425" s="11"/>
      <c r="X1425" s="11"/>
      <c r="Y1425" s="11"/>
      <c r="Z1425" s="72"/>
      <c r="AA1425" s="11"/>
      <c r="AB1425" s="13"/>
      <c r="AC1425" s="11"/>
      <c r="AK1425" s="9"/>
    </row>
    <row r="1426" ht="14.25" customHeight="1">
      <c r="A1426" s="5" t="s">
        <v>3107</v>
      </c>
      <c r="B1426" s="5">
        <v>9.0</v>
      </c>
      <c r="C1426" s="10" t="s">
        <v>5001</v>
      </c>
      <c r="D1426" s="10" t="s">
        <v>5002</v>
      </c>
      <c r="E1426" s="5">
        <v>13014.0</v>
      </c>
      <c r="F1426" s="12" t="s">
        <v>5003</v>
      </c>
      <c r="G1426" s="10" t="s">
        <v>5004</v>
      </c>
      <c r="H1426" s="5" t="s">
        <v>5005</v>
      </c>
      <c r="I1426" s="5" t="s">
        <v>49</v>
      </c>
      <c r="J1426" s="5" t="s">
        <v>4979</v>
      </c>
      <c r="K1426" s="5">
        <v>1.0</v>
      </c>
      <c r="L1426" s="5">
        <v>14946.0</v>
      </c>
      <c r="M1426" s="8"/>
      <c r="V1426" s="11"/>
      <c r="W1426" s="11"/>
      <c r="X1426" s="11"/>
      <c r="Y1426" s="11"/>
      <c r="Z1426" s="72"/>
      <c r="AA1426" s="11"/>
      <c r="AB1426" s="13"/>
      <c r="AC1426" s="11"/>
      <c r="AK1426" s="9"/>
    </row>
    <row r="1427" ht="14.25" customHeight="1">
      <c r="A1427" s="5" t="s">
        <v>4984</v>
      </c>
      <c r="B1427" s="5">
        <v>9.0</v>
      </c>
      <c r="C1427" s="5" t="s">
        <v>4969</v>
      </c>
      <c r="D1427" s="10" t="s">
        <v>5006</v>
      </c>
      <c r="E1427" s="5">
        <v>13006.0</v>
      </c>
      <c r="F1427" s="12" t="s">
        <v>5007</v>
      </c>
      <c r="G1427" s="10" t="s">
        <v>5008</v>
      </c>
      <c r="H1427" s="5" t="s">
        <v>5009</v>
      </c>
      <c r="I1427" s="5" t="s">
        <v>49</v>
      </c>
      <c r="J1427" s="5" t="s">
        <v>4979</v>
      </c>
      <c r="K1427" s="5">
        <v>1.0</v>
      </c>
      <c r="L1427" s="5">
        <v>14938.0</v>
      </c>
      <c r="M1427" s="8"/>
      <c r="V1427" s="11"/>
      <c r="W1427" s="11"/>
      <c r="X1427" s="11"/>
      <c r="Y1427" s="11"/>
      <c r="Z1427" s="72"/>
      <c r="AA1427" s="11"/>
      <c r="AB1427" s="13"/>
      <c r="AC1427" s="11"/>
      <c r="AK1427" s="9"/>
    </row>
    <row r="1428" ht="14.25" customHeight="1">
      <c r="A1428" s="5" t="s">
        <v>5010</v>
      </c>
      <c r="B1428" s="5">
        <v>9.0</v>
      </c>
      <c r="C1428" s="5" t="s">
        <v>4969</v>
      </c>
      <c r="D1428" s="5" t="s">
        <v>5011</v>
      </c>
      <c r="E1428" s="5">
        <v>12944.0</v>
      </c>
      <c r="F1428" s="51" t="s">
        <v>5012</v>
      </c>
      <c r="G1428" s="5" t="s">
        <v>127</v>
      </c>
      <c r="H1428" s="5" t="s">
        <v>84</v>
      </c>
      <c r="I1428" s="5" t="s">
        <v>49</v>
      </c>
      <c r="K1428" s="5">
        <v>1.0</v>
      </c>
      <c r="L1428" s="5">
        <v>14876.0</v>
      </c>
      <c r="M1428" s="8"/>
      <c r="AK1428" s="9"/>
    </row>
    <row r="1429" ht="14.25" customHeight="1">
      <c r="A1429" s="5" t="s">
        <v>4984</v>
      </c>
      <c r="B1429" s="5">
        <v>9.0</v>
      </c>
      <c r="C1429" s="5" t="s">
        <v>4969</v>
      </c>
      <c r="D1429" s="10" t="s">
        <v>5013</v>
      </c>
      <c r="E1429" s="5">
        <v>13005.0</v>
      </c>
      <c r="F1429" s="12" t="s">
        <v>5014</v>
      </c>
      <c r="G1429" s="10" t="s">
        <v>5015</v>
      </c>
      <c r="H1429" s="5" t="s">
        <v>5016</v>
      </c>
      <c r="I1429" s="5" t="s">
        <v>49</v>
      </c>
      <c r="J1429" s="5" t="s">
        <v>4979</v>
      </c>
      <c r="K1429" s="5">
        <v>1.0</v>
      </c>
      <c r="L1429" s="5">
        <v>14937.0</v>
      </c>
      <c r="M1429" s="8"/>
      <c r="V1429" s="11"/>
      <c r="W1429" s="11"/>
      <c r="X1429" s="11"/>
      <c r="Y1429" s="16"/>
      <c r="Z1429" s="72"/>
      <c r="AA1429" s="11"/>
      <c r="AB1429" s="13"/>
      <c r="AC1429" s="11"/>
      <c r="AK1429" s="9"/>
    </row>
    <row r="1430" ht="14.25" customHeight="1">
      <c r="A1430" s="5" t="s">
        <v>4984</v>
      </c>
      <c r="B1430" s="5">
        <v>9.0</v>
      </c>
      <c r="C1430" s="5" t="s">
        <v>4969</v>
      </c>
      <c r="D1430" s="12" t="s">
        <v>5017</v>
      </c>
      <c r="E1430" s="5">
        <v>12948.0</v>
      </c>
      <c r="F1430" s="12" t="s">
        <v>5018</v>
      </c>
      <c r="G1430" s="40" t="s">
        <v>5019</v>
      </c>
      <c r="H1430" s="5" t="s">
        <v>4978</v>
      </c>
      <c r="I1430" s="5" t="s">
        <v>49</v>
      </c>
      <c r="J1430" s="5" t="s">
        <v>4979</v>
      </c>
      <c r="K1430" s="5">
        <v>1.0</v>
      </c>
      <c r="L1430" s="5">
        <v>14880.0</v>
      </c>
      <c r="M1430" s="8"/>
      <c r="V1430" s="11"/>
      <c r="W1430" s="11"/>
      <c r="X1430" s="11"/>
      <c r="Y1430" s="11"/>
      <c r="Z1430" s="72"/>
      <c r="AA1430" s="11"/>
      <c r="AB1430" s="13"/>
      <c r="AC1430" s="11"/>
      <c r="AK1430" s="9"/>
    </row>
    <row r="1431" ht="14.25" customHeight="1">
      <c r="A1431" s="5" t="s">
        <v>4984</v>
      </c>
      <c r="B1431" s="5">
        <v>9.0</v>
      </c>
      <c r="C1431" s="5" t="s">
        <v>4969</v>
      </c>
      <c r="D1431" s="10" t="s">
        <v>5020</v>
      </c>
      <c r="E1431" s="5">
        <v>13087.0</v>
      </c>
      <c r="F1431" s="12" t="s">
        <v>5021</v>
      </c>
      <c r="G1431" s="10" t="s">
        <v>5022</v>
      </c>
      <c r="H1431" s="5" t="s">
        <v>5023</v>
      </c>
      <c r="I1431" s="5" t="s">
        <v>49</v>
      </c>
      <c r="J1431" s="5" t="s">
        <v>4979</v>
      </c>
      <c r="K1431" s="5">
        <v>1.0</v>
      </c>
      <c r="L1431" s="5">
        <v>15009.0</v>
      </c>
      <c r="M1431" s="8"/>
      <c r="V1431" s="11"/>
      <c r="W1431" s="11"/>
      <c r="X1431" s="11"/>
      <c r="Y1431" s="11"/>
      <c r="Z1431" s="72"/>
      <c r="AA1431" s="11"/>
      <c r="AB1431" s="13"/>
      <c r="AC1431" s="11"/>
      <c r="AK1431" s="9"/>
    </row>
    <row r="1432" ht="14.25" customHeight="1">
      <c r="A1432" s="5" t="s">
        <v>4984</v>
      </c>
      <c r="B1432" s="5">
        <v>9.0</v>
      </c>
      <c r="C1432" s="5" t="s">
        <v>4969</v>
      </c>
      <c r="D1432" s="10" t="s">
        <v>5024</v>
      </c>
      <c r="E1432" s="5">
        <v>13088.0</v>
      </c>
      <c r="F1432" s="12" t="s">
        <v>5025</v>
      </c>
      <c r="G1432" s="10" t="s">
        <v>5026</v>
      </c>
      <c r="H1432" s="5" t="s">
        <v>5027</v>
      </c>
      <c r="I1432" s="5" t="s">
        <v>49</v>
      </c>
      <c r="J1432" s="5" t="s">
        <v>4979</v>
      </c>
      <c r="K1432" s="5">
        <v>1.0</v>
      </c>
      <c r="L1432" s="5">
        <v>15010.0</v>
      </c>
      <c r="M1432" s="8"/>
      <c r="V1432" s="11"/>
      <c r="W1432" s="11"/>
      <c r="X1432" s="11"/>
      <c r="Y1432" s="11"/>
      <c r="Z1432" s="72"/>
      <c r="AA1432" s="11"/>
      <c r="AB1432" s="13"/>
      <c r="AC1432" s="11"/>
      <c r="AK1432" s="9"/>
    </row>
    <row r="1433" ht="14.25" customHeight="1">
      <c r="A1433" s="5" t="s">
        <v>4984</v>
      </c>
      <c r="B1433" s="5">
        <v>9.0</v>
      </c>
      <c r="C1433" s="5" t="s">
        <v>4969</v>
      </c>
      <c r="D1433" s="10" t="s">
        <v>5028</v>
      </c>
      <c r="E1433" s="5">
        <v>13037.0</v>
      </c>
      <c r="F1433" s="12" t="s">
        <v>5029</v>
      </c>
      <c r="G1433" s="10" t="s">
        <v>5030</v>
      </c>
      <c r="H1433" s="5" t="s">
        <v>5031</v>
      </c>
      <c r="I1433" s="5" t="s">
        <v>49</v>
      </c>
      <c r="J1433" s="5" t="s">
        <v>4979</v>
      </c>
      <c r="K1433" s="5">
        <v>1.0</v>
      </c>
      <c r="L1433" s="5">
        <v>14969.0</v>
      </c>
      <c r="M1433" s="8"/>
      <c r="V1433" s="11"/>
      <c r="W1433" s="11"/>
      <c r="X1433" s="11"/>
      <c r="Y1433" s="11"/>
      <c r="Z1433" s="72"/>
      <c r="AA1433" s="11"/>
      <c r="AB1433" s="13"/>
      <c r="AC1433" s="11"/>
      <c r="AK1433" s="9"/>
    </row>
    <row r="1434" ht="14.25" customHeight="1">
      <c r="A1434" s="5" t="s">
        <v>5032</v>
      </c>
      <c r="B1434" s="5">
        <v>9.0</v>
      </c>
      <c r="C1434" s="5" t="s">
        <v>4969</v>
      </c>
      <c r="D1434" s="10" t="s">
        <v>5033</v>
      </c>
      <c r="E1434" s="5">
        <v>2587.0</v>
      </c>
      <c r="F1434" s="5" t="s">
        <v>5034</v>
      </c>
      <c r="G1434" s="5" t="s">
        <v>5035</v>
      </c>
      <c r="H1434" s="5" t="s">
        <v>5036</v>
      </c>
      <c r="I1434" s="5" t="s">
        <v>641</v>
      </c>
      <c r="J1434" s="5" t="s">
        <v>5037</v>
      </c>
      <c r="K1434" s="5">
        <v>1.0</v>
      </c>
      <c r="L1434" s="5">
        <v>2990.0</v>
      </c>
      <c r="M1434" s="8"/>
      <c r="V1434" s="11"/>
      <c r="W1434" s="11"/>
      <c r="X1434" s="11"/>
      <c r="Y1434" s="11"/>
      <c r="Z1434" s="72"/>
      <c r="AA1434" s="11"/>
      <c r="AB1434" s="13"/>
      <c r="AC1434" s="11"/>
      <c r="AK1434" s="9"/>
    </row>
    <row r="1435" ht="14.25" customHeight="1">
      <c r="A1435" s="6" t="s">
        <v>5038</v>
      </c>
      <c r="B1435" s="5">
        <v>9.0</v>
      </c>
      <c r="C1435" s="10" t="s">
        <v>5039</v>
      </c>
      <c r="D1435" s="10" t="s">
        <v>5040</v>
      </c>
      <c r="E1435" s="5">
        <v>12074.0</v>
      </c>
      <c r="F1435" s="5" t="s">
        <v>5041</v>
      </c>
      <c r="G1435" s="5" t="s">
        <v>5042</v>
      </c>
      <c r="H1435" s="5" t="s">
        <v>84</v>
      </c>
      <c r="I1435" s="5" t="s">
        <v>641</v>
      </c>
      <c r="K1435" s="5">
        <v>1.0</v>
      </c>
      <c r="L1435" s="5">
        <v>14130.0</v>
      </c>
      <c r="M1435" s="8"/>
      <c r="AK1435" s="9"/>
    </row>
    <row r="1436" ht="14.25" customHeight="1">
      <c r="A1436" s="5" t="s">
        <v>5043</v>
      </c>
      <c r="B1436" s="5">
        <v>9.0</v>
      </c>
      <c r="C1436" s="10" t="s">
        <v>5039</v>
      </c>
      <c r="D1436" s="10" t="s">
        <v>5044</v>
      </c>
      <c r="E1436" s="5">
        <v>2633.0</v>
      </c>
      <c r="F1436" s="5" t="s">
        <v>5045</v>
      </c>
      <c r="G1436" s="5" t="s">
        <v>5046</v>
      </c>
      <c r="H1436" s="5" t="s">
        <v>5047</v>
      </c>
      <c r="I1436" s="5" t="s">
        <v>641</v>
      </c>
      <c r="J1436" s="5" t="s">
        <v>5048</v>
      </c>
      <c r="K1436" s="5">
        <v>1.0</v>
      </c>
      <c r="L1436" s="5">
        <v>3036.0</v>
      </c>
      <c r="M1436" s="8"/>
      <c r="V1436" s="11"/>
      <c r="W1436" s="11"/>
      <c r="X1436" s="11"/>
      <c r="Y1436" s="11"/>
      <c r="Z1436" s="72"/>
      <c r="AA1436" s="11"/>
      <c r="AB1436" s="13"/>
      <c r="AC1436" s="11"/>
      <c r="AK1436" s="9"/>
    </row>
    <row r="1437" ht="14.25" customHeight="1">
      <c r="A1437" s="6" t="s">
        <v>5049</v>
      </c>
      <c r="B1437" s="5">
        <v>9.0</v>
      </c>
      <c r="C1437" s="5" t="s">
        <v>5039</v>
      </c>
      <c r="D1437" s="5" t="s">
        <v>5050</v>
      </c>
      <c r="E1437" s="5">
        <v>2630.0</v>
      </c>
      <c r="F1437" s="5" t="s">
        <v>5051</v>
      </c>
      <c r="G1437" s="5" t="s">
        <v>5052</v>
      </c>
      <c r="H1437" s="5" t="s">
        <v>84</v>
      </c>
      <c r="I1437" s="5" t="s">
        <v>641</v>
      </c>
      <c r="K1437" s="5">
        <v>1.0</v>
      </c>
      <c r="L1437" s="5">
        <v>3033.0</v>
      </c>
      <c r="M1437" s="8"/>
      <c r="AK1437" s="9"/>
    </row>
    <row r="1438" ht="14.25" customHeight="1">
      <c r="A1438" s="6" t="s">
        <v>422</v>
      </c>
      <c r="B1438" s="5">
        <v>9.0</v>
      </c>
      <c r="C1438" s="5" t="s">
        <v>5039</v>
      </c>
      <c r="D1438" s="5" t="s">
        <v>5053</v>
      </c>
      <c r="E1438" s="5">
        <v>12077.0</v>
      </c>
      <c r="F1438" s="5" t="s">
        <v>5054</v>
      </c>
      <c r="G1438" s="5" t="s">
        <v>5055</v>
      </c>
      <c r="H1438" s="5" t="s">
        <v>84</v>
      </c>
      <c r="I1438" s="5" t="s">
        <v>641</v>
      </c>
      <c r="K1438" s="5">
        <v>1.0</v>
      </c>
      <c r="L1438" s="5">
        <v>14133.0</v>
      </c>
      <c r="M1438" s="8"/>
      <c r="V1438" s="11"/>
      <c r="W1438" s="11"/>
      <c r="X1438" s="11"/>
      <c r="Y1438" s="11"/>
      <c r="Z1438" s="72"/>
      <c r="AA1438" s="11"/>
      <c r="AB1438" s="13"/>
      <c r="AC1438" s="11"/>
      <c r="AK1438" s="9"/>
    </row>
    <row r="1439" ht="14.25" customHeight="1">
      <c r="A1439" s="5" t="s">
        <v>5032</v>
      </c>
      <c r="B1439" s="5">
        <v>9.0</v>
      </c>
      <c r="C1439" s="11" t="s">
        <v>4969</v>
      </c>
      <c r="D1439" s="10" t="s">
        <v>5056</v>
      </c>
      <c r="E1439" s="5">
        <v>1560.0</v>
      </c>
      <c r="F1439" s="5" t="s">
        <v>5057</v>
      </c>
      <c r="G1439" s="5" t="s">
        <v>5058</v>
      </c>
      <c r="H1439" s="5" t="s">
        <v>5059</v>
      </c>
      <c r="I1439" s="5" t="s">
        <v>641</v>
      </c>
      <c r="J1439" s="5" t="s">
        <v>5060</v>
      </c>
      <c r="K1439" s="5">
        <v>1.0</v>
      </c>
      <c r="L1439" s="5">
        <v>1963.0</v>
      </c>
      <c r="M1439" s="8"/>
      <c r="V1439" s="11"/>
      <c r="W1439" s="11"/>
      <c r="X1439" s="11"/>
      <c r="Y1439" s="11"/>
      <c r="Z1439" s="72"/>
      <c r="AA1439" s="11"/>
      <c r="AB1439" s="13"/>
      <c r="AC1439" s="11"/>
      <c r="AK1439" s="9"/>
    </row>
    <row r="1440" ht="14.25" customHeight="1">
      <c r="A1440" s="6" t="s">
        <v>5061</v>
      </c>
      <c r="B1440" s="5">
        <v>9.0</v>
      </c>
      <c r="C1440" s="10" t="s">
        <v>5039</v>
      </c>
      <c r="D1440" s="10" t="s">
        <v>5062</v>
      </c>
      <c r="E1440" s="5">
        <v>2628.0</v>
      </c>
      <c r="F1440" s="5" t="s">
        <v>729</v>
      </c>
      <c r="G1440" s="10" t="s">
        <v>5063</v>
      </c>
      <c r="H1440" s="5" t="s">
        <v>84</v>
      </c>
      <c r="I1440" s="5" t="s">
        <v>641</v>
      </c>
      <c r="K1440" s="5">
        <v>1.0</v>
      </c>
      <c r="L1440" s="5">
        <v>3031.0</v>
      </c>
      <c r="M1440" s="8"/>
      <c r="V1440" s="11"/>
      <c r="W1440" s="11"/>
      <c r="X1440" s="11"/>
      <c r="Y1440" s="11"/>
      <c r="Z1440" s="72"/>
      <c r="AA1440" s="11"/>
      <c r="AB1440" s="13"/>
      <c r="AC1440" s="11"/>
      <c r="AK1440" s="9"/>
    </row>
    <row r="1441" ht="14.25" customHeight="1">
      <c r="A1441" s="5" t="s">
        <v>5064</v>
      </c>
      <c r="B1441" s="5">
        <v>9.0</v>
      </c>
      <c r="C1441" s="5" t="s">
        <v>4969</v>
      </c>
      <c r="D1441" s="10" t="s">
        <v>5065</v>
      </c>
      <c r="E1441" s="5">
        <v>12083.0</v>
      </c>
      <c r="F1441" s="5" t="s">
        <v>5066</v>
      </c>
      <c r="G1441" s="5" t="s">
        <v>5067</v>
      </c>
      <c r="H1441" s="5" t="s">
        <v>5068</v>
      </c>
      <c r="I1441" s="5" t="s">
        <v>641</v>
      </c>
      <c r="J1441" s="5" t="s">
        <v>5037</v>
      </c>
      <c r="K1441" s="5">
        <v>1.0</v>
      </c>
      <c r="L1441" s="5">
        <v>14139.0</v>
      </c>
      <c r="M1441" s="8"/>
      <c r="V1441" s="11"/>
      <c r="W1441" s="11"/>
      <c r="X1441" s="11"/>
      <c r="Y1441" s="11"/>
      <c r="Z1441" s="72"/>
      <c r="AA1441" s="11"/>
      <c r="AB1441" s="13"/>
      <c r="AC1441" s="11"/>
      <c r="AK1441" s="9"/>
    </row>
    <row r="1442" ht="14.25" customHeight="1">
      <c r="A1442" s="5" t="s">
        <v>5064</v>
      </c>
      <c r="B1442" s="5">
        <v>9.0</v>
      </c>
      <c r="C1442" s="5" t="s">
        <v>4969</v>
      </c>
      <c r="D1442" s="10" t="s">
        <v>5069</v>
      </c>
      <c r="E1442" s="5">
        <v>2609.0</v>
      </c>
      <c r="F1442" s="5" t="s">
        <v>5070</v>
      </c>
      <c r="G1442" s="5" t="s">
        <v>5071</v>
      </c>
      <c r="H1442" s="5" t="s">
        <v>5072</v>
      </c>
      <c r="I1442" s="5" t="s">
        <v>641</v>
      </c>
      <c r="J1442" s="5" t="s">
        <v>5073</v>
      </c>
      <c r="K1442" s="5">
        <v>1.0</v>
      </c>
      <c r="L1442" s="5">
        <v>3012.0</v>
      </c>
      <c r="M1442" s="8"/>
      <c r="V1442" s="11"/>
      <c r="W1442" s="11"/>
      <c r="X1442" s="11"/>
      <c r="Y1442" s="11"/>
      <c r="Z1442" s="72"/>
      <c r="AA1442" s="11"/>
      <c r="AB1442" s="13"/>
      <c r="AC1442" s="11"/>
      <c r="AK1442" s="9"/>
    </row>
    <row r="1443" ht="14.25" customHeight="1">
      <c r="A1443" s="5" t="s">
        <v>422</v>
      </c>
      <c r="B1443" s="5">
        <v>9.0</v>
      </c>
      <c r="C1443" s="5" t="s">
        <v>4969</v>
      </c>
      <c r="D1443" s="5" t="s">
        <v>5074</v>
      </c>
      <c r="E1443" s="5">
        <v>12084.0</v>
      </c>
      <c r="F1443" s="5" t="s">
        <v>5075</v>
      </c>
      <c r="G1443" s="5" t="s">
        <v>5076</v>
      </c>
      <c r="H1443" s="5" t="s">
        <v>5077</v>
      </c>
      <c r="I1443" s="5" t="s">
        <v>641</v>
      </c>
      <c r="J1443" s="5" t="s">
        <v>5078</v>
      </c>
      <c r="K1443" s="5">
        <v>1.0</v>
      </c>
      <c r="L1443" s="5">
        <v>14140.0</v>
      </c>
      <c r="M1443" s="8"/>
      <c r="V1443" s="11"/>
      <c r="W1443" s="11"/>
      <c r="X1443" s="11"/>
      <c r="Y1443" s="11"/>
      <c r="Z1443" s="72"/>
      <c r="AA1443" s="11"/>
      <c r="AB1443" s="13"/>
      <c r="AC1443" s="11"/>
      <c r="AK1443" s="9"/>
    </row>
    <row r="1444" ht="14.25" customHeight="1">
      <c r="A1444" s="5" t="s">
        <v>5032</v>
      </c>
      <c r="B1444" s="5">
        <v>9.0</v>
      </c>
      <c r="C1444" s="5" t="s">
        <v>4969</v>
      </c>
      <c r="D1444" s="10" t="s">
        <v>5079</v>
      </c>
      <c r="E1444" s="5">
        <v>2627.0</v>
      </c>
      <c r="F1444" s="5" t="s">
        <v>5080</v>
      </c>
      <c r="G1444" s="5" t="s">
        <v>5081</v>
      </c>
      <c r="H1444" s="5" t="s">
        <v>5082</v>
      </c>
      <c r="I1444" s="5" t="s">
        <v>641</v>
      </c>
      <c r="J1444" s="5" t="s">
        <v>5083</v>
      </c>
      <c r="K1444" s="5">
        <v>1.0</v>
      </c>
      <c r="L1444" s="5">
        <v>3030.0</v>
      </c>
      <c r="M1444" s="8"/>
      <c r="V1444" s="11"/>
      <c r="W1444" s="11"/>
      <c r="X1444" s="11"/>
      <c r="Y1444" s="11"/>
      <c r="Z1444" s="72"/>
      <c r="AA1444" s="11"/>
      <c r="AB1444" s="13"/>
      <c r="AC1444" s="11"/>
      <c r="AK1444" s="9"/>
    </row>
    <row r="1445" ht="14.25" customHeight="1">
      <c r="A1445" s="5" t="s">
        <v>5032</v>
      </c>
      <c r="B1445" s="5">
        <v>9.0</v>
      </c>
      <c r="C1445" s="5" t="s">
        <v>4969</v>
      </c>
      <c r="D1445" s="10" t="s">
        <v>5084</v>
      </c>
      <c r="E1445" s="5">
        <v>1556.0</v>
      </c>
      <c r="F1445" s="5" t="s">
        <v>5085</v>
      </c>
      <c r="G1445" s="5" t="s">
        <v>5086</v>
      </c>
      <c r="H1445" s="5" t="s">
        <v>5087</v>
      </c>
      <c r="I1445" s="5" t="s">
        <v>641</v>
      </c>
      <c r="J1445" s="5" t="s">
        <v>5037</v>
      </c>
      <c r="K1445" s="5">
        <v>1.0</v>
      </c>
      <c r="L1445" s="5">
        <v>1959.0</v>
      </c>
      <c r="M1445" s="8"/>
      <c r="V1445" s="11"/>
      <c r="W1445" s="11"/>
      <c r="X1445" s="11"/>
      <c r="Y1445" s="11"/>
      <c r="Z1445" s="22"/>
      <c r="AA1445" s="11"/>
      <c r="AB1445" s="13"/>
      <c r="AC1445" s="11"/>
      <c r="AK1445" s="9"/>
    </row>
    <row r="1446" ht="14.25" customHeight="1">
      <c r="A1446" s="6" t="s">
        <v>5088</v>
      </c>
      <c r="B1446" s="5">
        <v>9.0</v>
      </c>
      <c r="C1446" s="5" t="s">
        <v>5039</v>
      </c>
      <c r="D1446" s="5" t="s">
        <v>5089</v>
      </c>
      <c r="E1446" s="5">
        <v>12086.0</v>
      </c>
      <c r="F1446" s="5" t="s">
        <v>5090</v>
      </c>
      <c r="G1446" s="5" t="s">
        <v>5091</v>
      </c>
      <c r="H1446" s="5" t="s">
        <v>84</v>
      </c>
      <c r="I1446" s="5" t="s">
        <v>641</v>
      </c>
      <c r="K1446" s="5">
        <v>1.0</v>
      </c>
      <c r="L1446" s="5">
        <v>14142.0</v>
      </c>
      <c r="M1446" s="8"/>
      <c r="V1446" s="11"/>
      <c r="W1446" s="11"/>
      <c r="X1446" s="11"/>
      <c r="Y1446" s="11"/>
      <c r="Z1446" s="22"/>
      <c r="AA1446" s="11"/>
      <c r="AB1446" s="13"/>
      <c r="AC1446" s="11"/>
      <c r="AK1446" s="9"/>
    </row>
    <row r="1447" ht="14.25" customHeight="1">
      <c r="A1447" s="5" t="s">
        <v>1692</v>
      </c>
      <c r="B1447" s="5">
        <v>9.0</v>
      </c>
      <c r="C1447" s="10" t="s">
        <v>5039</v>
      </c>
      <c r="D1447" s="12" t="s">
        <v>5092</v>
      </c>
      <c r="E1447" s="5">
        <v>12089.0</v>
      </c>
      <c r="F1447" s="5" t="s">
        <v>5093</v>
      </c>
      <c r="G1447" s="10" t="s">
        <v>5094</v>
      </c>
      <c r="H1447" s="5" t="s">
        <v>5095</v>
      </c>
      <c r="I1447" s="5" t="s">
        <v>641</v>
      </c>
      <c r="J1447" s="5" t="s">
        <v>5037</v>
      </c>
      <c r="K1447" s="5">
        <v>1.0</v>
      </c>
      <c r="L1447" s="5">
        <v>14145.0</v>
      </c>
      <c r="M1447" s="8"/>
      <c r="V1447" s="11"/>
      <c r="W1447" s="11"/>
      <c r="X1447" s="11"/>
      <c r="Y1447" s="11"/>
      <c r="Z1447" s="22"/>
      <c r="AA1447" s="11"/>
      <c r="AB1447" s="13"/>
      <c r="AC1447" s="11"/>
      <c r="AK1447" s="9"/>
    </row>
    <row r="1448" ht="14.25" customHeight="1">
      <c r="A1448" s="6" t="s">
        <v>5096</v>
      </c>
      <c r="B1448" s="5">
        <v>9.0</v>
      </c>
      <c r="C1448" s="5" t="s">
        <v>5039</v>
      </c>
      <c r="D1448" s="5" t="s">
        <v>5097</v>
      </c>
      <c r="E1448" s="5">
        <v>12090.0</v>
      </c>
      <c r="F1448" s="5" t="s">
        <v>5098</v>
      </c>
      <c r="G1448" s="5" t="s">
        <v>5099</v>
      </c>
      <c r="H1448" s="5" t="s">
        <v>84</v>
      </c>
      <c r="I1448" s="5" t="s">
        <v>641</v>
      </c>
      <c r="K1448" s="5">
        <v>1.0</v>
      </c>
      <c r="L1448" s="5">
        <v>14146.0</v>
      </c>
      <c r="M1448" s="8"/>
      <c r="AK1448" s="9"/>
    </row>
    <row r="1449" ht="14.25" customHeight="1">
      <c r="A1449" s="6" t="s">
        <v>5100</v>
      </c>
      <c r="B1449" s="5">
        <v>9.0</v>
      </c>
      <c r="C1449" s="5" t="s">
        <v>5039</v>
      </c>
      <c r="D1449" s="5" t="s">
        <v>5101</v>
      </c>
      <c r="E1449" s="5">
        <v>12091.0</v>
      </c>
      <c r="F1449" s="5" t="s">
        <v>5102</v>
      </c>
      <c r="G1449" s="5" t="s">
        <v>5103</v>
      </c>
      <c r="H1449" s="5" t="s">
        <v>84</v>
      </c>
      <c r="I1449" s="5" t="s">
        <v>641</v>
      </c>
      <c r="K1449" s="5">
        <v>1.0</v>
      </c>
      <c r="L1449" s="5">
        <v>14147.0</v>
      </c>
      <c r="M1449" s="8"/>
      <c r="V1449" s="11"/>
      <c r="W1449" s="11"/>
      <c r="X1449" s="11"/>
      <c r="Y1449" s="11"/>
      <c r="Z1449" s="22"/>
      <c r="AA1449" s="11"/>
      <c r="AB1449" s="13"/>
      <c r="AC1449" s="11"/>
      <c r="AK1449" s="9"/>
    </row>
    <row r="1450" ht="14.25" customHeight="1">
      <c r="A1450" s="6" t="s">
        <v>5104</v>
      </c>
      <c r="B1450" s="5">
        <v>9.0</v>
      </c>
      <c r="C1450" s="10" t="s">
        <v>5039</v>
      </c>
      <c r="D1450" s="10" t="s">
        <v>5105</v>
      </c>
      <c r="E1450" s="5">
        <v>12092.0</v>
      </c>
      <c r="F1450" s="5" t="s">
        <v>435</v>
      </c>
      <c r="G1450" s="5" t="s">
        <v>5106</v>
      </c>
      <c r="H1450" s="5" t="s">
        <v>84</v>
      </c>
      <c r="I1450" s="5" t="s">
        <v>641</v>
      </c>
      <c r="K1450" s="5">
        <v>1.0</v>
      </c>
      <c r="L1450" s="5">
        <v>14148.0</v>
      </c>
      <c r="M1450" s="8"/>
      <c r="AK1450" s="9"/>
    </row>
    <row r="1451" ht="14.25" customHeight="1">
      <c r="A1451" s="5" t="s">
        <v>5032</v>
      </c>
      <c r="B1451" s="5">
        <v>9.0</v>
      </c>
      <c r="C1451" s="11" t="s">
        <v>4969</v>
      </c>
      <c r="D1451" s="10" t="s">
        <v>5107</v>
      </c>
      <c r="E1451" s="5">
        <v>1562.0</v>
      </c>
      <c r="F1451" s="5" t="s">
        <v>5108</v>
      </c>
      <c r="G1451" s="5" t="s">
        <v>5109</v>
      </c>
      <c r="H1451" s="5" t="s">
        <v>5110</v>
      </c>
      <c r="I1451" s="5" t="s">
        <v>641</v>
      </c>
      <c r="J1451" s="5" t="s">
        <v>5073</v>
      </c>
      <c r="K1451" s="5">
        <v>1.0</v>
      </c>
      <c r="L1451" s="5">
        <v>1965.0</v>
      </c>
      <c r="M1451" s="8"/>
      <c r="AK1451" s="9"/>
    </row>
    <row r="1452" ht="14.25" customHeight="1">
      <c r="A1452" s="5" t="s">
        <v>5032</v>
      </c>
      <c r="B1452" s="5">
        <v>9.0</v>
      </c>
      <c r="C1452" s="11" t="s">
        <v>4969</v>
      </c>
      <c r="D1452" s="10" t="s">
        <v>5111</v>
      </c>
      <c r="E1452" s="5">
        <v>12093.0</v>
      </c>
      <c r="F1452" s="5" t="s">
        <v>5112</v>
      </c>
      <c r="G1452" s="5" t="s">
        <v>5113</v>
      </c>
      <c r="H1452" s="5" t="s">
        <v>5114</v>
      </c>
      <c r="I1452" s="5" t="s">
        <v>641</v>
      </c>
      <c r="J1452" s="5" t="s">
        <v>5073</v>
      </c>
      <c r="K1452" s="5">
        <v>1.0</v>
      </c>
      <c r="L1452" s="5">
        <v>14149.0</v>
      </c>
      <c r="M1452" s="8"/>
      <c r="AK1452" s="9"/>
    </row>
    <row r="1453" ht="14.25" customHeight="1">
      <c r="A1453" s="5" t="s">
        <v>5115</v>
      </c>
      <c r="B1453" s="5">
        <v>9.0</v>
      </c>
      <c r="C1453" s="11" t="s">
        <v>4969</v>
      </c>
      <c r="D1453" s="10" t="s">
        <v>5116</v>
      </c>
      <c r="E1453" s="5">
        <v>2615.0</v>
      </c>
      <c r="F1453" s="5" t="s">
        <v>5117</v>
      </c>
      <c r="G1453" s="5" t="s">
        <v>5118</v>
      </c>
      <c r="H1453" s="5" t="s">
        <v>5119</v>
      </c>
      <c r="I1453" s="5" t="s">
        <v>641</v>
      </c>
      <c r="J1453" s="5" t="s">
        <v>5048</v>
      </c>
      <c r="K1453" s="5">
        <v>1.0</v>
      </c>
      <c r="L1453" s="5">
        <v>3018.0</v>
      </c>
      <c r="M1453" s="8"/>
      <c r="AK1453" s="9"/>
    </row>
    <row r="1454" ht="14.25" customHeight="1">
      <c r="A1454" s="5" t="s">
        <v>5032</v>
      </c>
      <c r="B1454" s="5">
        <v>9.0</v>
      </c>
      <c r="C1454" s="11" t="s">
        <v>4969</v>
      </c>
      <c r="D1454" s="10" t="s">
        <v>5120</v>
      </c>
      <c r="E1454" s="5">
        <v>2616.0</v>
      </c>
      <c r="F1454" s="5" t="s">
        <v>5121</v>
      </c>
      <c r="G1454" s="5" t="s">
        <v>5122</v>
      </c>
      <c r="H1454" s="5" t="s">
        <v>5123</v>
      </c>
      <c r="I1454" s="5" t="s">
        <v>641</v>
      </c>
      <c r="J1454" s="5" t="s">
        <v>5037</v>
      </c>
      <c r="K1454" s="5">
        <v>1.0</v>
      </c>
      <c r="L1454" s="5">
        <v>3019.0</v>
      </c>
      <c r="M1454" s="8"/>
      <c r="AK1454" s="9"/>
    </row>
    <row r="1455" ht="14.25" customHeight="1">
      <c r="A1455" s="5" t="s">
        <v>5032</v>
      </c>
      <c r="B1455" s="5">
        <v>9.0</v>
      </c>
      <c r="C1455" s="11" t="s">
        <v>4969</v>
      </c>
      <c r="D1455" s="10" t="s">
        <v>5124</v>
      </c>
      <c r="E1455" s="5">
        <v>1585.0</v>
      </c>
      <c r="F1455" s="5" t="s">
        <v>5125</v>
      </c>
      <c r="G1455" s="5" t="s">
        <v>5126</v>
      </c>
      <c r="H1455" s="5" t="s">
        <v>5127</v>
      </c>
      <c r="I1455" s="5" t="s">
        <v>641</v>
      </c>
      <c r="J1455" s="5" t="s">
        <v>5073</v>
      </c>
      <c r="K1455" s="5">
        <v>1.0</v>
      </c>
      <c r="L1455" s="5">
        <v>1988.0</v>
      </c>
      <c r="M1455" s="8"/>
      <c r="AK1455" s="9"/>
    </row>
    <row r="1456" ht="14.25" customHeight="1">
      <c r="A1456" s="6" t="s">
        <v>5128</v>
      </c>
      <c r="B1456" s="5">
        <v>9.0</v>
      </c>
      <c r="C1456" s="5" t="s">
        <v>5039</v>
      </c>
      <c r="D1456" s="5" t="s">
        <v>5129</v>
      </c>
      <c r="E1456" s="5">
        <v>2644.0</v>
      </c>
      <c r="F1456" s="5" t="s">
        <v>5130</v>
      </c>
      <c r="G1456" s="5" t="s">
        <v>5131</v>
      </c>
      <c r="H1456" s="5" t="s">
        <v>84</v>
      </c>
      <c r="I1456" s="5" t="s">
        <v>641</v>
      </c>
      <c r="K1456" s="5">
        <v>1.0</v>
      </c>
      <c r="L1456" s="5">
        <v>3047.0</v>
      </c>
      <c r="M1456" s="8"/>
      <c r="AK1456" s="9"/>
    </row>
    <row r="1457" ht="14.25" customHeight="1">
      <c r="A1457" s="5" t="s">
        <v>5132</v>
      </c>
      <c r="B1457" s="5">
        <v>9.0</v>
      </c>
      <c r="C1457" s="10" t="s">
        <v>5039</v>
      </c>
      <c r="D1457" s="10" t="s">
        <v>5133</v>
      </c>
      <c r="E1457" s="5">
        <v>2641.0</v>
      </c>
      <c r="F1457" s="5" t="s">
        <v>5130</v>
      </c>
      <c r="G1457" s="5" t="s">
        <v>5134</v>
      </c>
      <c r="H1457" s="5" t="s">
        <v>5135</v>
      </c>
      <c r="I1457" s="5" t="s">
        <v>641</v>
      </c>
      <c r="J1457" s="5" t="s">
        <v>5083</v>
      </c>
      <c r="K1457" s="5">
        <v>1.0</v>
      </c>
      <c r="L1457" s="5">
        <v>3044.0</v>
      </c>
      <c r="M1457" s="8"/>
      <c r="AK1457" s="9"/>
    </row>
    <row r="1458" ht="14.25" customHeight="1">
      <c r="A1458" s="5" t="s">
        <v>5132</v>
      </c>
      <c r="B1458" s="5">
        <v>9.0</v>
      </c>
      <c r="C1458" s="10" t="s">
        <v>5039</v>
      </c>
      <c r="D1458" s="10" t="s">
        <v>5136</v>
      </c>
      <c r="E1458" s="5">
        <v>2637.0</v>
      </c>
      <c r="F1458" s="5" t="s">
        <v>5137</v>
      </c>
      <c r="G1458" s="5" t="s">
        <v>5138</v>
      </c>
      <c r="H1458" s="5" t="s">
        <v>5139</v>
      </c>
      <c r="I1458" s="5" t="s">
        <v>641</v>
      </c>
      <c r="J1458" s="5" t="s">
        <v>5048</v>
      </c>
      <c r="K1458" s="5">
        <v>1.0</v>
      </c>
      <c r="L1458" s="5">
        <v>3040.0</v>
      </c>
      <c r="M1458" s="8"/>
      <c r="AK1458" s="9"/>
    </row>
    <row r="1459" ht="14.25" customHeight="1">
      <c r="A1459" s="5" t="s">
        <v>5032</v>
      </c>
      <c r="B1459" s="5">
        <v>9.0</v>
      </c>
      <c r="C1459" s="11" t="s">
        <v>4969</v>
      </c>
      <c r="D1459" s="10" t="s">
        <v>5140</v>
      </c>
      <c r="E1459" s="5">
        <v>12103.0</v>
      </c>
      <c r="F1459" s="5" t="s">
        <v>5141</v>
      </c>
      <c r="G1459" s="5" t="s">
        <v>5142</v>
      </c>
      <c r="H1459" s="5" t="s">
        <v>5143</v>
      </c>
      <c r="I1459" s="5" t="s">
        <v>641</v>
      </c>
      <c r="J1459" s="5" t="s">
        <v>5073</v>
      </c>
      <c r="K1459" s="5">
        <v>1.0</v>
      </c>
      <c r="L1459" s="5">
        <v>14159.0</v>
      </c>
      <c r="M1459" s="8"/>
      <c r="AK1459" s="9"/>
    </row>
    <row r="1460" ht="14.25" customHeight="1">
      <c r="A1460" s="6" t="s">
        <v>5144</v>
      </c>
      <c r="B1460" s="5">
        <v>9.0</v>
      </c>
      <c r="C1460" s="10" t="s">
        <v>5039</v>
      </c>
      <c r="D1460" s="10" t="s">
        <v>5145</v>
      </c>
      <c r="E1460" s="5">
        <v>12104.0</v>
      </c>
      <c r="F1460" s="5" t="s">
        <v>5146</v>
      </c>
      <c r="G1460" s="5" t="s">
        <v>5147</v>
      </c>
      <c r="H1460" s="5" t="s">
        <v>84</v>
      </c>
      <c r="I1460" s="5" t="s">
        <v>641</v>
      </c>
      <c r="K1460" s="5">
        <v>1.0</v>
      </c>
      <c r="L1460" s="5">
        <v>14160.0</v>
      </c>
      <c r="M1460" s="8"/>
      <c r="AK1460" s="9"/>
    </row>
    <row r="1461" ht="14.25" customHeight="1">
      <c r="A1461" s="5" t="s">
        <v>5032</v>
      </c>
      <c r="B1461" s="5">
        <v>9.0</v>
      </c>
      <c r="C1461" s="5" t="s">
        <v>4969</v>
      </c>
      <c r="D1461" s="10" t="s">
        <v>5148</v>
      </c>
      <c r="E1461" s="5">
        <v>12105.0</v>
      </c>
      <c r="F1461" s="5" t="s">
        <v>5149</v>
      </c>
      <c r="G1461" s="5" t="s">
        <v>5150</v>
      </c>
      <c r="H1461" s="5" t="s">
        <v>5151</v>
      </c>
      <c r="I1461" s="5" t="s">
        <v>641</v>
      </c>
      <c r="J1461" s="5" t="s">
        <v>5073</v>
      </c>
      <c r="K1461" s="5">
        <v>1.0</v>
      </c>
      <c r="L1461" s="5">
        <v>14161.0</v>
      </c>
      <c r="M1461" s="8"/>
      <c r="AK1461" s="9"/>
    </row>
    <row r="1462" ht="14.25" customHeight="1">
      <c r="A1462" s="5" t="s">
        <v>5032</v>
      </c>
      <c r="B1462" s="5">
        <v>9.0</v>
      </c>
      <c r="C1462" s="5" t="s">
        <v>4969</v>
      </c>
      <c r="D1462" s="10" t="s">
        <v>5152</v>
      </c>
      <c r="E1462" s="5">
        <v>12427.0</v>
      </c>
      <c r="F1462" s="5" t="s">
        <v>5153</v>
      </c>
      <c r="G1462" s="5" t="s">
        <v>5154</v>
      </c>
      <c r="H1462" s="5" t="s">
        <v>5155</v>
      </c>
      <c r="I1462" s="5" t="s">
        <v>49</v>
      </c>
      <c r="J1462" s="5" t="s">
        <v>5073</v>
      </c>
      <c r="K1462" s="5">
        <v>1.0</v>
      </c>
      <c r="L1462" s="5">
        <v>14449.0</v>
      </c>
      <c r="M1462" s="8"/>
      <c r="AK1462" s="9"/>
    </row>
    <row r="1463" ht="14.25" customHeight="1">
      <c r="A1463" s="5" t="s">
        <v>5032</v>
      </c>
      <c r="B1463" s="5">
        <v>9.0</v>
      </c>
      <c r="C1463" s="5" t="s">
        <v>4969</v>
      </c>
      <c r="D1463" s="10" t="s">
        <v>5156</v>
      </c>
      <c r="E1463" s="5">
        <v>2608.0</v>
      </c>
      <c r="F1463" s="5" t="s">
        <v>353</v>
      </c>
      <c r="G1463" s="5" t="s">
        <v>5157</v>
      </c>
      <c r="H1463" s="5" t="s">
        <v>5158</v>
      </c>
      <c r="I1463" s="5" t="s">
        <v>641</v>
      </c>
      <c r="J1463" s="5" t="s">
        <v>5073</v>
      </c>
      <c r="K1463" s="5">
        <v>1.0</v>
      </c>
      <c r="L1463" s="5">
        <v>3011.0</v>
      </c>
      <c r="M1463" s="8"/>
      <c r="AK1463" s="9"/>
    </row>
    <row r="1464" ht="14.25" customHeight="1">
      <c r="A1464" s="5" t="s">
        <v>5032</v>
      </c>
      <c r="B1464" s="5">
        <v>9.0</v>
      </c>
      <c r="C1464" s="5" t="s">
        <v>4969</v>
      </c>
      <c r="D1464" s="10" t="s">
        <v>5159</v>
      </c>
      <c r="E1464" s="5">
        <v>2599.0</v>
      </c>
      <c r="F1464" s="5" t="s">
        <v>5160</v>
      </c>
      <c r="G1464" s="5" t="s">
        <v>5161</v>
      </c>
      <c r="H1464" s="5" t="s">
        <v>5162</v>
      </c>
      <c r="I1464" s="5" t="s">
        <v>641</v>
      </c>
      <c r="J1464" s="5" t="s">
        <v>5163</v>
      </c>
      <c r="K1464" s="5">
        <v>1.0</v>
      </c>
      <c r="L1464" s="5">
        <v>3002.0</v>
      </c>
      <c r="M1464" s="8"/>
      <c r="AK1464" s="9"/>
    </row>
    <row r="1465" ht="14.25" customHeight="1">
      <c r="A1465" s="5" t="s">
        <v>5032</v>
      </c>
      <c r="B1465" s="5">
        <v>9.0</v>
      </c>
      <c r="C1465" s="5" t="s">
        <v>4969</v>
      </c>
      <c r="D1465" s="10" t="s">
        <v>5164</v>
      </c>
      <c r="E1465" s="5">
        <v>1571.0</v>
      </c>
      <c r="F1465" s="5" t="s">
        <v>5165</v>
      </c>
      <c r="G1465" s="5" t="s">
        <v>5166</v>
      </c>
      <c r="H1465" s="5" t="s">
        <v>5167</v>
      </c>
      <c r="I1465" s="5" t="s">
        <v>641</v>
      </c>
      <c r="J1465" s="5" t="s">
        <v>5168</v>
      </c>
      <c r="K1465" s="5">
        <v>1.0</v>
      </c>
      <c r="L1465" s="5">
        <v>1974.0</v>
      </c>
      <c r="M1465" s="8"/>
      <c r="AK1465" s="9"/>
    </row>
    <row r="1466" ht="14.25" customHeight="1">
      <c r="A1466" s="5" t="s">
        <v>5032</v>
      </c>
      <c r="B1466" s="5">
        <v>9.0</v>
      </c>
      <c r="C1466" s="5" t="s">
        <v>4969</v>
      </c>
      <c r="D1466" s="10" t="s">
        <v>5169</v>
      </c>
      <c r="E1466" s="5">
        <v>1590.0</v>
      </c>
      <c r="F1466" s="5" t="s">
        <v>5170</v>
      </c>
      <c r="G1466" s="5" t="s">
        <v>5171</v>
      </c>
      <c r="H1466" s="5" t="s">
        <v>5172</v>
      </c>
      <c r="I1466" s="5" t="s">
        <v>641</v>
      </c>
      <c r="J1466" s="5" t="s">
        <v>5073</v>
      </c>
      <c r="K1466" s="5">
        <v>1.0</v>
      </c>
      <c r="L1466" s="5">
        <v>1993.0</v>
      </c>
      <c r="M1466" s="8"/>
      <c r="AK1466" s="9"/>
    </row>
    <row r="1467" ht="14.25" customHeight="1">
      <c r="A1467" s="5" t="s">
        <v>5032</v>
      </c>
      <c r="B1467" s="5">
        <v>9.0</v>
      </c>
      <c r="C1467" s="5" t="s">
        <v>4969</v>
      </c>
      <c r="D1467" s="10" t="s">
        <v>5173</v>
      </c>
      <c r="E1467" s="5">
        <v>12116.0</v>
      </c>
      <c r="F1467" s="5" t="s">
        <v>5174</v>
      </c>
      <c r="G1467" s="5" t="s">
        <v>5175</v>
      </c>
      <c r="H1467" s="5" t="s">
        <v>5176</v>
      </c>
      <c r="I1467" s="5" t="s">
        <v>641</v>
      </c>
      <c r="J1467" s="5" t="s">
        <v>5177</v>
      </c>
      <c r="K1467" s="5">
        <v>1.0</v>
      </c>
      <c r="L1467" s="5">
        <v>14172.0</v>
      </c>
      <c r="M1467" s="8"/>
      <c r="AK1467" s="9"/>
    </row>
    <row r="1468" ht="14.25" customHeight="1">
      <c r="A1468" s="5" t="s">
        <v>5032</v>
      </c>
      <c r="B1468" s="5">
        <v>9.0</v>
      </c>
      <c r="C1468" s="5" t="s">
        <v>4969</v>
      </c>
      <c r="D1468" s="10" t="s">
        <v>5178</v>
      </c>
      <c r="E1468" s="5">
        <v>3280.0</v>
      </c>
      <c r="F1468" s="5" t="s">
        <v>5179</v>
      </c>
      <c r="G1468" s="5" t="s">
        <v>5180</v>
      </c>
      <c r="H1468" s="5" t="s">
        <v>5181</v>
      </c>
      <c r="I1468" s="5" t="s">
        <v>49</v>
      </c>
      <c r="J1468" s="5" t="s">
        <v>5078</v>
      </c>
      <c r="K1468" s="5">
        <v>1.0</v>
      </c>
      <c r="L1468" s="5">
        <v>4119.0</v>
      </c>
      <c r="M1468" s="8"/>
      <c r="AK1468" s="9"/>
    </row>
    <row r="1469" ht="14.25" customHeight="1">
      <c r="A1469" s="5" t="s">
        <v>5032</v>
      </c>
      <c r="B1469" s="5">
        <v>9.0</v>
      </c>
      <c r="C1469" s="5" t="s">
        <v>4969</v>
      </c>
      <c r="D1469" s="10" t="s">
        <v>5182</v>
      </c>
      <c r="E1469" s="5">
        <v>12428.0</v>
      </c>
      <c r="F1469" s="5" t="s">
        <v>5183</v>
      </c>
      <c r="G1469" s="5" t="s">
        <v>5184</v>
      </c>
      <c r="H1469" s="5" t="s">
        <v>5185</v>
      </c>
      <c r="I1469" s="5" t="s">
        <v>49</v>
      </c>
      <c r="J1469" s="5" t="s">
        <v>5073</v>
      </c>
      <c r="K1469" s="5">
        <v>1.0</v>
      </c>
      <c r="L1469" s="5">
        <v>14450.0</v>
      </c>
      <c r="M1469" s="8"/>
      <c r="AK1469" s="9"/>
    </row>
    <row r="1470" ht="14.25" customHeight="1">
      <c r="A1470" s="5" t="s">
        <v>422</v>
      </c>
      <c r="B1470" s="5">
        <v>9.0</v>
      </c>
      <c r="C1470" s="5" t="s">
        <v>4969</v>
      </c>
      <c r="D1470" s="5" t="s">
        <v>5186</v>
      </c>
      <c r="E1470" s="5">
        <v>2625.0</v>
      </c>
      <c r="F1470" s="5" t="s">
        <v>5187</v>
      </c>
      <c r="G1470" s="5" t="s">
        <v>5188</v>
      </c>
      <c r="H1470" s="5" t="s">
        <v>5189</v>
      </c>
      <c r="I1470" s="5" t="s">
        <v>641</v>
      </c>
      <c r="J1470" s="5" t="s">
        <v>5083</v>
      </c>
      <c r="K1470" s="5">
        <v>1.0</v>
      </c>
      <c r="L1470" s="5">
        <v>3028.0</v>
      </c>
      <c r="M1470" s="8"/>
      <c r="AK1470" s="9"/>
    </row>
    <row r="1471" ht="14.25" customHeight="1">
      <c r="A1471" s="5" t="s">
        <v>5032</v>
      </c>
      <c r="B1471" s="5">
        <v>9.0</v>
      </c>
      <c r="C1471" s="5" t="s">
        <v>4969</v>
      </c>
      <c r="D1471" s="10" t="s">
        <v>5190</v>
      </c>
      <c r="E1471" s="5">
        <v>2642.0</v>
      </c>
      <c r="F1471" s="5" t="s">
        <v>5191</v>
      </c>
      <c r="G1471" s="5" t="s">
        <v>5192</v>
      </c>
      <c r="H1471" s="5" t="s">
        <v>5193</v>
      </c>
      <c r="I1471" s="5" t="s">
        <v>641</v>
      </c>
      <c r="J1471" s="5" t="s">
        <v>5037</v>
      </c>
      <c r="K1471" s="5">
        <v>1.0</v>
      </c>
      <c r="L1471" s="5">
        <v>3045.0</v>
      </c>
      <c r="M1471" s="8"/>
      <c r="AK1471" s="9"/>
    </row>
    <row r="1472" ht="14.25" customHeight="1">
      <c r="A1472" s="5" t="s">
        <v>5032</v>
      </c>
      <c r="B1472" s="5">
        <v>9.0</v>
      </c>
      <c r="C1472" s="5" t="s">
        <v>4969</v>
      </c>
      <c r="D1472" s="10" t="s">
        <v>5194</v>
      </c>
      <c r="E1472" s="5">
        <v>2639.0</v>
      </c>
      <c r="F1472" s="5" t="s">
        <v>5195</v>
      </c>
      <c r="G1472" s="5" t="s">
        <v>5196</v>
      </c>
      <c r="H1472" s="5" t="s">
        <v>5197</v>
      </c>
      <c r="I1472" s="5" t="s">
        <v>641</v>
      </c>
      <c r="J1472" s="5" t="s">
        <v>5198</v>
      </c>
      <c r="K1472" s="5">
        <v>1.0</v>
      </c>
      <c r="L1472" s="5">
        <v>3042.0</v>
      </c>
      <c r="M1472" s="8"/>
      <c r="AK1472" s="9"/>
    </row>
    <row r="1473" ht="14.25" customHeight="1">
      <c r="A1473" s="5" t="s">
        <v>5032</v>
      </c>
      <c r="B1473" s="5">
        <v>9.0</v>
      </c>
      <c r="C1473" s="5" t="s">
        <v>4969</v>
      </c>
      <c r="D1473" s="10" t="s">
        <v>5199</v>
      </c>
      <c r="E1473" s="5">
        <v>12129.0</v>
      </c>
      <c r="F1473" s="5" t="s">
        <v>5200</v>
      </c>
      <c r="G1473" s="5" t="s">
        <v>5201</v>
      </c>
      <c r="H1473" s="5" t="s">
        <v>5202</v>
      </c>
      <c r="I1473" s="5" t="s">
        <v>641</v>
      </c>
      <c r="J1473" s="5" t="s">
        <v>5073</v>
      </c>
      <c r="K1473" s="5">
        <v>1.0</v>
      </c>
      <c r="L1473" s="5">
        <v>14185.0</v>
      </c>
      <c r="M1473" s="8"/>
      <c r="AK1473" s="9"/>
    </row>
    <row r="1474" ht="14.25" customHeight="1">
      <c r="A1474" s="5" t="s">
        <v>5032</v>
      </c>
      <c r="B1474" s="5">
        <v>9.0</v>
      </c>
      <c r="C1474" s="5" t="s">
        <v>4969</v>
      </c>
      <c r="D1474" s="10" t="s">
        <v>5203</v>
      </c>
      <c r="E1474" s="5">
        <v>2611.0</v>
      </c>
      <c r="F1474" s="5" t="s">
        <v>5204</v>
      </c>
      <c r="G1474" s="5" t="s">
        <v>5205</v>
      </c>
      <c r="H1474" s="5" t="s">
        <v>5206</v>
      </c>
      <c r="I1474" s="5" t="s">
        <v>641</v>
      </c>
      <c r="J1474" s="5" t="s">
        <v>5083</v>
      </c>
      <c r="K1474" s="5">
        <v>1.0</v>
      </c>
      <c r="L1474" s="5">
        <v>3014.0</v>
      </c>
      <c r="M1474" s="8"/>
      <c r="AK1474" s="9"/>
    </row>
    <row r="1475" ht="14.25" customHeight="1">
      <c r="A1475" s="5" t="s">
        <v>5032</v>
      </c>
      <c r="B1475" s="5">
        <v>9.0</v>
      </c>
      <c r="C1475" s="5" t="s">
        <v>4969</v>
      </c>
      <c r="D1475" s="10" t="s">
        <v>5207</v>
      </c>
      <c r="E1475" s="5">
        <v>2620.0</v>
      </c>
      <c r="F1475" s="5" t="s">
        <v>5208</v>
      </c>
      <c r="G1475" s="5" t="s">
        <v>5209</v>
      </c>
      <c r="H1475" s="5" t="s">
        <v>5210</v>
      </c>
      <c r="I1475" s="5" t="s">
        <v>641</v>
      </c>
      <c r="J1475" s="5" t="s">
        <v>4974</v>
      </c>
      <c r="K1475" s="5">
        <v>1.0</v>
      </c>
      <c r="L1475" s="5">
        <v>3023.0</v>
      </c>
      <c r="M1475" s="8"/>
      <c r="AK1475" s="9"/>
    </row>
    <row r="1476" ht="14.25" customHeight="1">
      <c r="A1476" s="5" t="s">
        <v>5032</v>
      </c>
      <c r="B1476" s="5">
        <v>9.0</v>
      </c>
      <c r="C1476" s="5" t="s">
        <v>4969</v>
      </c>
      <c r="D1476" s="12" t="s">
        <v>5211</v>
      </c>
      <c r="E1476" s="5">
        <v>1577.0</v>
      </c>
      <c r="F1476" s="5" t="s">
        <v>5212</v>
      </c>
      <c r="G1476" s="5" t="s">
        <v>5213</v>
      </c>
      <c r="H1476" s="5" t="s">
        <v>5214</v>
      </c>
      <c r="I1476" s="5" t="s">
        <v>641</v>
      </c>
      <c r="J1476" s="5" t="s">
        <v>5083</v>
      </c>
      <c r="K1476" s="5">
        <v>1.0</v>
      </c>
      <c r="L1476" s="5">
        <v>1980.0</v>
      </c>
      <c r="M1476" s="8"/>
      <c r="AK1476" s="9"/>
    </row>
    <row r="1477" ht="14.25" customHeight="1">
      <c r="A1477" s="5" t="s">
        <v>5215</v>
      </c>
      <c r="B1477" s="5">
        <v>9.0</v>
      </c>
      <c r="C1477" s="28" t="s">
        <v>5216</v>
      </c>
      <c r="D1477" s="28" t="s">
        <v>5217</v>
      </c>
      <c r="E1477" s="5">
        <v>12951.0</v>
      </c>
      <c r="F1477" s="5" t="s">
        <v>5218</v>
      </c>
      <c r="G1477" s="5" t="s">
        <v>5219</v>
      </c>
      <c r="H1477" s="5" t="s">
        <v>5220</v>
      </c>
      <c r="I1477" s="5" t="s">
        <v>49</v>
      </c>
      <c r="J1477" s="5" t="s">
        <v>5221</v>
      </c>
      <c r="K1477" s="5">
        <v>1.0</v>
      </c>
      <c r="L1477" s="5">
        <v>14883.0</v>
      </c>
      <c r="M1477" s="8"/>
      <c r="AK1477" s="9"/>
    </row>
    <row r="1478" ht="14.25" customHeight="1">
      <c r="B1478" s="5">
        <v>9.0</v>
      </c>
      <c r="C1478" s="5" t="s">
        <v>4969</v>
      </c>
      <c r="D1478" s="10" t="s">
        <v>5222</v>
      </c>
      <c r="E1478" s="5">
        <v>12139.0</v>
      </c>
      <c r="F1478" s="5" t="s">
        <v>5223</v>
      </c>
      <c r="G1478" s="5" t="s">
        <v>5224</v>
      </c>
      <c r="H1478" s="5" t="s">
        <v>5225</v>
      </c>
      <c r="I1478" s="5" t="s">
        <v>641</v>
      </c>
      <c r="J1478" s="5" t="s">
        <v>5177</v>
      </c>
      <c r="K1478" s="5">
        <v>1.0</v>
      </c>
      <c r="L1478" s="5">
        <v>14195.0</v>
      </c>
      <c r="M1478" s="8"/>
      <c r="AK1478" s="9"/>
    </row>
    <row r="1479" ht="14.25" customHeight="1">
      <c r="A1479" s="5" t="s">
        <v>5032</v>
      </c>
      <c r="B1479" s="5">
        <v>9.0</v>
      </c>
      <c r="C1479" s="5" t="s">
        <v>4969</v>
      </c>
      <c r="D1479" s="10" t="s">
        <v>5226</v>
      </c>
      <c r="E1479" s="5">
        <v>1564.0</v>
      </c>
      <c r="F1479" s="5" t="s">
        <v>5227</v>
      </c>
      <c r="G1479" s="5" t="s">
        <v>5228</v>
      </c>
      <c r="H1479" s="5" t="s">
        <v>5229</v>
      </c>
      <c r="I1479" s="5" t="s">
        <v>641</v>
      </c>
      <c r="J1479" s="5" t="s">
        <v>5073</v>
      </c>
      <c r="K1479" s="5">
        <v>1.0</v>
      </c>
      <c r="L1479" s="5">
        <v>1967.0</v>
      </c>
      <c r="M1479" s="8"/>
      <c r="AK1479" s="9"/>
    </row>
    <row r="1480" ht="14.25" customHeight="1">
      <c r="B1480" s="5">
        <v>9.0</v>
      </c>
      <c r="C1480" s="5" t="s">
        <v>4969</v>
      </c>
      <c r="D1480" s="10" t="s">
        <v>5230</v>
      </c>
      <c r="E1480" s="5">
        <v>2588.0</v>
      </c>
      <c r="F1480" s="5" t="s">
        <v>5231</v>
      </c>
      <c r="G1480" s="5" t="s">
        <v>5232</v>
      </c>
      <c r="H1480" s="5" t="s">
        <v>5233</v>
      </c>
      <c r="I1480" s="5" t="s">
        <v>641</v>
      </c>
      <c r="J1480" s="5" t="s">
        <v>5037</v>
      </c>
      <c r="K1480" s="5">
        <v>1.0</v>
      </c>
      <c r="L1480" s="5">
        <v>2991.0</v>
      </c>
      <c r="M1480" s="8"/>
      <c r="AK1480" s="9"/>
    </row>
    <row r="1481" ht="14.25" customHeight="1">
      <c r="B1481" s="5">
        <v>9.0</v>
      </c>
      <c r="C1481" s="5" t="s">
        <v>4969</v>
      </c>
      <c r="D1481" s="10" t="s">
        <v>5234</v>
      </c>
      <c r="E1481" s="5">
        <v>2590.0</v>
      </c>
      <c r="F1481" s="5" t="s">
        <v>5235</v>
      </c>
      <c r="G1481" s="5" t="s">
        <v>5236</v>
      </c>
      <c r="H1481" s="5" t="s">
        <v>5237</v>
      </c>
      <c r="I1481" s="5" t="s">
        <v>641</v>
      </c>
      <c r="J1481" s="5" t="s">
        <v>5083</v>
      </c>
      <c r="K1481" s="5">
        <v>1.0</v>
      </c>
      <c r="L1481" s="5">
        <v>2993.0</v>
      </c>
      <c r="M1481" s="8"/>
      <c r="AK1481" s="9"/>
    </row>
    <row r="1482" ht="14.25" customHeight="1">
      <c r="A1482" s="5" t="s">
        <v>5032</v>
      </c>
      <c r="B1482" s="5">
        <v>9.0</v>
      </c>
      <c r="C1482" s="5" t="s">
        <v>4969</v>
      </c>
      <c r="D1482" s="10" t="s">
        <v>5238</v>
      </c>
      <c r="E1482" s="5">
        <v>2591.0</v>
      </c>
      <c r="F1482" s="5" t="s">
        <v>5239</v>
      </c>
      <c r="G1482" s="5" t="s">
        <v>5240</v>
      </c>
      <c r="H1482" s="5" t="s">
        <v>5241</v>
      </c>
      <c r="I1482" s="5" t="s">
        <v>641</v>
      </c>
      <c r="J1482" s="5" t="s">
        <v>5037</v>
      </c>
      <c r="K1482" s="5">
        <v>1.0</v>
      </c>
      <c r="L1482" s="5">
        <v>2994.0</v>
      </c>
      <c r="M1482" s="8"/>
      <c r="AK1482" s="9"/>
    </row>
    <row r="1483" ht="14.25" customHeight="1">
      <c r="A1483" s="5" t="s">
        <v>5032</v>
      </c>
      <c r="B1483" s="5">
        <v>9.0</v>
      </c>
      <c r="C1483" s="5" t="s">
        <v>4969</v>
      </c>
      <c r="D1483" s="10" t="s">
        <v>5242</v>
      </c>
      <c r="E1483" s="5">
        <v>2594.0</v>
      </c>
      <c r="F1483" s="5" t="s">
        <v>5243</v>
      </c>
      <c r="G1483" s="5" t="s">
        <v>5244</v>
      </c>
      <c r="H1483" s="5" t="s">
        <v>5245</v>
      </c>
      <c r="I1483" s="5" t="s">
        <v>641</v>
      </c>
      <c r="J1483" s="5" t="s">
        <v>5073</v>
      </c>
      <c r="K1483" s="5">
        <v>1.0</v>
      </c>
      <c r="L1483" s="5">
        <v>2997.0</v>
      </c>
      <c r="M1483" s="8"/>
      <c r="AK1483" s="9"/>
    </row>
    <row r="1484" ht="14.25" customHeight="1">
      <c r="A1484" s="5" t="s">
        <v>5032</v>
      </c>
      <c r="B1484" s="5">
        <v>9.0</v>
      </c>
      <c r="C1484" s="5" t="s">
        <v>4969</v>
      </c>
      <c r="D1484" s="10" t="s">
        <v>5246</v>
      </c>
      <c r="E1484" s="5">
        <v>1572.0</v>
      </c>
      <c r="F1484" s="5" t="s">
        <v>5247</v>
      </c>
      <c r="G1484" s="5" t="s">
        <v>5248</v>
      </c>
      <c r="H1484" s="5" t="s">
        <v>5249</v>
      </c>
      <c r="I1484" s="5" t="s">
        <v>641</v>
      </c>
      <c r="J1484" s="5" t="s">
        <v>5177</v>
      </c>
      <c r="K1484" s="5">
        <v>1.0</v>
      </c>
      <c r="L1484" s="5">
        <v>1975.0</v>
      </c>
      <c r="M1484" s="8"/>
      <c r="AK1484" s="9"/>
    </row>
    <row r="1485" ht="14.25" customHeight="1">
      <c r="A1485" s="5" t="s">
        <v>5032</v>
      </c>
      <c r="B1485" s="5">
        <v>9.0</v>
      </c>
      <c r="C1485" s="5" t="s">
        <v>4969</v>
      </c>
      <c r="D1485" s="10" t="s">
        <v>5250</v>
      </c>
      <c r="E1485" s="5">
        <v>2610.0</v>
      </c>
      <c r="F1485" s="5" t="s">
        <v>5251</v>
      </c>
      <c r="G1485" s="5" t="s">
        <v>5252</v>
      </c>
      <c r="H1485" s="5" t="s">
        <v>5253</v>
      </c>
      <c r="I1485" s="5" t="s">
        <v>641</v>
      </c>
      <c r="J1485" s="5" t="s">
        <v>5254</v>
      </c>
      <c r="K1485" s="5">
        <v>1.0</v>
      </c>
      <c r="L1485" s="5">
        <v>3013.0</v>
      </c>
      <c r="M1485" s="8"/>
      <c r="AK1485" s="9"/>
    </row>
    <row r="1486" ht="14.25" customHeight="1">
      <c r="A1486" s="5" t="s">
        <v>4980</v>
      </c>
      <c r="B1486" s="5">
        <v>9.0</v>
      </c>
      <c r="C1486" s="5" t="s">
        <v>4969</v>
      </c>
      <c r="D1486" s="10" t="s">
        <v>5255</v>
      </c>
      <c r="E1486" s="5">
        <v>2640.0</v>
      </c>
      <c r="F1486" s="5" t="s">
        <v>5256</v>
      </c>
      <c r="G1486" s="5" t="s">
        <v>5257</v>
      </c>
      <c r="H1486" s="5" t="s">
        <v>5258</v>
      </c>
      <c r="I1486" s="5" t="s">
        <v>641</v>
      </c>
      <c r="J1486" s="5" t="s">
        <v>5037</v>
      </c>
      <c r="K1486" s="5">
        <v>1.0</v>
      </c>
      <c r="L1486" s="5">
        <v>3043.0</v>
      </c>
      <c r="M1486" s="8"/>
      <c r="AK1486" s="9"/>
    </row>
    <row r="1487" ht="14.25" customHeight="1">
      <c r="A1487" s="6" t="s">
        <v>5259</v>
      </c>
      <c r="B1487" s="5">
        <v>9.0</v>
      </c>
      <c r="C1487" s="5" t="s">
        <v>5039</v>
      </c>
      <c r="D1487" s="5" t="s">
        <v>5260</v>
      </c>
      <c r="E1487" s="5">
        <v>1588.0</v>
      </c>
      <c r="F1487" s="5" t="s">
        <v>449</v>
      </c>
      <c r="G1487" s="5" t="s">
        <v>5261</v>
      </c>
      <c r="H1487" s="5" t="s">
        <v>84</v>
      </c>
      <c r="I1487" s="5" t="s">
        <v>641</v>
      </c>
      <c r="K1487" s="5">
        <v>1.0</v>
      </c>
      <c r="L1487" s="5">
        <v>1991.0</v>
      </c>
      <c r="M1487" s="8"/>
      <c r="AK1487" s="9"/>
    </row>
    <row r="1488" ht="14.25" customHeight="1">
      <c r="A1488" s="5" t="s">
        <v>5032</v>
      </c>
      <c r="B1488" s="5">
        <v>9.0</v>
      </c>
      <c r="C1488" s="11" t="s">
        <v>4969</v>
      </c>
      <c r="D1488" s="10" t="s">
        <v>5262</v>
      </c>
      <c r="E1488" s="5">
        <v>2626.0</v>
      </c>
      <c r="F1488" s="5" t="s">
        <v>5263</v>
      </c>
      <c r="G1488" s="5" t="s">
        <v>5264</v>
      </c>
      <c r="H1488" s="5" t="s">
        <v>5265</v>
      </c>
      <c r="I1488" s="5" t="s">
        <v>641</v>
      </c>
      <c r="J1488" s="5" t="s">
        <v>5073</v>
      </c>
      <c r="K1488" s="5">
        <v>1.0</v>
      </c>
      <c r="L1488" s="5">
        <v>3029.0</v>
      </c>
      <c r="M1488" s="8"/>
      <c r="AK1488" s="9"/>
    </row>
    <row r="1489" ht="14.25" customHeight="1">
      <c r="A1489" s="6" t="s">
        <v>5266</v>
      </c>
      <c r="B1489" s="5">
        <v>9.0</v>
      </c>
      <c r="C1489" s="5" t="s">
        <v>5039</v>
      </c>
      <c r="D1489" s="5" t="s">
        <v>5267</v>
      </c>
      <c r="E1489" s="5">
        <v>12160.0</v>
      </c>
      <c r="F1489" s="5" t="s">
        <v>5268</v>
      </c>
      <c r="G1489" s="5" t="s">
        <v>5269</v>
      </c>
      <c r="H1489" s="5" t="s">
        <v>84</v>
      </c>
      <c r="I1489" s="5" t="s">
        <v>641</v>
      </c>
      <c r="K1489" s="5">
        <v>1.0</v>
      </c>
      <c r="L1489" s="5">
        <v>14216.0</v>
      </c>
      <c r="M1489" s="8"/>
      <c r="AK1489" s="9"/>
    </row>
    <row r="1490" ht="14.25" customHeight="1">
      <c r="A1490" s="6" t="s">
        <v>5104</v>
      </c>
      <c r="B1490" s="5">
        <v>9.0</v>
      </c>
      <c r="C1490" s="10" t="s">
        <v>5039</v>
      </c>
      <c r="D1490" s="10" t="s">
        <v>5270</v>
      </c>
      <c r="E1490" s="5">
        <v>2634.0</v>
      </c>
      <c r="F1490" s="5" t="s">
        <v>5271</v>
      </c>
      <c r="G1490" s="10" t="s">
        <v>5272</v>
      </c>
      <c r="H1490" s="5" t="s">
        <v>5273</v>
      </c>
      <c r="I1490" s="5" t="s">
        <v>641</v>
      </c>
      <c r="J1490" s="5" t="s">
        <v>5048</v>
      </c>
      <c r="K1490" s="5">
        <v>1.0</v>
      </c>
      <c r="L1490" s="5">
        <v>3037.0</v>
      </c>
      <c r="M1490" s="8"/>
      <c r="AK1490" s="9"/>
    </row>
    <row r="1491" ht="14.25" customHeight="1">
      <c r="A1491" s="5" t="s">
        <v>5032</v>
      </c>
      <c r="B1491" s="5">
        <v>9.0</v>
      </c>
      <c r="C1491" s="11" t="s">
        <v>4969</v>
      </c>
      <c r="D1491" s="10" t="s">
        <v>5274</v>
      </c>
      <c r="E1491" s="5">
        <v>2602.0</v>
      </c>
      <c r="F1491" s="5" t="s">
        <v>5275</v>
      </c>
      <c r="G1491" s="5" t="s">
        <v>5276</v>
      </c>
      <c r="H1491" s="5" t="s">
        <v>5277</v>
      </c>
      <c r="I1491" s="5" t="s">
        <v>641</v>
      </c>
      <c r="J1491" s="5" t="s">
        <v>5073</v>
      </c>
      <c r="K1491" s="5">
        <v>1.0</v>
      </c>
      <c r="L1491" s="5">
        <v>3005.0</v>
      </c>
      <c r="M1491" s="8"/>
      <c r="AK1491" s="9"/>
    </row>
    <row r="1492" ht="14.25" customHeight="1">
      <c r="A1492" s="5" t="s">
        <v>5278</v>
      </c>
      <c r="B1492" s="5">
        <v>9.0</v>
      </c>
      <c r="C1492" s="10" t="s">
        <v>5279</v>
      </c>
      <c r="D1492" s="10" t="s">
        <v>5280</v>
      </c>
      <c r="E1492" s="5">
        <v>12956.0</v>
      </c>
      <c r="F1492" s="5" t="s">
        <v>5281</v>
      </c>
      <c r="G1492" s="5" t="s">
        <v>5282</v>
      </c>
      <c r="H1492" s="5" t="s">
        <v>5283</v>
      </c>
      <c r="I1492" s="10" t="s">
        <v>5284</v>
      </c>
      <c r="J1492" s="5" t="s">
        <v>5285</v>
      </c>
      <c r="K1492" s="5">
        <v>1.0</v>
      </c>
      <c r="L1492" s="5">
        <v>14888.0</v>
      </c>
      <c r="M1492" s="8"/>
      <c r="AK1492" s="9"/>
    </row>
    <row r="1493" ht="14.25" customHeight="1">
      <c r="A1493" s="5" t="s">
        <v>5032</v>
      </c>
      <c r="B1493" s="5">
        <v>9.0</v>
      </c>
      <c r="C1493" s="5" t="s">
        <v>4969</v>
      </c>
      <c r="D1493" s="10" t="s">
        <v>5286</v>
      </c>
      <c r="E1493" s="5">
        <v>12162.0</v>
      </c>
      <c r="F1493" s="5" t="s">
        <v>5287</v>
      </c>
      <c r="G1493" s="5" t="s">
        <v>5288</v>
      </c>
      <c r="H1493" s="5" t="s">
        <v>5289</v>
      </c>
      <c r="I1493" s="5" t="s">
        <v>641</v>
      </c>
      <c r="J1493" s="5" t="s">
        <v>5078</v>
      </c>
      <c r="K1493" s="5">
        <v>1.0</v>
      </c>
      <c r="L1493" s="5">
        <v>14218.0</v>
      </c>
      <c r="M1493" s="8"/>
      <c r="AK1493" s="9"/>
    </row>
    <row r="1494" ht="14.25" customHeight="1">
      <c r="A1494" s="5" t="s">
        <v>5032</v>
      </c>
      <c r="B1494" s="5">
        <v>9.0</v>
      </c>
      <c r="C1494" s="5" t="s">
        <v>4969</v>
      </c>
      <c r="D1494" s="10" t="s">
        <v>5290</v>
      </c>
      <c r="E1494" s="5">
        <v>1578.0</v>
      </c>
      <c r="F1494" s="5" t="s">
        <v>5291</v>
      </c>
      <c r="G1494" s="5" t="s">
        <v>5292</v>
      </c>
      <c r="H1494" s="5" t="s">
        <v>5293</v>
      </c>
      <c r="I1494" s="5" t="s">
        <v>641</v>
      </c>
      <c r="J1494" s="5" t="s">
        <v>5073</v>
      </c>
      <c r="K1494" s="5">
        <v>1.0</v>
      </c>
      <c r="L1494" s="5">
        <v>1981.0</v>
      </c>
      <c r="M1494" s="8"/>
      <c r="AK1494" s="9"/>
    </row>
    <row r="1495" ht="14.25" customHeight="1">
      <c r="A1495" s="5" t="s">
        <v>5032</v>
      </c>
      <c r="B1495" s="5">
        <v>9.0</v>
      </c>
      <c r="C1495" s="5" t="s">
        <v>4969</v>
      </c>
      <c r="D1495" s="10" t="s">
        <v>5294</v>
      </c>
      <c r="E1495" s="5">
        <v>12166.0</v>
      </c>
      <c r="F1495" s="5" t="s">
        <v>5295</v>
      </c>
      <c r="G1495" s="5" t="s">
        <v>5296</v>
      </c>
      <c r="H1495" s="5" t="s">
        <v>5297</v>
      </c>
      <c r="I1495" s="5" t="s">
        <v>641</v>
      </c>
      <c r="J1495" s="5" t="s">
        <v>5073</v>
      </c>
      <c r="K1495" s="5">
        <v>1.0</v>
      </c>
      <c r="L1495" s="5">
        <v>14222.0</v>
      </c>
      <c r="M1495" s="8"/>
      <c r="AK1495" s="9"/>
    </row>
    <row r="1496" ht="14.25" customHeight="1">
      <c r="A1496" s="5" t="s">
        <v>5298</v>
      </c>
      <c r="B1496" s="5">
        <v>9.0</v>
      </c>
      <c r="C1496" s="5" t="s">
        <v>4969</v>
      </c>
      <c r="D1496" s="10" t="s">
        <v>5299</v>
      </c>
      <c r="E1496" s="5">
        <v>12170.0</v>
      </c>
      <c r="F1496" s="5" t="s">
        <v>5300</v>
      </c>
      <c r="G1496" s="5" t="s">
        <v>5301</v>
      </c>
      <c r="H1496" s="5" t="s">
        <v>5302</v>
      </c>
      <c r="I1496" s="5" t="s">
        <v>641</v>
      </c>
      <c r="J1496" s="5" t="s">
        <v>5073</v>
      </c>
      <c r="K1496" s="5">
        <v>1.0</v>
      </c>
      <c r="L1496" s="5">
        <v>14226.0</v>
      </c>
      <c r="M1496" s="8"/>
      <c r="AK1496" s="9"/>
    </row>
    <row r="1497" ht="14.25" customHeight="1">
      <c r="A1497" s="5" t="s">
        <v>4980</v>
      </c>
      <c r="B1497" s="5">
        <v>9.0</v>
      </c>
      <c r="C1497" s="5" t="s">
        <v>4969</v>
      </c>
      <c r="D1497" s="10" t="s">
        <v>5303</v>
      </c>
      <c r="E1497" s="5">
        <v>2623.0</v>
      </c>
      <c r="F1497" s="5" t="s">
        <v>5300</v>
      </c>
      <c r="G1497" s="5" t="s">
        <v>5304</v>
      </c>
      <c r="H1497" s="5" t="s">
        <v>5305</v>
      </c>
      <c r="I1497" s="5" t="s">
        <v>641</v>
      </c>
      <c r="J1497" s="5" t="s">
        <v>5083</v>
      </c>
      <c r="K1497" s="5">
        <v>1.0</v>
      </c>
      <c r="L1497" s="5">
        <v>3026.0</v>
      </c>
      <c r="M1497" s="8"/>
      <c r="AK1497" s="9"/>
    </row>
    <row r="1498" ht="14.25" customHeight="1">
      <c r="A1498" s="5" t="s">
        <v>5032</v>
      </c>
      <c r="B1498" s="5">
        <v>9.0</v>
      </c>
      <c r="C1498" s="5" t="s">
        <v>4969</v>
      </c>
      <c r="D1498" s="10" t="s">
        <v>5306</v>
      </c>
      <c r="E1498" s="5">
        <v>12462.0</v>
      </c>
      <c r="F1498" s="5" t="s">
        <v>5307</v>
      </c>
      <c r="G1498" s="5" t="s">
        <v>5308</v>
      </c>
      <c r="H1498" s="5" t="s">
        <v>5309</v>
      </c>
      <c r="I1498" s="5" t="s">
        <v>49</v>
      </c>
      <c r="J1498" s="5" t="s">
        <v>5073</v>
      </c>
      <c r="K1498" s="5">
        <v>1.0</v>
      </c>
      <c r="L1498" s="5">
        <v>14484.0</v>
      </c>
      <c r="M1498" s="8"/>
      <c r="AK1498" s="9"/>
    </row>
    <row r="1499" ht="14.25" customHeight="1">
      <c r="A1499" s="5" t="s">
        <v>5032</v>
      </c>
      <c r="B1499" s="5">
        <v>9.0</v>
      </c>
      <c r="C1499" s="5" t="s">
        <v>4969</v>
      </c>
      <c r="D1499" s="10" t="s">
        <v>5310</v>
      </c>
      <c r="E1499" s="5">
        <v>2617.0</v>
      </c>
      <c r="F1499" s="5" t="s">
        <v>5311</v>
      </c>
      <c r="G1499" s="5" t="s">
        <v>5312</v>
      </c>
      <c r="H1499" s="5" t="s">
        <v>5313</v>
      </c>
      <c r="I1499" s="5" t="s">
        <v>641</v>
      </c>
      <c r="J1499" s="5" t="s">
        <v>5073</v>
      </c>
      <c r="K1499" s="5">
        <v>1.0</v>
      </c>
      <c r="L1499" s="5">
        <v>3020.0</v>
      </c>
      <c r="M1499" s="8"/>
      <c r="AK1499" s="9"/>
    </row>
    <row r="1500" ht="14.25" customHeight="1">
      <c r="A1500" s="5" t="s">
        <v>5032</v>
      </c>
      <c r="B1500" s="5">
        <v>9.0</v>
      </c>
      <c r="C1500" s="5" t="s">
        <v>4969</v>
      </c>
      <c r="D1500" s="10" t="s">
        <v>5314</v>
      </c>
      <c r="E1500" s="5">
        <v>2645.0</v>
      </c>
      <c r="F1500" s="5" t="s">
        <v>5315</v>
      </c>
      <c r="G1500" s="5" t="s">
        <v>5316</v>
      </c>
      <c r="H1500" s="5" t="s">
        <v>5317</v>
      </c>
      <c r="I1500" s="5" t="s">
        <v>641</v>
      </c>
      <c r="J1500" s="5" t="s">
        <v>5037</v>
      </c>
      <c r="K1500" s="5">
        <v>1.0</v>
      </c>
      <c r="L1500" s="5">
        <v>3048.0</v>
      </c>
      <c r="M1500" s="8"/>
      <c r="AK1500" s="9"/>
    </row>
    <row r="1501" ht="14.25" customHeight="1">
      <c r="A1501" s="5" t="s">
        <v>5032</v>
      </c>
      <c r="B1501" s="5">
        <v>9.0</v>
      </c>
      <c r="C1501" s="5" t="s">
        <v>4969</v>
      </c>
      <c r="D1501" s="10" t="s">
        <v>5318</v>
      </c>
      <c r="E1501" s="5">
        <v>12176.0</v>
      </c>
      <c r="F1501" s="5" t="s">
        <v>5319</v>
      </c>
      <c r="G1501" s="5" t="s">
        <v>5320</v>
      </c>
      <c r="H1501" s="5" t="s">
        <v>5321</v>
      </c>
      <c r="I1501" s="5" t="s">
        <v>641</v>
      </c>
      <c r="J1501" s="5" t="s">
        <v>5037</v>
      </c>
      <c r="K1501" s="5">
        <v>1.0</v>
      </c>
      <c r="L1501" s="5">
        <v>14232.0</v>
      </c>
      <c r="M1501" s="8"/>
      <c r="AK1501" s="9"/>
    </row>
    <row r="1502" ht="14.25" customHeight="1">
      <c r="A1502" s="5" t="s">
        <v>5032</v>
      </c>
      <c r="B1502" s="5">
        <v>9.0</v>
      </c>
      <c r="C1502" s="5" t="s">
        <v>4969</v>
      </c>
      <c r="D1502" s="10" t="s">
        <v>5322</v>
      </c>
      <c r="E1502" s="5">
        <v>12177.0</v>
      </c>
      <c r="F1502" s="5" t="s">
        <v>5323</v>
      </c>
      <c r="G1502" s="5" t="s">
        <v>5324</v>
      </c>
      <c r="H1502" s="5" t="s">
        <v>5325</v>
      </c>
      <c r="I1502" s="5" t="s">
        <v>641</v>
      </c>
      <c r="J1502" s="5" t="s">
        <v>5037</v>
      </c>
      <c r="K1502" s="5">
        <v>1.0</v>
      </c>
      <c r="L1502" s="5">
        <v>14233.0</v>
      </c>
      <c r="M1502" s="8"/>
      <c r="AK1502" s="9"/>
    </row>
    <row r="1503" ht="14.25" customHeight="1">
      <c r="A1503" s="5" t="s">
        <v>5032</v>
      </c>
      <c r="B1503" s="5">
        <v>9.0</v>
      </c>
      <c r="C1503" s="5" t="s">
        <v>4969</v>
      </c>
      <c r="D1503" s="10" t="s">
        <v>5326</v>
      </c>
      <c r="E1503" s="5">
        <v>1592.0</v>
      </c>
      <c r="F1503" s="5" t="s">
        <v>5323</v>
      </c>
      <c r="G1503" s="5" t="s">
        <v>5327</v>
      </c>
      <c r="H1503" s="5" t="s">
        <v>5328</v>
      </c>
      <c r="I1503" s="5" t="s">
        <v>641</v>
      </c>
      <c r="J1503" s="5" t="s">
        <v>5037</v>
      </c>
      <c r="K1503" s="5">
        <v>1.0</v>
      </c>
      <c r="L1503" s="5">
        <v>1995.0</v>
      </c>
      <c r="M1503" s="8"/>
      <c r="AK1503" s="9"/>
    </row>
    <row r="1504" ht="14.25" customHeight="1">
      <c r="A1504" s="5" t="s">
        <v>5032</v>
      </c>
      <c r="B1504" s="5">
        <v>9.0</v>
      </c>
      <c r="C1504" s="5" t="s">
        <v>4969</v>
      </c>
      <c r="D1504" s="10" t="s">
        <v>5329</v>
      </c>
      <c r="E1504" s="5">
        <v>12182.0</v>
      </c>
      <c r="F1504" s="5" t="s">
        <v>5330</v>
      </c>
      <c r="G1504" s="5" t="s">
        <v>5331</v>
      </c>
      <c r="H1504" s="5" t="s">
        <v>5332</v>
      </c>
      <c r="I1504" s="5" t="s">
        <v>641</v>
      </c>
      <c r="J1504" s="5" t="s">
        <v>5037</v>
      </c>
      <c r="K1504" s="5">
        <v>1.0</v>
      </c>
      <c r="L1504" s="5">
        <v>14238.0</v>
      </c>
      <c r="M1504" s="8"/>
      <c r="AK1504" s="9"/>
    </row>
    <row r="1505" ht="14.25" customHeight="1">
      <c r="A1505" s="5" t="s">
        <v>5032</v>
      </c>
      <c r="B1505" s="5">
        <v>9.0</v>
      </c>
      <c r="C1505" s="5" t="s">
        <v>4969</v>
      </c>
      <c r="D1505" s="10" t="s">
        <v>5333</v>
      </c>
      <c r="E1505" s="5">
        <v>12185.0</v>
      </c>
      <c r="F1505" s="5" t="s">
        <v>5334</v>
      </c>
      <c r="G1505" s="5" t="s">
        <v>5335</v>
      </c>
      <c r="H1505" s="5" t="s">
        <v>5325</v>
      </c>
      <c r="I1505" s="5" t="s">
        <v>641</v>
      </c>
      <c r="J1505" s="5" t="s">
        <v>5073</v>
      </c>
      <c r="K1505" s="5">
        <v>1.0</v>
      </c>
      <c r="L1505" s="5">
        <v>14241.0</v>
      </c>
      <c r="M1505" s="8"/>
      <c r="AK1505" s="9"/>
    </row>
    <row r="1506" ht="14.25" customHeight="1">
      <c r="A1506" s="5" t="s">
        <v>5336</v>
      </c>
      <c r="B1506" s="5">
        <v>9.0</v>
      </c>
      <c r="C1506" s="5" t="s">
        <v>4969</v>
      </c>
      <c r="D1506" s="10" t="s">
        <v>5337</v>
      </c>
      <c r="E1506" s="5">
        <v>1580.0</v>
      </c>
      <c r="F1506" s="5" t="s">
        <v>5334</v>
      </c>
      <c r="G1506" s="5" t="s">
        <v>5338</v>
      </c>
      <c r="H1506" s="5" t="s">
        <v>5339</v>
      </c>
      <c r="I1506" s="5" t="s">
        <v>641</v>
      </c>
      <c r="J1506" s="5" t="s">
        <v>5037</v>
      </c>
      <c r="K1506" s="5">
        <v>1.0</v>
      </c>
      <c r="L1506" s="5">
        <v>1983.0</v>
      </c>
      <c r="M1506" s="8"/>
      <c r="AK1506" s="9"/>
    </row>
    <row r="1507" ht="14.25" customHeight="1">
      <c r="A1507" s="5" t="s">
        <v>5032</v>
      </c>
      <c r="B1507" s="5">
        <v>9.0</v>
      </c>
      <c r="C1507" s="5" t="s">
        <v>4969</v>
      </c>
      <c r="D1507" s="10" t="s">
        <v>5340</v>
      </c>
      <c r="E1507" s="5">
        <v>12186.0</v>
      </c>
      <c r="F1507" s="5" t="s">
        <v>5341</v>
      </c>
      <c r="G1507" s="5" t="s">
        <v>5342</v>
      </c>
      <c r="H1507" s="5" t="s">
        <v>5343</v>
      </c>
      <c r="I1507" s="5" t="s">
        <v>641</v>
      </c>
      <c r="J1507" s="5" t="s">
        <v>5037</v>
      </c>
      <c r="K1507" s="5">
        <v>1.0</v>
      </c>
      <c r="L1507" s="5">
        <v>14242.0</v>
      </c>
      <c r="M1507" s="8"/>
      <c r="AK1507" s="9"/>
    </row>
    <row r="1508" ht="14.25" customHeight="1">
      <c r="A1508" s="5" t="s">
        <v>5032</v>
      </c>
      <c r="B1508" s="5">
        <v>9.0</v>
      </c>
      <c r="C1508" s="5" t="s">
        <v>4969</v>
      </c>
      <c r="D1508" s="10" t="s">
        <v>5344</v>
      </c>
      <c r="E1508" s="5">
        <v>1579.0</v>
      </c>
      <c r="F1508" s="5" t="s">
        <v>5345</v>
      </c>
      <c r="G1508" s="5" t="s">
        <v>5346</v>
      </c>
      <c r="H1508" s="5" t="s">
        <v>5347</v>
      </c>
      <c r="I1508" s="5" t="s">
        <v>641</v>
      </c>
      <c r="J1508" s="5" t="s">
        <v>5073</v>
      </c>
      <c r="K1508" s="5">
        <v>1.0</v>
      </c>
      <c r="L1508" s="5">
        <v>1982.0</v>
      </c>
      <c r="M1508" s="8"/>
      <c r="AK1508" s="9"/>
    </row>
    <row r="1509" ht="14.25" customHeight="1">
      <c r="A1509" s="5" t="s">
        <v>5032</v>
      </c>
      <c r="B1509" s="5">
        <v>9.0</v>
      </c>
      <c r="C1509" s="5" t="s">
        <v>4969</v>
      </c>
      <c r="D1509" s="10" t="s">
        <v>5348</v>
      </c>
      <c r="E1509" s="5">
        <v>1561.0</v>
      </c>
      <c r="F1509" s="5" t="s">
        <v>5349</v>
      </c>
      <c r="G1509" s="5" t="s">
        <v>5350</v>
      </c>
      <c r="H1509" s="5" t="s">
        <v>5351</v>
      </c>
      <c r="I1509" s="5" t="s">
        <v>641</v>
      </c>
      <c r="J1509" s="5" t="s">
        <v>5073</v>
      </c>
      <c r="K1509" s="5">
        <v>1.0</v>
      </c>
      <c r="L1509" s="5">
        <v>1964.0</v>
      </c>
      <c r="M1509" s="8"/>
      <c r="AK1509" s="9"/>
    </row>
    <row r="1510" ht="14.25" customHeight="1">
      <c r="A1510" s="5" t="s">
        <v>5032</v>
      </c>
      <c r="B1510" s="5">
        <v>9.0</v>
      </c>
      <c r="C1510" s="5" t="s">
        <v>4969</v>
      </c>
      <c r="D1510" s="10" t="s">
        <v>5352</v>
      </c>
      <c r="E1510" s="5">
        <v>2643.0</v>
      </c>
      <c r="F1510" s="5" t="s">
        <v>5353</v>
      </c>
      <c r="G1510" s="5" t="s">
        <v>5354</v>
      </c>
      <c r="H1510" s="5" t="s">
        <v>5355</v>
      </c>
      <c r="I1510" s="5" t="s">
        <v>641</v>
      </c>
      <c r="J1510" s="5" t="s">
        <v>5163</v>
      </c>
      <c r="K1510" s="5">
        <v>1.0</v>
      </c>
      <c r="L1510" s="5">
        <v>3046.0</v>
      </c>
      <c r="M1510" s="8"/>
      <c r="AK1510" s="9"/>
    </row>
    <row r="1511" ht="14.25" customHeight="1">
      <c r="A1511" s="5" t="s">
        <v>5032</v>
      </c>
      <c r="B1511" s="5">
        <v>9.0</v>
      </c>
      <c r="C1511" s="5" t="s">
        <v>4969</v>
      </c>
      <c r="D1511" s="10" t="s">
        <v>5356</v>
      </c>
      <c r="E1511" s="5">
        <v>2631.0</v>
      </c>
      <c r="F1511" s="5" t="s">
        <v>5357</v>
      </c>
      <c r="G1511" s="5" t="s">
        <v>5358</v>
      </c>
      <c r="H1511" s="5" t="s">
        <v>5359</v>
      </c>
      <c r="I1511" s="5" t="s">
        <v>641</v>
      </c>
      <c r="J1511" s="5" t="s">
        <v>5037</v>
      </c>
      <c r="K1511" s="5">
        <v>1.0</v>
      </c>
      <c r="L1511" s="5">
        <v>3034.0</v>
      </c>
      <c r="M1511" s="8"/>
      <c r="AK1511" s="9"/>
    </row>
    <row r="1512" ht="15.0" customHeight="1">
      <c r="A1512" s="5" t="s">
        <v>5032</v>
      </c>
      <c r="B1512" s="5">
        <v>9.0</v>
      </c>
      <c r="C1512" s="5" t="s">
        <v>4969</v>
      </c>
      <c r="D1512" s="10" t="s">
        <v>5360</v>
      </c>
      <c r="E1512" s="5">
        <v>2629.0</v>
      </c>
      <c r="F1512" s="5" t="s">
        <v>5361</v>
      </c>
      <c r="G1512" s="5" t="s">
        <v>5362</v>
      </c>
      <c r="H1512" s="5" t="s">
        <v>5363</v>
      </c>
      <c r="I1512" s="5" t="s">
        <v>641</v>
      </c>
      <c r="J1512" s="5" t="s">
        <v>5073</v>
      </c>
      <c r="K1512" s="5">
        <v>1.0</v>
      </c>
      <c r="L1512" s="5">
        <v>3032.0</v>
      </c>
      <c r="M1512" s="8"/>
      <c r="AK1512" s="9"/>
    </row>
    <row r="1513" ht="14.25" customHeight="1">
      <c r="A1513" s="6" t="s">
        <v>5364</v>
      </c>
      <c r="B1513" s="5">
        <v>9.0</v>
      </c>
      <c r="C1513" s="5" t="s">
        <v>5039</v>
      </c>
      <c r="D1513" s="5" t="s">
        <v>5365</v>
      </c>
      <c r="E1513" s="5">
        <v>12191.0</v>
      </c>
      <c r="F1513" s="5" t="s">
        <v>439</v>
      </c>
      <c r="G1513" s="5" t="s">
        <v>5366</v>
      </c>
      <c r="H1513" s="5" t="s">
        <v>84</v>
      </c>
      <c r="I1513" s="5" t="s">
        <v>641</v>
      </c>
      <c r="K1513" s="5">
        <v>1.0</v>
      </c>
      <c r="L1513" s="5">
        <v>14247.0</v>
      </c>
      <c r="M1513" s="8"/>
      <c r="AK1513" s="9"/>
    </row>
    <row r="1514" ht="14.25" customHeight="1">
      <c r="A1514" s="5" t="s">
        <v>5367</v>
      </c>
      <c r="B1514" s="5">
        <v>9.0</v>
      </c>
      <c r="C1514" s="10" t="s">
        <v>5039</v>
      </c>
      <c r="D1514" s="10" t="s">
        <v>5368</v>
      </c>
      <c r="E1514" s="5">
        <v>1581.0</v>
      </c>
      <c r="F1514" s="5" t="s">
        <v>5369</v>
      </c>
      <c r="G1514" s="5" t="s">
        <v>5370</v>
      </c>
      <c r="H1514" s="5" t="s">
        <v>5371</v>
      </c>
      <c r="I1514" s="5" t="s">
        <v>641</v>
      </c>
      <c r="J1514" s="5" t="s">
        <v>5048</v>
      </c>
      <c r="K1514" s="5">
        <v>1.0</v>
      </c>
      <c r="L1514" s="5">
        <v>1984.0</v>
      </c>
      <c r="M1514" s="8"/>
      <c r="AK1514" s="9"/>
    </row>
    <row r="1515" ht="14.25" customHeight="1">
      <c r="A1515" s="5" t="s">
        <v>5032</v>
      </c>
      <c r="B1515" s="5">
        <v>9.0</v>
      </c>
      <c r="C1515" s="11" t="s">
        <v>4969</v>
      </c>
      <c r="D1515" s="10" t="s">
        <v>5372</v>
      </c>
      <c r="E1515" s="5">
        <v>2584.0</v>
      </c>
      <c r="F1515" s="5" t="s">
        <v>5373</v>
      </c>
      <c r="G1515" s="5" t="s">
        <v>5374</v>
      </c>
      <c r="H1515" s="5" t="s">
        <v>5375</v>
      </c>
      <c r="I1515" s="5" t="s">
        <v>641</v>
      </c>
      <c r="J1515" s="5" t="s">
        <v>5037</v>
      </c>
      <c r="K1515" s="5">
        <v>1.0</v>
      </c>
      <c r="L1515" s="5">
        <v>2987.0</v>
      </c>
      <c r="M1515" s="8"/>
      <c r="AK1515" s="9"/>
    </row>
    <row r="1516" ht="14.25" customHeight="1">
      <c r="A1516" s="6" t="s">
        <v>5376</v>
      </c>
      <c r="B1516" s="5">
        <v>9.0</v>
      </c>
      <c r="C1516" s="5" t="s">
        <v>5039</v>
      </c>
      <c r="D1516" s="5" t="s">
        <v>5377</v>
      </c>
      <c r="E1516" s="5">
        <v>12196.0</v>
      </c>
      <c r="F1516" s="5" t="s">
        <v>5378</v>
      </c>
      <c r="G1516" s="5" t="s">
        <v>5379</v>
      </c>
      <c r="H1516" s="5" t="s">
        <v>84</v>
      </c>
      <c r="I1516" s="5" t="s">
        <v>641</v>
      </c>
      <c r="K1516" s="5">
        <v>1.0</v>
      </c>
      <c r="L1516" s="5">
        <v>14251.0</v>
      </c>
      <c r="M1516" s="8"/>
      <c r="AK1516" s="9"/>
    </row>
    <row r="1517" ht="14.25" customHeight="1">
      <c r="A1517" s="5" t="s">
        <v>5380</v>
      </c>
      <c r="B1517" s="5">
        <v>9.0</v>
      </c>
      <c r="C1517" s="11" t="s">
        <v>4969</v>
      </c>
      <c r="D1517" s="10" t="s">
        <v>5381</v>
      </c>
      <c r="E1517" s="5">
        <v>1573.0</v>
      </c>
      <c r="F1517" s="5" t="s">
        <v>5382</v>
      </c>
      <c r="G1517" s="10" t="s">
        <v>5383</v>
      </c>
      <c r="H1517" s="5" t="s">
        <v>5384</v>
      </c>
      <c r="I1517" s="5" t="s">
        <v>641</v>
      </c>
      <c r="J1517" s="5" t="s">
        <v>5083</v>
      </c>
      <c r="K1517" s="5">
        <v>1.0</v>
      </c>
      <c r="L1517" s="5">
        <v>1976.0</v>
      </c>
      <c r="M1517" s="8"/>
      <c r="AK1517" s="9"/>
    </row>
    <row r="1518" ht="14.25" customHeight="1">
      <c r="A1518" s="5" t="s">
        <v>5032</v>
      </c>
      <c r="B1518" s="5">
        <v>9.0</v>
      </c>
      <c r="C1518" s="11" t="s">
        <v>4969</v>
      </c>
      <c r="D1518" s="10" t="s">
        <v>5385</v>
      </c>
      <c r="E1518" s="5">
        <v>1566.0</v>
      </c>
      <c r="F1518" s="5" t="s">
        <v>5386</v>
      </c>
      <c r="G1518" s="5" t="s">
        <v>5387</v>
      </c>
      <c r="H1518" s="5" t="s">
        <v>5388</v>
      </c>
      <c r="I1518" s="5" t="s">
        <v>641</v>
      </c>
      <c r="J1518" s="5" t="s">
        <v>5073</v>
      </c>
      <c r="K1518" s="5">
        <v>1.0</v>
      </c>
      <c r="L1518" s="5">
        <v>1969.0</v>
      </c>
      <c r="M1518" s="8"/>
      <c r="AK1518" s="9"/>
    </row>
    <row r="1519" ht="14.25" customHeight="1">
      <c r="A1519" s="6" t="s">
        <v>5389</v>
      </c>
      <c r="B1519" s="5">
        <v>9.0</v>
      </c>
      <c r="C1519" s="5" t="s">
        <v>5039</v>
      </c>
      <c r="D1519" s="5" t="s">
        <v>5390</v>
      </c>
      <c r="E1519" s="5">
        <v>12200.0</v>
      </c>
      <c r="F1519" s="5" t="s">
        <v>5391</v>
      </c>
      <c r="G1519" s="5" t="s">
        <v>5392</v>
      </c>
      <c r="H1519" s="5" t="s">
        <v>84</v>
      </c>
      <c r="I1519" s="5" t="s">
        <v>641</v>
      </c>
      <c r="K1519" s="5">
        <v>1.0</v>
      </c>
      <c r="L1519" s="5">
        <v>14255.0</v>
      </c>
      <c r="M1519" s="8"/>
      <c r="AK1519" s="9"/>
    </row>
    <row r="1520" ht="14.25" customHeight="1">
      <c r="A1520" s="5" t="s">
        <v>5393</v>
      </c>
      <c r="B1520" s="5">
        <v>9.0</v>
      </c>
      <c r="C1520" s="10" t="s">
        <v>5039</v>
      </c>
      <c r="D1520" s="10" t="s">
        <v>5394</v>
      </c>
      <c r="E1520" s="5">
        <v>12530.0</v>
      </c>
      <c r="F1520" s="28" t="s">
        <v>5395</v>
      </c>
      <c r="G1520" s="28" t="s">
        <v>5396</v>
      </c>
      <c r="H1520" s="5" t="s">
        <v>5397</v>
      </c>
      <c r="I1520" s="5" t="s">
        <v>49</v>
      </c>
      <c r="J1520" s="5" t="s">
        <v>4983</v>
      </c>
      <c r="K1520" s="5">
        <v>1.0</v>
      </c>
      <c r="L1520" s="5">
        <v>14552.0</v>
      </c>
      <c r="M1520" s="8"/>
      <c r="AK1520" s="9"/>
    </row>
    <row r="1521" ht="14.25" customHeight="1">
      <c r="A1521" s="5" t="s">
        <v>5043</v>
      </c>
      <c r="B1521" s="5">
        <v>9.0</v>
      </c>
      <c r="C1521" s="10" t="s">
        <v>5039</v>
      </c>
      <c r="D1521" s="10" t="s">
        <v>5398</v>
      </c>
      <c r="E1521" s="5">
        <v>12610.0</v>
      </c>
      <c r="F1521" s="28" t="s">
        <v>5399</v>
      </c>
      <c r="G1521" s="28" t="s">
        <v>5400</v>
      </c>
      <c r="H1521" s="5" t="s">
        <v>5401</v>
      </c>
      <c r="I1521" s="5" t="s">
        <v>49</v>
      </c>
      <c r="J1521" s="5" t="s">
        <v>5402</v>
      </c>
      <c r="K1521" s="5">
        <v>1.0</v>
      </c>
      <c r="L1521" s="5">
        <v>14632.0</v>
      </c>
      <c r="M1521" s="8"/>
      <c r="AK1521" s="9"/>
      <c r="AO1521" s="27"/>
    </row>
    <row r="1522" ht="14.25" customHeight="1">
      <c r="A1522" s="5" t="s">
        <v>5043</v>
      </c>
      <c r="B1522" s="5">
        <v>9.0</v>
      </c>
      <c r="C1522" s="10" t="s">
        <v>5039</v>
      </c>
      <c r="D1522" s="10" t="s">
        <v>5403</v>
      </c>
      <c r="E1522" s="5">
        <v>12608.0</v>
      </c>
      <c r="F1522" s="10" t="s">
        <v>5404</v>
      </c>
      <c r="G1522" s="10" t="s">
        <v>5405</v>
      </c>
      <c r="H1522" s="5" t="s">
        <v>5397</v>
      </c>
      <c r="I1522" s="5" t="s">
        <v>49</v>
      </c>
      <c r="J1522" s="5" t="s">
        <v>5402</v>
      </c>
      <c r="K1522" s="5">
        <v>1.0</v>
      </c>
      <c r="L1522" s="5">
        <v>14630.0</v>
      </c>
      <c r="M1522" s="8"/>
      <c r="AK1522" s="9"/>
    </row>
    <row r="1523" ht="14.25" customHeight="1">
      <c r="A1523" s="5" t="s">
        <v>5406</v>
      </c>
      <c r="B1523" s="5">
        <v>9.0</v>
      </c>
      <c r="C1523" s="10" t="s">
        <v>5039</v>
      </c>
      <c r="D1523" s="10" t="s">
        <v>5407</v>
      </c>
      <c r="E1523" s="5">
        <v>12582.0</v>
      </c>
      <c r="F1523" s="10" t="s">
        <v>5408</v>
      </c>
      <c r="G1523" s="10" t="s">
        <v>5409</v>
      </c>
      <c r="H1523" s="5" t="s">
        <v>5397</v>
      </c>
      <c r="I1523" s="5" t="s">
        <v>49</v>
      </c>
      <c r="J1523" s="5" t="s">
        <v>4983</v>
      </c>
      <c r="K1523" s="5">
        <v>1.0</v>
      </c>
      <c r="L1523" s="5">
        <v>14604.0</v>
      </c>
      <c r="M1523" s="8"/>
      <c r="AK1523" s="9"/>
    </row>
    <row r="1524" ht="14.25" customHeight="1">
      <c r="A1524" s="5" t="s">
        <v>4980</v>
      </c>
      <c r="B1524" s="5">
        <v>9.0</v>
      </c>
      <c r="C1524" s="11" t="s">
        <v>4969</v>
      </c>
      <c r="D1524" s="10" t="s">
        <v>5410</v>
      </c>
      <c r="E1524" s="5">
        <v>12531.0</v>
      </c>
      <c r="F1524" s="5" t="s">
        <v>1648</v>
      </c>
      <c r="G1524" s="5" t="s">
        <v>5411</v>
      </c>
      <c r="H1524" s="5" t="s">
        <v>5397</v>
      </c>
      <c r="I1524" s="5" t="s">
        <v>49</v>
      </c>
      <c r="J1524" s="5" t="s">
        <v>4983</v>
      </c>
      <c r="K1524" s="5">
        <v>1.0</v>
      </c>
      <c r="L1524" s="5">
        <v>14553.0</v>
      </c>
      <c r="M1524" s="8"/>
      <c r="AK1524" s="9"/>
    </row>
    <row r="1525" ht="14.25" customHeight="1">
      <c r="A1525" s="5" t="s">
        <v>4980</v>
      </c>
      <c r="B1525" s="5">
        <v>9.0</v>
      </c>
      <c r="C1525" s="11" t="s">
        <v>4969</v>
      </c>
      <c r="D1525" s="10" t="s">
        <v>5412</v>
      </c>
      <c r="E1525" s="5">
        <v>12534.0</v>
      </c>
      <c r="F1525" s="5" t="s">
        <v>1648</v>
      </c>
      <c r="G1525" s="5" t="s">
        <v>5413</v>
      </c>
      <c r="H1525" s="5" t="s">
        <v>5397</v>
      </c>
      <c r="I1525" s="5" t="s">
        <v>49</v>
      </c>
      <c r="J1525" s="5" t="s">
        <v>4983</v>
      </c>
      <c r="K1525" s="5">
        <v>1.0</v>
      </c>
      <c r="L1525" s="5">
        <v>14556.0</v>
      </c>
      <c r="M1525" s="8"/>
      <c r="AK1525" s="9"/>
    </row>
    <row r="1526" ht="14.25" customHeight="1">
      <c r="A1526" s="5" t="s">
        <v>4980</v>
      </c>
      <c r="B1526" s="5">
        <v>9.0</v>
      </c>
      <c r="C1526" s="11" t="s">
        <v>4969</v>
      </c>
      <c r="D1526" s="10" t="s">
        <v>5414</v>
      </c>
      <c r="E1526" s="5">
        <v>12535.0</v>
      </c>
      <c r="F1526" s="5" t="s">
        <v>1648</v>
      </c>
      <c r="G1526" s="5" t="s">
        <v>5415</v>
      </c>
      <c r="H1526" s="5" t="s">
        <v>5397</v>
      </c>
      <c r="I1526" s="5" t="s">
        <v>49</v>
      </c>
      <c r="J1526" s="5" t="s">
        <v>4983</v>
      </c>
      <c r="K1526" s="5">
        <v>1.0</v>
      </c>
      <c r="L1526" s="5">
        <v>14557.0</v>
      </c>
      <c r="M1526" s="8"/>
      <c r="AK1526" s="9"/>
    </row>
    <row r="1527" ht="14.25" customHeight="1">
      <c r="A1527" s="5" t="s">
        <v>4980</v>
      </c>
      <c r="B1527" s="5">
        <v>9.0</v>
      </c>
      <c r="C1527" s="11" t="s">
        <v>4969</v>
      </c>
      <c r="D1527" s="10" t="s">
        <v>5416</v>
      </c>
      <c r="E1527" s="5">
        <v>12537.0</v>
      </c>
      <c r="F1527" s="81" t="s">
        <v>1648</v>
      </c>
      <c r="G1527" s="5" t="s">
        <v>5417</v>
      </c>
      <c r="H1527" s="5" t="s">
        <v>5397</v>
      </c>
      <c r="I1527" s="5" t="s">
        <v>49</v>
      </c>
      <c r="J1527" s="5" t="s">
        <v>4983</v>
      </c>
      <c r="K1527" s="5">
        <v>1.0</v>
      </c>
      <c r="L1527" s="5">
        <v>14559.0</v>
      </c>
      <c r="M1527" s="8"/>
      <c r="AK1527" s="9"/>
    </row>
    <row r="1528" ht="14.25" customHeight="1">
      <c r="A1528" s="5" t="s">
        <v>4980</v>
      </c>
      <c r="B1528" s="5">
        <v>9.0</v>
      </c>
      <c r="C1528" s="11" t="s">
        <v>4969</v>
      </c>
      <c r="D1528" s="10" t="s">
        <v>5418</v>
      </c>
      <c r="E1528" s="5">
        <v>12539.0</v>
      </c>
      <c r="F1528" s="5" t="s">
        <v>1648</v>
      </c>
      <c r="G1528" s="5" t="s">
        <v>5419</v>
      </c>
      <c r="H1528" s="5" t="s">
        <v>5397</v>
      </c>
      <c r="I1528" s="5" t="s">
        <v>49</v>
      </c>
      <c r="J1528" s="5" t="s">
        <v>4983</v>
      </c>
      <c r="K1528" s="5">
        <v>1.0</v>
      </c>
      <c r="L1528" s="5">
        <v>14561.0</v>
      </c>
      <c r="M1528" s="8"/>
      <c r="AK1528" s="9"/>
    </row>
    <row r="1529" ht="14.25" customHeight="1">
      <c r="A1529" s="5" t="s">
        <v>4980</v>
      </c>
      <c r="B1529" s="5">
        <v>9.0</v>
      </c>
      <c r="C1529" s="11" t="s">
        <v>4969</v>
      </c>
      <c r="D1529" s="10" t="s">
        <v>5420</v>
      </c>
      <c r="E1529" s="5">
        <v>12540.0</v>
      </c>
      <c r="F1529" s="5" t="s">
        <v>1648</v>
      </c>
      <c r="G1529" s="5" t="s">
        <v>5421</v>
      </c>
      <c r="H1529" s="5" t="s">
        <v>5397</v>
      </c>
      <c r="I1529" s="5" t="s">
        <v>49</v>
      </c>
      <c r="J1529" s="5" t="s">
        <v>4983</v>
      </c>
      <c r="K1529" s="5">
        <v>1.0</v>
      </c>
      <c r="L1529" s="5">
        <v>14562.0</v>
      </c>
      <c r="M1529" s="8"/>
      <c r="AK1529" s="9"/>
    </row>
    <row r="1530" ht="14.25" customHeight="1">
      <c r="A1530" s="5" t="s">
        <v>4980</v>
      </c>
      <c r="B1530" s="5">
        <v>9.0</v>
      </c>
      <c r="C1530" s="11" t="s">
        <v>4969</v>
      </c>
      <c r="D1530" s="10" t="s">
        <v>5422</v>
      </c>
      <c r="E1530" s="5">
        <v>12542.0</v>
      </c>
      <c r="F1530" s="5" t="s">
        <v>1648</v>
      </c>
      <c r="G1530" s="5" t="s">
        <v>5423</v>
      </c>
      <c r="H1530" s="5" t="s">
        <v>5397</v>
      </c>
      <c r="I1530" s="5" t="s">
        <v>49</v>
      </c>
      <c r="J1530" s="5" t="s">
        <v>4983</v>
      </c>
      <c r="K1530" s="5">
        <v>1.0</v>
      </c>
      <c r="L1530" s="5">
        <v>14564.0</v>
      </c>
      <c r="M1530" s="8"/>
      <c r="AK1530" s="9"/>
    </row>
    <row r="1531" ht="14.25" customHeight="1">
      <c r="A1531" s="5" t="s">
        <v>4980</v>
      </c>
      <c r="B1531" s="5">
        <v>9.0</v>
      </c>
      <c r="C1531" s="11" t="s">
        <v>4969</v>
      </c>
      <c r="D1531" s="10" t="s">
        <v>5424</v>
      </c>
      <c r="E1531" s="5">
        <v>12543.0</v>
      </c>
      <c r="F1531" s="5" t="s">
        <v>1648</v>
      </c>
      <c r="G1531" s="5" t="s">
        <v>5425</v>
      </c>
      <c r="H1531" s="5" t="s">
        <v>5397</v>
      </c>
      <c r="I1531" s="5" t="s">
        <v>49</v>
      </c>
      <c r="J1531" s="5" t="s">
        <v>4983</v>
      </c>
      <c r="K1531" s="5">
        <v>1.0</v>
      </c>
      <c r="L1531" s="5">
        <v>14565.0</v>
      </c>
      <c r="M1531" s="8"/>
      <c r="AK1531" s="9"/>
    </row>
    <row r="1532" ht="14.25" customHeight="1">
      <c r="A1532" s="5" t="s">
        <v>4980</v>
      </c>
      <c r="B1532" s="5">
        <v>9.0</v>
      </c>
      <c r="C1532" s="11" t="s">
        <v>4969</v>
      </c>
      <c r="D1532" s="10" t="s">
        <v>5426</v>
      </c>
      <c r="E1532" s="5">
        <v>12546.0</v>
      </c>
      <c r="F1532" s="81" t="s">
        <v>1648</v>
      </c>
      <c r="G1532" s="5" t="s">
        <v>5427</v>
      </c>
      <c r="H1532" s="5" t="s">
        <v>5397</v>
      </c>
      <c r="I1532" s="5" t="s">
        <v>49</v>
      </c>
      <c r="J1532" s="5" t="s">
        <v>4983</v>
      </c>
      <c r="K1532" s="5">
        <v>1.0</v>
      </c>
      <c r="L1532" s="5">
        <v>14568.0</v>
      </c>
      <c r="M1532" s="8"/>
      <c r="AK1532" s="9"/>
    </row>
    <row r="1533" ht="14.25" customHeight="1">
      <c r="A1533" s="5" t="s">
        <v>4980</v>
      </c>
      <c r="B1533" s="5">
        <v>9.0</v>
      </c>
      <c r="C1533" s="11" t="s">
        <v>4969</v>
      </c>
      <c r="D1533" s="10" t="s">
        <v>5428</v>
      </c>
      <c r="E1533" s="5">
        <v>12547.0</v>
      </c>
      <c r="F1533" s="81" t="s">
        <v>1648</v>
      </c>
      <c r="G1533" s="5" t="s">
        <v>5429</v>
      </c>
      <c r="H1533" s="5" t="s">
        <v>5397</v>
      </c>
      <c r="I1533" s="5" t="s">
        <v>49</v>
      </c>
      <c r="J1533" s="5" t="s">
        <v>4983</v>
      </c>
      <c r="K1533" s="5">
        <v>1.0</v>
      </c>
      <c r="L1533" s="5">
        <v>14569.0</v>
      </c>
      <c r="M1533" s="8"/>
      <c r="AK1533" s="9"/>
    </row>
    <row r="1534" ht="14.25" customHeight="1">
      <c r="A1534" s="5" t="s">
        <v>4980</v>
      </c>
      <c r="B1534" s="5">
        <v>9.0</v>
      </c>
      <c r="C1534" s="11" t="s">
        <v>4969</v>
      </c>
      <c r="D1534" s="10" t="s">
        <v>5430</v>
      </c>
      <c r="E1534" s="5">
        <v>12548.0</v>
      </c>
      <c r="F1534" s="81" t="s">
        <v>1648</v>
      </c>
      <c r="G1534" s="5" t="s">
        <v>5431</v>
      </c>
      <c r="H1534" s="5" t="s">
        <v>5397</v>
      </c>
      <c r="I1534" s="5" t="s">
        <v>49</v>
      </c>
      <c r="J1534" s="5" t="s">
        <v>4983</v>
      </c>
      <c r="K1534" s="5">
        <v>1.0</v>
      </c>
      <c r="L1534" s="5">
        <v>14570.0</v>
      </c>
      <c r="M1534" s="8"/>
      <c r="AK1534" s="9"/>
    </row>
    <row r="1535" ht="14.25" customHeight="1">
      <c r="A1535" s="5" t="s">
        <v>4980</v>
      </c>
      <c r="B1535" s="5">
        <v>9.0</v>
      </c>
      <c r="C1535" s="11" t="s">
        <v>4969</v>
      </c>
      <c r="D1535" s="10" t="s">
        <v>5432</v>
      </c>
      <c r="E1535" s="5">
        <v>12595.0</v>
      </c>
      <c r="F1535" s="5" t="s">
        <v>1648</v>
      </c>
      <c r="G1535" s="5" t="s">
        <v>5433</v>
      </c>
      <c r="H1535" s="5" t="s">
        <v>5397</v>
      </c>
      <c r="I1535" s="5" t="s">
        <v>49</v>
      </c>
      <c r="J1535" s="5" t="s">
        <v>5402</v>
      </c>
      <c r="K1535" s="5">
        <v>1.0</v>
      </c>
      <c r="L1535" s="5">
        <v>14617.0</v>
      </c>
      <c r="M1535" s="8"/>
      <c r="AK1535" s="9"/>
    </row>
    <row r="1536" ht="14.25" customHeight="1">
      <c r="A1536" s="5" t="s">
        <v>4980</v>
      </c>
      <c r="B1536" s="5">
        <v>9.0</v>
      </c>
      <c r="C1536" s="11" t="s">
        <v>4969</v>
      </c>
      <c r="D1536" s="10" t="s">
        <v>5434</v>
      </c>
      <c r="E1536" s="5">
        <v>12550.0</v>
      </c>
      <c r="F1536" s="5" t="s">
        <v>1648</v>
      </c>
      <c r="G1536" s="5" t="s">
        <v>5435</v>
      </c>
      <c r="H1536" s="5" t="s">
        <v>5397</v>
      </c>
      <c r="I1536" s="5" t="s">
        <v>49</v>
      </c>
      <c r="J1536" s="5" t="s">
        <v>4983</v>
      </c>
      <c r="K1536" s="5">
        <v>1.0</v>
      </c>
      <c r="L1536" s="5">
        <v>14572.0</v>
      </c>
      <c r="M1536" s="8"/>
      <c r="AK1536" s="9"/>
    </row>
    <row r="1537" ht="14.25" customHeight="1">
      <c r="A1537" s="5" t="s">
        <v>4980</v>
      </c>
      <c r="B1537" s="5">
        <v>9.0</v>
      </c>
      <c r="C1537" s="10" t="s">
        <v>5039</v>
      </c>
      <c r="D1537" s="10" t="s">
        <v>5436</v>
      </c>
      <c r="E1537" s="5">
        <v>12551.0</v>
      </c>
      <c r="F1537" s="81" t="s">
        <v>1648</v>
      </c>
      <c r="G1537" s="5" t="s">
        <v>5437</v>
      </c>
      <c r="H1537" s="5" t="s">
        <v>5397</v>
      </c>
      <c r="I1537" s="5" t="s">
        <v>49</v>
      </c>
      <c r="J1537" s="5" t="s">
        <v>4983</v>
      </c>
      <c r="K1537" s="5">
        <v>1.0</v>
      </c>
      <c r="L1537" s="5">
        <v>14573.0</v>
      </c>
      <c r="M1537" s="8"/>
      <c r="AK1537" s="9"/>
    </row>
    <row r="1538" ht="14.25" customHeight="1">
      <c r="A1538" s="5" t="s">
        <v>4980</v>
      </c>
      <c r="B1538" s="5">
        <v>9.0</v>
      </c>
      <c r="C1538" s="11" t="s">
        <v>4969</v>
      </c>
      <c r="D1538" s="10" t="s">
        <v>5438</v>
      </c>
      <c r="E1538" s="5">
        <v>12552.0</v>
      </c>
      <c r="F1538" s="82" t="s">
        <v>1648</v>
      </c>
      <c r="G1538" s="5" t="s">
        <v>5439</v>
      </c>
      <c r="H1538" s="5" t="s">
        <v>5440</v>
      </c>
      <c r="I1538" s="5" t="s">
        <v>49</v>
      </c>
      <c r="J1538" s="5" t="s">
        <v>4983</v>
      </c>
      <c r="K1538" s="5">
        <v>1.0</v>
      </c>
      <c r="L1538" s="5">
        <v>14574.0</v>
      </c>
      <c r="M1538" s="8"/>
      <c r="AK1538" s="9"/>
    </row>
    <row r="1539" ht="14.25" customHeight="1">
      <c r="A1539" s="5" t="s">
        <v>4980</v>
      </c>
      <c r="B1539" s="5">
        <v>9.0</v>
      </c>
      <c r="C1539" s="11" t="s">
        <v>4969</v>
      </c>
      <c r="D1539" s="10" t="s">
        <v>5441</v>
      </c>
      <c r="E1539" s="5">
        <v>12553.0</v>
      </c>
      <c r="F1539" s="5" t="s">
        <v>1648</v>
      </c>
      <c r="G1539" s="5" t="s">
        <v>5442</v>
      </c>
      <c r="H1539" s="5" t="s">
        <v>5397</v>
      </c>
      <c r="I1539" s="5" t="s">
        <v>49</v>
      </c>
      <c r="J1539" s="5" t="s">
        <v>4983</v>
      </c>
      <c r="K1539" s="5">
        <v>1.0</v>
      </c>
      <c r="L1539" s="5">
        <v>14575.0</v>
      </c>
      <c r="M1539" s="8"/>
      <c r="AK1539" s="9"/>
    </row>
    <row r="1540" ht="14.25" customHeight="1">
      <c r="A1540" s="5" t="s">
        <v>5443</v>
      </c>
      <c r="B1540" s="5">
        <v>9.0</v>
      </c>
      <c r="C1540" s="5" t="s">
        <v>5039</v>
      </c>
      <c r="D1540" s="5" t="s">
        <v>5444</v>
      </c>
      <c r="E1540" s="5">
        <v>12592.0</v>
      </c>
      <c r="F1540" s="5" t="s">
        <v>1648</v>
      </c>
      <c r="G1540" s="5" t="s">
        <v>5445</v>
      </c>
      <c r="H1540" s="5" t="s">
        <v>5397</v>
      </c>
      <c r="I1540" s="5" t="s">
        <v>49</v>
      </c>
      <c r="J1540" s="5" t="s">
        <v>5402</v>
      </c>
      <c r="K1540" s="5">
        <v>1.0</v>
      </c>
      <c r="L1540" s="5">
        <v>14614.0</v>
      </c>
      <c r="M1540" s="8"/>
      <c r="AK1540" s="9"/>
    </row>
    <row r="1541" ht="14.25" customHeight="1">
      <c r="A1541" s="5" t="s">
        <v>4980</v>
      </c>
      <c r="B1541" s="5">
        <v>9.0</v>
      </c>
      <c r="C1541" s="11" t="s">
        <v>4969</v>
      </c>
      <c r="D1541" s="10" t="s">
        <v>5446</v>
      </c>
      <c r="E1541" s="5">
        <v>12596.0</v>
      </c>
      <c r="F1541" s="5" t="s">
        <v>1648</v>
      </c>
      <c r="G1541" s="5" t="s">
        <v>5447</v>
      </c>
      <c r="H1541" s="5" t="s">
        <v>5397</v>
      </c>
      <c r="I1541" s="5" t="s">
        <v>49</v>
      </c>
      <c r="J1541" s="5" t="s">
        <v>5402</v>
      </c>
      <c r="K1541" s="5">
        <v>1.0</v>
      </c>
      <c r="L1541" s="5">
        <v>14618.0</v>
      </c>
      <c r="M1541" s="8"/>
      <c r="AK1541" s="9"/>
    </row>
    <row r="1542" ht="14.25" customHeight="1">
      <c r="A1542" s="5" t="s">
        <v>4980</v>
      </c>
      <c r="B1542" s="5">
        <v>9.0</v>
      </c>
      <c r="C1542" s="11" t="s">
        <v>4969</v>
      </c>
      <c r="D1542" s="10" t="s">
        <v>5448</v>
      </c>
      <c r="E1542" s="5">
        <v>12597.0</v>
      </c>
      <c r="F1542" s="5" t="s">
        <v>1648</v>
      </c>
      <c r="G1542" s="5" t="s">
        <v>5449</v>
      </c>
      <c r="H1542" s="5" t="s">
        <v>5397</v>
      </c>
      <c r="I1542" s="5" t="s">
        <v>49</v>
      </c>
      <c r="J1542" s="5" t="s">
        <v>5402</v>
      </c>
      <c r="K1542" s="5">
        <v>1.0</v>
      </c>
      <c r="L1542" s="5">
        <v>14619.0</v>
      </c>
      <c r="M1542" s="8"/>
      <c r="AK1542" s="9"/>
    </row>
    <row r="1543" ht="14.25" customHeight="1">
      <c r="A1543" s="5" t="s">
        <v>4980</v>
      </c>
      <c r="B1543" s="5">
        <v>9.0</v>
      </c>
      <c r="C1543" s="11" t="s">
        <v>4969</v>
      </c>
      <c r="D1543" s="10" t="s">
        <v>5450</v>
      </c>
      <c r="E1543" s="5">
        <v>12598.0</v>
      </c>
      <c r="F1543" s="5" t="s">
        <v>1648</v>
      </c>
      <c r="G1543" s="5" t="s">
        <v>5451</v>
      </c>
      <c r="H1543" s="5" t="s">
        <v>5397</v>
      </c>
      <c r="I1543" s="5" t="s">
        <v>49</v>
      </c>
      <c r="J1543" s="5" t="s">
        <v>5402</v>
      </c>
      <c r="K1543" s="5">
        <v>1.0</v>
      </c>
      <c r="L1543" s="5">
        <v>14620.0</v>
      </c>
      <c r="M1543" s="8"/>
      <c r="AK1543" s="9"/>
    </row>
    <row r="1544" ht="14.25" customHeight="1">
      <c r="A1544" s="5" t="s">
        <v>4980</v>
      </c>
      <c r="B1544" s="5">
        <v>9.0</v>
      </c>
      <c r="C1544" s="11" t="s">
        <v>4969</v>
      </c>
      <c r="D1544" s="10" t="s">
        <v>5452</v>
      </c>
      <c r="E1544" s="5">
        <v>12555.0</v>
      </c>
      <c r="F1544" s="5" t="s">
        <v>1648</v>
      </c>
      <c r="G1544" s="5" t="s">
        <v>5453</v>
      </c>
      <c r="H1544" s="5" t="s">
        <v>5440</v>
      </c>
      <c r="I1544" s="5" t="s">
        <v>49</v>
      </c>
      <c r="J1544" s="5" t="s">
        <v>4983</v>
      </c>
      <c r="K1544" s="5">
        <v>1.0</v>
      </c>
      <c r="L1544" s="5">
        <v>14577.0</v>
      </c>
      <c r="M1544" s="8"/>
      <c r="AK1544" s="9"/>
    </row>
    <row r="1545" ht="14.25" customHeight="1">
      <c r="A1545" s="5" t="s">
        <v>4980</v>
      </c>
      <c r="B1545" s="5">
        <v>9.0</v>
      </c>
      <c r="C1545" s="11" t="s">
        <v>4969</v>
      </c>
      <c r="D1545" s="10" t="s">
        <v>5454</v>
      </c>
      <c r="E1545" s="5">
        <v>12599.0</v>
      </c>
      <c r="F1545" s="5" t="s">
        <v>1648</v>
      </c>
      <c r="G1545" s="5" t="s">
        <v>5455</v>
      </c>
      <c r="H1545" s="5" t="s">
        <v>5397</v>
      </c>
      <c r="I1545" s="5" t="s">
        <v>49</v>
      </c>
      <c r="J1545" s="5" t="s">
        <v>5402</v>
      </c>
      <c r="K1545" s="5">
        <v>1.0</v>
      </c>
      <c r="L1545" s="5">
        <v>14621.0</v>
      </c>
      <c r="M1545" s="8"/>
      <c r="AK1545" s="9"/>
    </row>
    <row r="1546" ht="14.25" customHeight="1">
      <c r="A1546" s="5" t="s">
        <v>4980</v>
      </c>
      <c r="B1546" s="5">
        <v>9.0</v>
      </c>
      <c r="C1546" s="11" t="s">
        <v>4969</v>
      </c>
      <c r="D1546" s="10" t="s">
        <v>5456</v>
      </c>
      <c r="E1546" s="5">
        <v>12561.0</v>
      </c>
      <c r="F1546" s="82" t="s">
        <v>1648</v>
      </c>
      <c r="G1546" s="5" t="s">
        <v>5457</v>
      </c>
      <c r="H1546" s="5" t="s">
        <v>5397</v>
      </c>
      <c r="I1546" s="5" t="s">
        <v>49</v>
      </c>
      <c r="J1546" s="5" t="s">
        <v>4983</v>
      </c>
      <c r="K1546" s="5">
        <v>1.0</v>
      </c>
      <c r="L1546" s="5">
        <v>14583.0</v>
      </c>
      <c r="M1546" s="8"/>
      <c r="AK1546" s="9"/>
    </row>
    <row r="1547" ht="14.25" customHeight="1">
      <c r="A1547" s="5" t="s">
        <v>5443</v>
      </c>
      <c r="B1547" s="5">
        <v>9.0</v>
      </c>
      <c r="C1547" s="5" t="s">
        <v>5039</v>
      </c>
      <c r="D1547" s="5" t="s">
        <v>5458</v>
      </c>
      <c r="E1547" s="5">
        <v>12611.0</v>
      </c>
      <c r="F1547" s="5" t="s">
        <v>1648</v>
      </c>
      <c r="G1547" s="5" t="s">
        <v>5459</v>
      </c>
      <c r="H1547" s="5" t="s">
        <v>5397</v>
      </c>
      <c r="I1547" s="5" t="s">
        <v>49</v>
      </c>
      <c r="J1547" s="5" t="s">
        <v>5402</v>
      </c>
      <c r="K1547" s="5">
        <v>1.0</v>
      </c>
      <c r="L1547" s="5">
        <v>14633.0</v>
      </c>
      <c r="M1547" s="8"/>
      <c r="AK1547" s="9"/>
    </row>
    <row r="1548" ht="14.25" customHeight="1">
      <c r="A1548" s="5" t="s">
        <v>4980</v>
      </c>
      <c r="B1548" s="5">
        <v>9.0</v>
      </c>
      <c r="C1548" s="11" t="s">
        <v>4969</v>
      </c>
      <c r="D1548" s="10" t="s">
        <v>5460</v>
      </c>
      <c r="E1548" s="5">
        <v>12575.0</v>
      </c>
      <c r="F1548" s="5" t="s">
        <v>1648</v>
      </c>
      <c r="G1548" s="5" t="s">
        <v>5461</v>
      </c>
      <c r="H1548" s="5" t="s">
        <v>5397</v>
      </c>
      <c r="I1548" s="5" t="s">
        <v>49</v>
      </c>
      <c r="J1548" s="5" t="s">
        <v>4983</v>
      </c>
      <c r="K1548" s="5">
        <v>1.0</v>
      </c>
      <c r="L1548" s="5">
        <v>14597.0</v>
      </c>
      <c r="M1548" s="8"/>
      <c r="AK1548" s="9"/>
    </row>
    <row r="1549" ht="14.25" customHeight="1">
      <c r="A1549" s="5" t="s">
        <v>4980</v>
      </c>
      <c r="B1549" s="5">
        <v>9.0</v>
      </c>
      <c r="C1549" s="11" t="s">
        <v>4969</v>
      </c>
      <c r="D1549" s="10" t="s">
        <v>5462</v>
      </c>
      <c r="E1549" s="5">
        <v>12576.0</v>
      </c>
      <c r="F1549" s="5" t="s">
        <v>1648</v>
      </c>
      <c r="G1549" s="5" t="s">
        <v>5463</v>
      </c>
      <c r="H1549" s="5" t="s">
        <v>5397</v>
      </c>
      <c r="I1549" s="5" t="s">
        <v>49</v>
      </c>
      <c r="J1549" s="5" t="s">
        <v>4983</v>
      </c>
      <c r="K1549" s="5">
        <v>1.0</v>
      </c>
      <c r="L1549" s="5">
        <v>14598.0</v>
      </c>
      <c r="M1549" s="8"/>
      <c r="AK1549" s="9"/>
    </row>
    <row r="1550" ht="14.25" customHeight="1">
      <c r="A1550" s="5" t="s">
        <v>4980</v>
      </c>
      <c r="B1550" s="5">
        <v>9.0</v>
      </c>
      <c r="C1550" s="11" t="s">
        <v>4969</v>
      </c>
      <c r="D1550" s="10" t="s">
        <v>5464</v>
      </c>
      <c r="E1550" s="5">
        <v>12580.0</v>
      </c>
      <c r="F1550" s="82" t="s">
        <v>1648</v>
      </c>
      <c r="G1550" s="5" t="s">
        <v>5465</v>
      </c>
      <c r="H1550" s="5" t="s">
        <v>5397</v>
      </c>
      <c r="I1550" s="5" t="s">
        <v>49</v>
      </c>
      <c r="J1550" s="5" t="s">
        <v>4983</v>
      </c>
      <c r="K1550" s="5">
        <v>1.0</v>
      </c>
      <c r="L1550" s="5">
        <v>14602.0</v>
      </c>
      <c r="M1550" s="8"/>
      <c r="AK1550" s="9"/>
    </row>
    <row r="1551" ht="14.25" customHeight="1">
      <c r="A1551" s="5" t="s">
        <v>4980</v>
      </c>
      <c r="B1551" s="5">
        <v>9.0</v>
      </c>
      <c r="C1551" s="11" t="s">
        <v>4969</v>
      </c>
      <c r="D1551" s="10" t="s">
        <v>5466</v>
      </c>
      <c r="E1551" s="5">
        <v>12594.0</v>
      </c>
      <c r="F1551" s="82" t="s">
        <v>5467</v>
      </c>
      <c r="G1551" s="5" t="s">
        <v>5468</v>
      </c>
      <c r="H1551" s="5" t="s">
        <v>5397</v>
      </c>
      <c r="I1551" s="5" t="s">
        <v>49</v>
      </c>
      <c r="J1551" s="5" t="s">
        <v>5402</v>
      </c>
      <c r="K1551" s="5">
        <v>1.0</v>
      </c>
      <c r="L1551" s="5">
        <v>14616.0</v>
      </c>
      <c r="M1551" s="8"/>
      <c r="AK1551" s="9"/>
    </row>
    <row r="1552" ht="14.25" customHeight="1">
      <c r="A1552" s="5" t="s">
        <v>5043</v>
      </c>
      <c r="B1552" s="5">
        <v>9.0</v>
      </c>
      <c r="C1552" s="10" t="s">
        <v>5039</v>
      </c>
      <c r="D1552" s="10" t="s">
        <v>5469</v>
      </c>
      <c r="E1552" s="5">
        <v>12529.0</v>
      </c>
      <c r="F1552" s="10" t="s">
        <v>5470</v>
      </c>
      <c r="G1552" s="10" t="s">
        <v>5471</v>
      </c>
      <c r="H1552" s="5" t="s">
        <v>5472</v>
      </c>
      <c r="I1552" s="5" t="s">
        <v>49</v>
      </c>
      <c r="J1552" s="5" t="s">
        <v>4983</v>
      </c>
      <c r="K1552" s="5">
        <v>1.0</v>
      </c>
      <c r="L1552" s="5">
        <v>14551.0</v>
      </c>
      <c r="M1552" s="8"/>
      <c r="AK1552" s="9"/>
    </row>
    <row r="1553" ht="14.25" customHeight="1">
      <c r="A1553" s="6" t="s">
        <v>5473</v>
      </c>
      <c r="B1553" s="5">
        <v>9.0</v>
      </c>
      <c r="C1553" s="10" t="s">
        <v>5039</v>
      </c>
      <c r="D1553" s="10" t="s">
        <v>5474</v>
      </c>
      <c r="E1553" s="5">
        <v>12589.0</v>
      </c>
      <c r="F1553" s="10" t="s">
        <v>5475</v>
      </c>
      <c r="G1553" s="10" t="s">
        <v>5476</v>
      </c>
      <c r="H1553" s="5" t="s">
        <v>5397</v>
      </c>
      <c r="I1553" s="5" t="s">
        <v>49</v>
      </c>
      <c r="J1553" s="5" t="s">
        <v>5402</v>
      </c>
      <c r="K1553" s="5">
        <v>1.0</v>
      </c>
      <c r="L1553" s="5">
        <v>14611.0</v>
      </c>
      <c r="M1553" s="8"/>
      <c r="AK1553" s="9"/>
    </row>
    <row r="1554" ht="14.25" customHeight="1">
      <c r="A1554" s="5" t="s">
        <v>4980</v>
      </c>
      <c r="B1554" s="5">
        <v>9.0</v>
      </c>
      <c r="C1554" s="11" t="s">
        <v>4969</v>
      </c>
      <c r="D1554" s="10" t="s">
        <v>5477</v>
      </c>
      <c r="E1554" s="5">
        <v>12590.0</v>
      </c>
      <c r="F1554" s="10" t="s">
        <v>5478</v>
      </c>
      <c r="G1554" s="5" t="s">
        <v>5479</v>
      </c>
      <c r="H1554" s="5" t="s">
        <v>5397</v>
      </c>
      <c r="I1554" s="5" t="s">
        <v>49</v>
      </c>
      <c r="J1554" s="5" t="s">
        <v>5402</v>
      </c>
      <c r="K1554" s="5">
        <v>1.0</v>
      </c>
      <c r="L1554" s="5">
        <v>14612.0</v>
      </c>
      <c r="M1554" s="8"/>
      <c r="AK1554" s="9"/>
    </row>
    <row r="1555" ht="14.25" customHeight="1">
      <c r="A1555" s="6" t="s">
        <v>5473</v>
      </c>
      <c r="B1555" s="5">
        <v>9.0</v>
      </c>
      <c r="C1555" s="10" t="s">
        <v>5039</v>
      </c>
      <c r="D1555" s="10" t="s">
        <v>5480</v>
      </c>
      <c r="E1555" s="5">
        <v>12532.0</v>
      </c>
      <c r="F1555" s="10" t="s">
        <v>5481</v>
      </c>
      <c r="G1555" s="10" t="s">
        <v>5482</v>
      </c>
      <c r="H1555" s="5" t="s">
        <v>5397</v>
      </c>
      <c r="I1555" s="5" t="s">
        <v>49</v>
      </c>
      <c r="J1555" s="5" t="s">
        <v>4983</v>
      </c>
      <c r="K1555" s="5">
        <v>1.0</v>
      </c>
      <c r="L1555" s="5">
        <v>14554.0</v>
      </c>
      <c r="M1555" s="8"/>
      <c r="AK1555" s="9"/>
    </row>
    <row r="1556" ht="14.25" customHeight="1">
      <c r="A1556" s="6" t="s">
        <v>5473</v>
      </c>
      <c r="B1556" s="5">
        <v>9.0</v>
      </c>
      <c r="C1556" s="10" t="s">
        <v>5039</v>
      </c>
      <c r="D1556" s="10" t="s">
        <v>5483</v>
      </c>
      <c r="E1556" s="5">
        <v>12593.0</v>
      </c>
      <c r="F1556" s="10" t="s">
        <v>5484</v>
      </c>
      <c r="G1556" s="10" t="s">
        <v>5485</v>
      </c>
      <c r="H1556" s="5" t="s">
        <v>5397</v>
      </c>
      <c r="I1556" s="5" t="s">
        <v>49</v>
      </c>
      <c r="J1556" s="5" t="s">
        <v>5402</v>
      </c>
      <c r="K1556" s="5">
        <v>1.0</v>
      </c>
      <c r="L1556" s="5">
        <v>14615.0</v>
      </c>
      <c r="M1556" s="8"/>
      <c r="AK1556" s="9"/>
    </row>
    <row r="1557" ht="14.25" customHeight="1">
      <c r="A1557" s="6" t="s">
        <v>5473</v>
      </c>
      <c r="B1557" s="5">
        <v>9.0</v>
      </c>
      <c r="C1557" s="10" t="s">
        <v>5039</v>
      </c>
      <c r="D1557" s="10" t="s">
        <v>5486</v>
      </c>
      <c r="E1557" s="5">
        <v>12533.0</v>
      </c>
      <c r="F1557" s="10" t="s">
        <v>5487</v>
      </c>
      <c r="G1557" s="10" t="s">
        <v>5488</v>
      </c>
      <c r="H1557" s="5" t="s">
        <v>5397</v>
      </c>
      <c r="I1557" s="5" t="s">
        <v>49</v>
      </c>
      <c r="J1557" s="5" t="s">
        <v>4983</v>
      </c>
      <c r="K1557" s="5">
        <v>1.0</v>
      </c>
      <c r="L1557" s="5">
        <v>14555.0</v>
      </c>
      <c r="M1557" s="8"/>
      <c r="AK1557" s="9"/>
    </row>
    <row r="1558" ht="14.25" customHeight="1">
      <c r="A1558" s="6" t="s">
        <v>5473</v>
      </c>
      <c r="B1558" s="5">
        <v>9.0</v>
      </c>
      <c r="C1558" s="10" t="s">
        <v>5039</v>
      </c>
      <c r="D1558" s="10" t="s">
        <v>5489</v>
      </c>
      <c r="E1558" s="5">
        <v>12601.0</v>
      </c>
      <c r="F1558" s="10" t="s">
        <v>5490</v>
      </c>
      <c r="G1558" s="10" t="s">
        <v>5491</v>
      </c>
      <c r="H1558" s="5" t="s">
        <v>5397</v>
      </c>
      <c r="I1558" s="5" t="s">
        <v>49</v>
      </c>
      <c r="J1558" s="5" t="s">
        <v>5402</v>
      </c>
      <c r="K1558" s="5">
        <v>1.0</v>
      </c>
      <c r="L1558" s="5">
        <v>14623.0</v>
      </c>
      <c r="M1558" s="8"/>
      <c r="AK1558" s="9"/>
    </row>
    <row r="1559" ht="14.25" customHeight="1">
      <c r="A1559" s="6" t="s">
        <v>5473</v>
      </c>
      <c r="B1559" s="5">
        <v>9.0</v>
      </c>
      <c r="C1559" s="10" t="s">
        <v>5039</v>
      </c>
      <c r="D1559" s="10" t="s">
        <v>5492</v>
      </c>
      <c r="E1559" s="5">
        <v>12591.0</v>
      </c>
      <c r="F1559" s="10" t="s">
        <v>5493</v>
      </c>
      <c r="G1559" s="10" t="s">
        <v>5494</v>
      </c>
      <c r="H1559" s="5" t="s">
        <v>5397</v>
      </c>
      <c r="I1559" s="5" t="s">
        <v>49</v>
      </c>
      <c r="J1559" s="5" t="s">
        <v>5402</v>
      </c>
      <c r="K1559" s="5">
        <v>1.0</v>
      </c>
      <c r="L1559" s="5">
        <v>14613.0</v>
      </c>
      <c r="M1559" s="8"/>
      <c r="AK1559" s="9"/>
    </row>
    <row r="1560" ht="14.25" customHeight="1">
      <c r="A1560" s="6" t="s">
        <v>5473</v>
      </c>
      <c r="B1560" s="5">
        <v>9.0</v>
      </c>
      <c r="C1560" s="10" t="s">
        <v>5039</v>
      </c>
      <c r="D1560" s="10" t="s">
        <v>5495</v>
      </c>
      <c r="E1560" s="5">
        <v>12536.0</v>
      </c>
      <c r="F1560" s="10" t="s">
        <v>5496</v>
      </c>
      <c r="G1560" s="10" t="s">
        <v>5497</v>
      </c>
      <c r="H1560" s="5" t="s">
        <v>5397</v>
      </c>
      <c r="I1560" s="5" t="s">
        <v>49</v>
      </c>
      <c r="J1560" s="5" t="s">
        <v>4983</v>
      </c>
      <c r="K1560" s="5">
        <v>1.0</v>
      </c>
      <c r="L1560" s="5">
        <v>14558.0</v>
      </c>
      <c r="M1560" s="8"/>
      <c r="AK1560" s="9"/>
      <c r="AO1560" s="27"/>
    </row>
    <row r="1561" ht="14.25" customHeight="1">
      <c r="A1561" s="5" t="s">
        <v>5043</v>
      </c>
      <c r="B1561" s="5">
        <v>9.0</v>
      </c>
      <c r="C1561" s="10" t="s">
        <v>5039</v>
      </c>
      <c r="D1561" s="10" t="s">
        <v>5498</v>
      </c>
      <c r="E1561" s="5">
        <v>12538.0</v>
      </c>
      <c r="F1561" s="10" t="s">
        <v>5499</v>
      </c>
      <c r="G1561" s="10" t="s">
        <v>5500</v>
      </c>
      <c r="H1561" s="5" t="s">
        <v>5397</v>
      </c>
      <c r="I1561" s="5" t="s">
        <v>49</v>
      </c>
      <c r="J1561" s="5" t="s">
        <v>4983</v>
      </c>
      <c r="K1561" s="5">
        <v>1.0</v>
      </c>
      <c r="L1561" s="5">
        <v>14560.0</v>
      </c>
      <c r="M1561" s="8"/>
      <c r="AK1561" s="9"/>
    </row>
    <row r="1562" ht="14.25" customHeight="1">
      <c r="A1562" s="43" t="s">
        <v>5501</v>
      </c>
      <c r="B1562" s="44">
        <v>9.0</v>
      </c>
      <c r="C1562" s="44" t="s">
        <v>4969</v>
      </c>
      <c r="D1562" s="44" t="s">
        <v>5502</v>
      </c>
      <c r="E1562" s="44">
        <v>12541.0</v>
      </c>
      <c r="F1562" s="44" t="s">
        <v>5503</v>
      </c>
      <c r="G1562" s="44" t="s">
        <v>5504</v>
      </c>
      <c r="H1562" s="44" t="s">
        <v>5397</v>
      </c>
      <c r="I1562" s="44" t="s">
        <v>49</v>
      </c>
      <c r="J1562" s="44" t="s">
        <v>4983</v>
      </c>
      <c r="K1562" s="44">
        <v>1.0</v>
      </c>
      <c r="L1562" s="44">
        <v>14563.0</v>
      </c>
      <c r="M1562" s="83"/>
      <c r="N1562" s="44"/>
      <c r="O1562" s="44"/>
      <c r="P1562" s="44"/>
      <c r="Q1562" s="44"/>
      <c r="R1562" s="44"/>
      <c r="S1562" s="44"/>
      <c r="T1562" s="44"/>
      <c r="U1562" s="44"/>
      <c r="V1562" s="44"/>
      <c r="W1562" s="44"/>
      <c r="X1562" s="44"/>
      <c r="Y1562" s="44"/>
      <c r="Z1562" s="44"/>
      <c r="AA1562" s="44"/>
      <c r="AB1562" s="44"/>
      <c r="AC1562" s="44"/>
      <c r="AD1562" s="44"/>
      <c r="AE1562" s="44"/>
      <c r="AF1562" s="44"/>
      <c r="AG1562" s="44"/>
      <c r="AH1562" s="44"/>
      <c r="AI1562" s="44"/>
      <c r="AJ1562" s="44"/>
      <c r="AK1562" s="84"/>
      <c r="AL1562" s="44"/>
      <c r="AM1562" s="44"/>
      <c r="AN1562" s="44"/>
      <c r="AO1562" s="85"/>
      <c r="AP1562" s="44"/>
      <c r="AQ1562" s="44"/>
      <c r="AR1562" s="44"/>
      <c r="AS1562" s="44"/>
      <c r="AT1562" s="44"/>
      <c r="AU1562" s="44"/>
      <c r="AV1562" s="44"/>
      <c r="AW1562" s="44"/>
      <c r="AX1562" s="44"/>
      <c r="AY1562" s="44"/>
      <c r="AZ1562" s="44"/>
      <c r="BA1562" s="44"/>
      <c r="BB1562" s="44"/>
      <c r="BC1562" s="44"/>
      <c r="BD1562" s="44"/>
      <c r="BE1562" s="44"/>
      <c r="BF1562" s="44"/>
      <c r="BG1562" s="44"/>
      <c r="BH1562" s="44"/>
      <c r="BI1562" s="44"/>
      <c r="BJ1562" s="44"/>
      <c r="BK1562" s="44"/>
      <c r="BL1562" s="44"/>
      <c r="BM1562" s="44"/>
      <c r="BN1562" s="44"/>
      <c r="BO1562" s="44"/>
      <c r="BP1562" s="44"/>
      <c r="BQ1562" s="44"/>
      <c r="BR1562" s="44"/>
      <c r="BS1562" s="44"/>
      <c r="BT1562" s="44"/>
    </row>
    <row r="1563" ht="14.25" customHeight="1">
      <c r="A1563" s="5" t="s">
        <v>4980</v>
      </c>
      <c r="B1563" s="5">
        <v>9.0</v>
      </c>
      <c r="C1563" s="11" t="s">
        <v>4969</v>
      </c>
      <c r="D1563" s="10" t="s">
        <v>5505</v>
      </c>
      <c r="E1563" s="5">
        <v>12544.0</v>
      </c>
      <c r="F1563" s="10" t="s">
        <v>5506</v>
      </c>
      <c r="G1563" s="5" t="s">
        <v>5507</v>
      </c>
      <c r="H1563" s="5" t="s">
        <v>5397</v>
      </c>
      <c r="I1563" s="5" t="s">
        <v>49</v>
      </c>
      <c r="J1563" s="5" t="s">
        <v>4983</v>
      </c>
      <c r="K1563" s="5">
        <v>1.0</v>
      </c>
      <c r="L1563" s="5">
        <v>14566.0</v>
      </c>
      <c r="M1563" s="8"/>
      <c r="AK1563" s="9"/>
    </row>
    <row r="1564" ht="14.25" customHeight="1">
      <c r="B1564" s="5">
        <v>9.0</v>
      </c>
      <c r="C1564" s="10" t="s">
        <v>5279</v>
      </c>
      <c r="D1564" s="10" t="s">
        <v>5508</v>
      </c>
      <c r="E1564" s="5">
        <v>12545.0</v>
      </c>
      <c r="F1564" s="10" t="s">
        <v>5509</v>
      </c>
      <c r="G1564" s="5" t="s">
        <v>5510</v>
      </c>
      <c r="H1564" s="5" t="s">
        <v>5511</v>
      </c>
      <c r="I1564" s="5" t="s">
        <v>49</v>
      </c>
      <c r="J1564" s="5" t="s">
        <v>5512</v>
      </c>
      <c r="K1564" s="5">
        <v>1.0</v>
      </c>
      <c r="L1564" s="5">
        <v>14567.0</v>
      </c>
      <c r="M1564" s="8"/>
      <c r="AK1564" s="9"/>
    </row>
    <row r="1565" ht="14.25" customHeight="1">
      <c r="A1565" s="6" t="s">
        <v>5473</v>
      </c>
      <c r="B1565" s="5">
        <v>9.0</v>
      </c>
      <c r="C1565" s="10" t="s">
        <v>5039</v>
      </c>
      <c r="D1565" s="10" t="s">
        <v>5513</v>
      </c>
      <c r="E1565" s="5">
        <v>12549.0</v>
      </c>
      <c r="F1565" s="10" t="s">
        <v>5514</v>
      </c>
      <c r="G1565" s="10" t="s">
        <v>5515</v>
      </c>
      <c r="H1565" s="5" t="s">
        <v>5397</v>
      </c>
      <c r="I1565" s="5" t="s">
        <v>49</v>
      </c>
      <c r="J1565" s="5" t="s">
        <v>4983</v>
      </c>
      <c r="K1565" s="5">
        <v>1.0</v>
      </c>
      <c r="L1565" s="5">
        <v>14571.0</v>
      </c>
      <c r="M1565" s="8"/>
      <c r="AK1565" s="9"/>
    </row>
    <row r="1566" ht="14.25" customHeight="1">
      <c r="A1566" s="5" t="s">
        <v>4980</v>
      </c>
      <c r="B1566" s="5">
        <v>9.0</v>
      </c>
      <c r="C1566" s="11" t="s">
        <v>4969</v>
      </c>
      <c r="D1566" s="10" t="s">
        <v>5516</v>
      </c>
      <c r="E1566" s="5">
        <v>12554.0</v>
      </c>
      <c r="F1566" s="10" t="s">
        <v>5517</v>
      </c>
      <c r="G1566" s="5" t="s">
        <v>5518</v>
      </c>
      <c r="H1566" s="5" t="s">
        <v>5397</v>
      </c>
      <c r="I1566" s="5" t="s">
        <v>49</v>
      </c>
      <c r="J1566" s="5" t="s">
        <v>4983</v>
      </c>
      <c r="K1566" s="5">
        <v>1.0</v>
      </c>
      <c r="L1566" s="5">
        <v>14576.0</v>
      </c>
      <c r="M1566" s="8"/>
      <c r="AK1566" s="9"/>
    </row>
    <row r="1567" ht="14.25" customHeight="1">
      <c r="A1567" s="6" t="s">
        <v>5473</v>
      </c>
      <c r="B1567" s="5">
        <v>9.0</v>
      </c>
      <c r="C1567" s="10" t="s">
        <v>5039</v>
      </c>
      <c r="D1567" s="10" t="s">
        <v>5519</v>
      </c>
      <c r="E1567" s="5">
        <v>12556.0</v>
      </c>
      <c r="F1567" s="10" t="s">
        <v>5520</v>
      </c>
      <c r="G1567" s="10" t="s">
        <v>5521</v>
      </c>
      <c r="H1567" s="5" t="s">
        <v>5397</v>
      </c>
      <c r="I1567" s="5" t="s">
        <v>49</v>
      </c>
      <c r="J1567" s="5" t="s">
        <v>4983</v>
      </c>
      <c r="K1567" s="5">
        <v>1.0</v>
      </c>
      <c r="L1567" s="5">
        <v>14578.0</v>
      </c>
      <c r="M1567" s="8"/>
      <c r="AK1567" s="9"/>
    </row>
    <row r="1568" ht="14.25" customHeight="1">
      <c r="A1568" s="6" t="s">
        <v>5473</v>
      </c>
      <c r="B1568" s="5">
        <v>9.0</v>
      </c>
      <c r="C1568" s="10" t="s">
        <v>5039</v>
      </c>
      <c r="D1568" s="10" t="s">
        <v>5522</v>
      </c>
      <c r="E1568" s="5">
        <v>12603.0</v>
      </c>
      <c r="F1568" s="10" t="s">
        <v>5523</v>
      </c>
      <c r="G1568" s="10" t="s">
        <v>5524</v>
      </c>
      <c r="H1568" s="5" t="s">
        <v>5397</v>
      </c>
      <c r="I1568" s="5" t="s">
        <v>49</v>
      </c>
      <c r="J1568" s="5" t="s">
        <v>5402</v>
      </c>
      <c r="K1568" s="5">
        <v>1.0</v>
      </c>
      <c r="L1568" s="5">
        <v>14625.0</v>
      </c>
      <c r="M1568" s="8"/>
      <c r="AK1568" s="9"/>
    </row>
    <row r="1569" ht="14.25" customHeight="1">
      <c r="A1569" s="6" t="s">
        <v>5473</v>
      </c>
      <c r="B1569" s="5">
        <v>9.0</v>
      </c>
      <c r="C1569" s="10" t="s">
        <v>5039</v>
      </c>
      <c r="D1569" s="10" t="s">
        <v>5525</v>
      </c>
      <c r="E1569" s="5">
        <v>12600.0</v>
      </c>
      <c r="F1569" s="10" t="s">
        <v>5526</v>
      </c>
      <c r="G1569" s="10" t="s">
        <v>5527</v>
      </c>
      <c r="H1569" s="5" t="s">
        <v>5397</v>
      </c>
      <c r="I1569" s="5" t="s">
        <v>49</v>
      </c>
      <c r="J1569" s="5" t="s">
        <v>5402</v>
      </c>
      <c r="K1569" s="5">
        <v>1.0</v>
      </c>
      <c r="L1569" s="5">
        <v>14622.0</v>
      </c>
      <c r="M1569" s="8"/>
      <c r="AK1569" s="9"/>
    </row>
    <row r="1570" ht="14.25" customHeight="1">
      <c r="A1570" s="5" t="s">
        <v>4980</v>
      </c>
      <c r="B1570" s="5">
        <v>9.0</v>
      </c>
      <c r="C1570" s="11" t="s">
        <v>4969</v>
      </c>
      <c r="D1570" s="10" t="s">
        <v>5528</v>
      </c>
      <c r="E1570" s="5">
        <v>12557.0</v>
      </c>
      <c r="F1570" s="10" t="s">
        <v>5529</v>
      </c>
      <c r="G1570" s="5" t="s">
        <v>5530</v>
      </c>
      <c r="H1570" s="5" t="s">
        <v>5397</v>
      </c>
      <c r="I1570" s="5" t="s">
        <v>49</v>
      </c>
      <c r="J1570" s="5" t="s">
        <v>4983</v>
      </c>
      <c r="K1570" s="5">
        <v>1.0</v>
      </c>
      <c r="L1570" s="5">
        <v>14579.0</v>
      </c>
      <c r="M1570" s="8"/>
      <c r="AK1570" s="9"/>
      <c r="AO1570" s="27"/>
    </row>
    <row r="1571" ht="14.25" customHeight="1">
      <c r="A1571" s="6" t="s">
        <v>5473</v>
      </c>
      <c r="B1571" s="5">
        <v>9.0</v>
      </c>
      <c r="C1571" s="10" t="s">
        <v>5039</v>
      </c>
      <c r="D1571" s="10" t="s">
        <v>5531</v>
      </c>
      <c r="E1571" s="5">
        <v>12558.0</v>
      </c>
      <c r="F1571" s="10" t="s">
        <v>5532</v>
      </c>
      <c r="G1571" s="10" t="s">
        <v>5533</v>
      </c>
      <c r="H1571" s="5" t="s">
        <v>5397</v>
      </c>
      <c r="I1571" s="5" t="s">
        <v>49</v>
      </c>
      <c r="J1571" s="5" t="s">
        <v>4983</v>
      </c>
      <c r="K1571" s="5">
        <v>1.0</v>
      </c>
      <c r="L1571" s="5">
        <v>14580.0</v>
      </c>
      <c r="M1571" s="8"/>
      <c r="AK1571" s="9"/>
      <c r="AO1571" s="27"/>
    </row>
    <row r="1572" ht="14.25" customHeight="1">
      <c r="A1572" s="5" t="s">
        <v>5043</v>
      </c>
      <c r="B1572" s="5">
        <v>9.0</v>
      </c>
      <c r="C1572" s="10" t="s">
        <v>5039</v>
      </c>
      <c r="D1572" s="10" t="s">
        <v>5534</v>
      </c>
      <c r="E1572" s="5">
        <v>12602.0</v>
      </c>
      <c r="F1572" s="10" t="s">
        <v>5535</v>
      </c>
      <c r="G1572" s="10" t="s">
        <v>5536</v>
      </c>
      <c r="H1572" s="5" t="s">
        <v>5397</v>
      </c>
      <c r="I1572" s="5" t="s">
        <v>49</v>
      </c>
      <c r="J1572" s="5" t="s">
        <v>5402</v>
      </c>
      <c r="K1572" s="5">
        <v>1.0</v>
      </c>
      <c r="L1572" s="5">
        <v>14624.0</v>
      </c>
      <c r="M1572" s="8"/>
      <c r="AK1572" s="9"/>
      <c r="AO1572" s="27"/>
    </row>
    <row r="1573" ht="14.25" customHeight="1">
      <c r="A1573" s="5" t="s">
        <v>5537</v>
      </c>
      <c r="B1573" s="5">
        <v>9.0</v>
      </c>
      <c r="C1573" s="10" t="s">
        <v>5279</v>
      </c>
      <c r="D1573" s="10" t="s">
        <v>5538</v>
      </c>
      <c r="E1573" s="5">
        <v>12559.0</v>
      </c>
      <c r="F1573" s="10" t="s">
        <v>5539</v>
      </c>
      <c r="G1573" s="5" t="s">
        <v>5540</v>
      </c>
      <c r="H1573" s="5" t="s">
        <v>5397</v>
      </c>
      <c r="I1573" s="5" t="s">
        <v>49</v>
      </c>
      <c r="J1573" s="5" t="s">
        <v>5512</v>
      </c>
      <c r="K1573" s="5">
        <v>1.0</v>
      </c>
      <c r="L1573" s="5">
        <v>14581.0</v>
      </c>
      <c r="M1573" s="8"/>
      <c r="AK1573" s="9"/>
    </row>
    <row r="1574" ht="14.25" customHeight="1">
      <c r="A1574" s="5" t="s">
        <v>4980</v>
      </c>
      <c r="B1574" s="5">
        <v>9.0</v>
      </c>
      <c r="C1574" s="11" t="s">
        <v>4969</v>
      </c>
      <c r="D1574" s="10" t="s">
        <v>5541</v>
      </c>
      <c r="E1574" s="5">
        <v>12560.0</v>
      </c>
      <c r="F1574" s="10" t="s">
        <v>5542</v>
      </c>
      <c r="G1574" s="5" t="s">
        <v>5543</v>
      </c>
      <c r="H1574" s="5" t="s">
        <v>5397</v>
      </c>
      <c r="I1574" s="5" t="s">
        <v>49</v>
      </c>
      <c r="J1574" s="5" t="s">
        <v>4983</v>
      </c>
      <c r="K1574" s="5">
        <v>1.0</v>
      </c>
      <c r="L1574" s="5">
        <v>14582.0</v>
      </c>
      <c r="M1574" s="8"/>
      <c r="AK1574" s="9"/>
    </row>
    <row r="1575" ht="14.25" customHeight="1">
      <c r="A1575" s="6" t="s">
        <v>5544</v>
      </c>
      <c r="B1575" s="5">
        <v>9.0</v>
      </c>
      <c r="C1575" s="10" t="s">
        <v>5039</v>
      </c>
      <c r="D1575" s="10" t="s">
        <v>5545</v>
      </c>
      <c r="E1575" s="5">
        <v>12562.0</v>
      </c>
      <c r="F1575" s="10" t="s">
        <v>5546</v>
      </c>
      <c r="G1575" s="10" t="s">
        <v>5547</v>
      </c>
      <c r="H1575" s="5" t="s">
        <v>5397</v>
      </c>
      <c r="I1575" s="5" t="s">
        <v>49</v>
      </c>
      <c r="J1575" s="5" t="s">
        <v>4983</v>
      </c>
      <c r="K1575" s="5">
        <v>1.0</v>
      </c>
      <c r="L1575" s="5">
        <v>14584.0</v>
      </c>
      <c r="M1575" s="8"/>
      <c r="AK1575" s="9"/>
    </row>
    <row r="1576" ht="14.25" customHeight="1">
      <c r="A1576" s="5" t="s">
        <v>4980</v>
      </c>
      <c r="B1576" s="5">
        <v>9.0</v>
      </c>
      <c r="C1576" s="11" t="s">
        <v>4969</v>
      </c>
      <c r="D1576" s="10" t="s">
        <v>5548</v>
      </c>
      <c r="E1576" s="5">
        <v>12604.0</v>
      </c>
      <c r="F1576" s="5" t="s">
        <v>5549</v>
      </c>
      <c r="G1576" s="5" t="s">
        <v>5550</v>
      </c>
      <c r="H1576" s="5" t="s">
        <v>5397</v>
      </c>
      <c r="I1576" s="5" t="s">
        <v>49</v>
      </c>
      <c r="J1576" s="5" t="s">
        <v>5402</v>
      </c>
      <c r="K1576" s="5">
        <v>1.0</v>
      </c>
      <c r="L1576" s="5">
        <v>14626.0</v>
      </c>
      <c r="M1576" s="8"/>
      <c r="AK1576" s="9"/>
    </row>
    <row r="1577" ht="14.25" customHeight="1">
      <c r="A1577" s="5" t="s">
        <v>4980</v>
      </c>
      <c r="B1577" s="5">
        <v>9.0</v>
      </c>
      <c r="C1577" s="11" t="s">
        <v>4969</v>
      </c>
      <c r="D1577" s="10" t="s">
        <v>5551</v>
      </c>
      <c r="E1577" s="5">
        <v>12605.0</v>
      </c>
      <c r="F1577" s="5" t="s">
        <v>5552</v>
      </c>
      <c r="G1577" s="5" t="s">
        <v>5553</v>
      </c>
      <c r="H1577" s="5" t="s">
        <v>5397</v>
      </c>
      <c r="I1577" s="5" t="s">
        <v>49</v>
      </c>
      <c r="J1577" s="5" t="s">
        <v>5402</v>
      </c>
      <c r="K1577" s="5">
        <v>1.0</v>
      </c>
      <c r="L1577" s="5">
        <v>14627.0</v>
      </c>
      <c r="M1577" s="8"/>
      <c r="AK1577" s="9"/>
    </row>
    <row r="1578" ht="14.25" customHeight="1">
      <c r="A1578" s="5" t="s">
        <v>4980</v>
      </c>
      <c r="B1578" s="5">
        <v>9.0</v>
      </c>
      <c r="C1578" s="11" t="s">
        <v>4969</v>
      </c>
      <c r="D1578" s="10" t="s">
        <v>5554</v>
      </c>
      <c r="E1578" s="5">
        <v>12564.0</v>
      </c>
      <c r="F1578" s="5" t="s">
        <v>5555</v>
      </c>
      <c r="G1578" s="5" t="s">
        <v>5556</v>
      </c>
      <c r="H1578" s="5" t="s">
        <v>5397</v>
      </c>
      <c r="I1578" s="5" t="s">
        <v>49</v>
      </c>
      <c r="J1578" s="5" t="s">
        <v>4983</v>
      </c>
      <c r="K1578" s="5">
        <v>1.0</v>
      </c>
      <c r="L1578" s="5">
        <v>14586.0</v>
      </c>
      <c r="M1578" s="8"/>
      <c r="AK1578" s="9"/>
    </row>
    <row r="1579" ht="14.25" customHeight="1">
      <c r="A1579" s="5" t="s">
        <v>4980</v>
      </c>
      <c r="B1579" s="5">
        <v>9.0</v>
      </c>
      <c r="C1579" s="11" t="s">
        <v>4969</v>
      </c>
      <c r="D1579" s="10" t="s">
        <v>5557</v>
      </c>
      <c r="E1579" s="5">
        <v>12565.0</v>
      </c>
      <c r="F1579" s="5" t="s">
        <v>5558</v>
      </c>
      <c r="G1579" s="5" t="s">
        <v>5559</v>
      </c>
      <c r="H1579" s="5" t="s">
        <v>5397</v>
      </c>
      <c r="I1579" s="5" t="s">
        <v>49</v>
      </c>
      <c r="J1579" s="5" t="s">
        <v>4983</v>
      </c>
      <c r="K1579" s="5">
        <v>1.0</v>
      </c>
      <c r="L1579" s="5">
        <v>14587.0</v>
      </c>
      <c r="M1579" s="8"/>
      <c r="AK1579" s="9"/>
    </row>
    <row r="1580" ht="14.25" customHeight="1">
      <c r="A1580" s="5" t="s">
        <v>4980</v>
      </c>
      <c r="B1580" s="5">
        <v>9.0</v>
      </c>
      <c r="C1580" s="11" t="s">
        <v>4969</v>
      </c>
      <c r="D1580" s="10" t="s">
        <v>5560</v>
      </c>
      <c r="E1580" s="5">
        <v>12566.0</v>
      </c>
      <c r="F1580" s="11" t="s">
        <v>5561</v>
      </c>
      <c r="G1580" s="5" t="s">
        <v>5562</v>
      </c>
      <c r="H1580" s="5" t="s">
        <v>5397</v>
      </c>
      <c r="I1580" s="5" t="s">
        <v>49</v>
      </c>
      <c r="J1580" s="5" t="s">
        <v>4983</v>
      </c>
      <c r="K1580" s="5">
        <v>1.0</v>
      </c>
      <c r="L1580" s="5">
        <v>14588.0</v>
      </c>
      <c r="M1580" s="8"/>
      <c r="AK1580" s="9"/>
    </row>
    <row r="1581" ht="14.25" customHeight="1">
      <c r="A1581" s="5" t="s">
        <v>4980</v>
      </c>
      <c r="B1581" s="5">
        <v>9.0</v>
      </c>
      <c r="C1581" s="11" t="s">
        <v>4969</v>
      </c>
      <c r="D1581" s="10" t="s">
        <v>5563</v>
      </c>
      <c r="E1581" s="5">
        <v>12567.0</v>
      </c>
      <c r="F1581" s="11" t="s">
        <v>5564</v>
      </c>
      <c r="G1581" s="5" t="s">
        <v>5565</v>
      </c>
      <c r="H1581" s="5" t="s">
        <v>5397</v>
      </c>
      <c r="I1581" s="5" t="s">
        <v>49</v>
      </c>
      <c r="J1581" s="5" t="s">
        <v>4983</v>
      </c>
      <c r="K1581" s="5">
        <v>1.0</v>
      </c>
      <c r="L1581" s="5">
        <v>14589.0</v>
      </c>
      <c r="M1581" s="8"/>
      <c r="AK1581" s="9"/>
    </row>
    <row r="1582" ht="14.25" customHeight="1">
      <c r="A1582" s="5" t="s">
        <v>4980</v>
      </c>
      <c r="B1582" s="5">
        <v>9.0</v>
      </c>
      <c r="C1582" s="11" t="s">
        <v>4969</v>
      </c>
      <c r="D1582" s="10" t="s">
        <v>5566</v>
      </c>
      <c r="E1582" s="5">
        <v>12606.0</v>
      </c>
      <c r="F1582" s="11" t="s">
        <v>5567</v>
      </c>
      <c r="G1582" s="5" t="s">
        <v>5568</v>
      </c>
      <c r="H1582" s="5" t="s">
        <v>5397</v>
      </c>
      <c r="I1582" s="5" t="s">
        <v>49</v>
      </c>
      <c r="J1582" s="5" t="s">
        <v>5402</v>
      </c>
      <c r="K1582" s="5">
        <v>1.0</v>
      </c>
      <c r="L1582" s="5">
        <v>14628.0</v>
      </c>
      <c r="M1582" s="8"/>
      <c r="AK1582" s="9"/>
    </row>
    <row r="1583" ht="14.25" customHeight="1">
      <c r="A1583" s="44" t="s">
        <v>5569</v>
      </c>
      <c r="B1583" s="44">
        <v>9.0</v>
      </c>
      <c r="C1583" s="44" t="s">
        <v>4969</v>
      </c>
      <c r="D1583" s="44" t="s">
        <v>5570</v>
      </c>
      <c r="E1583" s="44">
        <v>12568.0</v>
      </c>
      <c r="F1583" s="44" t="s">
        <v>5571</v>
      </c>
      <c r="G1583" s="44" t="s">
        <v>5572</v>
      </c>
      <c r="H1583" s="44" t="s">
        <v>5397</v>
      </c>
      <c r="I1583" s="44" t="s">
        <v>49</v>
      </c>
      <c r="J1583" s="44" t="s">
        <v>4983</v>
      </c>
      <c r="K1583" s="44">
        <v>1.0</v>
      </c>
      <c r="L1583" s="44">
        <v>14590.0</v>
      </c>
      <c r="M1583" s="83"/>
      <c r="N1583" s="44"/>
      <c r="O1583" s="44"/>
      <c r="P1583" s="44"/>
      <c r="Q1583" s="44"/>
      <c r="R1583" s="44"/>
      <c r="S1583" s="44"/>
      <c r="T1583" s="44"/>
      <c r="U1583" s="44"/>
      <c r="V1583" s="44"/>
      <c r="W1583" s="44"/>
      <c r="X1583" s="44"/>
      <c r="Y1583" s="44"/>
      <c r="Z1583" s="44"/>
      <c r="AA1583" s="44"/>
      <c r="AB1583" s="44"/>
      <c r="AC1583" s="44"/>
      <c r="AD1583" s="44"/>
      <c r="AE1583" s="44"/>
      <c r="AF1583" s="44"/>
      <c r="AG1583" s="44"/>
      <c r="AH1583" s="44"/>
      <c r="AI1583" s="44"/>
      <c r="AJ1583" s="44"/>
      <c r="AK1583" s="84"/>
      <c r="AL1583" s="44"/>
      <c r="AM1583" s="44"/>
      <c r="AN1583" s="44"/>
      <c r="AO1583" s="44"/>
      <c r="AP1583" s="44"/>
      <c r="AQ1583" s="44"/>
      <c r="AR1583" s="44"/>
      <c r="AS1583" s="44"/>
      <c r="AT1583" s="44"/>
      <c r="AU1583" s="44"/>
      <c r="AV1583" s="44"/>
      <c r="AW1583" s="44"/>
      <c r="AX1583" s="44"/>
      <c r="AY1583" s="44"/>
      <c r="AZ1583" s="44"/>
      <c r="BA1583" s="44"/>
      <c r="BB1583" s="44"/>
      <c r="BC1583" s="44"/>
      <c r="BD1583" s="44"/>
      <c r="BE1583" s="44"/>
      <c r="BF1583" s="44"/>
      <c r="BG1583" s="44"/>
      <c r="BH1583" s="44"/>
      <c r="BI1583" s="44"/>
      <c r="BJ1583" s="44"/>
      <c r="BK1583" s="44"/>
      <c r="BL1583" s="44"/>
      <c r="BM1583" s="44"/>
      <c r="BN1583" s="44"/>
      <c r="BO1583" s="44"/>
      <c r="BP1583" s="44"/>
      <c r="BQ1583" s="44"/>
      <c r="BR1583" s="44"/>
      <c r="BS1583" s="44"/>
      <c r="BT1583" s="44"/>
    </row>
    <row r="1584" ht="14.25" customHeight="1">
      <c r="A1584" s="5" t="s">
        <v>4980</v>
      </c>
      <c r="B1584" s="5">
        <v>9.0</v>
      </c>
      <c r="C1584" s="11" t="s">
        <v>4969</v>
      </c>
      <c r="D1584" s="10" t="s">
        <v>5573</v>
      </c>
      <c r="E1584" s="5">
        <v>12569.0</v>
      </c>
      <c r="F1584" s="5" t="s">
        <v>5574</v>
      </c>
      <c r="G1584" s="5" t="s">
        <v>5575</v>
      </c>
      <c r="H1584" s="5" t="s">
        <v>5576</v>
      </c>
      <c r="I1584" s="5" t="s">
        <v>49</v>
      </c>
      <c r="J1584" s="5" t="s">
        <v>4983</v>
      </c>
      <c r="K1584" s="5">
        <v>1.0</v>
      </c>
      <c r="L1584" s="5">
        <v>14591.0</v>
      </c>
      <c r="M1584" s="8"/>
      <c r="AK1584" s="9"/>
    </row>
    <row r="1585" ht="14.25" customHeight="1">
      <c r="B1585" s="5">
        <v>9.0</v>
      </c>
      <c r="C1585" s="11" t="s">
        <v>4969</v>
      </c>
      <c r="D1585" s="10" t="s">
        <v>5577</v>
      </c>
      <c r="E1585" s="5">
        <v>12570.0</v>
      </c>
      <c r="F1585" s="10" t="s">
        <v>5578</v>
      </c>
      <c r="G1585" s="5" t="s">
        <v>5579</v>
      </c>
      <c r="H1585" s="5" t="s">
        <v>5397</v>
      </c>
      <c r="I1585" s="5" t="s">
        <v>49</v>
      </c>
      <c r="J1585" s="5" t="s">
        <v>4983</v>
      </c>
      <c r="K1585" s="5">
        <v>1.0</v>
      </c>
      <c r="L1585" s="5">
        <v>14592.0</v>
      </c>
      <c r="M1585" s="8"/>
      <c r="AK1585" s="9"/>
    </row>
    <row r="1586" ht="14.25" customHeight="1">
      <c r="A1586" s="5" t="s">
        <v>5043</v>
      </c>
      <c r="B1586" s="5">
        <v>9.0</v>
      </c>
      <c r="C1586" s="10" t="s">
        <v>5039</v>
      </c>
      <c r="D1586" s="10" t="s">
        <v>5580</v>
      </c>
      <c r="E1586" s="5">
        <v>12607.0</v>
      </c>
      <c r="F1586" s="10" t="s">
        <v>5581</v>
      </c>
      <c r="G1586" s="10" t="s">
        <v>5582</v>
      </c>
      <c r="H1586" s="5" t="s">
        <v>5397</v>
      </c>
      <c r="I1586" s="5" t="s">
        <v>49</v>
      </c>
      <c r="J1586" s="5" t="s">
        <v>5402</v>
      </c>
      <c r="K1586" s="5">
        <v>1.0</v>
      </c>
      <c r="L1586" s="5">
        <v>14629.0</v>
      </c>
      <c r="M1586" s="8"/>
      <c r="AK1586" s="9"/>
    </row>
    <row r="1587" ht="14.25" customHeight="1">
      <c r="A1587" s="5" t="s">
        <v>5443</v>
      </c>
      <c r="B1587" s="5">
        <v>9.0</v>
      </c>
      <c r="C1587" s="5" t="s">
        <v>5039</v>
      </c>
      <c r="D1587" s="5" t="s">
        <v>5583</v>
      </c>
      <c r="E1587" s="5">
        <v>12563.0</v>
      </c>
      <c r="F1587" s="5" t="s">
        <v>5584</v>
      </c>
      <c r="G1587" s="5" t="s">
        <v>5585</v>
      </c>
      <c r="H1587" s="5" t="s">
        <v>5397</v>
      </c>
      <c r="I1587" s="5" t="s">
        <v>49</v>
      </c>
      <c r="J1587" s="5" t="s">
        <v>4983</v>
      </c>
      <c r="K1587" s="5">
        <v>1.0</v>
      </c>
      <c r="L1587" s="5">
        <v>14585.0</v>
      </c>
      <c r="M1587" s="8"/>
      <c r="AK1587" s="9"/>
    </row>
    <row r="1588" ht="14.25" customHeight="1">
      <c r="A1588" s="5" t="s">
        <v>4980</v>
      </c>
      <c r="B1588" s="5">
        <v>9.0</v>
      </c>
      <c r="C1588" s="11" t="s">
        <v>4969</v>
      </c>
      <c r="D1588" s="10" t="s">
        <v>5586</v>
      </c>
      <c r="E1588" s="5">
        <v>12571.0</v>
      </c>
      <c r="F1588" s="5" t="s">
        <v>5587</v>
      </c>
      <c r="G1588" s="5" t="s">
        <v>5588</v>
      </c>
      <c r="H1588" s="5" t="s">
        <v>5397</v>
      </c>
      <c r="I1588" s="5" t="s">
        <v>49</v>
      </c>
      <c r="J1588" s="5" t="s">
        <v>5512</v>
      </c>
      <c r="K1588" s="5">
        <v>1.0</v>
      </c>
      <c r="L1588" s="5">
        <v>14593.0</v>
      </c>
      <c r="M1588" s="8"/>
      <c r="AK1588" s="9"/>
    </row>
    <row r="1589" ht="14.25" customHeight="1">
      <c r="A1589" s="5" t="s">
        <v>5589</v>
      </c>
      <c r="B1589" s="5">
        <v>9.0</v>
      </c>
      <c r="C1589" s="5" t="s">
        <v>4969</v>
      </c>
      <c r="D1589" s="5" t="s">
        <v>5590</v>
      </c>
      <c r="E1589" s="5">
        <v>12572.0</v>
      </c>
      <c r="F1589" s="5" t="s">
        <v>5591</v>
      </c>
      <c r="G1589" s="5" t="s">
        <v>5592</v>
      </c>
      <c r="H1589" s="5" t="s">
        <v>5397</v>
      </c>
      <c r="I1589" s="5" t="s">
        <v>49</v>
      </c>
      <c r="J1589" s="5" t="s">
        <v>4983</v>
      </c>
      <c r="K1589" s="5">
        <v>1.0</v>
      </c>
      <c r="L1589" s="5">
        <v>14594.0</v>
      </c>
      <c r="M1589" s="8"/>
      <c r="AK1589" s="9"/>
    </row>
    <row r="1590" ht="14.25" customHeight="1">
      <c r="A1590" s="5" t="s">
        <v>4980</v>
      </c>
      <c r="B1590" s="5">
        <v>9.0</v>
      </c>
      <c r="C1590" s="11" t="s">
        <v>4969</v>
      </c>
      <c r="D1590" s="10" t="s">
        <v>5593</v>
      </c>
      <c r="E1590" s="5">
        <v>12573.0</v>
      </c>
      <c r="F1590" s="10" t="s">
        <v>5594</v>
      </c>
      <c r="G1590" s="5" t="s">
        <v>5595</v>
      </c>
      <c r="H1590" s="5" t="s">
        <v>5397</v>
      </c>
      <c r="I1590" s="5" t="s">
        <v>49</v>
      </c>
      <c r="J1590" s="5" t="s">
        <v>4983</v>
      </c>
      <c r="K1590" s="5">
        <v>1.0</v>
      </c>
      <c r="L1590" s="5">
        <v>14595.0</v>
      </c>
      <c r="M1590" s="8"/>
      <c r="AK1590" s="9"/>
    </row>
    <row r="1591" ht="14.25" customHeight="1">
      <c r="A1591" s="5" t="s">
        <v>4980</v>
      </c>
      <c r="B1591" s="5">
        <v>9.0</v>
      </c>
      <c r="C1591" s="11" t="s">
        <v>4969</v>
      </c>
      <c r="D1591" s="10" t="s">
        <v>5596</v>
      </c>
      <c r="E1591" s="5">
        <v>12574.0</v>
      </c>
      <c r="F1591" s="10" t="s">
        <v>5597</v>
      </c>
      <c r="G1591" s="5" t="s">
        <v>5598</v>
      </c>
      <c r="H1591" s="5" t="s">
        <v>5397</v>
      </c>
      <c r="I1591" s="5" t="s">
        <v>49</v>
      </c>
      <c r="J1591" s="5" t="s">
        <v>4983</v>
      </c>
      <c r="K1591" s="5">
        <v>1.0</v>
      </c>
      <c r="L1591" s="5">
        <v>14596.0</v>
      </c>
      <c r="M1591" s="8"/>
      <c r="AK1591" s="9"/>
    </row>
    <row r="1592" ht="14.25" customHeight="1">
      <c r="A1592" s="5" t="s">
        <v>4980</v>
      </c>
      <c r="B1592" s="5">
        <v>9.0</v>
      </c>
      <c r="C1592" s="11" t="s">
        <v>4969</v>
      </c>
      <c r="D1592" s="10" t="s">
        <v>5599</v>
      </c>
      <c r="E1592" s="5">
        <v>12577.0</v>
      </c>
      <c r="F1592" s="10" t="s">
        <v>5600</v>
      </c>
      <c r="G1592" s="5" t="s">
        <v>5601</v>
      </c>
      <c r="H1592" s="5" t="s">
        <v>5397</v>
      </c>
      <c r="I1592" s="5" t="s">
        <v>49</v>
      </c>
      <c r="J1592" s="5" t="s">
        <v>4983</v>
      </c>
      <c r="K1592" s="5">
        <v>1.0</v>
      </c>
      <c r="L1592" s="5">
        <v>14599.0</v>
      </c>
      <c r="M1592" s="8"/>
      <c r="AK1592" s="9"/>
    </row>
    <row r="1593" ht="14.25" customHeight="1">
      <c r="A1593" s="5" t="s">
        <v>4980</v>
      </c>
      <c r="B1593" s="5">
        <v>9.0</v>
      </c>
      <c r="C1593" s="11" t="s">
        <v>4969</v>
      </c>
      <c r="D1593" s="10" t="s">
        <v>5602</v>
      </c>
      <c r="E1593" s="5">
        <v>12578.0</v>
      </c>
      <c r="F1593" s="10" t="s">
        <v>5603</v>
      </c>
      <c r="G1593" s="5" t="s">
        <v>5604</v>
      </c>
      <c r="H1593" s="5" t="s">
        <v>5397</v>
      </c>
      <c r="I1593" s="5" t="s">
        <v>49</v>
      </c>
      <c r="J1593" s="5" t="s">
        <v>4983</v>
      </c>
      <c r="K1593" s="5">
        <v>1.0</v>
      </c>
      <c r="L1593" s="5">
        <v>14600.0</v>
      </c>
      <c r="M1593" s="8"/>
      <c r="AK1593" s="9"/>
    </row>
    <row r="1594" ht="14.25" customHeight="1">
      <c r="A1594" s="5" t="s">
        <v>4980</v>
      </c>
      <c r="B1594" s="5">
        <v>9.0</v>
      </c>
      <c r="C1594" s="11" t="s">
        <v>4969</v>
      </c>
      <c r="D1594" s="10" t="s">
        <v>5605</v>
      </c>
      <c r="E1594" s="5">
        <v>12579.0</v>
      </c>
      <c r="F1594" s="10" t="s">
        <v>5606</v>
      </c>
      <c r="G1594" s="5" t="s">
        <v>5607</v>
      </c>
      <c r="H1594" s="5" t="s">
        <v>5397</v>
      </c>
      <c r="I1594" s="5" t="s">
        <v>49</v>
      </c>
      <c r="J1594" s="5" t="s">
        <v>4983</v>
      </c>
      <c r="K1594" s="5">
        <v>1.0</v>
      </c>
      <c r="L1594" s="5">
        <v>14601.0</v>
      </c>
      <c r="M1594" s="8"/>
      <c r="AK1594" s="9"/>
    </row>
    <row r="1595" ht="14.25" customHeight="1">
      <c r="A1595" s="5" t="s">
        <v>4980</v>
      </c>
      <c r="B1595" s="5">
        <v>9.0</v>
      </c>
      <c r="C1595" s="11" t="s">
        <v>4969</v>
      </c>
      <c r="D1595" s="10" t="s">
        <v>5608</v>
      </c>
      <c r="E1595" s="5">
        <v>12581.0</v>
      </c>
      <c r="F1595" s="10" t="s">
        <v>5609</v>
      </c>
      <c r="G1595" s="5" t="s">
        <v>5610</v>
      </c>
      <c r="H1595" s="5" t="s">
        <v>5611</v>
      </c>
      <c r="I1595" s="5" t="s">
        <v>49</v>
      </c>
      <c r="J1595" s="5" t="s">
        <v>4983</v>
      </c>
      <c r="K1595" s="5">
        <v>1.0</v>
      </c>
      <c r="L1595" s="5">
        <v>14603.0</v>
      </c>
      <c r="M1595" s="8"/>
      <c r="AK1595" s="9"/>
      <c r="AO1595" s="27"/>
    </row>
    <row r="1596" ht="14.25" customHeight="1">
      <c r="A1596" s="5" t="s">
        <v>4980</v>
      </c>
      <c r="B1596" s="5">
        <v>9.0</v>
      </c>
      <c r="C1596" s="11" t="s">
        <v>4969</v>
      </c>
      <c r="D1596" s="10" t="s">
        <v>5612</v>
      </c>
      <c r="E1596" s="5">
        <v>12584.0</v>
      </c>
      <c r="F1596" s="10" t="s">
        <v>5613</v>
      </c>
      <c r="G1596" s="5" t="s">
        <v>5614</v>
      </c>
      <c r="H1596" s="5" t="s">
        <v>5397</v>
      </c>
      <c r="I1596" s="5" t="s">
        <v>49</v>
      </c>
      <c r="J1596" s="5" t="s">
        <v>4983</v>
      </c>
      <c r="K1596" s="5">
        <v>1.0</v>
      </c>
      <c r="L1596" s="5">
        <v>14606.0</v>
      </c>
      <c r="M1596" s="8"/>
      <c r="AK1596" s="9"/>
      <c r="AO1596" s="27"/>
    </row>
    <row r="1597" ht="14.25" customHeight="1">
      <c r="A1597" s="5" t="s">
        <v>4980</v>
      </c>
      <c r="B1597" s="5">
        <v>9.0</v>
      </c>
      <c r="C1597" s="11" t="s">
        <v>4969</v>
      </c>
      <c r="D1597" s="10" t="s">
        <v>5615</v>
      </c>
      <c r="E1597" s="5">
        <v>12585.0</v>
      </c>
      <c r="F1597" s="10" t="s">
        <v>5616</v>
      </c>
      <c r="G1597" s="5" t="s">
        <v>5617</v>
      </c>
      <c r="H1597" s="5" t="s">
        <v>5397</v>
      </c>
      <c r="I1597" s="5" t="s">
        <v>49</v>
      </c>
      <c r="J1597" s="5" t="s">
        <v>4983</v>
      </c>
      <c r="K1597" s="5">
        <v>1.0</v>
      </c>
      <c r="L1597" s="5">
        <v>14607.0</v>
      </c>
      <c r="M1597" s="8"/>
      <c r="AK1597" s="9"/>
    </row>
    <row r="1598" ht="14.25" customHeight="1">
      <c r="A1598" s="5" t="s">
        <v>4980</v>
      </c>
      <c r="B1598" s="5">
        <v>9.0</v>
      </c>
      <c r="C1598" s="11" t="s">
        <v>4969</v>
      </c>
      <c r="D1598" s="10" t="s">
        <v>5618</v>
      </c>
      <c r="E1598" s="5">
        <v>12586.0</v>
      </c>
      <c r="F1598" s="10" t="s">
        <v>5619</v>
      </c>
      <c r="G1598" s="5" t="s">
        <v>5620</v>
      </c>
      <c r="H1598" s="5" t="s">
        <v>5397</v>
      </c>
      <c r="I1598" s="5" t="s">
        <v>49</v>
      </c>
      <c r="J1598" s="5" t="s">
        <v>4983</v>
      </c>
      <c r="K1598" s="5">
        <v>1.0</v>
      </c>
      <c r="L1598" s="5">
        <v>14608.0</v>
      </c>
      <c r="M1598" s="8"/>
      <c r="AK1598" s="9"/>
    </row>
    <row r="1599" ht="14.25" customHeight="1">
      <c r="A1599" s="5" t="s">
        <v>4980</v>
      </c>
      <c r="B1599" s="5">
        <v>9.0</v>
      </c>
      <c r="C1599" s="11" t="s">
        <v>4969</v>
      </c>
      <c r="D1599" s="10" t="s">
        <v>5621</v>
      </c>
      <c r="E1599" s="5">
        <v>12587.0</v>
      </c>
      <c r="F1599" s="10" t="s">
        <v>5622</v>
      </c>
      <c r="G1599" s="5" t="s">
        <v>5623</v>
      </c>
      <c r="H1599" s="5" t="s">
        <v>5397</v>
      </c>
      <c r="I1599" s="5" t="s">
        <v>49</v>
      </c>
      <c r="J1599" s="5" t="s">
        <v>4983</v>
      </c>
      <c r="K1599" s="5">
        <v>1.0</v>
      </c>
      <c r="L1599" s="5">
        <v>14609.0</v>
      </c>
      <c r="M1599" s="8"/>
      <c r="AK1599" s="9"/>
      <c r="AO1599" s="27"/>
    </row>
    <row r="1600" ht="14.25" customHeight="1">
      <c r="A1600" s="5" t="s">
        <v>4980</v>
      </c>
      <c r="B1600" s="5">
        <v>9.0</v>
      </c>
      <c r="C1600" s="11" t="s">
        <v>4969</v>
      </c>
      <c r="D1600" s="10" t="s">
        <v>5624</v>
      </c>
      <c r="E1600" s="5">
        <v>12588.0</v>
      </c>
      <c r="F1600" s="10" t="s">
        <v>5625</v>
      </c>
      <c r="G1600" s="5" t="s">
        <v>5626</v>
      </c>
      <c r="H1600" s="5" t="s">
        <v>5397</v>
      </c>
      <c r="I1600" s="5" t="s">
        <v>49</v>
      </c>
      <c r="J1600" s="5" t="s">
        <v>4983</v>
      </c>
      <c r="K1600" s="5">
        <v>1.0</v>
      </c>
      <c r="L1600" s="5">
        <v>14610.0</v>
      </c>
      <c r="M1600" s="8"/>
      <c r="AK1600" s="9"/>
    </row>
    <row r="1601" ht="14.25" customHeight="1">
      <c r="A1601" s="5" t="s">
        <v>5043</v>
      </c>
      <c r="B1601" s="5">
        <v>9.0</v>
      </c>
      <c r="C1601" s="10" t="s">
        <v>5039</v>
      </c>
      <c r="D1601" s="10" t="s">
        <v>5627</v>
      </c>
      <c r="E1601" s="5">
        <v>12583.0</v>
      </c>
      <c r="F1601" s="10" t="s">
        <v>5628</v>
      </c>
      <c r="G1601" s="5" t="s">
        <v>5629</v>
      </c>
      <c r="H1601" s="5" t="s">
        <v>5397</v>
      </c>
      <c r="I1601" s="5" t="s">
        <v>49</v>
      </c>
      <c r="J1601" s="5" t="s">
        <v>4983</v>
      </c>
      <c r="K1601" s="5">
        <v>1.0</v>
      </c>
      <c r="L1601" s="5">
        <v>14605.0</v>
      </c>
      <c r="M1601" s="8"/>
      <c r="AK1601" s="9"/>
    </row>
    <row r="1602" ht="14.25" customHeight="1">
      <c r="A1602" s="5" t="s">
        <v>5032</v>
      </c>
      <c r="B1602" s="5">
        <v>9.0</v>
      </c>
      <c r="C1602" s="11" t="s">
        <v>4969</v>
      </c>
      <c r="D1602" s="10" t="s">
        <v>5630</v>
      </c>
      <c r="E1602" s="5">
        <v>2607.0</v>
      </c>
      <c r="F1602" s="5" t="s">
        <v>5631</v>
      </c>
      <c r="G1602" s="5" t="s">
        <v>5632</v>
      </c>
      <c r="H1602" s="5" t="s">
        <v>5633</v>
      </c>
      <c r="I1602" s="5" t="s">
        <v>641</v>
      </c>
      <c r="J1602" s="5" t="s">
        <v>5048</v>
      </c>
      <c r="K1602" s="5">
        <v>1.0</v>
      </c>
      <c r="L1602" s="5">
        <v>3010.0</v>
      </c>
      <c r="M1602" s="8"/>
      <c r="AK1602" s="9"/>
    </row>
    <row r="1603" ht="14.25" customHeight="1">
      <c r="A1603" s="5" t="s">
        <v>5032</v>
      </c>
      <c r="B1603" s="5">
        <v>9.0</v>
      </c>
      <c r="C1603" s="11" t="s">
        <v>4969</v>
      </c>
      <c r="D1603" s="10" t="s">
        <v>5634</v>
      </c>
      <c r="E1603" s="5">
        <v>2621.0</v>
      </c>
      <c r="F1603" s="5" t="s">
        <v>5635</v>
      </c>
      <c r="G1603" s="5" t="s">
        <v>5636</v>
      </c>
      <c r="H1603" s="5" t="s">
        <v>5637</v>
      </c>
      <c r="I1603" s="5" t="s">
        <v>641</v>
      </c>
      <c r="J1603" s="5" t="s">
        <v>5073</v>
      </c>
      <c r="K1603" s="5">
        <v>1.0</v>
      </c>
      <c r="L1603" s="5">
        <v>3024.0</v>
      </c>
      <c r="M1603" s="8"/>
      <c r="AK1603" s="9"/>
    </row>
    <row r="1604" ht="14.25" customHeight="1">
      <c r="A1604" s="6" t="s">
        <v>5638</v>
      </c>
      <c r="B1604" s="5">
        <v>9.0</v>
      </c>
      <c r="C1604" s="10" t="s">
        <v>5039</v>
      </c>
      <c r="D1604" s="10" t="s">
        <v>5639</v>
      </c>
      <c r="E1604" s="5">
        <v>12203.0</v>
      </c>
      <c r="F1604" s="10" t="s">
        <v>5640</v>
      </c>
      <c r="G1604" s="10" t="s">
        <v>5641</v>
      </c>
      <c r="H1604" s="5" t="s">
        <v>84</v>
      </c>
      <c r="I1604" s="5" t="s">
        <v>641</v>
      </c>
      <c r="K1604" s="5">
        <v>1.0</v>
      </c>
      <c r="L1604" s="5">
        <v>14258.0</v>
      </c>
      <c r="M1604" s="8"/>
      <c r="AK1604" s="9"/>
    </row>
    <row r="1605" ht="14.25" customHeight="1">
      <c r="A1605" s="6" t="s">
        <v>5642</v>
      </c>
      <c r="B1605" s="5">
        <v>9.0</v>
      </c>
      <c r="C1605" s="5" t="s">
        <v>5039</v>
      </c>
      <c r="D1605" s="5" t="s">
        <v>5643</v>
      </c>
      <c r="E1605" s="5">
        <v>12204.0</v>
      </c>
      <c r="F1605" s="5" t="s">
        <v>5644</v>
      </c>
      <c r="G1605" s="5" t="s">
        <v>5645</v>
      </c>
      <c r="H1605" s="5" t="s">
        <v>84</v>
      </c>
      <c r="I1605" s="5" t="s">
        <v>641</v>
      </c>
      <c r="K1605" s="5">
        <v>1.0</v>
      </c>
      <c r="L1605" s="5">
        <v>14259.0</v>
      </c>
      <c r="M1605" s="8"/>
      <c r="AK1605" s="9"/>
    </row>
    <row r="1606" ht="14.25" customHeight="1">
      <c r="A1606" s="6" t="s">
        <v>5638</v>
      </c>
      <c r="B1606" s="5">
        <v>9.0</v>
      </c>
      <c r="C1606" s="10" t="s">
        <v>5039</v>
      </c>
      <c r="D1606" s="10" t="s">
        <v>5646</v>
      </c>
      <c r="E1606" s="5">
        <v>12205.0</v>
      </c>
      <c r="F1606" s="5" t="s">
        <v>429</v>
      </c>
      <c r="G1606" s="5" t="s">
        <v>5647</v>
      </c>
      <c r="H1606" s="5" t="s">
        <v>84</v>
      </c>
      <c r="I1606" s="5" t="s">
        <v>641</v>
      </c>
      <c r="K1606" s="5">
        <v>1.0</v>
      </c>
      <c r="L1606" s="5">
        <v>14260.0</v>
      </c>
      <c r="M1606" s="8"/>
      <c r="AK1606" s="9"/>
      <c r="AO1606" s="27"/>
    </row>
    <row r="1607" ht="14.25" customHeight="1">
      <c r="A1607" s="6" t="s">
        <v>5648</v>
      </c>
      <c r="B1607" s="5">
        <v>9.0</v>
      </c>
      <c r="C1607" s="5" t="s">
        <v>5039</v>
      </c>
      <c r="D1607" s="5" t="s">
        <v>5649</v>
      </c>
      <c r="E1607" s="5">
        <v>12207.0</v>
      </c>
      <c r="F1607" s="5" t="s">
        <v>5650</v>
      </c>
      <c r="G1607" s="5" t="s">
        <v>5651</v>
      </c>
      <c r="H1607" s="5" t="s">
        <v>84</v>
      </c>
      <c r="I1607" s="5" t="s">
        <v>641</v>
      </c>
      <c r="K1607" s="5">
        <v>1.0</v>
      </c>
      <c r="L1607" s="5">
        <v>14262.0</v>
      </c>
      <c r="M1607" s="8"/>
      <c r="AK1607" s="9"/>
      <c r="AO1607" s="27"/>
    </row>
    <row r="1608" ht="14.25" customHeight="1">
      <c r="A1608" s="5" t="s">
        <v>4984</v>
      </c>
      <c r="B1608" s="5">
        <v>9.0</v>
      </c>
      <c r="C1608" s="10" t="s">
        <v>5039</v>
      </c>
      <c r="D1608" s="12" t="s">
        <v>5652</v>
      </c>
      <c r="E1608" s="5">
        <v>12208.0</v>
      </c>
      <c r="F1608" s="10" t="s">
        <v>5653</v>
      </c>
      <c r="G1608" s="10" t="s">
        <v>5654</v>
      </c>
      <c r="H1608" s="5" t="s">
        <v>5655</v>
      </c>
      <c r="I1608" s="5" t="s">
        <v>641</v>
      </c>
      <c r="J1608" s="5" t="s">
        <v>4974</v>
      </c>
      <c r="K1608" s="5">
        <v>1.0</v>
      </c>
      <c r="L1608" s="5">
        <v>14263.0</v>
      </c>
      <c r="M1608" s="8"/>
      <c r="AK1608" s="9"/>
    </row>
    <row r="1609" ht="14.25" customHeight="1">
      <c r="A1609" s="5" t="s">
        <v>5032</v>
      </c>
      <c r="B1609" s="5">
        <v>9.0</v>
      </c>
      <c r="C1609" s="11" t="s">
        <v>4969</v>
      </c>
      <c r="D1609" s="10" t="s">
        <v>5656</v>
      </c>
      <c r="E1609" s="5">
        <v>2622.0</v>
      </c>
      <c r="F1609" s="5" t="s">
        <v>5657</v>
      </c>
      <c r="G1609" s="5" t="s">
        <v>5658</v>
      </c>
      <c r="H1609" s="5" t="s">
        <v>5659</v>
      </c>
      <c r="I1609" s="5" t="s">
        <v>641</v>
      </c>
      <c r="J1609" s="5" t="s">
        <v>5177</v>
      </c>
      <c r="K1609" s="5">
        <v>1.0</v>
      </c>
      <c r="L1609" s="5">
        <v>3025.0</v>
      </c>
      <c r="M1609" s="8"/>
      <c r="AK1609" s="9"/>
      <c r="AO1609" s="27"/>
    </row>
    <row r="1610" ht="14.25" customHeight="1">
      <c r="A1610" s="5" t="s">
        <v>5032</v>
      </c>
      <c r="B1610" s="5">
        <v>9.0</v>
      </c>
      <c r="C1610" s="11" t="s">
        <v>4969</v>
      </c>
      <c r="D1610" s="10" t="s">
        <v>5660</v>
      </c>
      <c r="E1610" s="5">
        <v>2624.0</v>
      </c>
      <c r="F1610" s="5" t="s">
        <v>5661</v>
      </c>
      <c r="G1610" s="5" t="s">
        <v>5662</v>
      </c>
      <c r="H1610" s="5" t="s">
        <v>5663</v>
      </c>
      <c r="I1610" s="5" t="s">
        <v>641</v>
      </c>
      <c r="J1610" s="5" t="s">
        <v>5083</v>
      </c>
      <c r="K1610" s="5">
        <v>1.0</v>
      </c>
      <c r="L1610" s="5">
        <v>3027.0</v>
      </c>
      <c r="M1610" s="8"/>
      <c r="AK1610" s="9"/>
      <c r="AO1610" s="27"/>
    </row>
    <row r="1611" ht="14.25" customHeight="1">
      <c r="A1611" s="5" t="s">
        <v>5043</v>
      </c>
      <c r="B1611" s="5">
        <v>9.0</v>
      </c>
      <c r="C1611" s="10" t="s">
        <v>5279</v>
      </c>
      <c r="D1611" s="10" t="s">
        <v>5664</v>
      </c>
      <c r="E1611" s="5">
        <v>12213.0</v>
      </c>
      <c r="F1611" s="5" t="s">
        <v>5665</v>
      </c>
      <c r="G1611" s="5" t="s">
        <v>5666</v>
      </c>
      <c r="H1611" s="5" t="s">
        <v>5220</v>
      </c>
      <c r="I1611" s="5" t="s">
        <v>641</v>
      </c>
      <c r="J1611" s="5" t="s">
        <v>5667</v>
      </c>
      <c r="K1611" s="5">
        <v>1.0</v>
      </c>
      <c r="L1611" s="5">
        <v>14268.0</v>
      </c>
      <c r="M1611" s="8"/>
      <c r="AK1611" s="9"/>
    </row>
    <row r="1612" ht="14.25" customHeight="1">
      <c r="A1612" s="5" t="s">
        <v>5032</v>
      </c>
      <c r="B1612" s="5">
        <v>9.0</v>
      </c>
      <c r="C1612" s="11" t="s">
        <v>4969</v>
      </c>
      <c r="D1612" s="12" t="s">
        <v>5668</v>
      </c>
      <c r="E1612" s="5">
        <v>2586.0</v>
      </c>
      <c r="F1612" s="5" t="s">
        <v>5669</v>
      </c>
      <c r="G1612" s="5" t="s">
        <v>5670</v>
      </c>
      <c r="H1612" s="5" t="s">
        <v>5671</v>
      </c>
      <c r="I1612" s="5" t="s">
        <v>641</v>
      </c>
      <c r="J1612" s="5" t="s">
        <v>5073</v>
      </c>
      <c r="K1612" s="5">
        <v>1.0</v>
      </c>
      <c r="L1612" s="5">
        <v>2989.0</v>
      </c>
      <c r="M1612" s="8"/>
      <c r="AK1612" s="9"/>
    </row>
    <row r="1613" ht="14.25" customHeight="1">
      <c r="A1613" s="5" t="s">
        <v>5032</v>
      </c>
      <c r="B1613" s="5">
        <v>9.0</v>
      </c>
      <c r="C1613" s="11" t="s">
        <v>4969</v>
      </c>
      <c r="D1613" s="10" t="s">
        <v>5672</v>
      </c>
      <c r="E1613" s="5">
        <v>2598.0</v>
      </c>
      <c r="F1613" s="5" t="s">
        <v>5673</v>
      </c>
      <c r="G1613" s="5" t="s">
        <v>5674</v>
      </c>
      <c r="H1613" s="5" t="s">
        <v>5671</v>
      </c>
      <c r="I1613" s="5" t="s">
        <v>641</v>
      </c>
      <c r="J1613" s="5" t="s">
        <v>5073</v>
      </c>
      <c r="K1613" s="5">
        <v>1.0</v>
      </c>
      <c r="L1613" s="5">
        <v>3001.0</v>
      </c>
      <c r="M1613" s="8"/>
      <c r="AK1613" s="9"/>
      <c r="AO1613" s="27"/>
    </row>
    <row r="1614" ht="14.25" customHeight="1">
      <c r="A1614" s="5" t="s">
        <v>3107</v>
      </c>
      <c r="B1614" s="5">
        <v>9.0</v>
      </c>
      <c r="C1614" s="10" t="s">
        <v>5039</v>
      </c>
      <c r="D1614" s="10" t="s">
        <v>5675</v>
      </c>
      <c r="E1614" s="5">
        <v>2647.0</v>
      </c>
      <c r="F1614" s="10" t="s">
        <v>5676</v>
      </c>
      <c r="G1614" s="10" t="s">
        <v>5677</v>
      </c>
      <c r="H1614" s="5" t="s">
        <v>5678</v>
      </c>
      <c r="I1614" s="5" t="s">
        <v>641</v>
      </c>
      <c r="J1614" s="5" t="s">
        <v>5048</v>
      </c>
      <c r="K1614" s="5">
        <v>1.0</v>
      </c>
      <c r="L1614" s="5">
        <v>3050.0</v>
      </c>
      <c r="M1614" s="8"/>
      <c r="AK1614" s="9"/>
    </row>
    <row r="1615" ht="14.25" customHeight="1">
      <c r="A1615" s="6" t="s">
        <v>5679</v>
      </c>
      <c r="B1615" s="5">
        <v>9.0</v>
      </c>
      <c r="C1615" s="10" t="s">
        <v>5039</v>
      </c>
      <c r="D1615" s="10" t="s">
        <v>5680</v>
      </c>
      <c r="E1615" s="5">
        <v>12220.0</v>
      </c>
      <c r="F1615" s="5" t="s">
        <v>5681</v>
      </c>
      <c r="G1615" s="10" t="s">
        <v>5682</v>
      </c>
      <c r="H1615" s="5" t="s">
        <v>84</v>
      </c>
      <c r="I1615" s="5" t="s">
        <v>641</v>
      </c>
      <c r="K1615" s="5">
        <v>1.0</v>
      </c>
      <c r="L1615" s="5">
        <v>14275.0</v>
      </c>
      <c r="M1615" s="8"/>
      <c r="AK1615" s="9"/>
      <c r="AO1615" s="27"/>
    </row>
    <row r="1616" ht="14.25" customHeight="1">
      <c r="A1616" s="5" t="s">
        <v>5032</v>
      </c>
      <c r="B1616" s="5">
        <v>9.0</v>
      </c>
      <c r="C1616" s="11" t="s">
        <v>4969</v>
      </c>
      <c r="D1616" s="10" t="s">
        <v>5683</v>
      </c>
      <c r="E1616" s="5">
        <v>12223.0</v>
      </c>
      <c r="F1616" s="5" t="s">
        <v>5684</v>
      </c>
      <c r="G1616" s="5" t="s">
        <v>5685</v>
      </c>
      <c r="H1616" s="5" t="s">
        <v>5686</v>
      </c>
      <c r="I1616" s="5" t="s">
        <v>641</v>
      </c>
      <c r="J1616" s="5" t="s">
        <v>5073</v>
      </c>
      <c r="K1616" s="5">
        <v>1.0</v>
      </c>
      <c r="L1616" s="5">
        <v>14278.0</v>
      </c>
      <c r="M1616" s="8"/>
      <c r="AK1616" s="9"/>
    </row>
    <row r="1617" ht="14.25" customHeight="1">
      <c r="A1617" s="5" t="s">
        <v>5032</v>
      </c>
      <c r="B1617" s="5">
        <v>9.0</v>
      </c>
      <c r="C1617" s="11" t="s">
        <v>4969</v>
      </c>
      <c r="D1617" s="10" t="s">
        <v>5687</v>
      </c>
      <c r="E1617" s="5">
        <v>2635.0</v>
      </c>
      <c r="F1617" s="5" t="s">
        <v>5688</v>
      </c>
      <c r="G1617" s="5" t="s">
        <v>5689</v>
      </c>
      <c r="H1617" s="5" t="s">
        <v>5690</v>
      </c>
      <c r="I1617" s="5" t="s">
        <v>641</v>
      </c>
      <c r="J1617" s="5" t="s">
        <v>5048</v>
      </c>
      <c r="K1617" s="5">
        <v>1.0</v>
      </c>
      <c r="L1617" s="5">
        <v>3038.0</v>
      </c>
      <c r="M1617" s="8"/>
      <c r="AK1617" s="9"/>
      <c r="AO1617" s="27"/>
    </row>
    <row r="1618" ht="14.25" customHeight="1">
      <c r="A1618" s="5" t="s">
        <v>5032</v>
      </c>
      <c r="B1618" s="5">
        <v>9.0</v>
      </c>
      <c r="C1618" s="11" t="s">
        <v>4969</v>
      </c>
      <c r="D1618" s="10" t="s">
        <v>5691</v>
      </c>
      <c r="E1618" s="5">
        <v>1583.0</v>
      </c>
      <c r="F1618" s="5" t="s">
        <v>5692</v>
      </c>
      <c r="G1618" s="5" t="s">
        <v>5693</v>
      </c>
      <c r="H1618" s="5" t="s">
        <v>5694</v>
      </c>
      <c r="I1618" s="5" t="s">
        <v>641</v>
      </c>
      <c r="J1618" s="5" t="s">
        <v>5037</v>
      </c>
      <c r="K1618" s="5">
        <v>1.0</v>
      </c>
      <c r="L1618" s="5">
        <v>1986.0</v>
      </c>
      <c r="M1618" s="8"/>
      <c r="AK1618" s="9"/>
    </row>
    <row r="1619" ht="14.25" customHeight="1">
      <c r="A1619" s="5" t="s">
        <v>5032</v>
      </c>
      <c r="B1619" s="5">
        <v>9.0</v>
      </c>
      <c r="C1619" s="11" t="s">
        <v>4969</v>
      </c>
      <c r="D1619" s="10" t="s">
        <v>5695</v>
      </c>
      <c r="E1619" s="5">
        <v>2638.0</v>
      </c>
      <c r="F1619" s="5" t="s">
        <v>5696</v>
      </c>
      <c r="G1619" s="5" t="s">
        <v>5697</v>
      </c>
      <c r="H1619" s="5" t="s">
        <v>5698</v>
      </c>
      <c r="I1619" s="5" t="s">
        <v>641</v>
      </c>
      <c r="J1619" s="5" t="s">
        <v>5083</v>
      </c>
      <c r="K1619" s="5">
        <v>1.0</v>
      </c>
      <c r="L1619" s="5">
        <v>3041.0</v>
      </c>
      <c r="M1619" s="8"/>
      <c r="AK1619" s="9"/>
    </row>
    <row r="1620" ht="14.25" customHeight="1">
      <c r="A1620" s="5" t="s">
        <v>5032</v>
      </c>
      <c r="B1620" s="5">
        <v>9.0</v>
      </c>
      <c r="C1620" s="11" t="s">
        <v>4969</v>
      </c>
      <c r="D1620" s="10" t="s">
        <v>5699</v>
      </c>
      <c r="E1620" s="5">
        <v>3278.0</v>
      </c>
      <c r="F1620" s="5" t="s">
        <v>5700</v>
      </c>
      <c r="G1620" s="5" t="s">
        <v>5701</v>
      </c>
      <c r="H1620" s="5" t="s">
        <v>5702</v>
      </c>
      <c r="I1620" s="5" t="s">
        <v>49</v>
      </c>
      <c r="J1620" s="5" t="s">
        <v>5037</v>
      </c>
      <c r="K1620" s="5">
        <v>1.0</v>
      </c>
      <c r="L1620" s="5">
        <v>4117.0</v>
      </c>
      <c r="M1620" s="8"/>
      <c r="AK1620" s="9"/>
    </row>
    <row r="1621" ht="14.25" customHeight="1">
      <c r="A1621" s="5" t="s">
        <v>5703</v>
      </c>
      <c r="B1621" s="5">
        <v>9.0</v>
      </c>
      <c r="C1621" s="10" t="s">
        <v>5039</v>
      </c>
      <c r="D1621" s="12" t="s">
        <v>5704</v>
      </c>
      <c r="E1621" s="5">
        <v>12232.0</v>
      </c>
      <c r="F1621" s="10" t="s">
        <v>5705</v>
      </c>
      <c r="G1621" s="5" t="s">
        <v>5706</v>
      </c>
      <c r="H1621" s="5" t="s">
        <v>5095</v>
      </c>
      <c r="I1621" s="5" t="s">
        <v>641</v>
      </c>
      <c r="J1621" s="5" t="s">
        <v>5083</v>
      </c>
      <c r="K1621" s="5">
        <v>1.0</v>
      </c>
      <c r="L1621" s="5">
        <v>14287.0</v>
      </c>
      <c r="M1621" s="8"/>
      <c r="AK1621" s="9"/>
      <c r="AO1621" s="27"/>
    </row>
    <row r="1622" ht="14.25" customHeight="1">
      <c r="A1622" s="5" t="s">
        <v>422</v>
      </c>
      <c r="B1622" s="5">
        <v>9.0</v>
      </c>
      <c r="C1622" s="5" t="s">
        <v>4969</v>
      </c>
      <c r="D1622" s="5" t="s">
        <v>5707</v>
      </c>
      <c r="E1622" s="5">
        <v>12234.0</v>
      </c>
      <c r="F1622" s="5" t="s">
        <v>5708</v>
      </c>
      <c r="G1622" s="5" t="s">
        <v>5709</v>
      </c>
      <c r="H1622" s="5" t="s">
        <v>5710</v>
      </c>
      <c r="I1622" s="5" t="s">
        <v>641</v>
      </c>
      <c r="J1622" s="5" t="s">
        <v>5711</v>
      </c>
      <c r="K1622" s="5">
        <v>1.0</v>
      </c>
      <c r="L1622" s="5">
        <v>14289.0</v>
      </c>
      <c r="M1622" s="8"/>
      <c r="AK1622" s="9"/>
    </row>
    <row r="1623" ht="14.25" customHeight="1">
      <c r="A1623" s="5" t="s">
        <v>5032</v>
      </c>
      <c r="B1623" s="5">
        <v>9.0</v>
      </c>
      <c r="C1623" s="5" t="s">
        <v>4969</v>
      </c>
      <c r="D1623" s="10" t="s">
        <v>5712</v>
      </c>
      <c r="E1623" s="5">
        <v>12238.0</v>
      </c>
      <c r="F1623" s="5" t="s">
        <v>5713</v>
      </c>
      <c r="G1623" s="5" t="s">
        <v>5714</v>
      </c>
      <c r="H1623" s="5" t="s">
        <v>5715</v>
      </c>
      <c r="I1623" s="5" t="s">
        <v>641</v>
      </c>
      <c r="J1623" s="5" t="s">
        <v>5073</v>
      </c>
      <c r="K1623" s="5">
        <v>1.0</v>
      </c>
      <c r="L1623" s="5">
        <v>14293.0</v>
      </c>
      <c r="M1623" s="8"/>
      <c r="AK1623" s="9"/>
      <c r="AO1623" s="27"/>
    </row>
    <row r="1624" ht="14.25" customHeight="1">
      <c r="A1624" s="5" t="s">
        <v>5032</v>
      </c>
      <c r="B1624" s="5">
        <v>9.0</v>
      </c>
      <c r="C1624" s="5" t="s">
        <v>4969</v>
      </c>
      <c r="D1624" s="10" t="s">
        <v>5716</v>
      </c>
      <c r="E1624" s="5">
        <v>1587.0</v>
      </c>
      <c r="F1624" s="5" t="s">
        <v>5717</v>
      </c>
      <c r="G1624" s="5" t="s">
        <v>5718</v>
      </c>
      <c r="H1624" s="5" t="s">
        <v>5719</v>
      </c>
      <c r="I1624" s="5" t="s">
        <v>641</v>
      </c>
      <c r="J1624" s="5" t="s">
        <v>5073</v>
      </c>
      <c r="K1624" s="5">
        <v>1.0</v>
      </c>
      <c r="L1624" s="5">
        <v>1990.0</v>
      </c>
      <c r="M1624" s="8"/>
      <c r="AK1624" s="9"/>
    </row>
    <row r="1625" ht="14.25" customHeight="1">
      <c r="A1625" s="5" t="s">
        <v>5032</v>
      </c>
      <c r="B1625" s="5">
        <v>9.0</v>
      </c>
      <c r="C1625" s="5" t="s">
        <v>4969</v>
      </c>
      <c r="D1625" s="10" t="s">
        <v>5720</v>
      </c>
      <c r="E1625" s="5">
        <v>12248.0</v>
      </c>
      <c r="F1625" s="5" t="s">
        <v>5721</v>
      </c>
      <c r="G1625" s="5" t="s">
        <v>5722</v>
      </c>
      <c r="H1625" s="5" t="s">
        <v>5723</v>
      </c>
      <c r="I1625" s="5" t="s">
        <v>641</v>
      </c>
      <c r="J1625" s="5" t="s">
        <v>5073</v>
      </c>
      <c r="K1625" s="5">
        <v>1.0</v>
      </c>
      <c r="L1625" s="5">
        <v>14303.0</v>
      </c>
      <c r="M1625" s="8"/>
      <c r="AK1625" s="9"/>
      <c r="AO1625" s="27"/>
    </row>
    <row r="1626" ht="14.25" customHeight="1">
      <c r="A1626" s="5" t="s">
        <v>5032</v>
      </c>
      <c r="B1626" s="5">
        <v>9.0</v>
      </c>
      <c r="C1626" s="5" t="s">
        <v>4969</v>
      </c>
      <c r="D1626" s="10" t="s">
        <v>5724</v>
      </c>
      <c r="E1626" s="5">
        <v>1569.0</v>
      </c>
      <c r="F1626" s="5" t="s">
        <v>5725</v>
      </c>
      <c r="G1626" s="5" t="s">
        <v>5726</v>
      </c>
      <c r="H1626" s="5" t="s">
        <v>5727</v>
      </c>
      <c r="I1626" s="5" t="s">
        <v>641</v>
      </c>
      <c r="J1626" s="5" t="s">
        <v>5048</v>
      </c>
      <c r="K1626" s="5">
        <v>1.0</v>
      </c>
      <c r="L1626" s="5">
        <v>1972.0</v>
      </c>
      <c r="M1626" s="8"/>
      <c r="AK1626" s="9"/>
    </row>
    <row r="1627" ht="14.25" customHeight="1">
      <c r="A1627" s="5" t="s">
        <v>5728</v>
      </c>
      <c r="B1627" s="5">
        <v>9.0</v>
      </c>
      <c r="C1627" s="5" t="s">
        <v>4969</v>
      </c>
      <c r="D1627" s="10" t="s">
        <v>5729</v>
      </c>
      <c r="E1627" s="5">
        <v>2603.0</v>
      </c>
      <c r="F1627" s="5" t="s">
        <v>5730</v>
      </c>
      <c r="G1627" s="10" t="s">
        <v>5731</v>
      </c>
      <c r="H1627" s="5" t="s">
        <v>5732</v>
      </c>
      <c r="I1627" s="5" t="s">
        <v>641</v>
      </c>
      <c r="J1627" s="5" t="s">
        <v>5073</v>
      </c>
      <c r="K1627" s="5">
        <v>1.0</v>
      </c>
      <c r="L1627" s="5">
        <v>3006.0</v>
      </c>
      <c r="M1627" s="8"/>
      <c r="AK1627" s="9"/>
    </row>
    <row r="1628" ht="14.25" customHeight="1">
      <c r="A1628" s="5" t="s">
        <v>5032</v>
      </c>
      <c r="B1628" s="5">
        <v>9.0</v>
      </c>
      <c r="C1628" s="5" t="s">
        <v>4969</v>
      </c>
      <c r="D1628" s="10" t="s">
        <v>5733</v>
      </c>
      <c r="E1628" s="5">
        <v>2595.0</v>
      </c>
      <c r="F1628" s="5" t="s">
        <v>5734</v>
      </c>
      <c r="G1628" s="5" t="s">
        <v>5735</v>
      </c>
      <c r="H1628" s="5" t="s">
        <v>5736</v>
      </c>
      <c r="I1628" s="5" t="s">
        <v>641</v>
      </c>
      <c r="J1628" s="5" t="s">
        <v>5083</v>
      </c>
      <c r="K1628" s="5">
        <v>1.0</v>
      </c>
      <c r="L1628" s="5">
        <v>2998.0</v>
      </c>
      <c r="M1628" s="8"/>
      <c r="AK1628" s="9"/>
      <c r="AO1628" s="27"/>
    </row>
    <row r="1629" ht="14.25" customHeight="1">
      <c r="A1629" s="5" t="s">
        <v>5032</v>
      </c>
      <c r="B1629" s="5">
        <v>9.0</v>
      </c>
      <c r="C1629" s="5" t="s">
        <v>4969</v>
      </c>
      <c r="D1629" s="10" t="s">
        <v>5737</v>
      </c>
      <c r="E1629" s="5">
        <v>2597.0</v>
      </c>
      <c r="F1629" s="5" t="s">
        <v>5738</v>
      </c>
      <c r="G1629" s="5" t="s">
        <v>5739</v>
      </c>
      <c r="H1629" s="5" t="s">
        <v>5740</v>
      </c>
      <c r="I1629" s="5" t="s">
        <v>641</v>
      </c>
      <c r="J1629" s="5" t="s">
        <v>5048</v>
      </c>
      <c r="K1629" s="5">
        <v>1.0</v>
      </c>
      <c r="L1629" s="5">
        <v>3000.0</v>
      </c>
      <c r="M1629" s="8"/>
      <c r="AK1629" s="9"/>
      <c r="AO1629" s="27"/>
    </row>
    <row r="1630" ht="14.25" customHeight="1">
      <c r="A1630" s="5" t="s">
        <v>5032</v>
      </c>
      <c r="B1630" s="5">
        <v>9.0</v>
      </c>
      <c r="C1630" s="5" t="s">
        <v>4969</v>
      </c>
      <c r="D1630" s="10" t="s">
        <v>5741</v>
      </c>
      <c r="E1630" s="5">
        <v>1568.0</v>
      </c>
      <c r="F1630" s="5" t="s">
        <v>5742</v>
      </c>
      <c r="G1630" s="5" t="s">
        <v>5743</v>
      </c>
      <c r="H1630" s="5" t="s">
        <v>5744</v>
      </c>
      <c r="I1630" s="5" t="s">
        <v>641</v>
      </c>
      <c r="J1630" s="5" t="s">
        <v>5048</v>
      </c>
      <c r="K1630" s="5">
        <v>1.0</v>
      </c>
      <c r="L1630" s="5">
        <v>1971.0</v>
      </c>
      <c r="M1630" s="8"/>
      <c r="AK1630" s="9"/>
      <c r="AO1630" s="27"/>
    </row>
    <row r="1631" ht="14.25" customHeight="1">
      <c r="A1631" s="5" t="s">
        <v>5745</v>
      </c>
      <c r="B1631" s="5">
        <v>9.0</v>
      </c>
      <c r="C1631" s="5" t="s">
        <v>4969</v>
      </c>
      <c r="D1631" s="10" t="s">
        <v>5746</v>
      </c>
      <c r="E1631" s="5">
        <v>3282.0</v>
      </c>
      <c r="F1631" s="5" t="s">
        <v>5747</v>
      </c>
      <c r="G1631" s="10" t="s">
        <v>5748</v>
      </c>
      <c r="H1631" s="5" t="s">
        <v>5749</v>
      </c>
      <c r="I1631" s="5" t="s">
        <v>49</v>
      </c>
      <c r="J1631" s="5" t="s">
        <v>5750</v>
      </c>
      <c r="K1631" s="5">
        <v>1.0</v>
      </c>
      <c r="L1631" s="5">
        <v>4121.0</v>
      </c>
      <c r="M1631" s="8"/>
      <c r="AK1631" s="9"/>
      <c r="AO1631" s="27"/>
    </row>
    <row r="1632" ht="14.25" customHeight="1">
      <c r="A1632" s="5" t="s">
        <v>5032</v>
      </c>
      <c r="B1632" s="5">
        <v>9.0</v>
      </c>
      <c r="C1632" s="5" t="s">
        <v>4969</v>
      </c>
      <c r="D1632" s="10" t="s">
        <v>5751</v>
      </c>
      <c r="E1632" s="5">
        <v>2605.0</v>
      </c>
      <c r="F1632" s="5" t="s">
        <v>5752</v>
      </c>
      <c r="G1632" s="5" t="s">
        <v>5753</v>
      </c>
      <c r="H1632" s="5" t="s">
        <v>5754</v>
      </c>
      <c r="I1632" s="5" t="s">
        <v>641</v>
      </c>
      <c r="J1632" s="5" t="s">
        <v>5037</v>
      </c>
      <c r="K1632" s="5">
        <v>1.0</v>
      </c>
      <c r="L1632" s="5">
        <v>3008.0</v>
      </c>
      <c r="M1632" s="8"/>
      <c r="AK1632" s="9"/>
    </row>
    <row r="1633" ht="14.25" customHeight="1">
      <c r="A1633" s="5" t="s">
        <v>5032</v>
      </c>
      <c r="B1633" s="5">
        <v>9.0</v>
      </c>
      <c r="C1633" s="5" t="s">
        <v>4969</v>
      </c>
      <c r="D1633" s="12" t="s">
        <v>5755</v>
      </c>
      <c r="E1633" s="5">
        <v>12254.0</v>
      </c>
      <c r="F1633" s="5" t="s">
        <v>5756</v>
      </c>
      <c r="G1633" s="5" t="s">
        <v>5757</v>
      </c>
      <c r="H1633" s="5" t="s">
        <v>5325</v>
      </c>
      <c r="I1633" s="5" t="s">
        <v>641</v>
      </c>
      <c r="J1633" s="5" t="s">
        <v>5073</v>
      </c>
      <c r="K1633" s="5">
        <v>1.0</v>
      </c>
      <c r="L1633" s="5">
        <v>14309.0</v>
      </c>
      <c r="M1633" s="8"/>
      <c r="AK1633" s="9"/>
    </row>
    <row r="1634" ht="14.25" customHeight="1">
      <c r="A1634" s="5" t="s">
        <v>5758</v>
      </c>
      <c r="B1634" s="5">
        <v>9.0</v>
      </c>
      <c r="C1634" s="5" t="s">
        <v>4969</v>
      </c>
      <c r="D1634" s="10" t="s">
        <v>5759</v>
      </c>
      <c r="E1634" s="5">
        <v>2601.0</v>
      </c>
      <c r="F1634" s="5" t="s">
        <v>5756</v>
      </c>
      <c r="G1634" s="5" t="s">
        <v>5760</v>
      </c>
      <c r="H1634" s="5" t="s">
        <v>5761</v>
      </c>
      <c r="I1634" s="5" t="s">
        <v>641</v>
      </c>
      <c r="J1634" s="5" t="s">
        <v>5083</v>
      </c>
      <c r="K1634" s="5">
        <v>1.0</v>
      </c>
      <c r="L1634" s="5">
        <v>3004.0</v>
      </c>
      <c r="M1634" s="8"/>
      <c r="AK1634" s="9"/>
      <c r="AO1634" s="27"/>
    </row>
    <row r="1635" ht="14.25" customHeight="1">
      <c r="A1635" s="5" t="s">
        <v>5032</v>
      </c>
      <c r="B1635" s="5">
        <v>9.0</v>
      </c>
      <c r="C1635" s="5" t="s">
        <v>4969</v>
      </c>
      <c r="D1635" s="10" t="s">
        <v>5762</v>
      </c>
      <c r="E1635" s="5">
        <v>2600.0</v>
      </c>
      <c r="F1635" s="5" t="s">
        <v>5763</v>
      </c>
      <c r="G1635" s="5" t="s">
        <v>5764</v>
      </c>
      <c r="H1635" s="5" t="s">
        <v>5765</v>
      </c>
      <c r="I1635" s="5" t="s">
        <v>641</v>
      </c>
      <c r="J1635" s="5" t="s">
        <v>5083</v>
      </c>
      <c r="K1635" s="5">
        <v>1.0</v>
      </c>
      <c r="L1635" s="5">
        <v>3003.0</v>
      </c>
      <c r="M1635" s="8"/>
      <c r="AK1635" s="9"/>
    </row>
    <row r="1636" ht="14.25" customHeight="1">
      <c r="A1636" s="5" t="s">
        <v>5032</v>
      </c>
      <c r="B1636" s="5">
        <v>9.0</v>
      </c>
      <c r="C1636" s="5" t="s">
        <v>4969</v>
      </c>
      <c r="D1636" s="10" t="s">
        <v>5766</v>
      </c>
      <c r="E1636" s="5">
        <v>1567.0</v>
      </c>
      <c r="F1636" s="5" t="s">
        <v>5767</v>
      </c>
      <c r="G1636" s="5" t="s">
        <v>5768</v>
      </c>
      <c r="H1636" s="5" t="s">
        <v>5769</v>
      </c>
      <c r="I1636" s="5" t="s">
        <v>641</v>
      </c>
      <c r="J1636" s="5" t="s">
        <v>5048</v>
      </c>
      <c r="K1636" s="5">
        <v>1.0</v>
      </c>
      <c r="L1636" s="5">
        <v>1970.0</v>
      </c>
      <c r="M1636" s="8"/>
      <c r="AK1636" s="9"/>
      <c r="AO1636" s="27"/>
    </row>
    <row r="1637" ht="14.25" customHeight="1">
      <c r="A1637" s="5" t="s">
        <v>5032</v>
      </c>
      <c r="B1637" s="5">
        <v>9.0</v>
      </c>
      <c r="C1637" s="5" t="s">
        <v>4969</v>
      </c>
      <c r="D1637" s="10" t="s">
        <v>5770</v>
      </c>
      <c r="E1637" s="5">
        <v>2636.0</v>
      </c>
      <c r="F1637" s="5" t="s">
        <v>5771</v>
      </c>
      <c r="G1637" s="5" t="s">
        <v>5772</v>
      </c>
      <c r="H1637" s="5" t="s">
        <v>5773</v>
      </c>
      <c r="I1637" s="5" t="s">
        <v>641</v>
      </c>
      <c r="J1637" s="5" t="s">
        <v>5048</v>
      </c>
      <c r="K1637" s="5">
        <v>1.0</v>
      </c>
      <c r="L1637" s="5">
        <v>3039.0</v>
      </c>
      <c r="M1637" s="8"/>
      <c r="AK1637" s="9"/>
    </row>
    <row r="1638" ht="14.25" customHeight="1">
      <c r="A1638" s="5" t="s">
        <v>5728</v>
      </c>
      <c r="B1638" s="5">
        <v>9.0</v>
      </c>
      <c r="C1638" s="5" t="s">
        <v>4969</v>
      </c>
      <c r="D1638" s="10" t="s">
        <v>5774</v>
      </c>
      <c r="E1638" s="5">
        <v>2649.0</v>
      </c>
      <c r="F1638" s="5" t="s">
        <v>5775</v>
      </c>
      <c r="G1638" s="10" t="s">
        <v>5776</v>
      </c>
      <c r="H1638" s="5" t="s">
        <v>5777</v>
      </c>
      <c r="I1638" s="5" t="s">
        <v>641</v>
      </c>
      <c r="J1638" s="5" t="s">
        <v>5037</v>
      </c>
      <c r="K1638" s="5">
        <v>1.0</v>
      </c>
      <c r="L1638" s="5">
        <v>3052.0</v>
      </c>
      <c r="M1638" s="8"/>
      <c r="AK1638" s="9"/>
    </row>
    <row r="1639" ht="14.25" customHeight="1">
      <c r="A1639" s="5" t="s">
        <v>4968</v>
      </c>
      <c r="B1639" s="5">
        <v>9.0</v>
      </c>
      <c r="C1639" s="5" t="s">
        <v>4969</v>
      </c>
      <c r="D1639" s="10" t="s">
        <v>5778</v>
      </c>
      <c r="E1639" s="5">
        <v>12257.0</v>
      </c>
      <c r="F1639" s="10" t="s">
        <v>5779</v>
      </c>
      <c r="G1639" s="5" t="s">
        <v>5780</v>
      </c>
      <c r="H1639" s="5" t="s">
        <v>5781</v>
      </c>
      <c r="I1639" s="5" t="s">
        <v>641</v>
      </c>
      <c r="J1639" s="5" t="s">
        <v>5073</v>
      </c>
      <c r="K1639" s="5">
        <v>1.0</v>
      </c>
      <c r="L1639" s="5">
        <v>14312.0</v>
      </c>
      <c r="M1639" s="8"/>
      <c r="AK1639" s="9"/>
      <c r="AO1639" s="27"/>
    </row>
    <row r="1640" ht="14.25" customHeight="1">
      <c r="A1640" s="5" t="s">
        <v>5032</v>
      </c>
      <c r="B1640" s="5">
        <v>9.0</v>
      </c>
      <c r="C1640" s="5" t="s">
        <v>4969</v>
      </c>
      <c r="D1640" s="10" t="s">
        <v>5782</v>
      </c>
      <c r="E1640" s="5">
        <v>1586.0</v>
      </c>
      <c r="F1640" s="5" t="s">
        <v>5783</v>
      </c>
      <c r="G1640" s="5" t="s">
        <v>5784</v>
      </c>
      <c r="H1640" s="5" t="s">
        <v>5785</v>
      </c>
      <c r="I1640" s="5" t="s">
        <v>641</v>
      </c>
      <c r="J1640" s="5" t="s">
        <v>5048</v>
      </c>
      <c r="K1640" s="5">
        <v>1.0</v>
      </c>
      <c r="L1640" s="5">
        <v>1989.0</v>
      </c>
      <c r="M1640" s="8"/>
      <c r="AK1640" s="9"/>
    </row>
    <row r="1641" ht="14.25" customHeight="1">
      <c r="A1641" s="5" t="s">
        <v>5032</v>
      </c>
      <c r="B1641" s="5">
        <v>9.0</v>
      </c>
      <c r="C1641" s="5" t="s">
        <v>4969</v>
      </c>
      <c r="D1641" s="10" t="s">
        <v>5786</v>
      </c>
      <c r="E1641" s="5">
        <v>1582.0</v>
      </c>
      <c r="F1641" s="5" t="s">
        <v>5787</v>
      </c>
      <c r="G1641" s="5" t="s">
        <v>5788</v>
      </c>
      <c r="H1641" s="5" t="s">
        <v>5789</v>
      </c>
      <c r="I1641" s="5" t="s">
        <v>641</v>
      </c>
      <c r="J1641" s="5" t="s">
        <v>5198</v>
      </c>
      <c r="K1641" s="5">
        <v>1.0</v>
      </c>
      <c r="L1641" s="5">
        <v>1985.0</v>
      </c>
      <c r="M1641" s="8"/>
      <c r="AK1641" s="9"/>
      <c r="AO1641" s="27"/>
    </row>
    <row r="1642" ht="14.25" customHeight="1">
      <c r="B1642" s="5">
        <v>9.0</v>
      </c>
      <c r="C1642" s="5" t="s">
        <v>4969</v>
      </c>
      <c r="D1642" s="10" t="s">
        <v>5790</v>
      </c>
      <c r="E1642" s="5">
        <v>1574.0</v>
      </c>
      <c r="F1642" s="5" t="s">
        <v>5791</v>
      </c>
      <c r="G1642" s="5" t="s">
        <v>5792</v>
      </c>
      <c r="H1642" s="5" t="s">
        <v>5793</v>
      </c>
      <c r="I1642" s="5" t="s">
        <v>641</v>
      </c>
      <c r="J1642" s="5" t="s">
        <v>5198</v>
      </c>
      <c r="K1642" s="5">
        <v>1.0</v>
      </c>
      <c r="L1642" s="5">
        <v>1977.0</v>
      </c>
      <c r="M1642" s="8"/>
      <c r="AK1642" s="9"/>
    </row>
    <row r="1643" ht="14.25" customHeight="1">
      <c r="B1643" s="5">
        <v>9.0</v>
      </c>
      <c r="C1643" s="5" t="s">
        <v>4969</v>
      </c>
      <c r="D1643" s="10" t="s">
        <v>5794</v>
      </c>
      <c r="E1643" s="5">
        <v>2606.0</v>
      </c>
      <c r="F1643" s="5" t="s">
        <v>5795</v>
      </c>
      <c r="G1643" s="5" t="s">
        <v>5796</v>
      </c>
      <c r="H1643" s="5" t="s">
        <v>5797</v>
      </c>
      <c r="I1643" s="5" t="s">
        <v>641</v>
      </c>
      <c r="J1643" s="5" t="s">
        <v>5073</v>
      </c>
      <c r="K1643" s="5">
        <v>1.0</v>
      </c>
      <c r="L1643" s="5">
        <v>3009.0</v>
      </c>
      <c r="M1643" s="8"/>
      <c r="AK1643" s="9"/>
    </row>
    <row r="1644" ht="14.25" customHeight="1">
      <c r="A1644" s="5" t="s">
        <v>5032</v>
      </c>
      <c r="B1644" s="5">
        <v>9.0</v>
      </c>
      <c r="C1644" s="5" t="s">
        <v>4969</v>
      </c>
      <c r="D1644" s="10" t="s">
        <v>5798</v>
      </c>
      <c r="E1644" s="5">
        <v>2612.0</v>
      </c>
      <c r="F1644" s="5" t="s">
        <v>5799</v>
      </c>
      <c r="G1644" s="5" t="s">
        <v>5800</v>
      </c>
      <c r="H1644" s="5" t="s">
        <v>5801</v>
      </c>
      <c r="I1644" s="5" t="s">
        <v>641</v>
      </c>
      <c r="J1644" s="5" t="s">
        <v>5073</v>
      </c>
      <c r="K1644" s="5">
        <v>1.0</v>
      </c>
      <c r="L1644" s="5">
        <v>3015.0</v>
      </c>
      <c r="M1644" s="8"/>
      <c r="AK1644" s="9"/>
    </row>
    <row r="1645" ht="14.25" customHeight="1">
      <c r="B1645" s="5">
        <v>9.0</v>
      </c>
      <c r="C1645" s="5" t="s">
        <v>4969</v>
      </c>
      <c r="D1645" s="10" t="s">
        <v>5802</v>
      </c>
      <c r="E1645" s="5">
        <v>1570.0</v>
      </c>
      <c r="F1645" s="5" t="s">
        <v>5803</v>
      </c>
      <c r="G1645" s="5" t="s">
        <v>5804</v>
      </c>
      <c r="H1645" s="5" t="s">
        <v>5805</v>
      </c>
      <c r="I1645" s="5" t="s">
        <v>641</v>
      </c>
      <c r="J1645" s="5" t="s">
        <v>5037</v>
      </c>
      <c r="K1645" s="5">
        <v>1.0</v>
      </c>
      <c r="L1645" s="5">
        <v>1973.0</v>
      </c>
      <c r="M1645" s="8"/>
      <c r="AK1645" s="9"/>
    </row>
    <row r="1646" ht="14.25" customHeight="1">
      <c r="A1646" s="5" t="s">
        <v>5032</v>
      </c>
      <c r="B1646" s="5">
        <v>9.0</v>
      </c>
      <c r="C1646" s="5" t="s">
        <v>4969</v>
      </c>
      <c r="D1646" s="10" t="s">
        <v>5806</v>
      </c>
      <c r="E1646" s="5">
        <v>1559.0</v>
      </c>
      <c r="F1646" s="5" t="s">
        <v>5807</v>
      </c>
      <c r="G1646" s="5" t="s">
        <v>5808</v>
      </c>
      <c r="H1646" s="5" t="s">
        <v>5809</v>
      </c>
      <c r="I1646" s="5" t="s">
        <v>641</v>
      </c>
      <c r="J1646" s="5" t="s">
        <v>5073</v>
      </c>
      <c r="K1646" s="5">
        <v>1.0</v>
      </c>
      <c r="L1646" s="5">
        <v>1962.0</v>
      </c>
      <c r="M1646" s="8"/>
      <c r="AK1646" s="9"/>
    </row>
    <row r="1647" ht="14.25" customHeight="1">
      <c r="A1647" s="6" t="s">
        <v>5104</v>
      </c>
      <c r="B1647" s="5">
        <v>9.0</v>
      </c>
      <c r="C1647" s="10" t="s">
        <v>5039</v>
      </c>
      <c r="D1647" s="10" t="s">
        <v>5810</v>
      </c>
      <c r="E1647" s="5">
        <v>12269.0</v>
      </c>
      <c r="F1647" s="5" t="s">
        <v>433</v>
      </c>
      <c r="G1647" s="5" t="s">
        <v>5811</v>
      </c>
      <c r="H1647" s="5" t="s">
        <v>84</v>
      </c>
      <c r="I1647" s="5" t="s">
        <v>641</v>
      </c>
      <c r="K1647" s="5">
        <v>1.0</v>
      </c>
      <c r="L1647" s="5">
        <v>14324.0</v>
      </c>
      <c r="M1647" s="8"/>
      <c r="AK1647" s="9"/>
    </row>
    <row r="1648" ht="14.25" customHeight="1">
      <c r="A1648" s="5" t="s">
        <v>5032</v>
      </c>
      <c r="B1648" s="5">
        <v>9.0</v>
      </c>
      <c r="C1648" s="5" t="s">
        <v>4969</v>
      </c>
      <c r="D1648" s="10" t="s">
        <v>5812</v>
      </c>
      <c r="E1648" s="5">
        <v>1576.0</v>
      </c>
      <c r="F1648" s="5" t="s">
        <v>5813</v>
      </c>
      <c r="G1648" s="5" t="s">
        <v>5814</v>
      </c>
      <c r="H1648" s="5" t="s">
        <v>5815</v>
      </c>
      <c r="I1648" s="5" t="s">
        <v>641</v>
      </c>
      <c r="J1648" s="5" t="s">
        <v>5048</v>
      </c>
      <c r="K1648" s="5">
        <v>1.0</v>
      </c>
      <c r="L1648" s="5">
        <v>1979.0</v>
      </c>
      <c r="M1648" s="8"/>
      <c r="AK1648" s="9"/>
      <c r="AO1648" s="27"/>
    </row>
    <row r="1649" ht="14.25" customHeight="1">
      <c r="A1649" s="5" t="s">
        <v>5032</v>
      </c>
      <c r="B1649" s="5">
        <v>9.0</v>
      </c>
      <c r="C1649" s="5" t="s">
        <v>4969</v>
      </c>
      <c r="D1649" s="10" t="s">
        <v>5816</v>
      </c>
      <c r="E1649" s="5">
        <v>1575.0</v>
      </c>
      <c r="F1649" s="5" t="s">
        <v>5817</v>
      </c>
      <c r="G1649" s="5" t="s">
        <v>5818</v>
      </c>
      <c r="H1649" s="5" t="s">
        <v>5819</v>
      </c>
      <c r="I1649" s="5" t="s">
        <v>641</v>
      </c>
      <c r="J1649" s="5" t="s">
        <v>5083</v>
      </c>
      <c r="K1649" s="5">
        <v>1.0</v>
      </c>
      <c r="L1649" s="5">
        <v>1978.0</v>
      </c>
      <c r="M1649" s="8"/>
      <c r="AK1649" s="9"/>
    </row>
    <row r="1650" ht="14.25" customHeight="1">
      <c r="A1650" s="5" t="s">
        <v>5032</v>
      </c>
      <c r="B1650" s="5">
        <v>9.0</v>
      </c>
      <c r="C1650" s="5" t="s">
        <v>4969</v>
      </c>
      <c r="D1650" s="10" t="s">
        <v>5820</v>
      </c>
      <c r="E1650" s="5">
        <v>2593.0</v>
      </c>
      <c r="F1650" s="5" t="s">
        <v>5821</v>
      </c>
      <c r="G1650" s="5" t="s">
        <v>5822</v>
      </c>
      <c r="H1650" s="5" t="s">
        <v>5823</v>
      </c>
      <c r="I1650" s="5" t="s">
        <v>641</v>
      </c>
      <c r="J1650" s="5" t="s">
        <v>5037</v>
      </c>
      <c r="K1650" s="5">
        <v>1.0</v>
      </c>
      <c r="L1650" s="5">
        <v>2996.0</v>
      </c>
      <c r="M1650" s="8"/>
      <c r="AK1650" s="9"/>
      <c r="AO1650" s="27"/>
    </row>
    <row r="1651" ht="14.25" customHeight="1">
      <c r="A1651" s="5" t="s">
        <v>5824</v>
      </c>
      <c r="B1651" s="5">
        <v>9.0</v>
      </c>
      <c r="C1651" s="5" t="s">
        <v>4969</v>
      </c>
      <c r="D1651" s="10" t="s">
        <v>5825</v>
      </c>
      <c r="E1651" s="5">
        <v>12280.0</v>
      </c>
      <c r="F1651" s="5" t="s">
        <v>5826</v>
      </c>
      <c r="G1651" s="5" t="s">
        <v>5827</v>
      </c>
      <c r="H1651" s="5" t="s">
        <v>5828</v>
      </c>
      <c r="I1651" s="5" t="s">
        <v>641</v>
      </c>
      <c r="J1651" s="5" t="s">
        <v>5254</v>
      </c>
      <c r="K1651" s="5">
        <v>1.0</v>
      </c>
      <c r="L1651" s="5">
        <v>14335.0</v>
      </c>
      <c r="M1651" s="8"/>
      <c r="AK1651" s="9"/>
    </row>
    <row r="1652" ht="14.25" customHeight="1">
      <c r="A1652" s="5" t="s">
        <v>5032</v>
      </c>
      <c r="B1652" s="5">
        <v>9.0</v>
      </c>
      <c r="C1652" s="5" t="s">
        <v>4969</v>
      </c>
      <c r="D1652" s="10" t="s">
        <v>5829</v>
      </c>
      <c r="E1652" s="5">
        <v>12441.0</v>
      </c>
      <c r="F1652" s="5" t="s">
        <v>5830</v>
      </c>
      <c r="G1652" s="5" t="s">
        <v>5831</v>
      </c>
      <c r="H1652" s="5" t="s">
        <v>5832</v>
      </c>
      <c r="I1652" s="5" t="s">
        <v>49</v>
      </c>
      <c r="J1652" s="5" t="s">
        <v>5073</v>
      </c>
      <c r="K1652" s="5">
        <v>1.0</v>
      </c>
      <c r="L1652" s="5">
        <v>14463.0</v>
      </c>
      <c r="M1652" s="8"/>
      <c r="AK1652" s="9"/>
      <c r="AO1652" s="27"/>
    </row>
    <row r="1653" ht="14.25" customHeight="1">
      <c r="A1653" s="5" t="s">
        <v>5032</v>
      </c>
      <c r="B1653" s="5">
        <v>9.0</v>
      </c>
      <c r="C1653" s="5" t="s">
        <v>4969</v>
      </c>
      <c r="D1653" s="10" t="s">
        <v>5833</v>
      </c>
      <c r="E1653" s="5">
        <v>12283.0</v>
      </c>
      <c r="F1653" s="5" t="s">
        <v>5834</v>
      </c>
      <c r="G1653" s="5" t="s">
        <v>5835</v>
      </c>
      <c r="H1653" s="5" t="s">
        <v>5836</v>
      </c>
      <c r="I1653" s="5" t="s">
        <v>641</v>
      </c>
      <c r="J1653" s="5" t="s">
        <v>5073</v>
      </c>
      <c r="K1653" s="5">
        <v>1.0</v>
      </c>
      <c r="L1653" s="5">
        <v>14338.0</v>
      </c>
      <c r="M1653" s="8"/>
      <c r="AK1653" s="9"/>
      <c r="AO1653" s="27"/>
    </row>
    <row r="1654" ht="14.25" customHeight="1">
      <c r="A1654" s="5" t="s">
        <v>5837</v>
      </c>
      <c r="B1654" s="5">
        <v>9.0</v>
      </c>
      <c r="C1654" s="5" t="s">
        <v>4969</v>
      </c>
      <c r="D1654" s="5" t="s">
        <v>5838</v>
      </c>
      <c r="E1654" s="5">
        <v>2613.0</v>
      </c>
      <c r="F1654" s="5" t="s">
        <v>5834</v>
      </c>
      <c r="G1654" s="5" t="s">
        <v>5839</v>
      </c>
      <c r="H1654" s="5" t="s">
        <v>5840</v>
      </c>
      <c r="I1654" s="5" t="s">
        <v>641</v>
      </c>
      <c r="J1654" s="5" t="s">
        <v>5083</v>
      </c>
      <c r="K1654" s="5">
        <v>1.0</v>
      </c>
      <c r="L1654" s="5">
        <v>3016.0</v>
      </c>
      <c r="M1654" s="8"/>
      <c r="AK1654" s="9"/>
    </row>
    <row r="1655" ht="14.25" customHeight="1">
      <c r="A1655" s="43" t="s">
        <v>422</v>
      </c>
      <c r="B1655" s="86">
        <v>9.0</v>
      </c>
      <c r="C1655" s="86" t="s">
        <v>4969</v>
      </c>
      <c r="D1655" s="86" t="s">
        <v>5841</v>
      </c>
      <c r="E1655" s="86">
        <v>12437.0</v>
      </c>
      <c r="F1655" s="86" t="s">
        <v>5842</v>
      </c>
      <c r="G1655" s="86" t="s">
        <v>113</v>
      </c>
      <c r="H1655" s="86" t="s">
        <v>5843</v>
      </c>
      <c r="I1655" s="86" t="s">
        <v>49</v>
      </c>
      <c r="J1655" s="86" t="s">
        <v>5844</v>
      </c>
      <c r="K1655" s="86">
        <v>1.0</v>
      </c>
      <c r="L1655" s="86">
        <v>14459.0</v>
      </c>
      <c r="M1655" s="87"/>
      <c r="N1655" s="86"/>
      <c r="O1655" s="86"/>
      <c r="P1655" s="86"/>
      <c r="Q1655" s="86"/>
      <c r="R1655" s="86"/>
      <c r="S1655" s="86"/>
      <c r="T1655" s="86"/>
      <c r="U1655" s="86"/>
      <c r="V1655" s="86"/>
      <c r="W1655" s="86"/>
      <c r="X1655" s="86"/>
      <c r="Y1655" s="86"/>
      <c r="Z1655" s="86"/>
      <c r="AA1655" s="86"/>
      <c r="AB1655" s="86"/>
      <c r="AC1655" s="86"/>
      <c r="AD1655" s="86"/>
      <c r="AE1655" s="86"/>
      <c r="AF1655" s="86"/>
      <c r="AI1655" s="86"/>
      <c r="AK1655" s="9"/>
    </row>
    <row r="1656" ht="14.25" customHeight="1">
      <c r="A1656" s="88" t="s">
        <v>5845</v>
      </c>
      <c r="B1656" s="86">
        <v>9.0</v>
      </c>
      <c r="C1656" s="86" t="s">
        <v>5216</v>
      </c>
      <c r="D1656" s="86" t="s">
        <v>5846</v>
      </c>
      <c r="E1656" s="86">
        <v>12426.0</v>
      </c>
      <c r="F1656" s="86" t="s">
        <v>5847</v>
      </c>
      <c r="G1656" s="86" t="s">
        <v>113</v>
      </c>
      <c r="H1656" s="86" t="s">
        <v>5848</v>
      </c>
      <c r="I1656" s="86" t="s">
        <v>49</v>
      </c>
      <c r="J1656" s="86" t="s">
        <v>5078</v>
      </c>
      <c r="K1656" s="86">
        <v>1.0</v>
      </c>
      <c r="L1656" s="86">
        <v>14448.0</v>
      </c>
      <c r="M1656" s="87"/>
      <c r="N1656" s="86"/>
      <c r="O1656" s="86"/>
      <c r="P1656" s="86"/>
      <c r="Q1656" s="86"/>
      <c r="R1656" s="86"/>
      <c r="S1656" s="86"/>
      <c r="T1656" s="86"/>
      <c r="U1656" s="86"/>
      <c r="V1656" s="86"/>
      <c r="W1656" s="86"/>
      <c r="X1656" s="86"/>
      <c r="Y1656" s="86"/>
      <c r="Z1656" s="86"/>
      <c r="AA1656" s="86"/>
      <c r="AB1656" s="86"/>
      <c r="AC1656" s="86"/>
      <c r="AD1656" s="86"/>
      <c r="AE1656" s="86"/>
      <c r="AF1656" s="86"/>
      <c r="AI1656" s="86"/>
      <c r="AK1656" s="9"/>
    </row>
    <row r="1657" ht="14.25" customHeight="1">
      <c r="A1657" s="5" t="s">
        <v>5849</v>
      </c>
      <c r="B1657" s="86">
        <v>9.0</v>
      </c>
      <c r="C1657" s="86" t="s">
        <v>4969</v>
      </c>
      <c r="D1657" s="86" t="s">
        <v>5850</v>
      </c>
      <c r="E1657" s="86">
        <v>12442.0</v>
      </c>
      <c r="F1657" s="86" t="s">
        <v>5851</v>
      </c>
      <c r="G1657" s="86" t="s">
        <v>113</v>
      </c>
      <c r="H1657" s="86" t="s">
        <v>5852</v>
      </c>
      <c r="I1657" s="86" t="s">
        <v>49</v>
      </c>
      <c r="J1657" s="86" t="s">
        <v>5073</v>
      </c>
      <c r="K1657" s="86">
        <v>1.0</v>
      </c>
      <c r="L1657" s="86">
        <v>14464.0</v>
      </c>
      <c r="M1657" s="87"/>
      <c r="N1657" s="86"/>
      <c r="O1657" s="86"/>
      <c r="P1657" s="86"/>
      <c r="Q1657" s="86"/>
      <c r="R1657" s="86"/>
      <c r="S1657" s="86"/>
      <c r="T1657" s="86"/>
      <c r="U1657" s="86"/>
      <c r="V1657" s="86"/>
      <c r="W1657" s="86"/>
      <c r="X1657" s="86"/>
      <c r="Y1657" s="86"/>
      <c r="Z1657" s="86"/>
      <c r="AA1657" s="86"/>
      <c r="AB1657" s="86"/>
      <c r="AC1657" s="86"/>
      <c r="AD1657" s="86"/>
      <c r="AE1657" s="86"/>
      <c r="AF1657" s="86"/>
      <c r="AI1657" s="86"/>
      <c r="AK1657" s="9"/>
    </row>
    <row r="1658" ht="14.25" customHeight="1">
      <c r="A1658" s="5" t="s">
        <v>5853</v>
      </c>
      <c r="B1658" s="5">
        <v>9.0</v>
      </c>
      <c r="C1658" s="5" t="s">
        <v>4969</v>
      </c>
      <c r="D1658" s="10" t="s">
        <v>5854</v>
      </c>
      <c r="E1658" s="5">
        <v>12454.0</v>
      </c>
      <c r="F1658" s="10" t="s">
        <v>5855</v>
      </c>
      <c r="G1658" s="10" t="s">
        <v>5856</v>
      </c>
      <c r="H1658" s="5" t="s">
        <v>5857</v>
      </c>
      <c r="I1658" s="5" t="s">
        <v>49</v>
      </c>
      <c r="J1658" s="5" t="s">
        <v>5073</v>
      </c>
      <c r="K1658" s="5">
        <v>1.0</v>
      </c>
      <c r="L1658" s="5">
        <v>14476.0</v>
      </c>
      <c r="M1658" s="8"/>
      <c r="AK1658" s="9"/>
    </row>
    <row r="1659" ht="14.25" customHeight="1">
      <c r="A1659" s="43" t="s">
        <v>422</v>
      </c>
      <c r="B1659" s="86">
        <v>9.0</v>
      </c>
      <c r="C1659" s="86" t="s">
        <v>4969</v>
      </c>
      <c r="D1659" s="86" t="s">
        <v>5858</v>
      </c>
      <c r="E1659" s="86">
        <v>12609.0</v>
      </c>
      <c r="F1659" s="86" t="s">
        <v>1649</v>
      </c>
      <c r="G1659" s="86" t="s">
        <v>113</v>
      </c>
      <c r="H1659" s="86" t="s">
        <v>84</v>
      </c>
      <c r="I1659" s="86" t="s">
        <v>49</v>
      </c>
      <c r="J1659" s="86"/>
      <c r="K1659" s="86">
        <v>1.0</v>
      </c>
      <c r="L1659" s="86">
        <v>14631.0</v>
      </c>
      <c r="M1659" s="87"/>
      <c r="N1659" s="86"/>
      <c r="O1659" s="86"/>
      <c r="P1659" s="86"/>
      <c r="Q1659" s="86"/>
      <c r="R1659" s="86"/>
      <c r="S1659" s="86"/>
      <c r="T1659" s="86"/>
      <c r="U1659" s="86"/>
      <c r="V1659" s="86"/>
      <c r="W1659" s="86"/>
      <c r="X1659" s="86"/>
      <c r="Y1659" s="86"/>
      <c r="Z1659" s="86"/>
      <c r="AA1659" s="86"/>
      <c r="AB1659" s="86"/>
      <c r="AC1659" s="86"/>
      <c r="AD1659" s="86"/>
      <c r="AE1659" s="86"/>
      <c r="AF1659" s="86"/>
      <c r="AI1659" s="86"/>
      <c r="AK1659" s="9"/>
    </row>
    <row r="1660" ht="14.25" customHeight="1">
      <c r="A1660" s="5" t="s">
        <v>5043</v>
      </c>
      <c r="B1660" s="5">
        <v>9.0</v>
      </c>
      <c r="C1660" s="10" t="s">
        <v>5039</v>
      </c>
      <c r="D1660" s="5" t="s">
        <v>5859</v>
      </c>
      <c r="E1660" s="5">
        <v>2632.0</v>
      </c>
      <c r="F1660" s="5" t="s">
        <v>5860</v>
      </c>
      <c r="G1660" s="5" t="s">
        <v>5861</v>
      </c>
      <c r="H1660" s="5" t="s">
        <v>5862</v>
      </c>
      <c r="I1660" s="5" t="s">
        <v>641</v>
      </c>
      <c r="J1660" s="5" t="s">
        <v>5048</v>
      </c>
      <c r="K1660" s="5">
        <v>1.0</v>
      </c>
      <c r="L1660" s="5">
        <v>3035.0</v>
      </c>
      <c r="M1660" s="8"/>
      <c r="AK1660" s="9"/>
    </row>
    <row r="1661" ht="14.25" customHeight="1">
      <c r="A1661" s="5" t="s">
        <v>5032</v>
      </c>
      <c r="B1661" s="5">
        <v>9.0</v>
      </c>
      <c r="C1661" s="5" t="s">
        <v>4969</v>
      </c>
      <c r="D1661" s="10" t="s">
        <v>5863</v>
      </c>
      <c r="E1661" s="5">
        <v>2646.0</v>
      </c>
      <c r="F1661" s="5" t="s">
        <v>5864</v>
      </c>
      <c r="G1661" s="5" t="s">
        <v>5865</v>
      </c>
      <c r="H1661" s="5" t="s">
        <v>5866</v>
      </c>
      <c r="I1661" s="5" t="s">
        <v>641</v>
      </c>
      <c r="J1661" s="5" t="s">
        <v>5073</v>
      </c>
      <c r="K1661" s="5">
        <v>1.0</v>
      </c>
      <c r="L1661" s="5">
        <v>3049.0</v>
      </c>
      <c r="M1661" s="8"/>
      <c r="AK1661" s="9"/>
    </row>
    <row r="1662" ht="14.25" customHeight="1">
      <c r="A1662" s="5" t="s">
        <v>5032</v>
      </c>
      <c r="B1662" s="5">
        <v>9.0</v>
      </c>
      <c r="C1662" s="5" t="s">
        <v>4969</v>
      </c>
      <c r="D1662" s="10" t="s">
        <v>5867</v>
      </c>
      <c r="E1662" s="5">
        <v>12285.0</v>
      </c>
      <c r="F1662" s="5" t="s">
        <v>5868</v>
      </c>
      <c r="G1662" s="5" t="s">
        <v>5869</v>
      </c>
      <c r="H1662" s="5" t="s">
        <v>5870</v>
      </c>
      <c r="I1662" s="5" t="s">
        <v>641</v>
      </c>
      <c r="J1662" s="5" t="s">
        <v>5073</v>
      </c>
      <c r="K1662" s="5">
        <v>1.0</v>
      </c>
      <c r="L1662" s="5">
        <v>14340.0</v>
      </c>
      <c r="M1662" s="8"/>
      <c r="AK1662" s="9"/>
    </row>
    <row r="1663" ht="14.25" customHeight="1">
      <c r="B1663" s="5">
        <v>9.0</v>
      </c>
      <c r="C1663" s="5" t="s">
        <v>4969</v>
      </c>
      <c r="D1663" s="10" t="s">
        <v>5871</v>
      </c>
      <c r="E1663" s="5">
        <v>12288.0</v>
      </c>
      <c r="F1663" s="5" t="s">
        <v>5872</v>
      </c>
      <c r="G1663" s="5" t="s">
        <v>5873</v>
      </c>
      <c r="H1663" s="5" t="s">
        <v>5874</v>
      </c>
      <c r="I1663" s="5" t="s">
        <v>641</v>
      </c>
      <c r="J1663" s="5" t="s">
        <v>5177</v>
      </c>
      <c r="K1663" s="5">
        <v>1.0</v>
      </c>
      <c r="L1663" s="5">
        <v>14343.0</v>
      </c>
      <c r="M1663" s="8"/>
      <c r="AK1663" s="9"/>
    </row>
    <row r="1664" ht="14.25" customHeight="1">
      <c r="A1664" s="5" t="s">
        <v>5043</v>
      </c>
      <c r="B1664" s="5">
        <v>9.0</v>
      </c>
      <c r="C1664" s="10" t="s">
        <v>5039</v>
      </c>
      <c r="D1664" s="5" t="s">
        <v>5875</v>
      </c>
      <c r="E1664" s="5">
        <v>1591.0</v>
      </c>
      <c r="F1664" s="5" t="s">
        <v>5876</v>
      </c>
      <c r="G1664" s="5" t="s">
        <v>5877</v>
      </c>
      <c r="H1664" s="5" t="s">
        <v>5878</v>
      </c>
      <c r="I1664" s="5" t="s">
        <v>641</v>
      </c>
      <c r="J1664" s="5" t="s">
        <v>5048</v>
      </c>
      <c r="K1664" s="5">
        <v>1.0</v>
      </c>
      <c r="L1664" s="5">
        <v>1994.0</v>
      </c>
      <c r="M1664" s="8"/>
      <c r="AK1664" s="9"/>
    </row>
    <row r="1665" ht="14.25" customHeight="1">
      <c r="A1665" s="6" t="s">
        <v>5879</v>
      </c>
      <c r="B1665" s="5">
        <v>9.0</v>
      </c>
      <c r="C1665" s="10" t="s">
        <v>5039</v>
      </c>
      <c r="D1665" s="10" t="s">
        <v>5880</v>
      </c>
      <c r="E1665" s="5">
        <v>12291.0</v>
      </c>
      <c r="F1665" s="5" t="s">
        <v>431</v>
      </c>
      <c r="G1665" s="5" t="s">
        <v>5881</v>
      </c>
      <c r="H1665" s="5" t="s">
        <v>84</v>
      </c>
      <c r="I1665" s="5" t="s">
        <v>641</v>
      </c>
      <c r="K1665" s="5">
        <v>1.0</v>
      </c>
      <c r="L1665" s="5">
        <v>14346.0</v>
      </c>
      <c r="M1665" s="8"/>
      <c r="AK1665" s="9"/>
    </row>
    <row r="1666" ht="14.25" customHeight="1">
      <c r="A1666" s="5" t="s">
        <v>5043</v>
      </c>
      <c r="B1666" s="5">
        <v>9.0</v>
      </c>
      <c r="C1666" s="10" t="s">
        <v>5039</v>
      </c>
      <c r="D1666" s="5" t="s">
        <v>5882</v>
      </c>
      <c r="E1666" s="5">
        <v>1584.0</v>
      </c>
      <c r="F1666" s="5" t="s">
        <v>5883</v>
      </c>
      <c r="G1666" s="5" t="s">
        <v>5884</v>
      </c>
      <c r="H1666" s="5" t="s">
        <v>5885</v>
      </c>
      <c r="I1666" s="5" t="s">
        <v>641</v>
      </c>
      <c r="J1666" s="5" t="s">
        <v>5048</v>
      </c>
      <c r="K1666" s="5">
        <v>1.0</v>
      </c>
      <c r="L1666" s="5">
        <v>1987.0</v>
      </c>
      <c r="M1666" s="8"/>
      <c r="AK1666" s="9"/>
    </row>
    <row r="1667" ht="14.25" customHeight="1">
      <c r="A1667" s="5" t="s">
        <v>5032</v>
      </c>
      <c r="B1667" s="5">
        <v>9.0</v>
      </c>
      <c r="C1667" s="5" t="s">
        <v>4969</v>
      </c>
      <c r="D1667" s="10" t="s">
        <v>5886</v>
      </c>
      <c r="E1667" s="5">
        <v>12293.0</v>
      </c>
      <c r="F1667" s="5" t="s">
        <v>5887</v>
      </c>
      <c r="G1667" s="5" t="s">
        <v>5888</v>
      </c>
      <c r="H1667" s="5" t="s">
        <v>5889</v>
      </c>
      <c r="I1667" s="5" t="s">
        <v>641</v>
      </c>
      <c r="J1667" s="5" t="s">
        <v>5078</v>
      </c>
      <c r="K1667" s="5">
        <v>1.0</v>
      </c>
      <c r="L1667" s="5">
        <v>14348.0</v>
      </c>
      <c r="M1667" s="8"/>
      <c r="AK1667" s="9"/>
    </row>
    <row r="1668" ht="14.25" customHeight="1">
      <c r="A1668" s="5" t="s">
        <v>5032</v>
      </c>
      <c r="B1668" s="5">
        <v>9.0</v>
      </c>
      <c r="C1668" s="5" t="s">
        <v>4969</v>
      </c>
      <c r="D1668" s="10" t="s">
        <v>5890</v>
      </c>
      <c r="E1668" s="5">
        <v>2596.0</v>
      </c>
      <c r="F1668" s="5" t="s">
        <v>5891</v>
      </c>
      <c r="G1668" s="5" t="s">
        <v>5892</v>
      </c>
      <c r="H1668" s="5" t="s">
        <v>5893</v>
      </c>
      <c r="I1668" s="5" t="s">
        <v>641</v>
      </c>
      <c r="J1668" s="5" t="s">
        <v>5073</v>
      </c>
      <c r="K1668" s="5">
        <v>1.0</v>
      </c>
      <c r="L1668" s="5">
        <v>2999.0</v>
      </c>
      <c r="M1668" s="8"/>
      <c r="AK1668" s="9"/>
      <c r="AO1668" s="27"/>
    </row>
    <row r="1669" ht="14.25" customHeight="1">
      <c r="A1669" s="5" t="s">
        <v>5032</v>
      </c>
      <c r="B1669" s="5">
        <v>9.0</v>
      </c>
      <c r="C1669" s="5" t="s">
        <v>4969</v>
      </c>
      <c r="D1669" s="12" t="s">
        <v>5894</v>
      </c>
      <c r="E1669" s="5">
        <v>2614.0</v>
      </c>
      <c r="F1669" s="5" t="s">
        <v>5895</v>
      </c>
      <c r="G1669" s="5" t="s">
        <v>5896</v>
      </c>
      <c r="H1669" s="5" t="s">
        <v>5897</v>
      </c>
      <c r="I1669" s="5" t="s">
        <v>641</v>
      </c>
      <c r="J1669" s="5" t="s">
        <v>5073</v>
      </c>
      <c r="K1669" s="5">
        <v>1.0</v>
      </c>
      <c r="L1669" s="5">
        <v>3017.0</v>
      </c>
      <c r="M1669" s="8"/>
      <c r="AK1669" s="9"/>
      <c r="AO1669" s="27"/>
    </row>
    <row r="1670" ht="14.25" customHeight="1">
      <c r="A1670" s="5" t="s">
        <v>5032</v>
      </c>
      <c r="B1670" s="5">
        <v>9.0</v>
      </c>
      <c r="C1670" s="5" t="s">
        <v>4969</v>
      </c>
      <c r="D1670" s="10" t="s">
        <v>5898</v>
      </c>
      <c r="E1670" s="5">
        <v>1557.0</v>
      </c>
      <c r="F1670" s="5" t="s">
        <v>5899</v>
      </c>
      <c r="G1670" s="5" t="s">
        <v>5900</v>
      </c>
      <c r="H1670" s="5" t="s">
        <v>5901</v>
      </c>
      <c r="I1670" s="5" t="s">
        <v>641</v>
      </c>
      <c r="J1670" s="5" t="s">
        <v>5073</v>
      </c>
      <c r="K1670" s="5">
        <v>1.0</v>
      </c>
      <c r="L1670" s="5">
        <v>1960.0</v>
      </c>
      <c r="M1670" s="8"/>
      <c r="AK1670" s="9"/>
    </row>
    <row r="1671" ht="14.25" customHeight="1">
      <c r="A1671" s="5" t="s">
        <v>5032</v>
      </c>
      <c r="B1671" s="5">
        <v>9.0</v>
      </c>
      <c r="C1671" s="5" t="s">
        <v>4969</v>
      </c>
      <c r="D1671" s="10" t="s">
        <v>5902</v>
      </c>
      <c r="E1671" s="5">
        <v>1558.0</v>
      </c>
      <c r="F1671" s="5" t="s">
        <v>5903</v>
      </c>
      <c r="G1671" s="5" t="s">
        <v>5904</v>
      </c>
      <c r="H1671" s="5" t="s">
        <v>5905</v>
      </c>
      <c r="I1671" s="5" t="s">
        <v>641</v>
      </c>
      <c r="J1671" s="5" t="s">
        <v>5163</v>
      </c>
      <c r="K1671" s="5">
        <v>1.0</v>
      </c>
      <c r="L1671" s="5">
        <v>1961.0</v>
      </c>
      <c r="M1671" s="8"/>
      <c r="AK1671" s="9"/>
    </row>
    <row r="1672" ht="14.25" customHeight="1">
      <c r="A1672" s="5" t="s">
        <v>5032</v>
      </c>
      <c r="B1672" s="5">
        <v>9.0</v>
      </c>
      <c r="C1672" s="5" t="s">
        <v>4969</v>
      </c>
      <c r="D1672" s="10" t="s">
        <v>5906</v>
      </c>
      <c r="E1672" s="5">
        <v>12297.0</v>
      </c>
      <c r="F1672" s="5" t="s">
        <v>5907</v>
      </c>
      <c r="G1672" s="5" t="s">
        <v>5908</v>
      </c>
      <c r="H1672" s="5" t="s">
        <v>5909</v>
      </c>
      <c r="I1672" s="5" t="s">
        <v>641</v>
      </c>
      <c r="J1672" s="5" t="s">
        <v>5073</v>
      </c>
      <c r="K1672" s="5">
        <v>1.0</v>
      </c>
      <c r="L1672" s="5">
        <v>14352.0</v>
      </c>
      <c r="M1672" s="8"/>
      <c r="AK1672" s="9"/>
      <c r="AO1672" s="27"/>
    </row>
    <row r="1673" ht="14.25" customHeight="1">
      <c r="A1673" s="5" t="s">
        <v>5910</v>
      </c>
      <c r="B1673" s="5">
        <v>9.0</v>
      </c>
      <c r="C1673" s="5" t="s">
        <v>4969</v>
      </c>
      <c r="D1673" s="5" t="s">
        <v>5911</v>
      </c>
      <c r="E1673" s="5">
        <v>2589.0</v>
      </c>
      <c r="F1673" s="5" t="s">
        <v>5912</v>
      </c>
      <c r="G1673" s="5" t="s">
        <v>5913</v>
      </c>
      <c r="H1673" s="5" t="s">
        <v>5914</v>
      </c>
      <c r="I1673" s="5" t="s">
        <v>641</v>
      </c>
      <c r="J1673" s="5" t="s">
        <v>5037</v>
      </c>
      <c r="K1673" s="5">
        <v>1.0</v>
      </c>
      <c r="L1673" s="5">
        <v>2992.0</v>
      </c>
      <c r="M1673" s="8"/>
      <c r="AK1673" s="9"/>
    </row>
    <row r="1674" ht="14.25" customHeight="1">
      <c r="A1674" s="5" t="s">
        <v>5032</v>
      </c>
      <c r="B1674" s="5">
        <v>9.0</v>
      </c>
      <c r="C1674" s="5" t="s">
        <v>4969</v>
      </c>
      <c r="D1674" s="12" t="s">
        <v>5915</v>
      </c>
      <c r="E1674" s="5">
        <v>12300.0</v>
      </c>
      <c r="F1674" s="5" t="s">
        <v>5916</v>
      </c>
      <c r="G1674" s="5" t="s">
        <v>5917</v>
      </c>
      <c r="H1674" s="5" t="s">
        <v>5325</v>
      </c>
      <c r="I1674" s="5" t="s">
        <v>641</v>
      </c>
      <c r="J1674" s="5" t="s">
        <v>5073</v>
      </c>
      <c r="K1674" s="5">
        <v>1.0</v>
      </c>
      <c r="L1674" s="5">
        <v>14355.0</v>
      </c>
    </row>
    <row r="1675" ht="14.25" customHeight="1">
      <c r="A1675" s="5" t="s">
        <v>4980</v>
      </c>
      <c r="B1675" s="5">
        <v>9.0</v>
      </c>
      <c r="C1675" s="5" t="s">
        <v>4969</v>
      </c>
      <c r="D1675" s="10" t="s">
        <v>5918</v>
      </c>
      <c r="E1675" s="5">
        <v>2618.0</v>
      </c>
      <c r="F1675" s="5" t="s">
        <v>5919</v>
      </c>
      <c r="G1675" s="5" t="s">
        <v>5920</v>
      </c>
      <c r="H1675" s="5" t="s">
        <v>5921</v>
      </c>
      <c r="I1675" s="5" t="s">
        <v>641</v>
      </c>
      <c r="J1675" s="5" t="s">
        <v>5073</v>
      </c>
      <c r="K1675" s="5">
        <v>1.0</v>
      </c>
      <c r="L1675" s="5">
        <v>3021.0</v>
      </c>
    </row>
    <row r="1676" ht="14.25" customHeight="1">
      <c r="A1676" s="5" t="s">
        <v>5032</v>
      </c>
      <c r="B1676" s="5">
        <v>9.0</v>
      </c>
      <c r="C1676" s="5" t="s">
        <v>4969</v>
      </c>
      <c r="D1676" s="10" t="s">
        <v>5922</v>
      </c>
      <c r="E1676" s="5">
        <v>12309.0</v>
      </c>
      <c r="F1676" s="5" t="s">
        <v>5923</v>
      </c>
      <c r="G1676" s="5" t="s">
        <v>5924</v>
      </c>
      <c r="H1676" s="5" t="s">
        <v>5925</v>
      </c>
      <c r="I1676" s="5" t="s">
        <v>641</v>
      </c>
      <c r="J1676" s="5" t="s">
        <v>5078</v>
      </c>
      <c r="K1676" s="5">
        <v>1.0</v>
      </c>
      <c r="L1676" s="5">
        <v>14364.0</v>
      </c>
    </row>
    <row r="1677" ht="14.25" customHeight="1">
      <c r="A1677" s="11"/>
      <c r="B1677" s="11">
        <v>9.0</v>
      </c>
      <c r="C1677" s="11" t="s">
        <v>4969</v>
      </c>
      <c r="D1677" s="11" t="s">
        <v>5926</v>
      </c>
      <c r="E1677" s="11">
        <v>2592.0</v>
      </c>
      <c r="F1677" s="11" t="s">
        <v>5927</v>
      </c>
      <c r="G1677" s="11" t="s">
        <v>5928</v>
      </c>
      <c r="H1677" s="11" t="s">
        <v>5929</v>
      </c>
      <c r="I1677" s="11" t="s">
        <v>641</v>
      </c>
      <c r="J1677" s="11" t="s">
        <v>5083</v>
      </c>
      <c r="K1677" s="11">
        <v>1.0</v>
      </c>
      <c r="L1677" s="11">
        <v>2995.0</v>
      </c>
      <c r="M1677" s="11"/>
      <c r="N1677" s="11"/>
      <c r="O1677" s="11"/>
      <c r="P1677" s="11"/>
      <c r="Q1677" s="11"/>
      <c r="R1677" s="11"/>
      <c r="S1677" s="11"/>
      <c r="T1677" s="11"/>
      <c r="U1677" s="11"/>
      <c r="V1677" s="11"/>
      <c r="W1677" s="11"/>
      <c r="X1677" s="11"/>
      <c r="Y1677" s="11"/>
      <c r="Z1677" s="11"/>
      <c r="AA1677" s="11"/>
      <c r="AB1677" s="11"/>
      <c r="AC1677" s="11"/>
      <c r="AD1677" s="11"/>
      <c r="AE1677" s="11"/>
      <c r="AF1677" s="11"/>
      <c r="AI1677" s="11"/>
    </row>
    <row r="1678" ht="14.25" customHeight="1">
      <c r="A1678" s="5" t="s">
        <v>4968</v>
      </c>
      <c r="B1678" s="5">
        <v>9.0</v>
      </c>
      <c r="C1678" s="5" t="s">
        <v>4969</v>
      </c>
      <c r="D1678" s="10" t="s">
        <v>5930</v>
      </c>
      <c r="E1678" s="5">
        <v>12310.0</v>
      </c>
      <c r="F1678" s="10" t="s">
        <v>5931</v>
      </c>
      <c r="G1678" s="5" t="s">
        <v>5932</v>
      </c>
      <c r="H1678" s="5" t="s">
        <v>5325</v>
      </c>
      <c r="I1678" s="5" t="s">
        <v>641</v>
      </c>
      <c r="J1678" s="5" t="s">
        <v>5073</v>
      </c>
      <c r="K1678" s="5">
        <v>1.0</v>
      </c>
      <c r="L1678" s="5">
        <v>14365.0</v>
      </c>
    </row>
    <row r="1679" ht="14.25" customHeight="1">
      <c r="A1679" s="5" t="s">
        <v>5406</v>
      </c>
      <c r="B1679" s="5">
        <v>9.0</v>
      </c>
      <c r="C1679" s="10" t="s">
        <v>5039</v>
      </c>
      <c r="D1679" s="10" t="s">
        <v>5933</v>
      </c>
      <c r="E1679" s="5">
        <v>12949.0</v>
      </c>
      <c r="F1679" s="10" t="s">
        <v>5934</v>
      </c>
      <c r="G1679" s="10" t="s">
        <v>5409</v>
      </c>
      <c r="H1679" s="5" t="s">
        <v>4978</v>
      </c>
      <c r="I1679" s="5" t="s">
        <v>49</v>
      </c>
      <c r="J1679" s="5" t="s">
        <v>4979</v>
      </c>
      <c r="K1679" s="5">
        <v>1.0</v>
      </c>
      <c r="L1679" s="5">
        <v>14881.0</v>
      </c>
    </row>
    <row r="1680" ht="14.25" customHeight="1">
      <c r="A1680" s="6" t="s">
        <v>5935</v>
      </c>
      <c r="B1680" s="5">
        <v>9.0</v>
      </c>
      <c r="C1680" s="10" t="s">
        <v>5039</v>
      </c>
      <c r="D1680" s="10" t="s">
        <v>5936</v>
      </c>
      <c r="E1680" s="5">
        <v>12311.0</v>
      </c>
      <c r="F1680" s="10" t="s">
        <v>5937</v>
      </c>
      <c r="G1680" s="5" t="s">
        <v>5938</v>
      </c>
      <c r="H1680" s="5" t="s">
        <v>84</v>
      </c>
      <c r="I1680" s="5" t="s">
        <v>641</v>
      </c>
      <c r="K1680" s="5">
        <v>1.0</v>
      </c>
      <c r="L1680" s="5">
        <v>14366.0</v>
      </c>
    </row>
    <row r="1681" ht="14.25" customHeight="1">
      <c r="A1681" s="5" t="s">
        <v>5032</v>
      </c>
      <c r="B1681" s="5">
        <v>9.0</v>
      </c>
      <c r="C1681" s="5" t="s">
        <v>4969</v>
      </c>
      <c r="D1681" s="10" t="s">
        <v>5939</v>
      </c>
      <c r="E1681" s="5">
        <v>1563.0</v>
      </c>
      <c r="F1681" s="5" t="s">
        <v>5940</v>
      </c>
      <c r="G1681" s="5" t="s">
        <v>5941</v>
      </c>
      <c r="H1681" s="5" t="s">
        <v>5942</v>
      </c>
      <c r="I1681" s="5" t="s">
        <v>641</v>
      </c>
      <c r="J1681" s="5" t="s">
        <v>5073</v>
      </c>
      <c r="K1681" s="5">
        <v>1.0</v>
      </c>
      <c r="L1681" s="5">
        <v>1966.0</v>
      </c>
    </row>
    <row r="1682" ht="14.25" customHeight="1">
      <c r="A1682" s="5" t="s">
        <v>5032</v>
      </c>
      <c r="B1682" s="5">
        <v>9.0</v>
      </c>
      <c r="C1682" s="5" t="s">
        <v>4969</v>
      </c>
      <c r="D1682" s="10" t="s">
        <v>5943</v>
      </c>
      <c r="E1682" s="5">
        <v>2619.0</v>
      </c>
      <c r="F1682" s="5" t="s">
        <v>5944</v>
      </c>
      <c r="G1682" s="5" t="s">
        <v>5945</v>
      </c>
      <c r="H1682" s="5" t="s">
        <v>5946</v>
      </c>
      <c r="I1682" s="5" t="s">
        <v>641</v>
      </c>
      <c r="J1682" s="5" t="s">
        <v>5073</v>
      </c>
      <c r="K1682" s="5">
        <v>1.0</v>
      </c>
      <c r="L1682" s="5">
        <v>3022.0</v>
      </c>
    </row>
    <row r="1683" ht="14.25" customHeight="1">
      <c r="A1683" s="5" t="s">
        <v>5032</v>
      </c>
      <c r="B1683" s="5">
        <v>9.0</v>
      </c>
      <c r="C1683" s="5" t="s">
        <v>4969</v>
      </c>
      <c r="D1683" s="10" t="s">
        <v>5947</v>
      </c>
      <c r="E1683" s="5">
        <v>2648.0</v>
      </c>
      <c r="F1683" s="5" t="s">
        <v>5948</v>
      </c>
      <c r="G1683" s="5" t="s">
        <v>5949</v>
      </c>
      <c r="H1683" s="5" t="s">
        <v>5950</v>
      </c>
      <c r="I1683" s="5" t="s">
        <v>641</v>
      </c>
      <c r="J1683" s="5" t="s">
        <v>5198</v>
      </c>
      <c r="K1683" s="5">
        <v>1.0</v>
      </c>
      <c r="L1683" s="5">
        <v>3051.0</v>
      </c>
    </row>
    <row r="1684" ht="14.25" customHeight="1">
      <c r="A1684" s="5" t="s">
        <v>5032</v>
      </c>
      <c r="B1684" s="5">
        <v>9.0</v>
      </c>
      <c r="C1684" s="5" t="s">
        <v>4969</v>
      </c>
      <c r="D1684" s="10" t="s">
        <v>5951</v>
      </c>
      <c r="E1684" s="5">
        <v>1593.0</v>
      </c>
      <c r="F1684" s="5" t="s">
        <v>5952</v>
      </c>
      <c r="G1684" s="5" t="s">
        <v>5953</v>
      </c>
      <c r="H1684" s="5" t="s">
        <v>5954</v>
      </c>
      <c r="I1684" s="5" t="s">
        <v>641</v>
      </c>
      <c r="J1684" s="5" t="s">
        <v>5198</v>
      </c>
      <c r="K1684" s="5">
        <v>1.0</v>
      </c>
      <c r="L1684" s="5">
        <v>1996.0</v>
      </c>
    </row>
    <row r="1685" ht="14.25" customHeight="1">
      <c r="A1685" s="5" t="s">
        <v>5032</v>
      </c>
      <c r="B1685" s="5">
        <v>9.0</v>
      </c>
      <c r="C1685" s="5" t="s">
        <v>4969</v>
      </c>
      <c r="D1685" s="10" t="s">
        <v>5955</v>
      </c>
      <c r="E1685" s="5">
        <v>1589.0</v>
      </c>
      <c r="F1685" s="5" t="s">
        <v>5956</v>
      </c>
      <c r="G1685" s="5" t="s">
        <v>5957</v>
      </c>
      <c r="H1685" s="5" t="s">
        <v>5958</v>
      </c>
      <c r="I1685" s="5" t="s">
        <v>641</v>
      </c>
      <c r="J1685" s="5" t="s">
        <v>5198</v>
      </c>
      <c r="K1685" s="5">
        <v>1.0</v>
      </c>
      <c r="L1685" s="5">
        <v>1992.0</v>
      </c>
    </row>
    <row r="1686" ht="14.25" customHeight="1">
      <c r="A1686" s="5" t="s">
        <v>4968</v>
      </c>
      <c r="B1686" s="5">
        <v>9.0</v>
      </c>
      <c r="C1686" s="5" t="s">
        <v>4969</v>
      </c>
      <c r="D1686" s="12" t="s">
        <v>5959</v>
      </c>
      <c r="E1686" s="5">
        <v>1565.0</v>
      </c>
      <c r="F1686" s="10" t="s">
        <v>5960</v>
      </c>
      <c r="G1686" s="5" t="s">
        <v>5961</v>
      </c>
      <c r="H1686" s="5" t="s">
        <v>5962</v>
      </c>
      <c r="I1686" s="5" t="s">
        <v>641</v>
      </c>
      <c r="J1686" s="5" t="s">
        <v>5073</v>
      </c>
      <c r="K1686" s="5">
        <v>1.0</v>
      </c>
      <c r="L1686" s="5">
        <v>1968.0</v>
      </c>
    </row>
    <row r="1687" ht="14.25" customHeight="1">
      <c r="A1687" s="5" t="s">
        <v>5032</v>
      </c>
      <c r="B1687" s="5">
        <v>9.0</v>
      </c>
      <c r="C1687" s="5" t="s">
        <v>4969</v>
      </c>
      <c r="D1687" s="10" t="s">
        <v>5963</v>
      </c>
      <c r="E1687" s="5">
        <v>2585.0</v>
      </c>
      <c r="F1687" s="5" t="s">
        <v>5964</v>
      </c>
      <c r="G1687" s="5" t="s">
        <v>5965</v>
      </c>
      <c r="H1687" s="5" t="s">
        <v>5966</v>
      </c>
      <c r="I1687" s="5" t="s">
        <v>641</v>
      </c>
      <c r="J1687" s="5" t="s">
        <v>5048</v>
      </c>
      <c r="K1687" s="5">
        <v>1.0</v>
      </c>
      <c r="L1687" s="5">
        <v>2988.0</v>
      </c>
    </row>
    <row r="1688" ht="14.25" customHeight="1">
      <c r="A1688" s="5" t="s">
        <v>5032</v>
      </c>
      <c r="B1688" s="5">
        <v>9.0</v>
      </c>
      <c r="C1688" s="5" t="s">
        <v>4969</v>
      </c>
      <c r="D1688" s="10" t="s">
        <v>5967</v>
      </c>
      <c r="E1688" s="5">
        <v>2604.0</v>
      </c>
      <c r="F1688" s="5" t="s">
        <v>5968</v>
      </c>
      <c r="G1688" s="5" t="s">
        <v>5969</v>
      </c>
      <c r="H1688" s="5" t="s">
        <v>5970</v>
      </c>
      <c r="I1688" s="5" t="s">
        <v>641</v>
      </c>
      <c r="J1688" s="5" t="s">
        <v>5198</v>
      </c>
      <c r="K1688" s="5">
        <v>1.0</v>
      </c>
      <c r="L1688" s="5">
        <v>3007.0</v>
      </c>
    </row>
    <row r="1689" ht="14.25" customHeight="1">
      <c r="A1689" s="5" t="s">
        <v>5032</v>
      </c>
      <c r="B1689" s="5">
        <v>9.0</v>
      </c>
      <c r="C1689" s="5" t="s">
        <v>4969</v>
      </c>
      <c r="D1689" s="12" t="s">
        <v>5971</v>
      </c>
      <c r="E1689" s="5">
        <v>12324.0</v>
      </c>
      <c r="F1689" s="5" t="s">
        <v>5972</v>
      </c>
      <c r="G1689" s="5" t="s">
        <v>5973</v>
      </c>
      <c r="H1689" s="5" t="s">
        <v>5655</v>
      </c>
      <c r="I1689" s="5" t="s">
        <v>641</v>
      </c>
      <c r="J1689" s="5" t="s">
        <v>5073</v>
      </c>
      <c r="K1689" s="5">
        <v>1.0</v>
      </c>
      <c r="L1689" s="5">
        <v>14379.0</v>
      </c>
    </row>
    <row r="1690" ht="14.25" customHeight="1">
      <c r="A1690" s="89" t="s">
        <v>5974</v>
      </c>
      <c r="B1690" s="89">
        <v>9.0</v>
      </c>
      <c r="C1690" s="89" t="s">
        <v>4969</v>
      </c>
      <c r="D1690" s="89" t="s">
        <v>5291</v>
      </c>
      <c r="E1690" s="89">
        <v>12940.0</v>
      </c>
      <c r="F1690" s="89"/>
      <c r="G1690" s="89" t="s">
        <v>127</v>
      </c>
      <c r="H1690" s="89" t="s">
        <v>84</v>
      </c>
      <c r="I1690" s="89" t="s">
        <v>49</v>
      </c>
      <c r="J1690" s="89"/>
      <c r="K1690" s="89">
        <v>1.0</v>
      </c>
      <c r="L1690" s="89">
        <v>14872.0</v>
      </c>
      <c r="M1690" s="89"/>
      <c r="N1690" s="89"/>
      <c r="O1690" s="89"/>
      <c r="P1690" s="89"/>
      <c r="Q1690" s="89"/>
      <c r="R1690" s="89"/>
      <c r="S1690" s="89"/>
      <c r="T1690" s="89"/>
      <c r="U1690" s="89"/>
      <c r="V1690" s="89"/>
      <c r="W1690" s="89"/>
      <c r="X1690" s="89"/>
      <c r="Y1690" s="89"/>
      <c r="Z1690" s="89"/>
      <c r="AA1690" s="89"/>
      <c r="AB1690" s="89"/>
      <c r="AC1690" s="89"/>
      <c r="AD1690" s="89"/>
      <c r="AE1690" s="89"/>
      <c r="AF1690" s="89"/>
      <c r="AG1690" s="89"/>
      <c r="AH1690" s="89"/>
      <c r="AI1690" s="89"/>
      <c r="AJ1690" s="89"/>
      <c r="AK1690" s="89"/>
      <c r="AL1690" s="89"/>
      <c r="AM1690" s="89"/>
      <c r="AN1690" s="89"/>
      <c r="AO1690" s="89"/>
      <c r="AP1690" s="89"/>
      <c r="AQ1690" s="89"/>
      <c r="AR1690" s="89"/>
      <c r="AS1690" s="89"/>
      <c r="AT1690" s="89"/>
      <c r="AU1690" s="89"/>
      <c r="AV1690" s="89"/>
      <c r="AW1690" s="89"/>
      <c r="AX1690" s="89"/>
      <c r="AY1690" s="89"/>
      <c r="AZ1690" s="89"/>
      <c r="BA1690" s="89"/>
      <c r="BB1690" s="89"/>
      <c r="BC1690" s="89"/>
      <c r="BD1690" s="89"/>
      <c r="BE1690" s="89"/>
      <c r="BF1690" s="89"/>
      <c r="BG1690" s="89"/>
      <c r="BH1690" s="89"/>
      <c r="BI1690" s="89"/>
      <c r="BJ1690" s="89"/>
      <c r="BK1690" s="89"/>
      <c r="BL1690" s="89"/>
      <c r="BM1690" s="89"/>
      <c r="BN1690" s="89"/>
      <c r="BO1690" s="89"/>
      <c r="BP1690" s="89"/>
      <c r="BQ1690" s="89"/>
      <c r="BR1690" s="89"/>
      <c r="BS1690" s="89"/>
      <c r="BT1690" s="89"/>
    </row>
    <row r="1691" ht="14.25" customHeight="1">
      <c r="A1691" s="89" t="s">
        <v>5974</v>
      </c>
      <c r="B1691" s="89">
        <v>9.0</v>
      </c>
      <c r="C1691" s="89" t="s">
        <v>4969</v>
      </c>
      <c r="D1691" s="89" t="s">
        <v>5657</v>
      </c>
      <c r="E1691" s="89">
        <v>12942.0</v>
      </c>
      <c r="F1691" s="89"/>
      <c r="G1691" s="89" t="s">
        <v>127</v>
      </c>
      <c r="H1691" s="89" t="s">
        <v>84</v>
      </c>
      <c r="I1691" s="89" t="s">
        <v>49</v>
      </c>
      <c r="J1691" s="89"/>
      <c r="K1691" s="89">
        <v>1.0</v>
      </c>
      <c r="L1691" s="89">
        <v>14874.0</v>
      </c>
      <c r="M1691" s="89"/>
      <c r="N1691" s="89"/>
      <c r="O1691" s="89"/>
      <c r="P1691" s="89"/>
      <c r="Q1691" s="89"/>
      <c r="R1691" s="89"/>
      <c r="S1691" s="89"/>
      <c r="T1691" s="89"/>
      <c r="U1691" s="89"/>
      <c r="V1691" s="89"/>
      <c r="W1691" s="89"/>
      <c r="X1691" s="89"/>
      <c r="Y1691" s="89"/>
      <c r="Z1691" s="90"/>
      <c r="AA1691" s="89"/>
      <c r="AB1691" s="91"/>
      <c r="AC1691" s="89"/>
      <c r="AD1691" s="89"/>
      <c r="AE1691" s="89"/>
      <c r="AF1691" s="89"/>
      <c r="AG1691" s="89"/>
      <c r="AH1691" s="89"/>
      <c r="AI1691" s="89"/>
      <c r="AJ1691" s="89"/>
      <c r="AK1691" s="89"/>
      <c r="AL1691" s="89"/>
      <c r="AM1691" s="89"/>
      <c r="AN1691" s="89"/>
      <c r="AO1691" s="89"/>
      <c r="AP1691" s="89"/>
      <c r="AQ1691" s="89"/>
      <c r="AR1691" s="89"/>
      <c r="AS1691" s="89"/>
      <c r="AT1691" s="89"/>
      <c r="AU1691" s="89"/>
      <c r="AV1691" s="89"/>
      <c r="AW1691" s="89"/>
      <c r="AX1691" s="89"/>
      <c r="AY1691" s="89"/>
      <c r="AZ1691" s="89"/>
      <c r="BA1691" s="89"/>
      <c r="BB1691" s="89"/>
      <c r="BC1691" s="89"/>
      <c r="BD1691" s="89"/>
      <c r="BE1691" s="89"/>
      <c r="BF1691" s="89"/>
      <c r="BG1691" s="89"/>
      <c r="BH1691" s="89"/>
      <c r="BI1691" s="89"/>
      <c r="BJ1691" s="89"/>
      <c r="BK1691" s="89"/>
      <c r="BL1691" s="89"/>
      <c r="BM1691" s="89"/>
      <c r="BN1691" s="89"/>
      <c r="BO1691" s="89"/>
      <c r="BP1691" s="89"/>
      <c r="BQ1691" s="89"/>
      <c r="BR1691" s="89"/>
      <c r="BS1691" s="89"/>
      <c r="BT1691" s="89"/>
    </row>
    <row r="1692" ht="14.25" customHeight="1">
      <c r="A1692" s="5" t="s">
        <v>422</v>
      </c>
      <c r="B1692" s="5">
        <v>9.0</v>
      </c>
      <c r="C1692" s="5" t="s">
        <v>4969</v>
      </c>
      <c r="D1692" s="5" t="s">
        <v>5975</v>
      </c>
      <c r="E1692" s="5">
        <v>12945.0</v>
      </c>
      <c r="F1692" s="11"/>
      <c r="G1692" s="5" t="s">
        <v>127</v>
      </c>
      <c r="H1692" s="5" t="s">
        <v>84</v>
      </c>
      <c r="I1692" s="5" t="s">
        <v>49</v>
      </c>
      <c r="K1692" s="5">
        <v>1.0</v>
      </c>
      <c r="L1692" s="5">
        <v>14877.0</v>
      </c>
    </row>
    <row r="1693" ht="14.25" customHeight="1">
      <c r="A1693" s="5" t="s">
        <v>5976</v>
      </c>
      <c r="B1693" s="5">
        <v>9.0</v>
      </c>
      <c r="C1693" s="5" t="s">
        <v>4969</v>
      </c>
      <c r="D1693" s="5" t="s">
        <v>5799</v>
      </c>
      <c r="E1693" s="5">
        <v>12943.0</v>
      </c>
      <c r="F1693" s="11"/>
      <c r="G1693" s="5" t="s">
        <v>127</v>
      </c>
      <c r="H1693" s="5" t="s">
        <v>84</v>
      </c>
      <c r="I1693" s="5" t="s">
        <v>49</v>
      </c>
      <c r="K1693" s="5">
        <v>1.0</v>
      </c>
      <c r="L1693" s="5">
        <v>14875.0</v>
      </c>
    </row>
    <row r="1694" ht="14.25" customHeight="1">
      <c r="A1694" s="5" t="s">
        <v>138</v>
      </c>
      <c r="C1694" s="12" t="s">
        <v>5977</v>
      </c>
      <c r="D1694" s="12" t="s">
        <v>5978</v>
      </c>
      <c r="F1694" s="12" t="s">
        <v>5979</v>
      </c>
      <c r="G1694" s="12" t="s">
        <v>5980</v>
      </c>
      <c r="M1694" s="10">
        <v>49.23836</v>
      </c>
      <c r="N1694" s="10">
        <v>-121.77478</v>
      </c>
      <c r="O1694" s="10">
        <v>17.0</v>
      </c>
      <c r="P1694" s="10" t="s">
        <v>5981</v>
      </c>
      <c r="Q1694" s="10"/>
      <c r="R1694" s="10" t="s">
        <v>5982</v>
      </c>
      <c r="S1694" s="10"/>
      <c r="T1694" s="10" t="s">
        <v>5983</v>
      </c>
      <c r="U1694" s="10" t="s">
        <v>5984</v>
      </c>
    </row>
    <row r="1695" ht="14.25" customHeight="1">
      <c r="A1695" s="5" t="s">
        <v>328</v>
      </c>
      <c r="C1695" s="12" t="s">
        <v>5977</v>
      </c>
      <c r="D1695" s="12" t="s">
        <v>5985</v>
      </c>
      <c r="F1695" s="12" t="s">
        <v>301</v>
      </c>
      <c r="G1695" s="12" t="s">
        <v>5986</v>
      </c>
    </row>
    <row r="1696" ht="14.25" customHeight="1">
      <c r="A1696" s="5" t="s">
        <v>5987</v>
      </c>
      <c r="C1696" s="12" t="s">
        <v>5988</v>
      </c>
      <c r="D1696" s="12" t="s">
        <v>5989</v>
      </c>
      <c r="E1696" s="28"/>
      <c r="F1696" s="12" t="s">
        <v>5990</v>
      </c>
      <c r="G1696" s="12" t="s">
        <v>5991</v>
      </c>
      <c r="H1696" s="28"/>
      <c r="I1696" s="28"/>
      <c r="J1696" s="28"/>
      <c r="K1696" s="28"/>
      <c r="L1696" s="28"/>
    </row>
    <row r="1697" ht="14.25" customHeight="1">
      <c r="A1697" s="5" t="s">
        <v>422</v>
      </c>
      <c r="B1697" s="5">
        <v>14.0</v>
      </c>
      <c r="C1697" s="5" t="s">
        <v>5992</v>
      </c>
      <c r="D1697" s="5" t="s">
        <v>5993</v>
      </c>
      <c r="E1697" s="5">
        <v>2518.0</v>
      </c>
      <c r="F1697" s="5" t="s">
        <v>1680</v>
      </c>
      <c r="G1697" s="5" t="s">
        <v>5994</v>
      </c>
      <c r="H1697" s="5" t="s">
        <v>5995</v>
      </c>
      <c r="I1697" s="5" t="s">
        <v>1664</v>
      </c>
      <c r="J1697" s="5" t="s">
        <v>5996</v>
      </c>
      <c r="K1697" s="5">
        <v>1.0</v>
      </c>
      <c r="L1697" s="5">
        <v>2921.0</v>
      </c>
    </row>
    <row r="1698" ht="14.25" customHeight="1">
      <c r="A1698" s="5" t="s">
        <v>422</v>
      </c>
      <c r="B1698" s="5">
        <v>14.0</v>
      </c>
      <c r="C1698" s="5" t="s">
        <v>5992</v>
      </c>
      <c r="D1698" s="5" t="s">
        <v>5997</v>
      </c>
      <c r="E1698" s="5">
        <v>2520.0</v>
      </c>
      <c r="F1698" s="5" t="s">
        <v>5998</v>
      </c>
      <c r="G1698" s="5" t="s">
        <v>5999</v>
      </c>
      <c r="H1698" s="5" t="s">
        <v>6000</v>
      </c>
      <c r="I1698" s="5" t="s">
        <v>1664</v>
      </c>
      <c r="J1698" s="5" t="s">
        <v>5996</v>
      </c>
      <c r="K1698" s="5">
        <v>1.0</v>
      </c>
      <c r="L1698" s="5">
        <v>2923.0</v>
      </c>
    </row>
    <row r="1699" ht="14.25" customHeight="1">
      <c r="A1699" s="5" t="s">
        <v>422</v>
      </c>
      <c r="B1699" s="5">
        <v>14.0</v>
      </c>
      <c r="C1699" s="5" t="s">
        <v>5992</v>
      </c>
      <c r="D1699" s="5" t="s">
        <v>6001</v>
      </c>
      <c r="E1699" s="5">
        <v>2519.0</v>
      </c>
      <c r="F1699" s="5" t="s">
        <v>1685</v>
      </c>
      <c r="G1699" s="5" t="s">
        <v>6002</v>
      </c>
      <c r="H1699" s="5" t="s">
        <v>6000</v>
      </c>
      <c r="I1699" s="5" t="s">
        <v>1664</v>
      </c>
      <c r="J1699" s="5" t="s">
        <v>5996</v>
      </c>
      <c r="K1699" s="5">
        <v>1.0</v>
      </c>
      <c r="L1699" s="5">
        <v>2922.0</v>
      </c>
    </row>
    <row r="1700" ht="14.25" customHeight="1">
      <c r="A1700" s="5" t="s">
        <v>328</v>
      </c>
      <c r="B1700" s="5">
        <v>5.0</v>
      </c>
      <c r="C1700" s="92" t="s">
        <v>6003</v>
      </c>
      <c r="D1700" s="12" t="s">
        <v>6004</v>
      </c>
      <c r="F1700" s="12" t="s">
        <v>6005</v>
      </c>
      <c r="G1700" s="12" t="s">
        <v>6006</v>
      </c>
      <c r="M1700" s="11">
        <v>-122.485421</v>
      </c>
      <c r="N1700" s="11">
        <v>49.285665</v>
      </c>
      <c r="O1700" s="11">
        <v>129.0</v>
      </c>
      <c r="P1700" s="93" t="s">
        <v>6007</v>
      </c>
      <c r="Q1700" s="72">
        <v>3.0</v>
      </c>
      <c r="R1700" s="11" t="s">
        <v>6008</v>
      </c>
      <c r="S1700" s="11" t="s">
        <v>6009</v>
      </c>
    </row>
    <row r="1701" ht="14.25" customHeight="1">
      <c r="A1701" s="5" t="s">
        <v>1908</v>
      </c>
      <c r="B1701" s="5">
        <v>5.0</v>
      </c>
      <c r="C1701" s="5" t="s">
        <v>6010</v>
      </c>
      <c r="D1701" s="5" t="s">
        <v>6011</v>
      </c>
      <c r="E1701" s="5">
        <v>13100.0</v>
      </c>
      <c r="F1701" s="12" t="s">
        <v>6012</v>
      </c>
      <c r="G1701" s="12" t="s">
        <v>6013</v>
      </c>
      <c r="H1701" s="5" t="s">
        <v>6014</v>
      </c>
      <c r="I1701" s="5" t="s">
        <v>49</v>
      </c>
      <c r="J1701" s="5" t="s">
        <v>6015</v>
      </c>
      <c r="K1701" s="5">
        <v>1.0</v>
      </c>
      <c r="L1701" s="5">
        <v>15022.0</v>
      </c>
      <c r="M1701" s="10">
        <v>-122.1837</v>
      </c>
      <c r="N1701" s="10">
        <v>50.9724</v>
      </c>
      <c r="O1701" s="10">
        <v>558.0</v>
      </c>
      <c r="P1701" s="10" t="s">
        <v>6011</v>
      </c>
      <c r="Q1701" s="10"/>
      <c r="R1701" s="10" t="s">
        <v>6016</v>
      </c>
      <c r="S1701" s="55"/>
      <c r="T1701" s="55"/>
      <c r="U1701" s="55"/>
      <c r="V1701" s="55"/>
      <c r="W1701" s="55"/>
      <c r="X1701" s="55"/>
      <c r="Y1701" s="55"/>
      <c r="Z1701" s="55"/>
      <c r="AA1701" s="55"/>
      <c r="AB1701" s="55"/>
      <c r="AC1701" s="55"/>
      <c r="AD1701" s="55"/>
      <c r="AE1701" s="55"/>
      <c r="AF1701" s="55"/>
      <c r="AG1701" s="55"/>
      <c r="AH1701" s="55"/>
      <c r="AI1701" s="55"/>
      <c r="AJ1701" s="55"/>
      <c r="AK1701" s="55"/>
      <c r="AL1701" s="55"/>
      <c r="AM1701" s="55"/>
      <c r="AN1701" s="55"/>
      <c r="AO1701" s="55"/>
      <c r="AP1701" s="55"/>
      <c r="AQ1701" s="55"/>
      <c r="AR1701" s="55"/>
      <c r="AS1701" s="55"/>
      <c r="AT1701" s="55"/>
      <c r="AU1701" s="55"/>
      <c r="AV1701" s="55"/>
      <c r="AW1701" s="55"/>
      <c r="AX1701" s="55"/>
      <c r="AY1701" s="55"/>
      <c r="AZ1701" s="55"/>
      <c r="BA1701" s="55"/>
      <c r="BB1701" s="55"/>
      <c r="BC1701" s="55"/>
      <c r="BD1701" s="55"/>
      <c r="BE1701" s="55"/>
      <c r="BF1701" s="55"/>
      <c r="BG1701" s="55"/>
      <c r="BH1701" s="55"/>
      <c r="BI1701" s="55"/>
      <c r="BJ1701" s="55"/>
      <c r="BK1701" s="55"/>
      <c r="BL1701" s="55"/>
      <c r="BM1701" s="55"/>
      <c r="BN1701" s="55"/>
      <c r="BO1701" s="55"/>
      <c r="BP1701" s="55"/>
      <c r="BQ1701" s="55"/>
      <c r="BR1701" s="55"/>
      <c r="BS1701" s="55"/>
      <c r="BT1701" s="55"/>
    </row>
    <row r="1702" ht="14.25" customHeight="1">
      <c r="A1702" s="5" t="s">
        <v>1908</v>
      </c>
      <c r="B1702" s="5">
        <v>5.0</v>
      </c>
      <c r="C1702" s="5" t="s">
        <v>6010</v>
      </c>
      <c r="D1702" s="5" t="s">
        <v>6017</v>
      </c>
      <c r="E1702" s="5">
        <v>13115.0</v>
      </c>
      <c r="F1702" s="12" t="s">
        <v>6018</v>
      </c>
      <c r="G1702" s="10" t="s">
        <v>6019</v>
      </c>
      <c r="H1702" s="5" t="s">
        <v>6020</v>
      </c>
      <c r="I1702" s="5" t="s">
        <v>49</v>
      </c>
      <c r="J1702" s="5" t="s">
        <v>6021</v>
      </c>
      <c r="K1702" s="5">
        <v>1.0</v>
      </c>
      <c r="L1702" s="5">
        <v>15037.0</v>
      </c>
      <c r="M1702" s="10">
        <v>-126.109</v>
      </c>
      <c r="N1702" s="10">
        <v>49.70496</v>
      </c>
      <c r="O1702" s="10">
        <v>10.0</v>
      </c>
      <c r="P1702" s="10" t="s">
        <v>6017</v>
      </c>
      <c r="Q1702" s="10"/>
      <c r="R1702" s="10" t="s">
        <v>6022</v>
      </c>
      <c r="S1702" s="55"/>
      <c r="T1702" s="55"/>
      <c r="U1702" s="55"/>
      <c r="V1702" s="55"/>
      <c r="W1702" s="55"/>
      <c r="X1702" s="55"/>
      <c r="Y1702" s="55"/>
      <c r="Z1702" s="55"/>
      <c r="AA1702" s="55"/>
      <c r="AB1702" s="55"/>
      <c r="AC1702" s="55"/>
      <c r="AD1702" s="55"/>
      <c r="AE1702" s="55"/>
      <c r="AF1702" s="55"/>
      <c r="AG1702" s="55"/>
      <c r="AH1702" s="55"/>
      <c r="AI1702" s="55"/>
      <c r="AJ1702" s="55"/>
      <c r="AK1702" s="55"/>
      <c r="AL1702" s="55"/>
      <c r="AM1702" s="55"/>
      <c r="AN1702" s="55"/>
      <c r="AO1702" s="55"/>
      <c r="AP1702" s="55"/>
      <c r="AQ1702" s="55"/>
      <c r="AR1702" s="55"/>
      <c r="AS1702" s="55"/>
      <c r="AT1702" s="55"/>
      <c r="AU1702" s="55"/>
      <c r="AV1702" s="55"/>
      <c r="AW1702" s="55"/>
      <c r="AX1702" s="55"/>
      <c r="AY1702" s="55"/>
      <c r="AZ1702" s="55"/>
      <c r="BA1702" s="55"/>
      <c r="BB1702" s="55"/>
      <c r="BC1702" s="55"/>
      <c r="BD1702" s="55"/>
      <c r="BE1702" s="55"/>
      <c r="BF1702" s="55"/>
      <c r="BG1702" s="55"/>
      <c r="BH1702" s="55"/>
      <c r="BI1702" s="55"/>
      <c r="BJ1702" s="55"/>
      <c r="BK1702" s="55"/>
      <c r="BL1702" s="55"/>
      <c r="BM1702" s="55"/>
      <c r="BN1702" s="55"/>
      <c r="BO1702" s="55"/>
      <c r="BP1702" s="55"/>
      <c r="BQ1702" s="55"/>
      <c r="BR1702" s="55"/>
      <c r="BS1702" s="55"/>
      <c r="BT1702" s="55"/>
    </row>
    <row r="1703" ht="14.25" customHeight="1">
      <c r="A1703" s="5" t="s">
        <v>1908</v>
      </c>
      <c r="B1703" s="5">
        <v>5.0</v>
      </c>
      <c r="C1703" s="5" t="s">
        <v>6010</v>
      </c>
      <c r="D1703" s="5" t="s">
        <v>6023</v>
      </c>
      <c r="E1703" s="5">
        <v>13104.0</v>
      </c>
      <c r="F1703" s="12" t="s">
        <v>6024</v>
      </c>
      <c r="G1703" s="10" t="s">
        <v>6025</v>
      </c>
      <c r="H1703" s="5" t="s">
        <v>6026</v>
      </c>
      <c r="I1703" s="5" t="s">
        <v>49</v>
      </c>
      <c r="J1703" s="5" t="s">
        <v>6027</v>
      </c>
      <c r="K1703" s="5">
        <v>1.0</v>
      </c>
      <c r="L1703" s="5">
        <v>15026.0</v>
      </c>
      <c r="M1703" s="11">
        <v>-121.5798833</v>
      </c>
      <c r="N1703" s="11">
        <v>49.23275</v>
      </c>
      <c r="O1703" s="11">
        <v>1480.0</v>
      </c>
      <c r="P1703" s="5" t="s">
        <v>6023</v>
      </c>
      <c r="Q1703" s="72">
        <v>7.0</v>
      </c>
      <c r="R1703" s="11" t="s">
        <v>6028</v>
      </c>
      <c r="S1703" s="11" t="s">
        <v>6009</v>
      </c>
      <c r="U1703" s="55"/>
      <c r="V1703" s="55"/>
      <c r="W1703" s="55"/>
      <c r="X1703" s="55"/>
      <c r="Y1703" s="55"/>
      <c r="Z1703" s="55"/>
      <c r="AA1703" s="55"/>
      <c r="AB1703" s="55"/>
      <c r="AC1703" s="55"/>
      <c r="AD1703" s="55"/>
      <c r="AE1703" s="55"/>
      <c r="AF1703" s="55"/>
      <c r="AG1703" s="55"/>
      <c r="AH1703" s="55"/>
      <c r="AI1703" s="55"/>
      <c r="AJ1703" s="55"/>
      <c r="AK1703" s="55"/>
      <c r="AL1703" s="55"/>
      <c r="AM1703" s="55"/>
      <c r="AN1703" s="55"/>
      <c r="AO1703" s="55"/>
      <c r="AP1703" s="55"/>
      <c r="AQ1703" s="55"/>
      <c r="AR1703" s="55"/>
      <c r="AS1703" s="55"/>
      <c r="AT1703" s="55"/>
      <c r="AU1703" s="55"/>
      <c r="AV1703" s="55"/>
      <c r="AW1703" s="55"/>
      <c r="AX1703" s="55"/>
      <c r="AY1703" s="55"/>
      <c r="AZ1703" s="55"/>
      <c r="BA1703" s="55"/>
      <c r="BB1703" s="55"/>
      <c r="BC1703" s="55"/>
      <c r="BD1703" s="55"/>
      <c r="BE1703" s="55"/>
      <c r="BF1703" s="55"/>
      <c r="BG1703" s="55"/>
      <c r="BH1703" s="55"/>
      <c r="BI1703" s="55"/>
      <c r="BJ1703" s="55"/>
      <c r="BK1703" s="55"/>
      <c r="BL1703" s="55"/>
      <c r="BM1703" s="55"/>
      <c r="BN1703" s="55"/>
      <c r="BO1703" s="55"/>
      <c r="BP1703" s="55"/>
      <c r="BQ1703" s="55"/>
      <c r="BR1703" s="55"/>
      <c r="BS1703" s="55"/>
      <c r="BT1703" s="55"/>
    </row>
    <row r="1704" ht="14.25" customHeight="1">
      <c r="A1704" s="5" t="s">
        <v>2037</v>
      </c>
      <c r="B1704" s="5">
        <v>5.0</v>
      </c>
      <c r="C1704" s="5" t="s">
        <v>6010</v>
      </c>
      <c r="D1704" s="10" t="s">
        <v>6029</v>
      </c>
      <c r="E1704" s="5">
        <v>12350.0</v>
      </c>
      <c r="F1704" s="10" t="s">
        <v>6030</v>
      </c>
      <c r="G1704" s="5" t="s">
        <v>6031</v>
      </c>
      <c r="H1704" s="5" t="s">
        <v>6032</v>
      </c>
      <c r="I1704" s="5" t="s">
        <v>49</v>
      </c>
      <c r="J1704" s="5" t="s">
        <v>6033</v>
      </c>
      <c r="K1704" s="5">
        <v>1.0</v>
      </c>
      <c r="L1704" s="5">
        <v>14406.0</v>
      </c>
      <c r="M1704" s="11">
        <v>-120.83</v>
      </c>
      <c r="N1704" s="11">
        <v>56.23</v>
      </c>
      <c r="O1704" s="11">
        <v>686.0</v>
      </c>
      <c r="P1704" s="10" t="s">
        <v>6034</v>
      </c>
      <c r="Q1704" s="72">
        <v>2.0</v>
      </c>
      <c r="R1704" s="10" t="s">
        <v>6035</v>
      </c>
      <c r="S1704" s="11" t="s">
        <v>6036</v>
      </c>
    </row>
    <row r="1705" ht="14.25" customHeight="1">
      <c r="B1705" s="5">
        <v>5.0</v>
      </c>
      <c r="C1705" s="5" t="s">
        <v>6010</v>
      </c>
      <c r="D1705" s="5" t="s">
        <v>6037</v>
      </c>
      <c r="E1705" s="5">
        <v>2429.0</v>
      </c>
      <c r="F1705" s="5" t="s">
        <v>6038</v>
      </c>
      <c r="G1705" s="5" t="s">
        <v>6039</v>
      </c>
      <c r="H1705" s="5" t="s">
        <v>6040</v>
      </c>
      <c r="I1705" s="5" t="s">
        <v>1664</v>
      </c>
      <c r="J1705" s="5" t="s">
        <v>6041</v>
      </c>
      <c r="K1705" s="5">
        <v>1.0</v>
      </c>
      <c r="L1705" s="5">
        <v>2832.0</v>
      </c>
      <c r="M1705" s="11">
        <v>-125.7416667</v>
      </c>
      <c r="N1705" s="11">
        <v>56.43666667</v>
      </c>
      <c r="O1705" s="11">
        <v>970.0</v>
      </c>
      <c r="P1705" s="5" t="s">
        <v>6037</v>
      </c>
      <c r="Q1705" s="72">
        <v>3.0</v>
      </c>
      <c r="R1705" s="11" t="s">
        <v>6038</v>
      </c>
      <c r="S1705" s="11" t="s">
        <v>6009</v>
      </c>
    </row>
    <row r="1706" ht="14.25" customHeight="1">
      <c r="A1706" s="5" t="s">
        <v>1908</v>
      </c>
      <c r="B1706" s="5">
        <v>5.0</v>
      </c>
      <c r="C1706" s="5" t="s">
        <v>6010</v>
      </c>
      <c r="D1706" s="5" t="s">
        <v>6042</v>
      </c>
      <c r="E1706" s="5">
        <v>2428.0</v>
      </c>
      <c r="F1706" s="10" t="s">
        <v>6043</v>
      </c>
      <c r="G1706" s="10" t="s">
        <v>6044</v>
      </c>
      <c r="H1706" s="5" t="s">
        <v>6045</v>
      </c>
      <c r="I1706" s="5" t="s">
        <v>1664</v>
      </c>
      <c r="J1706" s="5" t="s">
        <v>6046</v>
      </c>
      <c r="K1706" s="5">
        <v>1.0</v>
      </c>
      <c r="L1706" s="5">
        <v>2831.0</v>
      </c>
      <c r="M1706" s="11">
        <v>-124.9042444</v>
      </c>
      <c r="N1706" s="11">
        <v>57.19119167</v>
      </c>
      <c r="O1706" s="11">
        <v>760.0</v>
      </c>
      <c r="P1706" s="5" t="s">
        <v>6042</v>
      </c>
      <c r="Q1706" s="72">
        <v>1.0</v>
      </c>
      <c r="R1706" s="11" t="s">
        <v>6047</v>
      </c>
      <c r="S1706" s="11" t="s">
        <v>6009</v>
      </c>
    </row>
    <row r="1707" ht="14.25" customHeight="1">
      <c r="A1707" s="5" t="s">
        <v>1908</v>
      </c>
      <c r="B1707" s="5">
        <v>5.0</v>
      </c>
      <c r="C1707" s="5" t="s">
        <v>6010</v>
      </c>
      <c r="D1707" s="5" t="s">
        <v>6048</v>
      </c>
      <c r="E1707" s="5">
        <v>2430.0</v>
      </c>
      <c r="F1707" s="10" t="s">
        <v>6049</v>
      </c>
      <c r="G1707" s="10" t="s">
        <v>6050</v>
      </c>
      <c r="H1707" s="5" t="s">
        <v>6040</v>
      </c>
      <c r="I1707" s="5" t="s">
        <v>1664</v>
      </c>
      <c r="J1707" s="5" t="s">
        <v>6051</v>
      </c>
      <c r="K1707" s="5">
        <v>1.0</v>
      </c>
      <c r="L1707" s="5">
        <v>2833.0</v>
      </c>
      <c r="M1707" s="11">
        <v>-122.4834361</v>
      </c>
      <c r="N1707" s="11">
        <v>49.28744167</v>
      </c>
      <c r="O1707" s="11">
        <v>125.0</v>
      </c>
      <c r="P1707" s="5" t="s">
        <v>6048</v>
      </c>
      <c r="Q1707" s="72">
        <v>3.0</v>
      </c>
      <c r="R1707" s="11" t="s">
        <v>6052</v>
      </c>
      <c r="S1707" s="11" t="s">
        <v>6009</v>
      </c>
    </row>
    <row r="1708" ht="14.25" customHeight="1">
      <c r="A1708" s="5" t="s">
        <v>2037</v>
      </c>
      <c r="B1708" s="5">
        <v>5.0</v>
      </c>
      <c r="C1708" s="5" t="s">
        <v>6010</v>
      </c>
      <c r="D1708" s="5" t="s">
        <v>6053</v>
      </c>
      <c r="E1708" s="5">
        <v>12343.0</v>
      </c>
      <c r="F1708" s="10" t="s">
        <v>6054</v>
      </c>
      <c r="G1708" s="5" t="s">
        <v>6055</v>
      </c>
      <c r="H1708" s="5" t="s">
        <v>6056</v>
      </c>
      <c r="I1708" s="5" t="s">
        <v>49</v>
      </c>
      <c r="J1708" s="5" t="s">
        <v>6057</v>
      </c>
      <c r="K1708" s="5">
        <v>1.0</v>
      </c>
      <c r="L1708" s="5">
        <v>14399.0</v>
      </c>
      <c r="M1708" s="10" t="str">
        <f t="shared" ref="M1708:M1710" si="4">NUMBERVALUE(LEFT(G1708,7))</f>
        <v>#NAME?</v>
      </c>
      <c r="N1708" s="10">
        <v>56.222</v>
      </c>
      <c r="O1708" s="10" t="str">
        <f t="shared" ref="O1708:O1710" si="5">NUMBERVALUE(LEFT(RIGHT(G1708,5),3))</f>
        <v>#NAME?</v>
      </c>
      <c r="P1708" s="10" t="str">
        <f t="shared" ref="P1708:P1710" si="6">D1708</f>
        <v>AFL</v>
      </c>
      <c r="Q1708" s="55"/>
      <c r="R1708" s="10" t="str">
        <f t="shared" ref="R1708:R1710" si="7">F1708</f>
        <v>Attachie Flat Lower Terrace</v>
      </c>
      <c r="S1708" s="55"/>
      <c r="T1708" s="55"/>
      <c r="U1708" s="55"/>
      <c r="V1708" s="55"/>
      <c r="W1708" s="55"/>
      <c r="X1708" s="55"/>
      <c r="Y1708" s="55"/>
      <c r="Z1708" s="55"/>
      <c r="AA1708" s="55"/>
      <c r="AB1708" s="55"/>
      <c r="AC1708" s="55"/>
      <c r="AD1708" s="55"/>
      <c r="AE1708" s="55"/>
      <c r="AF1708" s="55"/>
      <c r="AG1708" s="55"/>
      <c r="AH1708" s="55"/>
      <c r="AI1708" s="55"/>
      <c r="AJ1708" s="55"/>
      <c r="AK1708" s="55"/>
      <c r="AL1708" s="55"/>
      <c r="AM1708" s="55"/>
      <c r="AN1708" s="55"/>
      <c r="AO1708" s="55"/>
      <c r="AP1708" s="55"/>
      <c r="AQ1708" s="55"/>
      <c r="AR1708" s="55"/>
      <c r="AS1708" s="55"/>
      <c r="AT1708" s="55"/>
      <c r="AU1708" s="55"/>
      <c r="AV1708" s="55"/>
      <c r="AW1708" s="55"/>
      <c r="AX1708" s="55"/>
      <c r="AY1708" s="55"/>
      <c r="AZ1708" s="55"/>
      <c r="BA1708" s="55"/>
      <c r="BB1708" s="55"/>
      <c r="BC1708" s="55"/>
      <c r="BD1708" s="55"/>
      <c r="BE1708" s="55"/>
      <c r="BF1708" s="55"/>
      <c r="BG1708" s="55"/>
      <c r="BH1708" s="55"/>
      <c r="BI1708" s="55"/>
      <c r="BJ1708" s="55"/>
      <c r="BK1708" s="55"/>
      <c r="BL1708" s="55"/>
      <c r="BM1708" s="55"/>
      <c r="BN1708" s="55"/>
      <c r="BO1708" s="55"/>
      <c r="BP1708" s="55"/>
      <c r="BQ1708" s="55"/>
      <c r="BR1708" s="55"/>
      <c r="BS1708" s="55"/>
      <c r="BT1708" s="55"/>
    </row>
    <row r="1709" ht="14.25" customHeight="1">
      <c r="A1709" s="5" t="s">
        <v>2037</v>
      </c>
      <c r="B1709" s="5">
        <v>5.0</v>
      </c>
      <c r="C1709" s="5" t="s">
        <v>6010</v>
      </c>
      <c r="D1709" s="5" t="s">
        <v>6058</v>
      </c>
      <c r="E1709" s="5">
        <v>12342.0</v>
      </c>
      <c r="F1709" s="10" t="s">
        <v>6059</v>
      </c>
      <c r="G1709" s="5" t="s">
        <v>6060</v>
      </c>
      <c r="H1709" s="5" t="s">
        <v>6032</v>
      </c>
      <c r="I1709" s="5" t="s">
        <v>49</v>
      </c>
      <c r="J1709" s="5" t="s">
        <v>6061</v>
      </c>
      <c r="K1709" s="5">
        <v>1.0</v>
      </c>
      <c r="L1709" s="5">
        <v>14398.0</v>
      </c>
      <c r="M1709" s="10" t="str">
        <f t="shared" si="4"/>
        <v>#NAME?</v>
      </c>
      <c r="N1709" s="10">
        <v>56.231</v>
      </c>
      <c r="O1709" s="10" t="str">
        <f t="shared" si="5"/>
        <v>#NAME?</v>
      </c>
      <c r="P1709" s="10" t="str">
        <f t="shared" si="6"/>
        <v>AFU</v>
      </c>
      <c r="Q1709" s="55"/>
      <c r="R1709" s="10" t="str">
        <f t="shared" si="7"/>
        <v>Attachie Flat Upper Terrace</v>
      </c>
      <c r="S1709" s="55"/>
      <c r="T1709" s="55"/>
      <c r="U1709" s="55"/>
      <c r="V1709" s="55"/>
      <c r="W1709" s="55"/>
      <c r="X1709" s="55"/>
      <c r="Y1709" s="55"/>
      <c r="Z1709" s="55"/>
      <c r="AA1709" s="55"/>
      <c r="AB1709" s="55"/>
      <c r="AC1709" s="55"/>
      <c r="AD1709" s="55"/>
      <c r="AE1709" s="55"/>
      <c r="AF1709" s="55"/>
      <c r="AG1709" s="55"/>
      <c r="AH1709" s="55"/>
      <c r="AI1709" s="55"/>
      <c r="AJ1709" s="55"/>
      <c r="AK1709" s="55"/>
      <c r="AL1709" s="55"/>
      <c r="AM1709" s="55"/>
      <c r="AN1709" s="55"/>
      <c r="AO1709" s="55"/>
      <c r="AP1709" s="55"/>
      <c r="AQ1709" s="55"/>
      <c r="AR1709" s="55"/>
      <c r="AS1709" s="55"/>
      <c r="AT1709" s="55"/>
      <c r="AU1709" s="55"/>
      <c r="AV1709" s="55"/>
      <c r="AW1709" s="55"/>
      <c r="AX1709" s="55"/>
      <c r="AY1709" s="55"/>
      <c r="AZ1709" s="55"/>
      <c r="BA1709" s="55"/>
      <c r="BB1709" s="55"/>
      <c r="BC1709" s="55"/>
      <c r="BD1709" s="55"/>
      <c r="BE1709" s="55"/>
      <c r="BF1709" s="55"/>
      <c r="BG1709" s="55"/>
      <c r="BH1709" s="55"/>
      <c r="BI1709" s="55"/>
      <c r="BJ1709" s="55"/>
      <c r="BK1709" s="55"/>
      <c r="BL1709" s="55"/>
      <c r="BM1709" s="55"/>
      <c r="BN1709" s="55"/>
      <c r="BO1709" s="55"/>
      <c r="BP1709" s="55"/>
      <c r="BQ1709" s="55"/>
      <c r="BR1709" s="55"/>
      <c r="BS1709" s="55"/>
      <c r="BT1709" s="55"/>
    </row>
    <row r="1710" ht="14.25" customHeight="1">
      <c r="A1710" s="5" t="s">
        <v>2037</v>
      </c>
      <c r="B1710" s="5">
        <v>5.0</v>
      </c>
      <c r="C1710" s="5" t="s">
        <v>6010</v>
      </c>
      <c r="D1710" s="5" t="s">
        <v>6062</v>
      </c>
      <c r="E1710" s="5">
        <v>12344.0</v>
      </c>
      <c r="F1710" s="10" t="s">
        <v>6063</v>
      </c>
      <c r="G1710" s="5" t="s">
        <v>6064</v>
      </c>
      <c r="H1710" s="5" t="s">
        <v>6032</v>
      </c>
      <c r="I1710" s="5" t="s">
        <v>49</v>
      </c>
      <c r="J1710" s="5" t="s">
        <v>6065</v>
      </c>
      <c r="K1710" s="5">
        <v>1.0</v>
      </c>
      <c r="L1710" s="5">
        <v>14400.0</v>
      </c>
      <c r="M1710" s="10" t="str">
        <f t="shared" si="4"/>
        <v>#NAME?</v>
      </c>
      <c r="N1710" s="10">
        <v>56.233</v>
      </c>
      <c r="O1710" s="10" t="str">
        <f t="shared" si="5"/>
        <v>#NAME?</v>
      </c>
      <c r="P1710" s="10" t="str">
        <f t="shared" si="6"/>
        <v>ATP</v>
      </c>
      <c r="Q1710" s="55"/>
      <c r="R1710" s="10" t="str">
        <f t="shared" si="7"/>
        <v>Attachie Plateau</v>
      </c>
      <c r="S1710" s="55"/>
      <c r="T1710" s="55"/>
      <c r="U1710" s="55"/>
      <c r="V1710" s="55"/>
      <c r="W1710" s="55"/>
      <c r="X1710" s="55"/>
      <c r="Y1710" s="55"/>
      <c r="Z1710" s="55"/>
      <c r="AA1710" s="55"/>
      <c r="AB1710" s="55"/>
      <c r="AC1710" s="55"/>
      <c r="AD1710" s="55"/>
      <c r="AE1710" s="55"/>
      <c r="AF1710" s="55"/>
      <c r="AG1710" s="55"/>
      <c r="AH1710" s="55"/>
      <c r="AI1710" s="55"/>
      <c r="AJ1710" s="55"/>
      <c r="AK1710" s="55"/>
      <c r="AL1710" s="55"/>
      <c r="AM1710" s="55"/>
      <c r="AN1710" s="55"/>
      <c r="AO1710" s="55"/>
      <c r="AP1710" s="55"/>
      <c r="AQ1710" s="55"/>
      <c r="AR1710" s="55"/>
      <c r="AS1710" s="55"/>
      <c r="AT1710" s="55"/>
      <c r="AU1710" s="55"/>
      <c r="AV1710" s="55"/>
      <c r="AW1710" s="55"/>
      <c r="AX1710" s="55"/>
      <c r="AY1710" s="55"/>
      <c r="AZ1710" s="55"/>
      <c r="BA1710" s="55"/>
      <c r="BB1710" s="55"/>
      <c r="BC1710" s="55"/>
      <c r="BD1710" s="55"/>
      <c r="BE1710" s="55"/>
      <c r="BF1710" s="55"/>
      <c r="BG1710" s="55"/>
      <c r="BH1710" s="55"/>
      <c r="BI1710" s="55"/>
      <c r="BJ1710" s="55"/>
      <c r="BK1710" s="55"/>
      <c r="BL1710" s="55"/>
      <c r="BM1710" s="55"/>
      <c r="BN1710" s="55"/>
      <c r="BO1710" s="55"/>
      <c r="BP1710" s="55"/>
      <c r="BQ1710" s="55"/>
      <c r="BR1710" s="55"/>
      <c r="BS1710" s="55"/>
      <c r="BT1710" s="55"/>
    </row>
    <row r="1711" ht="14.25" customHeight="1">
      <c r="A1711" s="5" t="s">
        <v>1908</v>
      </c>
      <c r="B1711" s="5">
        <v>5.0</v>
      </c>
      <c r="C1711" s="5" t="s">
        <v>6010</v>
      </c>
      <c r="D1711" s="5" t="s">
        <v>6066</v>
      </c>
      <c r="E1711" s="5">
        <v>2432.0</v>
      </c>
      <c r="F1711" s="10" t="s">
        <v>6067</v>
      </c>
      <c r="G1711" s="10" t="s">
        <v>6068</v>
      </c>
      <c r="H1711" s="5" t="s">
        <v>6040</v>
      </c>
      <c r="I1711" s="5" t="s">
        <v>1664</v>
      </c>
      <c r="J1711" s="5" t="s">
        <v>6069</v>
      </c>
      <c r="K1711" s="5">
        <v>1.0</v>
      </c>
      <c r="L1711" s="5">
        <v>2835.0</v>
      </c>
      <c r="M1711" s="5">
        <v>-118.3511222</v>
      </c>
      <c r="N1711" s="5">
        <v>50.06855278</v>
      </c>
      <c r="O1711" s="5">
        <v>1620.0</v>
      </c>
      <c r="P1711" s="5" t="s">
        <v>6066</v>
      </c>
      <c r="Q1711" s="5">
        <v>5.0</v>
      </c>
      <c r="R1711" s="5" t="s">
        <v>6070</v>
      </c>
      <c r="S1711" s="5" t="s">
        <v>6009</v>
      </c>
    </row>
    <row r="1712" ht="14.25" customHeight="1">
      <c r="A1712" s="5" t="s">
        <v>1908</v>
      </c>
      <c r="B1712" s="5">
        <v>5.0</v>
      </c>
      <c r="C1712" s="5" t="s">
        <v>6010</v>
      </c>
      <c r="D1712" s="5" t="s">
        <v>6071</v>
      </c>
      <c r="E1712" s="5">
        <v>2433.0</v>
      </c>
      <c r="F1712" s="10" t="s">
        <v>6072</v>
      </c>
      <c r="G1712" s="10" t="s">
        <v>6073</v>
      </c>
      <c r="H1712" s="5" t="s">
        <v>6074</v>
      </c>
      <c r="I1712" s="5" t="s">
        <v>1664</v>
      </c>
      <c r="J1712" s="5" t="s">
        <v>6046</v>
      </c>
      <c r="K1712" s="5">
        <v>1.0</v>
      </c>
      <c r="L1712" s="5">
        <v>2836.0</v>
      </c>
      <c r="M1712" s="11">
        <v>-123.8964</v>
      </c>
      <c r="N1712" s="11">
        <v>48.50267778</v>
      </c>
      <c r="O1712" s="11">
        <v>419.0</v>
      </c>
      <c r="P1712" s="5" t="s">
        <v>6071</v>
      </c>
      <c r="Q1712" s="72">
        <v>6.0</v>
      </c>
      <c r="R1712" s="11" t="s">
        <v>6075</v>
      </c>
      <c r="S1712" s="11" t="s">
        <v>6009</v>
      </c>
    </row>
    <row r="1713" ht="14.25" customHeight="1">
      <c r="A1713" s="5" t="s">
        <v>2037</v>
      </c>
      <c r="B1713" s="5">
        <v>5.0</v>
      </c>
      <c r="C1713" s="5" t="s">
        <v>6010</v>
      </c>
      <c r="D1713" s="5" t="s">
        <v>6076</v>
      </c>
      <c r="E1713" s="5">
        <v>12345.0</v>
      </c>
      <c r="F1713" s="10" t="s">
        <v>6077</v>
      </c>
      <c r="G1713" s="5" t="s">
        <v>6078</v>
      </c>
      <c r="H1713" s="5" t="s">
        <v>6032</v>
      </c>
      <c r="I1713" s="5" t="s">
        <v>49</v>
      </c>
      <c r="J1713" s="5" t="s">
        <v>6057</v>
      </c>
      <c r="K1713" s="5">
        <v>1.0</v>
      </c>
      <c r="L1713" s="5">
        <v>14401.0</v>
      </c>
      <c r="M1713" s="10" t="str">
        <f>NUMBERVALUE(LEFT(G1713,7))</f>
        <v>#NAME?</v>
      </c>
      <c r="N1713" s="10" t="str">
        <f>NUMBERVALUE(RIGHT(LEFT(G1713,17),6))</f>
        <v>#NAME?</v>
      </c>
      <c r="O1713" s="10" t="str">
        <f>NUMBERVALUE(LEFT(RIGHT(G1713,5),3))</f>
        <v>#NAME?</v>
      </c>
      <c r="P1713" s="10" t="str">
        <f>D1713</f>
        <v>BEF</v>
      </c>
      <c r="Q1713" s="55"/>
      <c r="R1713" s="10" t="str">
        <f>F1713</f>
        <v>Bear Flat</v>
      </c>
      <c r="S1713" s="55"/>
      <c r="T1713" s="55"/>
      <c r="U1713" s="55"/>
      <c r="V1713" s="55"/>
      <c r="W1713" s="55"/>
      <c r="X1713" s="55"/>
      <c r="Y1713" s="55"/>
      <c r="Z1713" s="55"/>
      <c r="AA1713" s="55"/>
      <c r="AB1713" s="55"/>
      <c r="AC1713" s="55"/>
      <c r="AD1713" s="55"/>
      <c r="AE1713" s="55"/>
      <c r="AF1713" s="55"/>
      <c r="AG1713" s="55"/>
      <c r="AH1713" s="55"/>
      <c r="AI1713" s="55"/>
      <c r="AJ1713" s="55"/>
      <c r="AK1713" s="55"/>
      <c r="AL1713" s="55"/>
      <c r="AM1713" s="55"/>
      <c r="AN1713" s="55"/>
      <c r="AO1713" s="55"/>
      <c r="AP1713" s="55"/>
      <c r="AQ1713" s="55"/>
      <c r="AR1713" s="55"/>
      <c r="AS1713" s="55"/>
      <c r="AT1713" s="55"/>
      <c r="AU1713" s="55"/>
      <c r="AV1713" s="55"/>
      <c r="AW1713" s="55"/>
      <c r="AX1713" s="55"/>
      <c r="AY1713" s="55"/>
      <c r="AZ1713" s="55"/>
      <c r="BA1713" s="55"/>
      <c r="BB1713" s="55"/>
      <c r="BC1713" s="55"/>
      <c r="BD1713" s="55"/>
      <c r="BE1713" s="55"/>
      <c r="BF1713" s="55"/>
      <c r="BG1713" s="55"/>
      <c r="BH1713" s="55"/>
      <c r="BI1713" s="55"/>
      <c r="BJ1713" s="55"/>
      <c r="BK1713" s="55"/>
      <c r="BL1713" s="55"/>
      <c r="BM1713" s="55"/>
      <c r="BN1713" s="55"/>
      <c r="BO1713" s="55"/>
      <c r="BP1713" s="55"/>
      <c r="BQ1713" s="55"/>
      <c r="BR1713" s="55"/>
      <c r="BS1713" s="55"/>
      <c r="BT1713" s="55"/>
    </row>
    <row r="1714" ht="14.25" customHeight="1">
      <c r="A1714" s="5" t="s">
        <v>2037</v>
      </c>
      <c r="B1714" s="5">
        <v>5.0</v>
      </c>
      <c r="C1714" s="5" t="s">
        <v>6010</v>
      </c>
      <c r="D1714" s="5" t="s">
        <v>6079</v>
      </c>
      <c r="E1714" s="5">
        <v>2439.0</v>
      </c>
      <c r="F1714" s="10" t="s">
        <v>6080</v>
      </c>
      <c r="G1714" s="5" t="s">
        <v>6081</v>
      </c>
      <c r="H1714" s="5" t="s">
        <v>6082</v>
      </c>
      <c r="I1714" s="5" t="s">
        <v>1664</v>
      </c>
      <c r="J1714" s="5" t="s">
        <v>6046</v>
      </c>
      <c r="K1714" s="5">
        <v>1.0</v>
      </c>
      <c r="L1714" s="5">
        <v>2842.0</v>
      </c>
      <c r="U1714" s="55"/>
      <c r="V1714" s="55"/>
      <c r="W1714" s="55"/>
      <c r="X1714" s="55"/>
      <c r="Y1714" s="55"/>
      <c r="Z1714" s="55"/>
      <c r="AA1714" s="55"/>
      <c r="AB1714" s="55"/>
      <c r="AC1714" s="55"/>
      <c r="AD1714" s="55"/>
      <c r="AE1714" s="55"/>
      <c r="AF1714" s="55"/>
      <c r="AG1714" s="55"/>
      <c r="AH1714" s="55"/>
      <c r="AI1714" s="55"/>
      <c r="AJ1714" s="55"/>
      <c r="AK1714" s="55"/>
      <c r="AL1714" s="55"/>
      <c r="AM1714" s="55"/>
      <c r="AN1714" s="55"/>
      <c r="AO1714" s="55"/>
      <c r="AP1714" s="55"/>
      <c r="AQ1714" s="55"/>
      <c r="AR1714" s="55"/>
      <c r="AS1714" s="55"/>
      <c r="AT1714" s="55"/>
      <c r="AU1714" s="55"/>
      <c r="AV1714" s="55"/>
      <c r="AW1714" s="55"/>
      <c r="AX1714" s="55"/>
      <c r="AY1714" s="55"/>
      <c r="AZ1714" s="55"/>
      <c r="BA1714" s="55"/>
      <c r="BB1714" s="55"/>
      <c r="BC1714" s="55"/>
      <c r="BD1714" s="55"/>
      <c r="BE1714" s="55"/>
      <c r="BF1714" s="55"/>
      <c r="BG1714" s="55"/>
      <c r="BH1714" s="55"/>
      <c r="BI1714" s="55"/>
      <c r="BJ1714" s="55"/>
      <c r="BK1714" s="55"/>
      <c r="BL1714" s="55"/>
      <c r="BM1714" s="55"/>
      <c r="BN1714" s="55"/>
      <c r="BO1714" s="55"/>
      <c r="BP1714" s="55"/>
      <c r="BQ1714" s="55"/>
      <c r="BR1714" s="55"/>
      <c r="BS1714" s="55"/>
      <c r="BT1714" s="55"/>
    </row>
    <row r="1715" ht="14.25" customHeight="1">
      <c r="B1715" s="5">
        <v>5.0</v>
      </c>
      <c r="C1715" s="5" t="s">
        <v>6010</v>
      </c>
      <c r="D1715" s="5" t="s">
        <v>6083</v>
      </c>
      <c r="E1715" s="5">
        <v>13112.0</v>
      </c>
      <c r="F1715" s="5" t="s">
        <v>6084</v>
      </c>
      <c r="G1715" s="5" t="s">
        <v>6085</v>
      </c>
      <c r="H1715" s="5" t="s">
        <v>6086</v>
      </c>
      <c r="I1715" s="5" t="s">
        <v>49</v>
      </c>
      <c r="J1715" s="5" t="s">
        <v>6087</v>
      </c>
      <c r="K1715" s="5">
        <v>1.0</v>
      </c>
      <c r="L1715" s="5">
        <v>15034.0</v>
      </c>
      <c r="M1715" s="11">
        <v>-122.78881944444444</v>
      </c>
      <c r="N1715" s="11">
        <v>50.77518888888889</v>
      </c>
      <c r="O1715" s="11">
        <v>1382.0</v>
      </c>
      <c r="P1715" s="5" t="s">
        <v>6083</v>
      </c>
      <c r="Q1715" s="72">
        <v>5.0</v>
      </c>
      <c r="R1715" s="11" t="s">
        <v>6084</v>
      </c>
      <c r="S1715" s="11" t="s">
        <v>6009</v>
      </c>
    </row>
    <row r="1716" ht="14.25" customHeight="1">
      <c r="B1716" s="5">
        <v>5.0</v>
      </c>
      <c r="C1716" s="5" t="s">
        <v>6010</v>
      </c>
      <c r="D1716" s="5" t="s">
        <v>6088</v>
      </c>
      <c r="E1716" s="5">
        <v>2435.0</v>
      </c>
      <c r="F1716" s="10" t="s">
        <v>6089</v>
      </c>
      <c r="G1716" s="5" t="s">
        <v>6090</v>
      </c>
      <c r="H1716" s="5" t="s">
        <v>6091</v>
      </c>
      <c r="I1716" s="5" t="s">
        <v>1664</v>
      </c>
      <c r="J1716" s="5" t="s">
        <v>6046</v>
      </c>
      <c r="K1716" s="5">
        <v>1.0</v>
      </c>
      <c r="L1716" s="5">
        <v>2838.0</v>
      </c>
      <c r="M1716" s="10" t="str">
        <f t="shared" ref="M1716:M1717" si="8">NUMBERVALUE(LEFT(G1716,9))</f>
        <v>#NAME?</v>
      </c>
      <c r="N1716" s="10" t="str">
        <f>NUMBERVALUE(RIGHT(LEFT(G1716,20),8))</f>
        <v>#NAME?</v>
      </c>
      <c r="O1716" s="10" t="str">
        <f t="shared" ref="O1716:O1717" si="9">NUMBERVALUE(LEFT(RIGHT(G1716,5),3))</f>
        <v>#NAME?</v>
      </c>
      <c r="P1716" s="10" t="str">
        <f t="shared" ref="P1716:P1717" si="10">D1716</f>
        <v>BLN</v>
      </c>
      <c r="Q1716" s="55"/>
      <c r="R1716" s="10" t="str">
        <f t="shared" ref="R1716:R1717" si="11">F1716</f>
        <v>Bralorne Upper</v>
      </c>
      <c r="S1716" s="55"/>
      <c r="T1716" s="55"/>
      <c r="U1716" s="55"/>
      <c r="V1716" s="55"/>
      <c r="W1716" s="55"/>
      <c r="X1716" s="55"/>
      <c r="Y1716" s="55"/>
      <c r="Z1716" s="55"/>
      <c r="AA1716" s="55"/>
      <c r="AB1716" s="55"/>
      <c r="AC1716" s="55"/>
      <c r="AD1716" s="55"/>
      <c r="AE1716" s="55"/>
      <c r="AF1716" s="55"/>
      <c r="AG1716" s="55"/>
      <c r="AH1716" s="55"/>
      <c r="AI1716" s="55"/>
      <c r="AJ1716" s="55"/>
      <c r="AK1716" s="55"/>
      <c r="AL1716" s="55"/>
      <c r="AM1716" s="55"/>
      <c r="AN1716" s="55"/>
      <c r="AO1716" s="55"/>
      <c r="AP1716" s="55"/>
      <c r="AQ1716" s="55"/>
      <c r="AR1716" s="55"/>
      <c r="AS1716" s="55"/>
      <c r="AT1716" s="55"/>
      <c r="AU1716" s="55"/>
      <c r="AV1716" s="55"/>
      <c r="AW1716" s="55"/>
      <c r="AX1716" s="55"/>
      <c r="AY1716" s="55"/>
      <c r="AZ1716" s="55"/>
      <c r="BA1716" s="55"/>
      <c r="BB1716" s="55"/>
      <c r="BC1716" s="55"/>
      <c r="BD1716" s="55"/>
      <c r="BE1716" s="55"/>
      <c r="BF1716" s="55"/>
      <c r="BG1716" s="55"/>
      <c r="BH1716" s="55"/>
      <c r="BI1716" s="55"/>
      <c r="BJ1716" s="55"/>
      <c r="BK1716" s="55"/>
      <c r="BL1716" s="55"/>
      <c r="BM1716" s="55"/>
      <c r="BN1716" s="55"/>
      <c r="BO1716" s="55"/>
      <c r="BP1716" s="55"/>
      <c r="BQ1716" s="55"/>
      <c r="BR1716" s="55"/>
      <c r="BS1716" s="55"/>
      <c r="BT1716" s="55"/>
    </row>
    <row r="1717" ht="14.25" customHeight="1">
      <c r="A1717" s="5" t="s">
        <v>6092</v>
      </c>
      <c r="B1717" s="5">
        <v>5.0</v>
      </c>
      <c r="C1717" s="10" t="s">
        <v>6093</v>
      </c>
      <c r="D1717" s="5" t="s">
        <v>6094</v>
      </c>
      <c r="E1717" s="5">
        <v>2436.0</v>
      </c>
      <c r="F1717" s="5" t="s">
        <v>6095</v>
      </c>
      <c r="G1717" s="5" t="s">
        <v>6096</v>
      </c>
      <c r="H1717" s="5" t="s">
        <v>6097</v>
      </c>
      <c r="I1717" s="5" t="s">
        <v>1664</v>
      </c>
      <c r="J1717" s="5" t="s">
        <v>6041</v>
      </c>
      <c r="K1717" s="5">
        <v>1.0</v>
      </c>
      <c r="L1717" s="5">
        <v>2839.0</v>
      </c>
      <c r="M1717" s="10" t="str">
        <f t="shared" si="8"/>
        <v>#NAME?</v>
      </c>
      <c r="N1717" s="10" t="str">
        <f>NUMBERVALUE(RIGHT(LEFT(G1717,25),12))</f>
        <v>#NAME?</v>
      </c>
      <c r="O1717" s="10" t="str">
        <f t="shared" si="9"/>
        <v>#NAME?</v>
      </c>
      <c r="P1717" s="10" t="str">
        <f t="shared" si="10"/>
        <v>BMN</v>
      </c>
      <c r="Q1717" s="55"/>
      <c r="R1717" s="10" t="str">
        <f t="shared" si="11"/>
        <v>Brenda Mines</v>
      </c>
      <c r="S1717" s="55"/>
      <c r="T1717" s="55"/>
      <c r="U1717" s="55"/>
      <c r="V1717" s="55"/>
      <c r="W1717" s="55"/>
      <c r="X1717" s="55"/>
      <c r="Y1717" s="55"/>
      <c r="Z1717" s="55"/>
      <c r="AA1717" s="55"/>
      <c r="AB1717" s="55"/>
      <c r="AC1717" s="55"/>
      <c r="AD1717" s="55"/>
      <c r="AE1717" s="55"/>
      <c r="AF1717" s="55"/>
      <c r="AG1717" s="55"/>
      <c r="AH1717" s="55"/>
      <c r="AI1717" s="55"/>
      <c r="AJ1717" s="55"/>
      <c r="AK1717" s="55"/>
      <c r="AL1717" s="55"/>
      <c r="AM1717" s="55"/>
      <c r="AN1717" s="55"/>
      <c r="AO1717" s="55"/>
      <c r="AP1717" s="55"/>
      <c r="AQ1717" s="55"/>
      <c r="AR1717" s="55"/>
      <c r="AS1717" s="55"/>
      <c r="AT1717" s="55"/>
      <c r="AU1717" s="55"/>
      <c r="AV1717" s="55"/>
      <c r="AW1717" s="55"/>
      <c r="AX1717" s="55"/>
      <c r="AY1717" s="55"/>
      <c r="AZ1717" s="55"/>
      <c r="BA1717" s="55"/>
      <c r="BB1717" s="55"/>
      <c r="BC1717" s="55"/>
      <c r="BD1717" s="55"/>
      <c r="BE1717" s="55"/>
      <c r="BF1717" s="55"/>
      <c r="BG1717" s="55"/>
      <c r="BH1717" s="55"/>
      <c r="BI1717" s="55"/>
      <c r="BJ1717" s="55"/>
      <c r="BK1717" s="55"/>
      <c r="BL1717" s="55"/>
      <c r="BM1717" s="55"/>
      <c r="BN1717" s="55"/>
      <c r="BO1717" s="55"/>
      <c r="BP1717" s="55"/>
      <c r="BQ1717" s="55"/>
      <c r="BR1717" s="55"/>
      <c r="BS1717" s="55"/>
      <c r="BT1717" s="55"/>
    </row>
    <row r="1718" ht="14.25" customHeight="1">
      <c r="A1718" s="5" t="s">
        <v>6098</v>
      </c>
      <c r="C1718" s="10" t="s">
        <v>6099</v>
      </c>
      <c r="D1718" s="12" t="s">
        <v>6100</v>
      </c>
      <c r="F1718" s="10" t="s">
        <v>6095</v>
      </c>
      <c r="G1718" s="12" t="s">
        <v>6101</v>
      </c>
      <c r="M1718" s="10"/>
      <c r="N1718" s="10"/>
      <c r="O1718" s="10"/>
      <c r="P1718" s="10"/>
      <c r="Q1718" s="55"/>
      <c r="R1718" s="10"/>
      <c r="S1718" s="55"/>
      <c r="T1718" s="55"/>
      <c r="U1718" s="55"/>
      <c r="V1718" s="55"/>
      <c r="W1718" s="55"/>
      <c r="X1718" s="55"/>
      <c r="Y1718" s="55"/>
      <c r="Z1718" s="55"/>
      <c r="AA1718" s="55"/>
      <c r="AB1718" s="55"/>
      <c r="AC1718" s="55"/>
      <c r="AD1718" s="55"/>
      <c r="AE1718" s="55"/>
      <c r="AF1718" s="55"/>
      <c r="AG1718" s="55"/>
      <c r="AH1718" s="55"/>
      <c r="AI1718" s="55"/>
      <c r="AJ1718" s="55"/>
      <c r="AK1718" s="55"/>
      <c r="AL1718" s="55"/>
      <c r="AM1718" s="55"/>
      <c r="AN1718" s="55"/>
      <c r="AO1718" s="55"/>
      <c r="AP1718" s="55"/>
      <c r="AQ1718" s="55"/>
      <c r="AR1718" s="55"/>
      <c r="AS1718" s="55"/>
      <c r="AT1718" s="55"/>
      <c r="AU1718" s="55"/>
      <c r="AV1718" s="55"/>
      <c r="AW1718" s="55"/>
      <c r="AX1718" s="55"/>
      <c r="AY1718" s="55"/>
      <c r="AZ1718" s="55"/>
      <c r="BA1718" s="55"/>
      <c r="BB1718" s="55"/>
      <c r="BC1718" s="55"/>
      <c r="BD1718" s="55"/>
      <c r="BE1718" s="55"/>
      <c r="BF1718" s="55"/>
      <c r="BG1718" s="55"/>
      <c r="BH1718" s="55"/>
      <c r="BI1718" s="55"/>
      <c r="BJ1718" s="55"/>
      <c r="BK1718" s="55"/>
      <c r="BL1718" s="55"/>
      <c r="BM1718" s="55"/>
      <c r="BN1718" s="55"/>
      <c r="BO1718" s="55"/>
      <c r="BP1718" s="55"/>
      <c r="BQ1718" s="55"/>
      <c r="BR1718" s="55"/>
      <c r="BS1718" s="55"/>
      <c r="BT1718" s="55"/>
    </row>
    <row r="1719" ht="14.25" customHeight="1">
      <c r="B1719" s="5">
        <v>5.0</v>
      </c>
      <c r="C1719" s="5" t="s">
        <v>6010</v>
      </c>
      <c r="D1719" s="5" t="s">
        <v>6102</v>
      </c>
      <c r="E1719" s="5">
        <v>13210.0</v>
      </c>
      <c r="F1719" s="5" t="s">
        <v>6103</v>
      </c>
      <c r="G1719" s="5" t="s">
        <v>6104</v>
      </c>
      <c r="H1719" s="5" t="s">
        <v>6105</v>
      </c>
      <c r="I1719" s="5" t="s">
        <v>49</v>
      </c>
      <c r="J1719" s="5" t="s">
        <v>6087</v>
      </c>
      <c r="K1719" s="5">
        <v>1.0</v>
      </c>
      <c r="L1719" s="5">
        <v>15126.0</v>
      </c>
      <c r="M1719" s="11">
        <v>-123.486422</v>
      </c>
      <c r="N1719" s="11">
        <v>50.831492</v>
      </c>
      <c r="O1719" s="11">
        <v>1505.0</v>
      </c>
      <c r="P1719" s="5" t="s">
        <v>6102</v>
      </c>
      <c r="Q1719" s="72">
        <v>6.0</v>
      </c>
      <c r="R1719" s="11" t="s">
        <v>6103</v>
      </c>
      <c r="S1719" s="11" t="s">
        <v>6009</v>
      </c>
    </row>
    <row r="1720" ht="14.25" customHeight="1">
      <c r="A1720" s="5" t="s">
        <v>2037</v>
      </c>
      <c r="B1720" s="5">
        <v>5.0</v>
      </c>
      <c r="C1720" s="5" t="s">
        <v>6010</v>
      </c>
      <c r="D1720" s="5" t="s">
        <v>6106</v>
      </c>
      <c r="E1720" s="5">
        <v>2437.0</v>
      </c>
      <c r="F1720" s="10" t="s">
        <v>6107</v>
      </c>
      <c r="G1720" s="5" t="s">
        <v>6108</v>
      </c>
      <c r="H1720" s="5" t="s">
        <v>6109</v>
      </c>
      <c r="I1720" s="5" t="s">
        <v>1664</v>
      </c>
      <c r="J1720" s="5" t="s">
        <v>6046</v>
      </c>
      <c r="K1720" s="5">
        <v>1.0</v>
      </c>
      <c r="L1720" s="5">
        <v>2840.0</v>
      </c>
      <c r="M1720" s="10" t="str">
        <f t="shared" ref="M1720:M1721" si="12">NUMBERVALUE(LEFT(G1720,7))</f>
        <v>#NAME?</v>
      </c>
      <c r="N1720" s="10">
        <v>50.85611</v>
      </c>
      <c r="O1720" s="10" t="str">
        <f t="shared" ref="O1720:O1721" si="13">NUMBERVALUE(LEFT(RIGHT(G1720,5),3))</f>
        <v>#NAME?</v>
      </c>
      <c r="P1720" s="10" t="str">
        <f t="shared" ref="P1720:P1721" si="14">D1720</f>
        <v>BRI</v>
      </c>
      <c r="Q1720" s="55"/>
      <c r="R1720" s="10" t="s">
        <v>6110</v>
      </c>
      <c r="S1720" s="55"/>
      <c r="T1720" s="55"/>
      <c r="U1720" s="55"/>
      <c r="V1720" s="55"/>
      <c r="W1720" s="55"/>
      <c r="X1720" s="55"/>
      <c r="Y1720" s="55"/>
      <c r="Z1720" s="55"/>
      <c r="AA1720" s="55"/>
      <c r="AB1720" s="55"/>
      <c r="AC1720" s="55"/>
      <c r="AD1720" s="55"/>
      <c r="AE1720" s="55"/>
      <c r="AF1720" s="55"/>
      <c r="AG1720" s="55"/>
      <c r="AH1720" s="55"/>
      <c r="AI1720" s="55"/>
      <c r="AJ1720" s="55"/>
      <c r="AK1720" s="55"/>
      <c r="AL1720" s="55"/>
      <c r="AM1720" s="55"/>
      <c r="AN1720" s="55"/>
      <c r="AO1720" s="55"/>
      <c r="AP1720" s="55"/>
      <c r="AQ1720" s="55"/>
      <c r="AR1720" s="55"/>
      <c r="AS1720" s="55"/>
      <c r="AT1720" s="55"/>
      <c r="AU1720" s="55"/>
      <c r="AV1720" s="55"/>
      <c r="AW1720" s="55"/>
      <c r="AX1720" s="55"/>
      <c r="AY1720" s="55"/>
      <c r="AZ1720" s="55"/>
      <c r="BA1720" s="55"/>
      <c r="BB1720" s="55"/>
      <c r="BC1720" s="55"/>
      <c r="BD1720" s="55"/>
      <c r="BE1720" s="55"/>
      <c r="BF1720" s="55"/>
      <c r="BG1720" s="55"/>
      <c r="BH1720" s="55"/>
      <c r="BI1720" s="55"/>
      <c r="BJ1720" s="55"/>
      <c r="BK1720" s="55"/>
      <c r="BL1720" s="55"/>
      <c r="BM1720" s="55"/>
      <c r="BN1720" s="55"/>
      <c r="BO1720" s="55"/>
      <c r="BP1720" s="55"/>
      <c r="BQ1720" s="55"/>
      <c r="BR1720" s="55"/>
      <c r="BS1720" s="55"/>
      <c r="BT1720" s="55"/>
    </row>
    <row r="1721" ht="14.25" customHeight="1">
      <c r="A1721" s="5" t="s">
        <v>2037</v>
      </c>
      <c r="B1721" s="5">
        <v>5.0</v>
      </c>
      <c r="C1721" s="5" t="s">
        <v>6010</v>
      </c>
      <c r="D1721" s="5" t="s">
        <v>6111</v>
      </c>
      <c r="E1721" s="5">
        <v>12393.0</v>
      </c>
      <c r="F1721" s="10" t="s">
        <v>6112</v>
      </c>
      <c r="G1721" s="5" t="s">
        <v>6113</v>
      </c>
      <c r="H1721" s="5" t="s">
        <v>6114</v>
      </c>
      <c r="I1721" s="5" t="s">
        <v>641</v>
      </c>
      <c r="J1721" s="5" t="s">
        <v>6021</v>
      </c>
      <c r="K1721" s="5">
        <v>1.0</v>
      </c>
      <c r="L1721" s="5">
        <v>14415.0</v>
      </c>
      <c r="M1721" s="10" t="str">
        <f t="shared" si="12"/>
        <v>#NAME?</v>
      </c>
      <c r="N1721" s="10">
        <v>50.8212</v>
      </c>
      <c r="O1721" s="10" t="str">
        <f t="shared" si="13"/>
        <v>#NAME?</v>
      </c>
      <c r="P1721" s="10" t="str">
        <f t="shared" si="14"/>
        <v>DOW</v>
      </c>
      <c r="Q1721" s="55"/>
      <c r="R1721" s="10" t="str">
        <f>F1721</f>
        <v>Bridge River above Downton Lake</v>
      </c>
      <c r="S1721" s="55"/>
      <c r="T1721" s="55"/>
      <c r="U1721" s="55"/>
      <c r="V1721" s="55"/>
      <c r="W1721" s="55"/>
      <c r="X1721" s="55"/>
      <c r="Y1721" s="55"/>
      <c r="Z1721" s="55"/>
      <c r="AA1721" s="55"/>
      <c r="AB1721" s="55"/>
      <c r="AC1721" s="55"/>
      <c r="AD1721" s="55"/>
      <c r="AE1721" s="55"/>
      <c r="AF1721" s="55"/>
      <c r="AG1721" s="55"/>
      <c r="AH1721" s="55"/>
      <c r="AI1721" s="55"/>
      <c r="AJ1721" s="55"/>
      <c r="AK1721" s="55"/>
      <c r="AL1721" s="55"/>
      <c r="AM1721" s="55"/>
      <c r="AN1721" s="55"/>
      <c r="AO1721" s="55"/>
      <c r="AP1721" s="55"/>
      <c r="AQ1721" s="55"/>
      <c r="AR1721" s="55"/>
      <c r="AS1721" s="55"/>
      <c r="AT1721" s="55"/>
      <c r="AU1721" s="55"/>
      <c r="AV1721" s="55"/>
      <c r="AW1721" s="55"/>
      <c r="AX1721" s="55"/>
      <c r="AY1721" s="55"/>
      <c r="AZ1721" s="55"/>
      <c r="BA1721" s="55"/>
      <c r="BB1721" s="55"/>
      <c r="BC1721" s="55"/>
      <c r="BD1721" s="55"/>
      <c r="BE1721" s="55"/>
      <c r="BF1721" s="55"/>
      <c r="BG1721" s="55"/>
      <c r="BH1721" s="55"/>
      <c r="BI1721" s="55"/>
      <c r="BJ1721" s="55"/>
      <c r="BK1721" s="55"/>
      <c r="BL1721" s="55"/>
      <c r="BM1721" s="55"/>
      <c r="BN1721" s="55"/>
      <c r="BO1721" s="55"/>
      <c r="BP1721" s="55"/>
      <c r="BQ1721" s="55"/>
      <c r="BR1721" s="55"/>
      <c r="BS1721" s="55"/>
      <c r="BT1721" s="55"/>
    </row>
    <row r="1722" ht="14.25" customHeight="1">
      <c r="A1722" s="5" t="s">
        <v>2037</v>
      </c>
      <c r="B1722" s="5">
        <v>5.0</v>
      </c>
      <c r="C1722" s="5" t="s">
        <v>6010</v>
      </c>
      <c r="D1722" s="5" t="s">
        <v>6115</v>
      </c>
      <c r="E1722" s="5">
        <v>2438.0</v>
      </c>
      <c r="F1722" s="10" t="s">
        <v>6116</v>
      </c>
      <c r="G1722" s="5" t="s">
        <v>6117</v>
      </c>
      <c r="H1722" s="5" t="s">
        <v>6118</v>
      </c>
      <c r="I1722" s="5" t="s">
        <v>1664</v>
      </c>
      <c r="J1722" s="5" t="s">
        <v>6046</v>
      </c>
      <c r="K1722" s="5">
        <v>1.0</v>
      </c>
      <c r="L1722" s="5">
        <v>2841.0</v>
      </c>
      <c r="M1722" s="11">
        <v>-115.3639222</v>
      </c>
      <c r="N1722" s="11">
        <v>49.49325556</v>
      </c>
      <c r="O1722" s="11">
        <v>800.0</v>
      </c>
      <c r="P1722" s="5" t="s">
        <v>6115</v>
      </c>
      <c r="Q1722" s="72">
        <v>1.0</v>
      </c>
      <c r="R1722" s="11" t="s">
        <v>6119</v>
      </c>
      <c r="S1722" s="11" t="s">
        <v>6009</v>
      </c>
    </row>
    <row r="1723" ht="14.25" customHeight="1">
      <c r="B1723" s="5">
        <v>5.0</v>
      </c>
      <c r="C1723" s="5" t="s">
        <v>6010</v>
      </c>
      <c r="D1723" s="5" t="s">
        <v>6120</v>
      </c>
      <c r="E1723" s="5">
        <v>13092.0</v>
      </c>
      <c r="F1723" s="5" t="s">
        <v>6121</v>
      </c>
      <c r="G1723" s="5" t="s">
        <v>6122</v>
      </c>
      <c r="H1723" s="5" t="s">
        <v>6014</v>
      </c>
      <c r="I1723" s="5" t="s">
        <v>49</v>
      </c>
      <c r="J1723" s="5" t="s">
        <v>6087</v>
      </c>
      <c r="K1723" s="5">
        <v>1.0</v>
      </c>
      <c r="L1723" s="5">
        <v>15014.0</v>
      </c>
      <c r="M1723" s="11">
        <v>-123.102889</v>
      </c>
      <c r="N1723" s="11">
        <v>50.137056</v>
      </c>
      <c r="O1723" s="11">
        <v>1017.0</v>
      </c>
      <c r="P1723" s="5" t="s">
        <v>6120</v>
      </c>
      <c r="Q1723" s="72">
        <v>5.0</v>
      </c>
      <c r="R1723" s="11" t="s">
        <v>6121</v>
      </c>
      <c r="S1723" s="11" t="s">
        <v>6009</v>
      </c>
    </row>
    <row r="1724" ht="14.25" customHeight="1">
      <c r="B1724" s="5">
        <v>5.0</v>
      </c>
      <c r="C1724" s="5" t="s">
        <v>6010</v>
      </c>
      <c r="D1724" s="5" t="s">
        <v>6123</v>
      </c>
      <c r="E1724" s="5">
        <v>12416.0</v>
      </c>
      <c r="F1724" s="5" t="s">
        <v>6124</v>
      </c>
      <c r="G1724" s="5" t="s">
        <v>6125</v>
      </c>
      <c r="H1724" s="5" t="s">
        <v>6126</v>
      </c>
      <c r="I1724" s="5" t="s">
        <v>641</v>
      </c>
      <c r="J1724" s="5" t="s">
        <v>6127</v>
      </c>
      <c r="K1724" s="5">
        <v>1.0</v>
      </c>
      <c r="L1724" s="5">
        <v>14438.0</v>
      </c>
      <c r="M1724" s="11">
        <v>-117.2284167</v>
      </c>
      <c r="N1724" s="11">
        <v>51.10902778</v>
      </c>
      <c r="O1724" s="11">
        <v>2201.0</v>
      </c>
      <c r="P1724" s="5" t="s">
        <v>6123</v>
      </c>
      <c r="Q1724" s="72">
        <v>8.0</v>
      </c>
      <c r="R1724" s="11" t="s">
        <v>6124</v>
      </c>
      <c r="S1724" s="11" t="s">
        <v>6009</v>
      </c>
    </row>
    <row r="1725" ht="14.25" customHeight="1">
      <c r="A1725" s="5" t="s">
        <v>2037</v>
      </c>
      <c r="B1725" s="5">
        <v>5.0</v>
      </c>
      <c r="C1725" s="5" t="s">
        <v>6010</v>
      </c>
      <c r="D1725" s="5" t="s">
        <v>6128</v>
      </c>
      <c r="E1725" s="5">
        <v>2440.0</v>
      </c>
      <c r="F1725" s="10" t="s">
        <v>6129</v>
      </c>
      <c r="G1725" s="5" t="s">
        <v>6130</v>
      </c>
      <c r="H1725" s="5" t="s">
        <v>6131</v>
      </c>
      <c r="I1725" s="5" t="s">
        <v>1664</v>
      </c>
      <c r="J1725" s="5" t="s">
        <v>6046</v>
      </c>
      <c r="K1725" s="5">
        <v>1.0</v>
      </c>
      <c r="L1725" s="5">
        <v>2843.0</v>
      </c>
      <c r="M1725" s="10" t="str">
        <f>NUMBERVALUE(LEFT(G1725,7))</f>
        <v>#NAME?</v>
      </c>
      <c r="N1725" s="10">
        <v>50.07972</v>
      </c>
      <c r="O1725" s="10" t="str">
        <f>NUMBERVALUE(LEFT(RIGHT(G1725,5),3))</f>
        <v>#NAME?</v>
      </c>
      <c r="P1725" s="10" t="str">
        <f>D1725</f>
        <v>CHK</v>
      </c>
      <c r="Q1725" s="55"/>
      <c r="R1725" s="10" t="s">
        <v>6132</v>
      </c>
      <c r="S1725" s="55"/>
      <c r="T1725" s="55"/>
      <c r="U1725" s="55"/>
      <c r="V1725" s="55"/>
      <c r="W1725" s="55"/>
      <c r="X1725" s="55"/>
      <c r="Y1725" s="55"/>
      <c r="Z1725" s="55"/>
      <c r="AA1725" s="55"/>
      <c r="AB1725" s="55"/>
      <c r="AC1725" s="55"/>
      <c r="AD1725" s="55"/>
      <c r="AE1725" s="55"/>
      <c r="AF1725" s="55"/>
      <c r="AG1725" s="55"/>
      <c r="AH1725" s="55"/>
      <c r="AI1725" s="55"/>
      <c r="AJ1725" s="55"/>
      <c r="AK1725" s="55"/>
      <c r="AL1725" s="55"/>
      <c r="AM1725" s="55"/>
      <c r="AN1725" s="55"/>
      <c r="AO1725" s="55"/>
      <c r="AP1725" s="55"/>
      <c r="AQ1725" s="55"/>
      <c r="AR1725" s="55"/>
      <c r="AS1725" s="55"/>
      <c r="AT1725" s="55"/>
      <c r="AU1725" s="55"/>
      <c r="AV1725" s="55"/>
      <c r="AW1725" s="55"/>
      <c r="AX1725" s="55"/>
      <c r="AY1725" s="55"/>
      <c r="AZ1725" s="55"/>
      <c r="BA1725" s="55"/>
      <c r="BB1725" s="55"/>
      <c r="BC1725" s="55"/>
      <c r="BD1725" s="55"/>
      <c r="BE1725" s="55"/>
      <c r="BF1725" s="55"/>
      <c r="BG1725" s="55"/>
      <c r="BH1725" s="55"/>
      <c r="BI1725" s="55"/>
      <c r="BJ1725" s="55"/>
      <c r="BK1725" s="55"/>
      <c r="BL1725" s="55"/>
      <c r="BM1725" s="55"/>
      <c r="BN1725" s="55"/>
      <c r="BO1725" s="55"/>
      <c r="BP1725" s="55"/>
      <c r="BQ1725" s="55"/>
      <c r="BR1725" s="55"/>
      <c r="BS1725" s="55"/>
      <c r="BT1725" s="55"/>
    </row>
    <row r="1726" ht="14.25" customHeight="1">
      <c r="B1726" s="5">
        <v>5.0</v>
      </c>
      <c r="C1726" s="5" t="s">
        <v>6010</v>
      </c>
      <c r="D1726" s="5" t="s">
        <v>6133</v>
      </c>
      <c r="E1726" s="5">
        <v>2441.0</v>
      </c>
      <c r="F1726" s="5" t="s">
        <v>6134</v>
      </c>
      <c r="G1726" s="5" t="s">
        <v>6135</v>
      </c>
      <c r="H1726" s="5" t="s">
        <v>6136</v>
      </c>
      <c r="I1726" s="5" t="s">
        <v>1664</v>
      </c>
      <c r="J1726" s="5" t="s">
        <v>6041</v>
      </c>
      <c r="K1726" s="5">
        <v>1.0</v>
      </c>
      <c r="L1726" s="5">
        <v>2844.0</v>
      </c>
      <c r="M1726" s="11">
        <v>-122.7788667</v>
      </c>
      <c r="N1726" s="11">
        <v>56.63683333</v>
      </c>
      <c r="O1726" s="11">
        <v>1480.0</v>
      </c>
      <c r="P1726" s="5" t="s">
        <v>6133</v>
      </c>
      <c r="Q1726" s="72">
        <v>7.0</v>
      </c>
      <c r="R1726" s="11" t="s">
        <v>6134</v>
      </c>
      <c r="S1726" s="11" t="s">
        <v>6009</v>
      </c>
    </row>
    <row r="1727" ht="14.25" customHeight="1">
      <c r="A1727" s="5" t="s">
        <v>88</v>
      </c>
      <c r="B1727" s="5">
        <v>5.0</v>
      </c>
      <c r="C1727" s="5" t="s">
        <v>6010</v>
      </c>
      <c r="D1727" s="5" t="s">
        <v>6137</v>
      </c>
      <c r="E1727" s="5">
        <v>2442.0</v>
      </c>
      <c r="F1727" s="5" t="s">
        <v>6138</v>
      </c>
      <c r="G1727" s="10" t="s">
        <v>6139</v>
      </c>
      <c r="H1727" s="5" t="s">
        <v>6040</v>
      </c>
      <c r="I1727" s="5" t="s">
        <v>1664</v>
      </c>
      <c r="J1727" s="5" t="s">
        <v>6046</v>
      </c>
      <c r="K1727" s="5">
        <v>1.0</v>
      </c>
      <c r="L1727" s="5">
        <v>2845.0</v>
      </c>
      <c r="M1727" s="11">
        <v>-123.529025</v>
      </c>
      <c r="N1727" s="11">
        <v>49.71086667</v>
      </c>
      <c r="O1727" s="11">
        <v>10.0</v>
      </c>
      <c r="P1727" s="5" t="s">
        <v>6137</v>
      </c>
      <c r="Q1727" s="72">
        <v>1.0</v>
      </c>
      <c r="R1727" s="11" t="s">
        <v>6138</v>
      </c>
      <c r="S1727" s="11" t="s">
        <v>6009</v>
      </c>
    </row>
    <row r="1728" ht="14.25" customHeight="1">
      <c r="A1728" s="5" t="s">
        <v>2037</v>
      </c>
      <c r="B1728" s="5">
        <v>5.0</v>
      </c>
      <c r="C1728" s="5" t="s">
        <v>6010</v>
      </c>
      <c r="D1728" s="5" t="s">
        <v>6140</v>
      </c>
      <c r="E1728" s="5">
        <v>2443.0</v>
      </c>
      <c r="F1728" s="10" t="s">
        <v>6141</v>
      </c>
      <c r="G1728" s="5" t="s">
        <v>6142</v>
      </c>
      <c r="H1728" s="5" t="s">
        <v>6143</v>
      </c>
      <c r="I1728" s="5" t="s">
        <v>1664</v>
      </c>
      <c r="J1728" s="5" t="s">
        <v>6046</v>
      </c>
      <c r="K1728" s="5">
        <v>1.0</v>
      </c>
      <c r="L1728" s="5">
        <v>2846.0</v>
      </c>
      <c r="M1728" s="10">
        <v>-123.42028</v>
      </c>
      <c r="N1728" s="10">
        <v>49.78778</v>
      </c>
      <c r="O1728" s="10">
        <v>125.0</v>
      </c>
      <c r="P1728" s="10" t="s">
        <v>6140</v>
      </c>
      <c r="Q1728" s="55"/>
      <c r="R1728" s="10" t="s">
        <v>6144</v>
      </c>
      <c r="S1728" s="55"/>
      <c r="T1728" s="55"/>
      <c r="U1728" s="55"/>
      <c r="V1728" s="55"/>
      <c r="W1728" s="55"/>
      <c r="X1728" s="55"/>
      <c r="Y1728" s="55"/>
      <c r="Z1728" s="55"/>
      <c r="AA1728" s="55"/>
      <c r="AB1728" s="55"/>
      <c r="AC1728" s="55"/>
      <c r="AD1728" s="55"/>
      <c r="AE1728" s="55"/>
      <c r="AF1728" s="55"/>
      <c r="AG1728" s="55"/>
      <c r="AH1728" s="55"/>
      <c r="AI1728" s="55"/>
      <c r="AJ1728" s="55"/>
      <c r="AK1728" s="55"/>
      <c r="AL1728" s="55"/>
      <c r="AM1728" s="55"/>
      <c r="AN1728" s="55"/>
      <c r="AO1728" s="55"/>
      <c r="AP1728" s="55"/>
      <c r="AQ1728" s="55"/>
      <c r="AR1728" s="55"/>
      <c r="AS1728" s="55"/>
      <c r="AT1728" s="55"/>
      <c r="AU1728" s="55"/>
      <c r="AV1728" s="55"/>
      <c r="AW1728" s="55"/>
      <c r="AX1728" s="55"/>
      <c r="AY1728" s="55"/>
      <c r="AZ1728" s="55"/>
      <c r="BA1728" s="55"/>
      <c r="BB1728" s="55"/>
      <c r="BC1728" s="55"/>
      <c r="BD1728" s="55"/>
      <c r="BE1728" s="55"/>
      <c r="BF1728" s="55"/>
      <c r="BG1728" s="55"/>
      <c r="BH1728" s="55"/>
      <c r="BI1728" s="55"/>
      <c r="BJ1728" s="55"/>
      <c r="BK1728" s="55"/>
      <c r="BL1728" s="55"/>
      <c r="BM1728" s="55"/>
      <c r="BN1728" s="55"/>
      <c r="BO1728" s="55"/>
      <c r="BP1728" s="55"/>
      <c r="BQ1728" s="55"/>
      <c r="BR1728" s="55"/>
      <c r="BS1728" s="55"/>
      <c r="BT1728" s="55"/>
    </row>
    <row r="1729" ht="14.25" customHeight="1">
      <c r="B1729" s="5">
        <v>5.0</v>
      </c>
      <c r="C1729" s="5" t="s">
        <v>6010</v>
      </c>
      <c r="D1729" s="5" t="s">
        <v>6145</v>
      </c>
      <c r="E1729" s="5">
        <v>12388.0</v>
      </c>
      <c r="F1729" s="5" t="s">
        <v>6146</v>
      </c>
      <c r="G1729" s="5" t="s">
        <v>6147</v>
      </c>
      <c r="H1729" s="5" t="s">
        <v>6126</v>
      </c>
      <c r="I1729" s="5" t="s">
        <v>641</v>
      </c>
      <c r="J1729" s="5" t="s">
        <v>6087</v>
      </c>
      <c r="K1729" s="5">
        <v>1.0</v>
      </c>
      <c r="L1729" s="5">
        <v>14410.0</v>
      </c>
      <c r="M1729" s="11">
        <v>-117.6108611</v>
      </c>
      <c r="N1729" s="11">
        <v>51.60772222</v>
      </c>
      <c r="O1729" s="11">
        <v>2131.0</v>
      </c>
      <c r="P1729" s="5" t="s">
        <v>6145</v>
      </c>
      <c r="Q1729" s="72">
        <v>7.0</v>
      </c>
      <c r="R1729" s="11" t="s">
        <v>6146</v>
      </c>
      <c r="S1729" s="11" t="s">
        <v>6009</v>
      </c>
    </row>
    <row r="1730" ht="14.25" customHeight="1">
      <c r="A1730" s="5" t="s">
        <v>2037</v>
      </c>
      <c r="B1730" s="5">
        <v>5.0</v>
      </c>
      <c r="C1730" s="5" t="s">
        <v>6010</v>
      </c>
      <c r="D1730" s="5" t="s">
        <v>6148</v>
      </c>
      <c r="E1730" s="5">
        <v>2434.0</v>
      </c>
      <c r="F1730" s="10" t="s">
        <v>6149</v>
      </c>
      <c r="G1730" s="5" t="s">
        <v>6150</v>
      </c>
      <c r="H1730" s="5" t="s">
        <v>6151</v>
      </c>
      <c r="I1730" s="5" t="s">
        <v>1664</v>
      </c>
      <c r="J1730" s="5" t="s">
        <v>6046</v>
      </c>
      <c r="K1730" s="5">
        <v>1.0</v>
      </c>
      <c r="L1730" s="5">
        <v>2837.0</v>
      </c>
      <c r="M1730" s="10">
        <v>117.71639</v>
      </c>
      <c r="N1730" s="10">
        <v>49.177778</v>
      </c>
      <c r="O1730" s="10">
        <v>410.0</v>
      </c>
      <c r="P1730" s="10" t="s">
        <v>6148</v>
      </c>
      <c r="Q1730" s="55"/>
      <c r="R1730" s="10" t="s">
        <v>6152</v>
      </c>
      <c r="S1730" s="55"/>
      <c r="T1730" s="55"/>
      <c r="U1730" s="55"/>
      <c r="V1730" s="55"/>
      <c r="W1730" s="55"/>
      <c r="X1730" s="55"/>
      <c r="Y1730" s="55"/>
      <c r="Z1730" s="55"/>
      <c r="AA1730" s="55"/>
      <c r="AB1730" s="55"/>
      <c r="AC1730" s="55"/>
      <c r="AD1730" s="55"/>
      <c r="AE1730" s="55"/>
      <c r="AF1730" s="55"/>
      <c r="AG1730" s="55"/>
      <c r="AH1730" s="55"/>
      <c r="AI1730" s="55"/>
      <c r="AJ1730" s="55"/>
      <c r="AK1730" s="55"/>
      <c r="AL1730" s="55"/>
      <c r="AM1730" s="55"/>
      <c r="AN1730" s="55"/>
      <c r="AO1730" s="55"/>
      <c r="AP1730" s="55"/>
      <c r="AQ1730" s="55"/>
      <c r="AR1730" s="55"/>
      <c r="AS1730" s="55"/>
      <c r="AT1730" s="55"/>
      <c r="AU1730" s="55"/>
      <c r="AV1730" s="55"/>
      <c r="AW1730" s="55"/>
      <c r="AX1730" s="55"/>
      <c r="AY1730" s="55"/>
      <c r="AZ1730" s="55"/>
      <c r="BA1730" s="55"/>
      <c r="BB1730" s="55"/>
      <c r="BC1730" s="55"/>
      <c r="BD1730" s="55"/>
      <c r="BE1730" s="55"/>
      <c r="BF1730" s="55"/>
      <c r="BG1730" s="55"/>
      <c r="BH1730" s="55"/>
      <c r="BI1730" s="55"/>
      <c r="BJ1730" s="55"/>
      <c r="BK1730" s="55"/>
      <c r="BL1730" s="55"/>
      <c r="BM1730" s="55"/>
      <c r="BN1730" s="55"/>
      <c r="BO1730" s="55"/>
      <c r="BP1730" s="55"/>
      <c r="BQ1730" s="55"/>
      <c r="BR1730" s="55"/>
      <c r="BS1730" s="55"/>
      <c r="BT1730" s="55"/>
    </row>
    <row r="1731" ht="14.25" customHeight="1">
      <c r="B1731" s="5">
        <v>5.0</v>
      </c>
      <c r="C1731" s="5" t="s">
        <v>6010</v>
      </c>
      <c r="D1731" s="5" t="s">
        <v>6153</v>
      </c>
      <c r="E1731" s="5">
        <v>12392.0</v>
      </c>
      <c r="F1731" s="5" t="s">
        <v>6154</v>
      </c>
      <c r="G1731" s="5" t="s">
        <v>6155</v>
      </c>
      <c r="H1731" s="5" t="s">
        <v>6156</v>
      </c>
      <c r="I1731" s="5" t="s">
        <v>641</v>
      </c>
      <c r="J1731" s="5" t="s">
        <v>6021</v>
      </c>
      <c r="K1731" s="5">
        <v>1.0</v>
      </c>
      <c r="L1731" s="5">
        <v>14414.0</v>
      </c>
      <c r="M1731" s="11">
        <v>-117.1810139</v>
      </c>
      <c r="N1731" s="11">
        <v>51.48368056</v>
      </c>
      <c r="O1731" s="11">
        <v>770.0</v>
      </c>
      <c r="P1731" s="5" t="s">
        <v>6153</v>
      </c>
      <c r="Q1731" s="72">
        <v>1.0</v>
      </c>
      <c r="R1731" s="11" t="s">
        <v>6154</v>
      </c>
      <c r="S1731" s="11" t="s">
        <v>6009</v>
      </c>
    </row>
    <row r="1732" ht="14.25" customHeight="1">
      <c r="A1732" s="5" t="s">
        <v>88</v>
      </c>
      <c r="B1732" s="5">
        <v>5.0</v>
      </c>
      <c r="C1732" s="5" t="s">
        <v>6010</v>
      </c>
      <c r="D1732" s="5" t="s">
        <v>6157</v>
      </c>
      <c r="E1732" s="5">
        <v>2446.0</v>
      </c>
      <c r="F1732" s="5" t="s">
        <v>6158</v>
      </c>
      <c r="G1732" s="10" t="s">
        <v>6159</v>
      </c>
      <c r="H1732" s="5" t="s">
        <v>6074</v>
      </c>
      <c r="I1732" s="5" t="s">
        <v>1664</v>
      </c>
      <c r="J1732" s="5" t="s">
        <v>6046</v>
      </c>
      <c r="K1732" s="5">
        <v>1.0</v>
      </c>
      <c r="L1732" s="5">
        <v>2849.0</v>
      </c>
      <c r="M1732" s="11">
        <v>-125.0961111111111</v>
      </c>
      <c r="N1732" s="11">
        <v>49.643655555555554</v>
      </c>
      <c r="O1732" s="11">
        <v>138.0</v>
      </c>
      <c r="P1732" s="5" t="s">
        <v>6157</v>
      </c>
      <c r="Q1732" s="72">
        <v>3.0</v>
      </c>
      <c r="R1732" s="11" t="s">
        <v>6160</v>
      </c>
      <c r="S1732" s="11" t="s">
        <v>6009</v>
      </c>
    </row>
    <row r="1733" ht="14.25" customHeight="1">
      <c r="A1733" s="5" t="s">
        <v>2037</v>
      </c>
      <c r="B1733" s="5">
        <v>5.0</v>
      </c>
      <c r="C1733" s="5" t="s">
        <v>6010</v>
      </c>
      <c r="D1733" s="5" t="s">
        <v>6161</v>
      </c>
      <c r="E1733" s="5">
        <v>2448.0</v>
      </c>
      <c r="F1733" s="10" t="s">
        <v>6162</v>
      </c>
      <c r="G1733" s="5" t="s">
        <v>6163</v>
      </c>
      <c r="H1733" s="5" t="s">
        <v>6164</v>
      </c>
      <c r="I1733" s="5" t="s">
        <v>1664</v>
      </c>
      <c r="J1733" s="5" t="s">
        <v>6046</v>
      </c>
      <c r="K1733" s="5">
        <v>1.0</v>
      </c>
      <c r="L1733" s="5">
        <v>2851.0</v>
      </c>
      <c r="U1733" s="55"/>
      <c r="V1733" s="55"/>
      <c r="W1733" s="55"/>
      <c r="X1733" s="55"/>
      <c r="Y1733" s="55"/>
      <c r="Z1733" s="55"/>
      <c r="AA1733" s="55"/>
      <c r="AB1733" s="55"/>
      <c r="AC1733" s="55"/>
      <c r="AD1733" s="55"/>
      <c r="AE1733" s="55"/>
      <c r="AF1733" s="55"/>
      <c r="AG1733" s="55"/>
      <c r="AH1733" s="55"/>
      <c r="AI1733" s="55"/>
      <c r="AJ1733" s="55"/>
      <c r="AK1733" s="55"/>
      <c r="AL1733" s="55"/>
      <c r="AM1733" s="55"/>
      <c r="AN1733" s="55"/>
      <c r="AO1733" s="55"/>
      <c r="AP1733" s="55"/>
      <c r="AQ1733" s="55"/>
      <c r="AR1733" s="55"/>
      <c r="AS1733" s="55"/>
      <c r="AT1733" s="55"/>
      <c r="AU1733" s="55"/>
      <c r="AV1733" s="55"/>
      <c r="AW1733" s="55"/>
      <c r="AX1733" s="55"/>
      <c r="AY1733" s="55"/>
      <c r="AZ1733" s="55"/>
      <c r="BA1733" s="55"/>
      <c r="BB1733" s="55"/>
      <c r="BC1733" s="55"/>
      <c r="BD1733" s="55"/>
      <c r="BE1733" s="55"/>
      <c r="BF1733" s="55"/>
      <c r="BG1733" s="55"/>
      <c r="BH1733" s="55"/>
      <c r="BI1733" s="55"/>
      <c r="BJ1733" s="55"/>
      <c r="BK1733" s="55"/>
      <c r="BL1733" s="55"/>
      <c r="BM1733" s="55"/>
      <c r="BN1733" s="55"/>
      <c r="BO1733" s="55"/>
      <c r="BP1733" s="55"/>
      <c r="BQ1733" s="55"/>
      <c r="BR1733" s="55"/>
      <c r="BS1733" s="55"/>
      <c r="BT1733" s="55"/>
    </row>
    <row r="1734" ht="14.25" customHeight="1">
      <c r="B1734" s="5">
        <v>5.0</v>
      </c>
      <c r="C1734" s="5" t="s">
        <v>6010</v>
      </c>
      <c r="D1734" s="5" t="s">
        <v>6165</v>
      </c>
      <c r="E1734" s="5">
        <v>13097.0</v>
      </c>
      <c r="F1734" s="5" t="s">
        <v>6166</v>
      </c>
      <c r="G1734" s="5" t="s">
        <v>6167</v>
      </c>
      <c r="H1734" s="5" t="s">
        <v>6014</v>
      </c>
      <c r="I1734" s="5" t="s">
        <v>49</v>
      </c>
      <c r="J1734" s="5" t="s">
        <v>6168</v>
      </c>
      <c r="K1734" s="5">
        <v>1.0</v>
      </c>
      <c r="L1734" s="5">
        <v>15019.0</v>
      </c>
      <c r="M1734" s="11">
        <v>-116.93975</v>
      </c>
      <c r="N1734" s="11">
        <v>50.812033</v>
      </c>
      <c r="O1734" s="11">
        <v>2599.0</v>
      </c>
      <c r="P1734" s="5" t="s">
        <v>6165</v>
      </c>
      <c r="Q1734" s="72">
        <v>8.0</v>
      </c>
      <c r="R1734" s="11" t="s">
        <v>6166</v>
      </c>
      <c r="S1734" s="11" t="s">
        <v>6009</v>
      </c>
    </row>
    <row r="1735" ht="14.25" customHeight="1">
      <c r="B1735" s="5">
        <v>5.0</v>
      </c>
      <c r="C1735" s="5" t="s">
        <v>6010</v>
      </c>
      <c r="D1735" s="5" t="s">
        <v>6169</v>
      </c>
      <c r="E1735" s="5">
        <v>13113.0</v>
      </c>
      <c r="F1735" s="5" t="s">
        <v>6170</v>
      </c>
      <c r="G1735" s="5" t="s">
        <v>6171</v>
      </c>
      <c r="H1735" s="5" t="s">
        <v>6172</v>
      </c>
      <c r="I1735" s="5" t="s">
        <v>49</v>
      </c>
      <c r="J1735" s="5" t="s">
        <v>6021</v>
      </c>
      <c r="K1735" s="5">
        <v>1.0</v>
      </c>
      <c r="L1735" s="5">
        <v>15035.0</v>
      </c>
      <c r="M1735" s="11">
        <v>-122.774737</v>
      </c>
      <c r="N1735" s="11">
        <v>49.35415</v>
      </c>
      <c r="O1735" s="11">
        <v>152.0</v>
      </c>
      <c r="P1735" s="5" t="s">
        <v>6169</v>
      </c>
      <c r="Q1735" s="72">
        <v>2.0</v>
      </c>
      <c r="R1735" s="11" t="s">
        <v>6170</v>
      </c>
      <c r="S1735" s="11" t="s">
        <v>6009</v>
      </c>
    </row>
    <row r="1736" ht="14.25" customHeight="1">
      <c r="A1736" s="5" t="s">
        <v>2037</v>
      </c>
      <c r="B1736" s="5">
        <v>5.0</v>
      </c>
      <c r="C1736" s="5" t="s">
        <v>6010</v>
      </c>
      <c r="D1736" s="5" t="s">
        <v>6173</v>
      </c>
      <c r="E1736" s="5">
        <v>2447.0</v>
      </c>
      <c r="F1736" s="10" t="s">
        <v>6174</v>
      </c>
      <c r="G1736" s="5" t="s">
        <v>6175</v>
      </c>
      <c r="H1736" s="5" t="s">
        <v>6176</v>
      </c>
      <c r="I1736" s="5" t="s">
        <v>1664</v>
      </c>
      <c r="J1736" s="5" t="s">
        <v>6051</v>
      </c>
      <c r="K1736" s="5">
        <v>1.0</v>
      </c>
      <c r="L1736" s="5">
        <v>2850.0</v>
      </c>
      <c r="M1736" s="10">
        <v>122.779625</v>
      </c>
      <c r="N1736" s="10">
        <v>49.3558611</v>
      </c>
      <c r="O1736" s="10">
        <v>160.0</v>
      </c>
      <c r="P1736" s="10" t="s">
        <v>6173</v>
      </c>
      <c r="Q1736" s="55"/>
      <c r="R1736" s="10" t="str">
        <f t="shared" ref="R1736:R1737" si="15">F1736</f>
        <v>Coquitlam Lake forebay</v>
      </c>
      <c r="S1736" s="55"/>
      <c r="T1736" s="55"/>
      <c r="U1736" s="55"/>
      <c r="V1736" s="55"/>
      <c r="W1736" s="55"/>
      <c r="X1736" s="55"/>
      <c r="Y1736" s="55"/>
      <c r="Z1736" s="55"/>
      <c r="AA1736" s="55"/>
      <c r="AB1736" s="55"/>
      <c r="AC1736" s="55"/>
      <c r="AD1736" s="55"/>
      <c r="AE1736" s="55"/>
      <c r="AF1736" s="55"/>
      <c r="AG1736" s="55"/>
      <c r="AH1736" s="55"/>
      <c r="AI1736" s="55"/>
      <c r="AJ1736" s="55"/>
      <c r="AK1736" s="55"/>
      <c r="AL1736" s="55"/>
      <c r="AM1736" s="55"/>
      <c r="AN1736" s="55"/>
      <c r="AO1736" s="55"/>
      <c r="AP1736" s="55"/>
      <c r="AQ1736" s="55"/>
      <c r="AR1736" s="55"/>
      <c r="AS1736" s="55"/>
      <c r="AT1736" s="55"/>
      <c r="AU1736" s="55"/>
      <c r="AV1736" s="55"/>
      <c r="AW1736" s="55"/>
      <c r="AX1736" s="55"/>
      <c r="AY1736" s="55"/>
      <c r="AZ1736" s="55"/>
      <c r="BA1736" s="55"/>
      <c r="BB1736" s="55"/>
      <c r="BC1736" s="55"/>
      <c r="BD1736" s="55"/>
      <c r="BE1736" s="55"/>
      <c r="BF1736" s="55"/>
      <c r="BG1736" s="55"/>
      <c r="BH1736" s="55"/>
      <c r="BI1736" s="55"/>
      <c r="BJ1736" s="55"/>
      <c r="BK1736" s="55"/>
      <c r="BL1736" s="55"/>
      <c r="BM1736" s="55"/>
      <c r="BN1736" s="55"/>
      <c r="BO1736" s="55"/>
      <c r="BP1736" s="55"/>
      <c r="BQ1736" s="55"/>
      <c r="BR1736" s="55"/>
      <c r="BS1736" s="55"/>
      <c r="BT1736" s="55"/>
    </row>
    <row r="1737" ht="14.25" customHeight="1">
      <c r="A1737" s="5" t="s">
        <v>2037</v>
      </c>
      <c r="B1737" s="5">
        <v>5.0</v>
      </c>
      <c r="C1737" s="5" t="s">
        <v>6010</v>
      </c>
      <c r="D1737" s="5" t="s">
        <v>6177</v>
      </c>
      <c r="E1737" s="5">
        <v>2449.0</v>
      </c>
      <c r="F1737" s="10" t="s">
        <v>6178</v>
      </c>
      <c r="G1737" s="5" t="s">
        <v>6179</v>
      </c>
      <c r="H1737" s="5" t="s">
        <v>6176</v>
      </c>
      <c r="I1737" s="5" t="s">
        <v>1664</v>
      </c>
      <c r="J1737" s="5" t="s">
        <v>6046</v>
      </c>
      <c r="K1737" s="5">
        <v>1.0</v>
      </c>
      <c r="L1737" s="5">
        <v>2852.0</v>
      </c>
      <c r="M1737" s="10">
        <v>122.79249</v>
      </c>
      <c r="N1737" s="10">
        <v>49.28829</v>
      </c>
      <c r="O1737" s="10">
        <v>290.0</v>
      </c>
      <c r="P1737" s="10" t="s">
        <v>6180</v>
      </c>
      <c r="Q1737" s="55"/>
      <c r="R1737" s="10" t="str">
        <f t="shared" si="15"/>
        <v>Coquitlam R. ab Lake -&gt; Coquitlam River above Lake</v>
      </c>
      <c r="S1737" s="55"/>
      <c r="T1737" s="55"/>
      <c r="U1737" s="55"/>
      <c r="V1737" s="55"/>
      <c r="W1737" s="55"/>
      <c r="X1737" s="55"/>
      <c r="Y1737" s="55"/>
      <c r="Z1737" s="55"/>
      <c r="AA1737" s="55"/>
      <c r="AB1737" s="55"/>
      <c r="AC1737" s="55"/>
      <c r="AD1737" s="55"/>
      <c r="AE1737" s="55"/>
      <c r="AF1737" s="55"/>
      <c r="AG1737" s="55"/>
      <c r="AH1737" s="55"/>
      <c r="AI1737" s="55"/>
      <c r="AJ1737" s="55"/>
      <c r="AK1737" s="55"/>
      <c r="AL1737" s="55"/>
      <c r="AM1737" s="55"/>
      <c r="AN1737" s="55"/>
      <c r="AO1737" s="55"/>
      <c r="AP1737" s="55"/>
      <c r="AQ1737" s="55"/>
      <c r="AR1737" s="55"/>
      <c r="AS1737" s="55"/>
      <c r="AT1737" s="55"/>
      <c r="AU1737" s="55"/>
      <c r="AV1737" s="55"/>
      <c r="AW1737" s="55"/>
      <c r="AX1737" s="55"/>
      <c r="AY1737" s="55"/>
      <c r="AZ1737" s="55"/>
      <c r="BA1737" s="55"/>
      <c r="BB1737" s="55"/>
      <c r="BC1737" s="55"/>
      <c r="BD1737" s="55"/>
      <c r="BE1737" s="55"/>
      <c r="BF1737" s="55"/>
      <c r="BG1737" s="55"/>
      <c r="BH1737" s="55"/>
      <c r="BI1737" s="55"/>
      <c r="BJ1737" s="55"/>
      <c r="BK1737" s="55"/>
      <c r="BL1737" s="55"/>
      <c r="BM1737" s="55"/>
      <c r="BN1737" s="55"/>
      <c r="BO1737" s="55"/>
      <c r="BP1737" s="55"/>
      <c r="BQ1737" s="55"/>
      <c r="BR1737" s="55"/>
      <c r="BS1737" s="55"/>
      <c r="BT1737" s="55"/>
    </row>
    <row r="1738" ht="14.25" customHeight="1">
      <c r="B1738" s="5">
        <v>5.0</v>
      </c>
      <c r="C1738" s="5" t="s">
        <v>6010</v>
      </c>
      <c r="D1738" s="5" t="s">
        <v>6180</v>
      </c>
      <c r="E1738" s="5">
        <v>13125.0</v>
      </c>
      <c r="F1738" s="5" t="s">
        <v>6181</v>
      </c>
      <c r="G1738" s="5" t="s">
        <v>6182</v>
      </c>
      <c r="H1738" s="5" t="s">
        <v>6172</v>
      </c>
      <c r="I1738" s="5" t="s">
        <v>49</v>
      </c>
      <c r="J1738" s="5" t="s">
        <v>6021</v>
      </c>
      <c r="K1738" s="5">
        <v>1.0</v>
      </c>
      <c r="L1738" s="5">
        <v>15047.0</v>
      </c>
      <c r="M1738" s="11">
        <v>-122.793048</v>
      </c>
      <c r="N1738" s="11">
        <v>49.487775</v>
      </c>
      <c r="O1738" s="11">
        <v>290.0</v>
      </c>
      <c r="P1738" s="5" t="s">
        <v>6180</v>
      </c>
      <c r="Q1738" s="72">
        <v>2.0</v>
      </c>
      <c r="R1738" s="11" t="s">
        <v>6181</v>
      </c>
      <c r="S1738" s="11" t="s">
        <v>6009</v>
      </c>
    </row>
    <row r="1739" ht="14.25" customHeight="1">
      <c r="A1739" s="5" t="s">
        <v>2037</v>
      </c>
      <c r="B1739" s="5">
        <v>5.0</v>
      </c>
      <c r="C1739" s="5" t="s">
        <v>6010</v>
      </c>
      <c r="D1739" s="5" t="s">
        <v>6183</v>
      </c>
      <c r="E1739" s="5">
        <v>2451.0</v>
      </c>
      <c r="F1739" s="10" t="s">
        <v>6184</v>
      </c>
      <c r="G1739" s="5" t="s">
        <v>6185</v>
      </c>
      <c r="H1739" s="5" t="s">
        <v>6186</v>
      </c>
      <c r="I1739" s="5" t="s">
        <v>1664</v>
      </c>
      <c r="J1739" s="5" t="s">
        <v>6187</v>
      </c>
      <c r="K1739" s="5">
        <v>1.0</v>
      </c>
      <c r="L1739" s="5">
        <v>2854.0</v>
      </c>
      <c r="T1739" s="55"/>
      <c r="U1739" s="55"/>
      <c r="V1739" s="55"/>
      <c r="W1739" s="55"/>
      <c r="X1739" s="55"/>
      <c r="Y1739" s="55"/>
      <c r="Z1739" s="55"/>
      <c r="AA1739" s="55"/>
      <c r="AB1739" s="55"/>
      <c r="AC1739" s="55"/>
      <c r="AD1739" s="55"/>
      <c r="AE1739" s="55"/>
      <c r="AF1739" s="55"/>
      <c r="AG1739" s="55"/>
      <c r="AH1739" s="55"/>
      <c r="AI1739" s="55"/>
      <c r="AJ1739" s="55"/>
      <c r="AK1739" s="55"/>
      <c r="AL1739" s="55"/>
      <c r="AM1739" s="55"/>
      <c r="AN1739" s="55"/>
      <c r="AO1739" s="55"/>
      <c r="AP1739" s="55"/>
      <c r="AQ1739" s="55"/>
      <c r="AR1739" s="55"/>
      <c r="AS1739" s="55"/>
      <c r="AT1739" s="55"/>
      <c r="AU1739" s="55"/>
      <c r="AV1739" s="55"/>
      <c r="AW1739" s="55"/>
      <c r="AX1739" s="55"/>
      <c r="AY1739" s="55"/>
      <c r="AZ1739" s="55"/>
      <c r="BA1739" s="55"/>
      <c r="BB1739" s="55"/>
      <c r="BC1739" s="55"/>
      <c r="BD1739" s="55"/>
      <c r="BE1739" s="55"/>
      <c r="BF1739" s="55"/>
      <c r="BG1739" s="55"/>
      <c r="BH1739" s="55"/>
      <c r="BI1739" s="55"/>
      <c r="BJ1739" s="55"/>
      <c r="BK1739" s="55"/>
      <c r="BL1739" s="55"/>
      <c r="BM1739" s="55"/>
      <c r="BN1739" s="55"/>
      <c r="BO1739" s="55"/>
      <c r="BP1739" s="55"/>
      <c r="BQ1739" s="55"/>
      <c r="BR1739" s="55"/>
      <c r="BS1739" s="55"/>
      <c r="BT1739" s="55"/>
    </row>
    <row r="1740" ht="14.25" customHeight="1">
      <c r="A1740" s="5" t="s">
        <v>2037</v>
      </c>
      <c r="B1740" s="5">
        <v>5.0</v>
      </c>
      <c r="C1740" s="5" t="s">
        <v>6010</v>
      </c>
      <c r="D1740" s="5" t="s">
        <v>6188</v>
      </c>
      <c r="E1740" s="5">
        <v>2450.0</v>
      </c>
      <c r="F1740" s="10" t="s">
        <v>6189</v>
      </c>
      <c r="G1740" s="5" t="s">
        <v>6190</v>
      </c>
      <c r="H1740" s="5" t="s">
        <v>6191</v>
      </c>
      <c r="I1740" s="5" t="s">
        <v>1664</v>
      </c>
      <c r="J1740" s="5" t="s">
        <v>6046</v>
      </c>
      <c r="K1740" s="5">
        <v>1.0</v>
      </c>
      <c r="L1740" s="5">
        <v>2853.0</v>
      </c>
      <c r="M1740" s="10">
        <v>125.20083</v>
      </c>
      <c r="N1740" s="10">
        <v>49.57917</v>
      </c>
      <c r="O1740" s="10">
        <v>150.0</v>
      </c>
      <c r="P1740" s="10" t="s">
        <v>6188</v>
      </c>
      <c r="Q1740" s="55"/>
      <c r="R1740" s="10" t="str">
        <f>F1740</f>
        <v>Cruickshank R. nr the Mouth -&gt; Cruickshank River near the Mouth</v>
      </c>
      <c r="S1740" s="55"/>
      <c r="T1740" s="55"/>
      <c r="U1740" s="55"/>
      <c r="V1740" s="55"/>
      <c r="W1740" s="55"/>
      <c r="X1740" s="55"/>
      <c r="Y1740" s="55"/>
      <c r="Z1740" s="55"/>
      <c r="AA1740" s="55"/>
      <c r="AB1740" s="55"/>
      <c r="AC1740" s="55"/>
      <c r="AD1740" s="55"/>
      <c r="AE1740" s="55"/>
      <c r="AF1740" s="55"/>
      <c r="AG1740" s="55"/>
      <c r="AH1740" s="55"/>
      <c r="AI1740" s="55"/>
      <c r="AJ1740" s="55"/>
      <c r="AK1740" s="55"/>
      <c r="AL1740" s="55"/>
      <c r="AM1740" s="55"/>
      <c r="AN1740" s="55"/>
      <c r="AO1740" s="55"/>
      <c r="AP1740" s="55"/>
      <c r="AQ1740" s="55"/>
      <c r="AR1740" s="55"/>
      <c r="AS1740" s="55"/>
      <c r="AT1740" s="55"/>
      <c r="AU1740" s="55"/>
      <c r="AV1740" s="55"/>
      <c r="AW1740" s="55"/>
      <c r="AX1740" s="55"/>
      <c r="AY1740" s="55"/>
      <c r="AZ1740" s="55"/>
      <c r="BA1740" s="55"/>
      <c r="BB1740" s="55"/>
      <c r="BC1740" s="55"/>
      <c r="BD1740" s="55"/>
      <c r="BE1740" s="55"/>
      <c r="BF1740" s="55"/>
      <c r="BG1740" s="55"/>
      <c r="BH1740" s="55"/>
      <c r="BI1740" s="55"/>
      <c r="BJ1740" s="55"/>
      <c r="BK1740" s="55"/>
      <c r="BL1740" s="55"/>
      <c r="BM1740" s="55"/>
      <c r="BN1740" s="55"/>
      <c r="BO1740" s="55"/>
      <c r="BP1740" s="55"/>
      <c r="BQ1740" s="55"/>
      <c r="BR1740" s="55"/>
      <c r="BS1740" s="55"/>
      <c r="BT1740" s="55"/>
    </row>
    <row r="1741" ht="14.25" customHeight="1">
      <c r="B1741" s="5">
        <v>5.0</v>
      </c>
      <c r="C1741" s="5" t="s">
        <v>6010</v>
      </c>
      <c r="D1741" s="5" t="s">
        <v>6192</v>
      </c>
      <c r="E1741" s="5">
        <v>13211.0</v>
      </c>
      <c r="F1741" s="5" t="s">
        <v>6193</v>
      </c>
      <c r="G1741" s="5" t="s">
        <v>6194</v>
      </c>
      <c r="H1741" s="5" t="s">
        <v>6086</v>
      </c>
      <c r="I1741" s="5" t="s">
        <v>49</v>
      </c>
      <c r="J1741" s="5" t="s">
        <v>6021</v>
      </c>
      <c r="K1741" s="5">
        <v>1.0</v>
      </c>
      <c r="L1741" s="5">
        <v>15127.0</v>
      </c>
      <c r="M1741" s="11">
        <v>-125.2089</v>
      </c>
      <c r="N1741" s="11">
        <v>49.57840277777778</v>
      </c>
      <c r="O1741" s="11">
        <v>150.0</v>
      </c>
      <c r="P1741" s="5" t="s">
        <v>6192</v>
      </c>
      <c r="Q1741" s="72">
        <v>3.0</v>
      </c>
      <c r="R1741" s="11" t="s">
        <v>6193</v>
      </c>
      <c r="S1741" s="11" t="s">
        <v>6009</v>
      </c>
    </row>
    <row r="1742" ht="14.25" customHeight="1">
      <c r="B1742" s="5">
        <v>5.0</v>
      </c>
      <c r="C1742" s="5" t="s">
        <v>6010</v>
      </c>
      <c r="D1742" s="5" t="s">
        <v>6195</v>
      </c>
      <c r="E1742" s="5">
        <v>12389.0</v>
      </c>
      <c r="F1742" s="5" t="s">
        <v>6196</v>
      </c>
      <c r="G1742" s="5" t="s">
        <v>6197</v>
      </c>
      <c r="H1742" s="5" t="s">
        <v>6126</v>
      </c>
      <c r="I1742" s="5" t="s">
        <v>641</v>
      </c>
      <c r="J1742" s="5" t="s">
        <v>6087</v>
      </c>
      <c r="K1742" s="5">
        <v>1.0</v>
      </c>
      <c r="L1742" s="5">
        <v>14411.0</v>
      </c>
      <c r="M1742" s="11">
        <v>-122.8928333</v>
      </c>
      <c r="N1742" s="11">
        <v>56.38586111</v>
      </c>
      <c r="O1742" s="11">
        <v>1358.0</v>
      </c>
      <c r="P1742" s="5" t="s">
        <v>6195</v>
      </c>
      <c r="Q1742" s="72">
        <v>6.0</v>
      </c>
      <c r="R1742" s="11" t="s">
        <v>6196</v>
      </c>
      <c r="S1742" s="11" t="s">
        <v>6009</v>
      </c>
    </row>
    <row r="1743" ht="14.25" customHeight="1">
      <c r="B1743" s="5">
        <v>5.0</v>
      </c>
      <c r="C1743" s="5" t="s">
        <v>6010</v>
      </c>
      <c r="D1743" s="5" t="s">
        <v>6198</v>
      </c>
      <c r="E1743" s="5">
        <v>12390.0</v>
      </c>
      <c r="F1743" s="5" t="s">
        <v>6199</v>
      </c>
      <c r="G1743" s="5" t="s">
        <v>6200</v>
      </c>
      <c r="H1743" s="5" t="s">
        <v>6201</v>
      </c>
      <c r="I1743" s="5" t="s">
        <v>641</v>
      </c>
      <c r="J1743" s="5" t="s">
        <v>6021</v>
      </c>
      <c r="K1743" s="5">
        <v>1.0</v>
      </c>
      <c r="L1743" s="5">
        <v>14412.0</v>
      </c>
      <c r="M1743" s="11">
        <v>-123.1347222</v>
      </c>
      <c r="N1743" s="11">
        <v>49.975</v>
      </c>
      <c r="O1743" s="11">
        <v>390.0</v>
      </c>
      <c r="P1743" s="5" t="s">
        <v>6198</v>
      </c>
      <c r="Q1743" s="72">
        <v>3.0</v>
      </c>
      <c r="R1743" s="11" t="s">
        <v>6199</v>
      </c>
      <c r="S1743" s="11" t="s">
        <v>6009</v>
      </c>
    </row>
    <row r="1744" ht="14.25" customHeight="1">
      <c r="B1744" s="5">
        <v>5.0</v>
      </c>
      <c r="C1744" s="5" t="s">
        <v>6010</v>
      </c>
      <c r="D1744" s="5" t="s">
        <v>6202</v>
      </c>
      <c r="E1744" s="5">
        <v>2444.0</v>
      </c>
      <c r="F1744" s="10" t="s">
        <v>6203</v>
      </c>
      <c r="G1744" s="5" t="s">
        <v>6204</v>
      </c>
      <c r="H1744" s="5" t="s">
        <v>6205</v>
      </c>
      <c r="I1744" s="5" t="s">
        <v>1664</v>
      </c>
      <c r="J1744" s="5" t="s">
        <v>6187</v>
      </c>
      <c r="K1744" s="5">
        <v>1.0</v>
      </c>
      <c r="L1744" s="5">
        <v>2847.0</v>
      </c>
      <c r="U1744" s="55"/>
      <c r="V1744" s="55"/>
      <c r="W1744" s="55"/>
      <c r="X1744" s="55"/>
      <c r="Y1744" s="55"/>
      <c r="Z1744" s="55"/>
      <c r="AA1744" s="55"/>
      <c r="AB1744" s="55"/>
      <c r="AC1744" s="55"/>
      <c r="AD1744" s="55"/>
      <c r="AE1744" s="55"/>
      <c r="AF1744" s="55"/>
      <c r="AG1744" s="55"/>
      <c r="AH1744" s="55"/>
      <c r="AI1744" s="55"/>
      <c r="AJ1744" s="55"/>
      <c r="AK1744" s="55"/>
      <c r="AL1744" s="55"/>
      <c r="AM1744" s="55"/>
      <c r="AN1744" s="55"/>
      <c r="AO1744" s="55"/>
      <c r="AP1744" s="55"/>
      <c r="AQ1744" s="55"/>
      <c r="AR1744" s="55"/>
      <c r="AS1744" s="55"/>
      <c r="AT1744" s="55"/>
      <c r="AU1744" s="55"/>
      <c r="AV1744" s="55"/>
      <c r="AW1744" s="55"/>
      <c r="AX1744" s="55"/>
      <c r="AY1744" s="55"/>
      <c r="AZ1744" s="55"/>
      <c r="BA1744" s="55"/>
      <c r="BB1744" s="55"/>
      <c r="BC1744" s="55"/>
      <c r="BD1744" s="55"/>
      <c r="BE1744" s="55"/>
      <c r="BF1744" s="55"/>
      <c r="BG1744" s="55"/>
      <c r="BH1744" s="55"/>
      <c r="BI1744" s="55"/>
      <c r="BJ1744" s="55"/>
      <c r="BK1744" s="55"/>
      <c r="BL1744" s="55"/>
      <c r="BM1744" s="55"/>
      <c r="BN1744" s="55"/>
      <c r="BO1744" s="55"/>
      <c r="BP1744" s="55"/>
      <c r="BQ1744" s="55"/>
      <c r="BR1744" s="55"/>
      <c r="BS1744" s="55"/>
      <c r="BT1744" s="55"/>
    </row>
    <row r="1745" ht="14.25" customHeight="1">
      <c r="B1745" s="5">
        <v>5.0</v>
      </c>
      <c r="C1745" s="5" t="s">
        <v>6010</v>
      </c>
      <c r="D1745" s="5" t="s">
        <v>6206</v>
      </c>
      <c r="E1745" s="5">
        <v>13212.0</v>
      </c>
      <c r="F1745" s="5" t="s">
        <v>6207</v>
      </c>
      <c r="G1745" s="5" t="s">
        <v>6208</v>
      </c>
      <c r="H1745" s="5" t="s">
        <v>6209</v>
      </c>
      <c r="I1745" s="5" t="s">
        <v>49</v>
      </c>
      <c r="J1745" s="5" t="s">
        <v>6087</v>
      </c>
      <c r="K1745" s="5">
        <v>1.0</v>
      </c>
      <c r="L1745" s="5">
        <v>15128.0</v>
      </c>
      <c r="M1745" s="5">
        <v>-122.069649528712</v>
      </c>
      <c r="N1745" s="5">
        <v>49.3167043570429</v>
      </c>
      <c r="O1745" s="5">
        <v>1154.90087890625</v>
      </c>
      <c r="P1745" s="5" t="s">
        <v>6206</v>
      </c>
      <c r="Q1745" s="5">
        <v>6.0</v>
      </c>
      <c r="R1745" s="5" t="s">
        <v>6207</v>
      </c>
      <c r="S1745" s="5" t="s">
        <v>6009</v>
      </c>
    </row>
    <row r="1746" ht="14.25" customHeight="1">
      <c r="B1746" s="5">
        <v>5.0</v>
      </c>
      <c r="C1746" s="5" t="s">
        <v>6010</v>
      </c>
      <c r="D1746" s="5" t="s">
        <v>6210</v>
      </c>
      <c r="E1746" s="5">
        <v>12394.0</v>
      </c>
      <c r="F1746" s="5" t="s">
        <v>6211</v>
      </c>
      <c r="G1746" s="5" t="s">
        <v>6212</v>
      </c>
      <c r="H1746" s="5" t="s">
        <v>6126</v>
      </c>
      <c r="I1746" s="5" t="s">
        <v>641</v>
      </c>
      <c r="J1746" s="5" t="s">
        <v>6127</v>
      </c>
      <c r="K1746" s="5">
        <v>1.0</v>
      </c>
      <c r="L1746" s="5">
        <v>14416.0</v>
      </c>
      <c r="M1746" s="5">
        <v>-122.43625</v>
      </c>
      <c r="N1746" s="5">
        <v>55.82508333</v>
      </c>
      <c r="O1746" s="5">
        <v>1456.0</v>
      </c>
      <c r="P1746" s="5" t="s">
        <v>6210</v>
      </c>
      <c r="Q1746" s="5">
        <v>7.0</v>
      </c>
      <c r="R1746" s="5" t="s">
        <v>6211</v>
      </c>
      <c r="S1746" s="5" t="s">
        <v>6009</v>
      </c>
    </row>
    <row r="1747" ht="14.25" customHeight="1">
      <c r="B1747" s="5">
        <v>5.0</v>
      </c>
      <c r="C1747" s="5" t="s">
        <v>6010</v>
      </c>
      <c r="D1747" s="5" t="s">
        <v>6213</v>
      </c>
      <c r="E1747" s="5">
        <v>12391.0</v>
      </c>
      <c r="F1747" s="5" t="s">
        <v>6214</v>
      </c>
      <c r="G1747" s="5" t="s">
        <v>6215</v>
      </c>
      <c r="H1747" s="5" t="s">
        <v>6216</v>
      </c>
      <c r="I1747" s="5" t="s">
        <v>641</v>
      </c>
      <c r="J1747" s="5" t="s">
        <v>6127</v>
      </c>
      <c r="K1747" s="5">
        <v>1.0</v>
      </c>
      <c r="L1747" s="5">
        <v>14413.0</v>
      </c>
      <c r="M1747" s="5">
        <v>-123.1835</v>
      </c>
      <c r="N1747" s="5">
        <v>50.85933333</v>
      </c>
      <c r="O1747" s="5">
        <v>1829.0</v>
      </c>
      <c r="P1747" s="5" t="s">
        <v>6213</v>
      </c>
      <c r="Q1747" s="5">
        <v>8.0</v>
      </c>
      <c r="R1747" s="5" t="s">
        <v>6214</v>
      </c>
      <c r="S1747" s="5" t="s">
        <v>6009</v>
      </c>
    </row>
    <row r="1748" ht="14.25" customHeight="1">
      <c r="A1748" s="5" t="s">
        <v>88</v>
      </c>
      <c r="B1748" s="5">
        <v>5.0</v>
      </c>
      <c r="C1748" s="5" t="s">
        <v>6010</v>
      </c>
      <c r="D1748" s="5" t="s">
        <v>6217</v>
      </c>
      <c r="E1748" s="5">
        <v>13213.0</v>
      </c>
      <c r="F1748" s="5" t="s">
        <v>6218</v>
      </c>
      <c r="G1748" s="10" t="s">
        <v>6219</v>
      </c>
      <c r="H1748" s="5" t="s">
        <v>6014</v>
      </c>
      <c r="I1748" s="5" t="s">
        <v>49</v>
      </c>
      <c r="J1748" s="5" t="s">
        <v>6087</v>
      </c>
      <c r="K1748" s="5">
        <v>1.0</v>
      </c>
      <c r="L1748" s="5">
        <v>15129.0</v>
      </c>
      <c r="M1748" s="11">
        <v>-116.971343</v>
      </c>
      <c r="N1748" s="11">
        <v>50.238723</v>
      </c>
      <c r="O1748" s="11">
        <v>559.0</v>
      </c>
      <c r="P1748" s="5" t="s">
        <v>6217</v>
      </c>
      <c r="Q1748" s="72">
        <v>1.0</v>
      </c>
      <c r="R1748" s="11" t="s">
        <v>6218</v>
      </c>
      <c r="S1748" s="11" t="s">
        <v>6009</v>
      </c>
    </row>
    <row r="1749" ht="14.25" customHeight="1">
      <c r="A1749" s="5" t="s">
        <v>6220</v>
      </c>
      <c r="B1749" s="5">
        <v>5.0</v>
      </c>
      <c r="C1749" s="5" t="s">
        <v>6010</v>
      </c>
      <c r="D1749" s="28" t="s">
        <v>6221</v>
      </c>
      <c r="E1749" s="5">
        <v>2452.0</v>
      </c>
      <c r="F1749" s="10" t="s">
        <v>6222</v>
      </c>
      <c r="G1749" s="5" t="s">
        <v>6223</v>
      </c>
      <c r="H1749" s="5" t="s">
        <v>6224</v>
      </c>
      <c r="I1749" s="5" t="s">
        <v>1664</v>
      </c>
      <c r="J1749" s="5" t="s">
        <v>6046</v>
      </c>
      <c r="K1749" s="5">
        <v>1.0</v>
      </c>
      <c r="L1749" s="5">
        <v>2855.0</v>
      </c>
      <c r="M1749" s="11">
        <v>-117.04842222222221</v>
      </c>
      <c r="N1749" s="11">
        <v>50.638172222222224</v>
      </c>
      <c r="O1749" s="11">
        <v>590.0</v>
      </c>
      <c r="P1749" s="93" t="s">
        <v>6225</v>
      </c>
      <c r="Q1749" s="72">
        <v>1.0</v>
      </c>
      <c r="R1749" s="11" t="s">
        <v>6226</v>
      </c>
      <c r="S1749" s="11" t="s">
        <v>6009</v>
      </c>
    </row>
    <row r="1750" ht="14.25" customHeight="1">
      <c r="A1750" s="5" t="s">
        <v>2037</v>
      </c>
      <c r="B1750" s="5">
        <v>5.0</v>
      </c>
      <c r="C1750" s="5" t="s">
        <v>6010</v>
      </c>
      <c r="D1750" s="5" t="s">
        <v>6227</v>
      </c>
      <c r="E1750" s="5">
        <v>2453.0</v>
      </c>
      <c r="F1750" s="10" t="s">
        <v>6228</v>
      </c>
      <c r="G1750" s="5" t="s">
        <v>6229</v>
      </c>
      <c r="H1750" s="5" t="s">
        <v>6230</v>
      </c>
      <c r="I1750" s="5" t="s">
        <v>1664</v>
      </c>
      <c r="J1750" s="5" t="s">
        <v>6046</v>
      </c>
      <c r="K1750" s="5">
        <v>1.0</v>
      </c>
      <c r="L1750" s="5">
        <v>2856.0</v>
      </c>
      <c r="M1750" s="10">
        <v>-116.94833</v>
      </c>
      <c r="N1750" s="10">
        <v>50.255</v>
      </c>
      <c r="O1750" s="10">
        <v>580.0</v>
      </c>
      <c r="P1750" s="10" t="s">
        <v>6227</v>
      </c>
      <c r="Q1750" s="55"/>
      <c r="R1750" s="10" t="str">
        <f>F1750</f>
        <v>Duncan Res. @ Duncan Dam</v>
      </c>
      <c r="S1750" s="55"/>
      <c r="T1750" s="55"/>
      <c r="U1750" s="55"/>
      <c r="V1750" s="55"/>
      <c r="W1750" s="55"/>
      <c r="X1750" s="55"/>
      <c r="Y1750" s="55"/>
      <c r="Z1750" s="55"/>
      <c r="AA1750" s="55"/>
      <c r="AB1750" s="55"/>
      <c r="AC1750" s="55"/>
      <c r="AD1750" s="55"/>
      <c r="AE1750" s="55"/>
      <c r="AF1750" s="55"/>
      <c r="AG1750" s="55"/>
      <c r="AH1750" s="55"/>
      <c r="AI1750" s="55"/>
      <c r="AJ1750" s="55"/>
      <c r="AK1750" s="55"/>
      <c r="AL1750" s="55"/>
      <c r="AM1750" s="55"/>
      <c r="AN1750" s="55"/>
      <c r="AO1750" s="55"/>
      <c r="AP1750" s="55"/>
      <c r="AQ1750" s="55"/>
      <c r="AR1750" s="55"/>
      <c r="AS1750" s="55"/>
      <c r="AT1750" s="55"/>
      <c r="AU1750" s="55"/>
      <c r="AV1750" s="55"/>
      <c r="AW1750" s="55"/>
      <c r="AX1750" s="55"/>
      <c r="AY1750" s="55"/>
      <c r="AZ1750" s="55"/>
      <c r="BA1750" s="55"/>
      <c r="BB1750" s="55"/>
      <c r="BC1750" s="55"/>
      <c r="BD1750" s="55"/>
      <c r="BE1750" s="55"/>
      <c r="BF1750" s="55"/>
      <c r="BG1750" s="55"/>
      <c r="BH1750" s="55"/>
      <c r="BI1750" s="55"/>
      <c r="BJ1750" s="55"/>
      <c r="BK1750" s="55"/>
      <c r="BL1750" s="55"/>
      <c r="BM1750" s="55"/>
      <c r="BN1750" s="55"/>
      <c r="BO1750" s="55"/>
      <c r="BP1750" s="55"/>
      <c r="BQ1750" s="55"/>
      <c r="BR1750" s="55"/>
      <c r="BS1750" s="55"/>
      <c r="BT1750" s="55"/>
    </row>
    <row r="1751" ht="14.25" customHeight="1">
      <c r="A1751" s="5" t="s">
        <v>2037</v>
      </c>
      <c r="B1751" s="5">
        <v>5.0</v>
      </c>
      <c r="C1751" s="5" t="s">
        <v>6010</v>
      </c>
      <c r="D1751" s="5" t="s">
        <v>6231</v>
      </c>
      <c r="E1751" s="5">
        <v>2454.0</v>
      </c>
      <c r="F1751" s="10" t="s">
        <v>6232</v>
      </c>
      <c r="G1751" s="5" t="s">
        <v>6233</v>
      </c>
      <c r="H1751" s="5" t="s">
        <v>6040</v>
      </c>
      <c r="I1751" s="5" t="s">
        <v>1664</v>
      </c>
      <c r="J1751" s="5" t="s">
        <v>6069</v>
      </c>
      <c r="K1751" s="5">
        <v>1.0</v>
      </c>
      <c r="L1751" s="5">
        <v>2857.0</v>
      </c>
      <c r="M1751" s="11">
        <v>-116.9297333</v>
      </c>
      <c r="N1751" s="11">
        <v>50.6396</v>
      </c>
      <c r="O1751" s="11">
        <v>2030.0</v>
      </c>
      <c r="P1751" s="5" t="s">
        <v>6231</v>
      </c>
      <c r="Q1751" s="72">
        <v>7.0</v>
      </c>
      <c r="R1751" s="11" t="s">
        <v>6234</v>
      </c>
      <c r="S1751" s="11" t="s">
        <v>6009</v>
      </c>
    </row>
    <row r="1752" ht="14.25" customHeight="1">
      <c r="A1752" s="5" t="s">
        <v>2037</v>
      </c>
      <c r="B1752" s="5">
        <v>5.0</v>
      </c>
      <c r="C1752" s="5" t="s">
        <v>6010</v>
      </c>
      <c r="D1752" s="5" t="s">
        <v>6235</v>
      </c>
      <c r="E1752" s="5">
        <v>2456.0</v>
      </c>
      <c r="F1752" s="10" t="s">
        <v>6236</v>
      </c>
      <c r="G1752" s="5" t="s">
        <v>6237</v>
      </c>
      <c r="H1752" s="5" t="s">
        <v>6238</v>
      </c>
      <c r="I1752" s="5" t="s">
        <v>1664</v>
      </c>
      <c r="J1752" s="5" t="s">
        <v>6187</v>
      </c>
      <c r="K1752" s="5">
        <v>1.0</v>
      </c>
      <c r="L1752" s="5">
        <v>2859.0</v>
      </c>
      <c r="U1752" s="55"/>
      <c r="V1752" s="55"/>
      <c r="W1752" s="55"/>
      <c r="X1752" s="55"/>
      <c r="Y1752" s="55"/>
      <c r="Z1752" s="55"/>
      <c r="AA1752" s="55"/>
      <c r="AB1752" s="55"/>
      <c r="AC1752" s="55"/>
      <c r="AD1752" s="55"/>
      <c r="AE1752" s="55"/>
      <c r="AF1752" s="55"/>
      <c r="AG1752" s="55"/>
      <c r="AH1752" s="55"/>
      <c r="AI1752" s="55"/>
      <c r="AJ1752" s="55"/>
      <c r="AK1752" s="55"/>
      <c r="AL1752" s="55"/>
      <c r="AM1752" s="55"/>
      <c r="AN1752" s="55"/>
      <c r="AO1752" s="55"/>
      <c r="AP1752" s="55"/>
      <c r="AQ1752" s="55"/>
      <c r="AR1752" s="55"/>
      <c r="AS1752" s="55"/>
      <c r="AT1752" s="55"/>
      <c r="AU1752" s="55"/>
      <c r="AV1752" s="55"/>
      <c r="AW1752" s="55"/>
      <c r="AX1752" s="55"/>
      <c r="AY1752" s="55"/>
      <c r="AZ1752" s="55"/>
      <c r="BA1752" s="55"/>
      <c r="BB1752" s="55"/>
      <c r="BC1752" s="55"/>
      <c r="BD1752" s="55"/>
      <c r="BE1752" s="55"/>
      <c r="BF1752" s="55"/>
      <c r="BG1752" s="55"/>
      <c r="BH1752" s="55"/>
      <c r="BI1752" s="55"/>
      <c r="BJ1752" s="55"/>
      <c r="BK1752" s="55"/>
      <c r="BL1752" s="55"/>
      <c r="BM1752" s="55"/>
      <c r="BN1752" s="55"/>
      <c r="BO1752" s="55"/>
      <c r="BP1752" s="55"/>
      <c r="BQ1752" s="55"/>
      <c r="BR1752" s="55"/>
      <c r="BS1752" s="55"/>
      <c r="BT1752" s="55"/>
    </row>
    <row r="1753" ht="14.25" customHeight="1">
      <c r="A1753" s="5" t="s">
        <v>6239</v>
      </c>
      <c r="B1753" s="5">
        <v>5.0</v>
      </c>
      <c r="C1753" s="5" t="s">
        <v>6010</v>
      </c>
      <c r="D1753" s="5" t="s">
        <v>6240</v>
      </c>
      <c r="E1753" s="5">
        <v>2455.0</v>
      </c>
      <c r="F1753" s="10" t="s">
        <v>6241</v>
      </c>
      <c r="H1753" s="5" t="s">
        <v>6242</v>
      </c>
      <c r="I1753" s="5" t="s">
        <v>1664</v>
      </c>
      <c r="J1753" s="5" t="s">
        <v>6187</v>
      </c>
      <c r="K1753" s="5">
        <v>1.0</v>
      </c>
      <c r="L1753" s="5">
        <v>2858.0</v>
      </c>
      <c r="U1753" s="55"/>
      <c r="V1753" s="55"/>
      <c r="W1753" s="55"/>
      <c r="X1753" s="55"/>
      <c r="Y1753" s="55"/>
      <c r="Z1753" s="55"/>
      <c r="AA1753" s="55"/>
      <c r="AB1753" s="55"/>
      <c r="AC1753" s="55"/>
      <c r="AD1753" s="55"/>
      <c r="AE1753" s="55"/>
      <c r="AF1753" s="55"/>
      <c r="AG1753" s="55"/>
      <c r="AH1753" s="55"/>
      <c r="AI1753" s="55"/>
      <c r="AJ1753" s="55"/>
      <c r="AK1753" s="55"/>
      <c r="AL1753" s="55"/>
      <c r="AM1753" s="55"/>
      <c r="AN1753" s="55"/>
      <c r="AO1753" s="55"/>
      <c r="AP1753" s="55"/>
      <c r="AQ1753" s="55"/>
      <c r="AR1753" s="55"/>
      <c r="AS1753" s="55"/>
      <c r="AT1753" s="55"/>
      <c r="AU1753" s="55"/>
      <c r="AV1753" s="55"/>
      <c r="AW1753" s="55"/>
      <c r="AX1753" s="55"/>
      <c r="AY1753" s="55"/>
      <c r="AZ1753" s="55"/>
      <c r="BA1753" s="55"/>
      <c r="BB1753" s="55"/>
      <c r="BC1753" s="55"/>
      <c r="BD1753" s="55"/>
      <c r="BE1753" s="55"/>
      <c r="BF1753" s="55"/>
      <c r="BG1753" s="55"/>
      <c r="BH1753" s="55"/>
      <c r="BI1753" s="55"/>
      <c r="BJ1753" s="55"/>
      <c r="BK1753" s="55"/>
      <c r="BL1753" s="55"/>
      <c r="BM1753" s="55"/>
      <c r="BN1753" s="55"/>
      <c r="BO1753" s="55"/>
      <c r="BP1753" s="55"/>
      <c r="BQ1753" s="55"/>
      <c r="BR1753" s="55"/>
      <c r="BS1753" s="55"/>
      <c r="BT1753" s="55"/>
    </row>
    <row r="1754" ht="14.25" customHeight="1">
      <c r="B1754" s="5">
        <v>5.0</v>
      </c>
      <c r="C1754" s="5" t="s">
        <v>6010</v>
      </c>
      <c r="D1754" s="5" t="s">
        <v>6243</v>
      </c>
      <c r="E1754" s="5">
        <v>13103.0</v>
      </c>
      <c r="F1754" s="5" t="s">
        <v>6244</v>
      </c>
      <c r="G1754" s="5" t="s">
        <v>6245</v>
      </c>
      <c r="H1754" s="5" t="s">
        <v>6246</v>
      </c>
      <c r="I1754" s="5" t="s">
        <v>49</v>
      </c>
      <c r="J1754" s="5" t="s">
        <v>6021</v>
      </c>
      <c r="K1754" s="5">
        <v>1.0</v>
      </c>
      <c r="L1754" s="5">
        <v>15025.0</v>
      </c>
      <c r="M1754" s="11">
        <v>-125.8132639</v>
      </c>
      <c r="N1754" s="11">
        <v>49.85804722</v>
      </c>
      <c r="O1754" s="11">
        <v>270.0</v>
      </c>
      <c r="P1754" s="5" t="s">
        <v>6243</v>
      </c>
      <c r="Q1754" s="72">
        <v>5.0</v>
      </c>
      <c r="R1754" s="11" t="s">
        <v>6244</v>
      </c>
      <c r="S1754" s="11" t="s">
        <v>6009</v>
      </c>
    </row>
    <row r="1755" ht="14.25" customHeight="1">
      <c r="A1755" s="5" t="s">
        <v>1908</v>
      </c>
      <c r="B1755" s="5">
        <v>5.0</v>
      </c>
      <c r="C1755" s="5" t="s">
        <v>6010</v>
      </c>
      <c r="D1755" s="5" t="s">
        <v>6247</v>
      </c>
      <c r="E1755" s="5">
        <v>2431.0</v>
      </c>
      <c r="F1755" s="10" t="s">
        <v>6248</v>
      </c>
      <c r="G1755" s="10" t="s">
        <v>6249</v>
      </c>
      <c r="H1755" s="5" t="s">
        <v>6074</v>
      </c>
      <c r="I1755" s="5" t="s">
        <v>1664</v>
      </c>
      <c r="J1755" s="5" t="s">
        <v>6046</v>
      </c>
      <c r="K1755" s="5">
        <v>1.0</v>
      </c>
      <c r="L1755" s="5">
        <v>2834.0</v>
      </c>
      <c r="M1755" s="11">
        <v>-125.144125</v>
      </c>
      <c r="N1755" s="11">
        <v>49.44034722</v>
      </c>
      <c r="O1755" s="11">
        <v>340.0</v>
      </c>
      <c r="P1755" s="5" t="s">
        <v>6247</v>
      </c>
      <c r="Q1755" s="72">
        <v>5.0</v>
      </c>
      <c r="R1755" s="11" t="s">
        <v>6250</v>
      </c>
      <c r="S1755" s="11" t="s">
        <v>6009</v>
      </c>
    </row>
    <row r="1756" ht="14.25" customHeight="1">
      <c r="A1756" s="5" t="s">
        <v>2037</v>
      </c>
      <c r="B1756" s="5">
        <v>5.0</v>
      </c>
      <c r="C1756" s="5" t="s">
        <v>6010</v>
      </c>
      <c r="D1756" s="5" t="s">
        <v>6251</v>
      </c>
      <c r="E1756" s="5">
        <v>2457.0</v>
      </c>
      <c r="F1756" s="10" t="s">
        <v>6252</v>
      </c>
      <c r="G1756" s="5" t="s">
        <v>6253</v>
      </c>
      <c r="H1756" s="5" t="s">
        <v>6254</v>
      </c>
      <c r="I1756" s="5" t="s">
        <v>1664</v>
      </c>
      <c r="J1756" s="5" t="s">
        <v>6046</v>
      </c>
      <c r="K1756" s="5">
        <v>1.0</v>
      </c>
      <c r="L1756" s="5">
        <v>2860.0</v>
      </c>
      <c r="M1756" s="10">
        <v>-125.28817</v>
      </c>
      <c r="N1756" s="10">
        <v>49.6054</v>
      </c>
      <c r="O1756" s="10">
        <v>280.0</v>
      </c>
      <c r="P1756" s="10" t="s">
        <v>6251</v>
      </c>
      <c r="Q1756" s="55"/>
      <c r="R1756" s="10" t="str">
        <f>F1756</f>
        <v>Eric Ck -&gt; Rees Creek</v>
      </c>
      <c r="S1756" s="55"/>
      <c r="T1756" s="55"/>
      <c r="U1756" s="55"/>
      <c r="V1756" s="55"/>
      <c r="W1756" s="55"/>
      <c r="X1756" s="55"/>
      <c r="Y1756" s="55"/>
      <c r="Z1756" s="55"/>
      <c r="AA1756" s="55"/>
      <c r="AB1756" s="55"/>
      <c r="AC1756" s="55"/>
      <c r="AD1756" s="55"/>
      <c r="AE1756" s="55"/>
      <c r="AF1756" s="55"/>
      <c r="AG1756" s="55"/>
      <c r="AH1756" s="55"/>
      <c r="AI1756" s="55"/>
      <c r="AJ1756" s="55"/>
      <c r="AK1756" s="55"/>
      <c r="AL1756" s="55"/>
      <c r="AM1756" s="55"/>
      <c r="AN1756" s="55"/>
      <c r="AO1756" s="55"/>
      <c r="AP1756" s="55"/>
      <c r="AQ1756" s="55"/>
      <c r="AR1756" s="55"/>
      <c r="AS1756" s="55"/>
      <c r="AT1756" s="55"/>
      <c r="AU1756" s="55"/>
      <c r="AV1756" s="55"/>
      <c r="AW1756" s="55"/>
      <c r="AX1756" s="55"/>
      <c r="AY1756" s="55"/>
      <c r="AZ1756" s="55"/>
      <c r="BA1756" s="55"/>
      <c r="BB1756" s="55"/>
      <c r="BC1756" s="55"/>
      <c r="BD1756" s="55"/>
      <c r="BE1756" s="55"/>
      <c r="BF1756" s="55"/>
      <c r="BG1756" s="55"/>
      <c r="BH1756" s="55"/>
      <c r="BI1756" s="55"/>
      <c r="BJ1756" s="55"/>
      <c r="BK1756" s="55"/>
      <c r="BL1756" s="55"/>
      <c r="BM1756" s="55"/>
      <c r="BN1756" s="55"/>
      <c r="BO1756" s="55"/>
      <c r="BP1756" s="55"/>
      <c r="BQ1756" s="55"/>
      <c r="BR1756" s="55"/>
      <c r="BS1756" s="55"/>
      <c r="BT1756" s="55"/>
    </row>
    <row r="1757" ht="14.25" customHeight="1">
      <c r="A1757" s="5" t="s">
        <v>2037</v>
      </c>
      <c r="B1757" s="5">
        <v>5.0</v>
      </c>
      <c r="C1757" s="5" t="s">
        <v>6010</v>
      </c>
      <c r="D1757" s="5" t="s">
        <v>6255</v>
      </c>
      <c r="E1757" s="5">
        <v>12347.0</v>
      </c>
      <c r="F1757" s="10" t="s">
        <v>6256</v>
      </c>
      <c r="G1757" s="5" t="s">
        <v>6257</v>
      </c>
      <c r="H1757" s="5" t="s">
        <v>6032</v>
      </c>
      <c r="I1757" s="5" t="s">
        <v>49</v>
      </c>
      <c r="J1757" s="5" t="s">
        <v>6258</v>
      </c>
      <c r="K1757" s="5">
        <v>1.0</v>
      </c>
      <c r="L1757" s="5">
        <v>14403.0</v>
      </c>
      <c r="U1757" s="55"/>
      <c r="V1757" s="55"/>
      <c r="W1757" s="55"/>
      <c r="X1757" s="55"/>
      <c r="Y1757" s="55"/>
      <c r="Z1757" s="55"/>
      <c r="AA1757" s="55"/>
      <c r="AB1757" s="55"/>
      <c r="AC1757" s="55"/>
      <c r="AD1757" s="55"/>
      <c r="AE1757" s="55"/>
      <c r="AF1757" s="55"/>
      <c r="AG1757" s="55"/>
      <c r="AH1757" s="55"/>
      <c r="AI1757" s="55"/>
      <c r="AJ1757" s="55"/>
      <c r="AK1757" s="55"/>
      <c r="AL1757" s="55"/>
      <c r="AM1757" s="55"/>
      <c r="AN1757" s="55"/>
      <c r="AO1757" s="55"/>
      <c r="AP1757" s="55"/>
      <c r="AQ1757" s="55"/>
      <c r="AR1757" s="55"/>
      <c r="AS1757" s="55"/>
      <c r="AT1757" s="55"/>
      <c r="AU1757" s="55"/>
      <c r="AV1757" s="55"/>
      <c r="AW1757" s="55"/>
      <c r="AX1757" s="55"/>
      <c r="AY1757" s="55"/>
      <c r="AZ1757" s="55"/>
      <c r="BA1757" s="55"/>
      <c r="BB1757" s="55"/>
      <c r="BC1757" s="55"/>
      <c r="BD1757" s="55"/>
      <c r="BE1757" s="55"/>
      <c r="BF1757" s="55"/>
      <c r="BG1757" s="55"/>
      <c r="BH1757" s="55"/>
      <c r="BI1757" s="55"/>
      <c r="BJ1757" s="55"/>
      <c r="BK1757" s="55"/>
      <c r="BL1757" s="55"/>
      <c r="BM1757" s="55"/>
      <c r="BN1757" s="55"/>
      <c r="BO1757" s="55"/>
      <c r="BP1757" s="55"/>
      <c r="BQ1757" s="55"/>
      <c r="BR1757" s="55"/>
      <c r="BS1757" s="55"/>
      <c r="BT1757" s="55"/>
    </row>
    <row r="1758" ht="14.25" customHeight="1">
      <c r="A1758" s="6"/>
      <c r="B1758" s="5">
        <v>5.0</v>
      </c>
      <c r="C1758" s="5" t="s">
        <v>6010</v>
      </c>
      <c r="D1758" s="5" t="s">
        <v>6259</v>
      </c>
      <c r="E1758" s="5">
        <v>13099.0</v>
      </c>
      <c r="F1758" s="5" t="s">
        <v>6260</v>
      </c>
      <c r="G1758" s="5" t="s">
        <v>6261</v>
      </c>
      <c r="H1758" s="5" t="s">
        <v>6014</v>
      </c>
      <c r="I1758" s="5" t="s">
        <v>49</v>
      </c>
      <c r="J1758" s="5" t="s">
        <v>6262</v>
      </c>
      <c r="K1758" s="5">
        <v>1.0</v>
      </c>
      <c r="L1758" s="5">
        <v>15021.0</v>
      </c>
      <c r="M1758" s="11">
        <v>-118.074228</v>
      </c>
      <c r="N1758" s="11">
        <v>49.864182</v>
      </c>
      <c r="O1758" s="11">
        <v>519.0</v>
      </c>
      <c r="P1758" s="5" t="s">
        <v>6259</v>
      </c>
      <c r="Q1758" s="72">
        <v>1.0</v>
      </c>
      <c r="R1758" s="11" t="s">
        <v>6260</v>
      </c>
      <c r="S1758" s="11" t="s">
        <v>6009</v>
      </c>
    </row>
    <row r="1759" ht="14.25" customHeight="1">
      <c r="B1759" s="5">
        <v>5.0</v>
      </c>
      <c r="C1759" s="5" t="s">
        <v>6010</v>
      </c>
      <c r="D1759" s="5" t="s">
        <v>6263</v>
      </c>
      <c r="E1759" s="5">
        <v>12395.0</v>
      </c>
      <c r="F1759" s="5" t="s">
        <v>6264</v>
      </c>
      <c r="G1759" s="5" t="s">
        <v>6265</v>
      </c>
      <c r="H1759" s="5" t="s">
        <v>6156</v>
      </c>
      <c r="I1759" s="5" t="s">
        <v>641</v>
      </c>
      <c r="J1759" s="5" t="s">
        <v>6262</v>
      </c>
      <c r="K1759" s="5">
        <v>1.0</v>
      </c>
      <c r="L1759" s="5">
        <v>14417.0</v>
      </c>
      <c r="M1759" s="11">
        <v>-115.0726361</v>
      </c>
      <c r="N1759" s="11">
        <v>49.48843333</v>
      </c>
      <c r="O1759" s="11">
        <v>1101.0</v>
      </c>
      <c r="P1759" s="5" t="s">
        <v>6263</v>
      </c>
      <c r="Q1759" s="72">
        <v>2.0</v>
      </c>
      <c r="R1759" s="11" t="s">
        <v>6264</v>
      </c>
      <c r="S1759" s="11" t="s">
        <v>6009</v>
      </c>
    </row>
    <row r="1760" ht="14.25" customHeight="1">
      <c r="A1760" s="5" t="s">
        <v>6266</v>
      </c>
      <c r="B1760" s="5">
        <v>5.0</v>
      </c>
      <c r="C1760" s="5" t="s">
        <v>6010</v>
      </c>
      <c r="D1760" s="5" t="s">
        <v>6267</v>
      </c>
      <c r="E1760" s="5">
        <v>2458.0</v>
      </c>
      <c r="F1760" s="10" t="s">
        <v>6268</v>
      </c>
      <c r="G1760" s="5" t="s">
        <v>6269</v>
      </c>
      <c r="H1760" s="5" t="s">
        <v>6270</v>
      </c>
      <c r="I1760" s="5" t="s">
        <v>1664</v>
      </c>
      <c r="J1760" s="5" t="s">
        <v>6069</v>
      </c>
      <c r="K1760" s="5">
        <v>1.0</v>
      </c>
      <c r="L1760" s="5">
        <v>2861.0</v>
      </c>
      <c r="M1760" s="10">
        <v>-117.70062</v>
      </c>
      <c r="N1760" s="10">
        <v>51.2374</v>
      </c>
      <c r="O1760" s="10">
        <v>1800.0</v>
      </c>
      <c r="P1760" s="10" t="s">
        <v>6267</v>
      </c>
      <c r="Q1760" s="55"/>
      <c r="R1760" s="10" t="str">
        <f>F1760</f>
        <v>Fidelty Mtn. -&gt; Fidelity Mountain</v>
      </c>
      <c r="S1760" s="55"/>
      <c r="T1760" s="55"/>
      <c r="U1760" s="55"/>
      <c r="V1760" s="55"/>
      <c r="W1760" s="55"/>
      <c r="X1760" s="55"/>
      <c r="Y1760" s="55"/>
      <c r="Z1760" s="55"/>
      <c r="AA1760" s="55"/>
      <c r="AB1760" s="55"/>
      <c r="AC1760" s="55"/>
      <c r="AD1760" s="55"/>
      <c r="AE1760" s="55"/>
      <c r="AF1760" s="55"/>
      <c r="AG1760" s="55"/>
      <c r="AH1760" s="55"/>
      <c r="AI1760" s="55"/>
      <c r="AJ1760" s="55"/>
      <c r="AK1760" s="55"/>
      <c r="AL1760" s="55"/>
      <c r="AM1760" s="55"/>
      <c r="AN1760" s="55"/>
      <c r="AO1760" s="55"/>
      <c r="AP1760" s="55"/>
      <c r="AQ1760" s="55"/>
      <c r="AR1760" s="55"/>
      <c r="AS1760" s="55"/>
      <c r="AT1760" s="55"/>
      <c r="AU1760" s="55"/>
      <c r="AV1760" s="55"/>
      <c r="AW1760" s="55"/>
      <c r="AX1760" s="55"/>
      <c r="AY1760" s="55"/>
      <c r="AZ1760" s="55"/>
      <c r="BA1760" s="55"/>
      <c r="BB1760" s="55"/>
      <c r="BC1760" s="55"/>
      <c r="BD1760" s="55"/>
      <c r="BE1760" s="55"/>
      <c r="BF1760" s="55"/>
      <c r="BG1760" s="55"/>
      <c r="BH1760" s="55"/>
      <c r="BI1760" s="55"/>
      <c r="BJ1760" s="55"/>
      <c r="BK1760" s="55"/>
      <c r="BL1760" s="55"/>
      <c r="BM1760" s="55"/>
      <c r="BN1760" s="55"/>
      <c r="BO1760" s="55"/>
      <c r="BP1760" s="55"/>
      <c r="BQ1760" s="55"/>
      <c r="BR1760" s="55"/>
      <c r="BS1760" s="55"/>
      <c r="BT1760" s="55"/>
    </row>
    <row r="1761" ht="14.25" customHeight="1">
      <c r="A1761" s="5" t="s">
        <v>1908</v>
      </c>
      <c r="B1761" s="5">
        <v>5.0</v>
      </c>
      <c r="C1761" s="5" t="s">
        <v>6010</v>
      </c>
      <c r="D1761" s="5" t="s">
        <v>6271</v>
      </c>
      <c r="E1761" s="5">
        <v>2459.0</v>
      </c>
      <c r="F1761" s="10" t="s">
        <v>6272</v>
      </c>
      <c r="G1761" s="10" t="s">
        <v>6273</v>
      </c>
      <c r="H1761" s="5" t="s">
        <v>6040</v>
      </c>
      <c r="I1761" s="5" t="s">
        <v>1664</v>
      </c>
      <c r="J1761" s="5" t="s">
        <v>6046</v>
      </c>
      <c r="K1761" s="5">
        <v>1.0</v>
      </c>
      <c r="L1761" s="5">
        <v>2862.0</v>
      </c>
      <c r="M1761" s="11">
        <v>-125.2528472</v>
      </c>
      <c r="N1761" s="11">
        <v>57.12144167</v>
      </c>
      <c r="O1761" s="11">
        <v>711.0</v>
      </c>
      <c r="P1761" s="5" t="s">
        <v>6271</v>
      </c>
      <c r="Q1761" s="72">
        <v>1.0</v>
      </c>
      <c r="R1761" s="11" t="s">
        <v>6274</v>
      </c>
      <c r="S1761" s="11" t="s">
        <v>6009</v>
      </c>
    </row>
    <row r="1762" ht="14.25" customHeight="1">
      <c r="B1762" s="5">
        <v>5.0</v>
      </c>
      <c r="C1762" s="5" t="s">
        <v>6010</v>
      </c>
      <c r="D1762" s="5" t="s">
        <v>6275</v>
      </c>
      <c r="E1762" s="5">
        <v>2460.0</v>
      </c>
      <c r="F1762" s="5" t="s">
        <v>6276</v>
      </c>
      <c r="G1762" s="5" t="s">
        <v>6277</v>
      </c>
      <c r="H1762" s="5" t="s">
        <v>6278</v>
      </c>
      <c r="I1762" s="5" t="s">
        <v>1664</v>
      </c>
      <c r="J1762" s="5" t="s">
        <v>6041</v>
      </c>
      <c r="K1762" s="5">
        <v>1.0</v>
      </c>
      <c r="L1762" s="5">
        <v>2863.0</v>
      </c>
      <c r="M1762" s="11">
        <v>-116.1371167</v>
      </c>
      <c r="N1762" s="11">
        <v>51.05991667</v>
      </c>
      <c r="O1762" s="11">
        <v>2090.0</v>
      </c>
      <c r="P1762" s="5" t="s">
        <v>6275</v>
      </c>
      <c r="Q1762" s="72">
        <v>7.0</v>
      </c>
      <c r="R1762" s="11" t="s">
        <v>6279</v>
      </c>
      <c r="S1762" s="11" t="s">
        <v>6009</v>
      </c>
    </row>
    <row r="1763" ht="14.25" customHeight="1">
      <c r="B1763" s="5">
        <v>5.0</v>
      </c>
      <c r="C1763" s="5" t="s">
        <v>6010</v>
      </c>
      <c r="D1763" s="5" t="s">
        <v>6280</v>
      </c>
      <c r="E1763" s="5">
        <v>13215.0</v>
      </c>
      <c r="F1763" s="5" t="s">
        <v>1232</v>
      </c>
      <c r="G1763" s="5" t="s">
        <v>6281</v>
      </c>
      <c r="H1763" s="5" t="s">
        <v>6282</v>
      </c>
      <c r="I1763" s="5" t="s">
        <v>49</v>
      </c>
      <c r="J1763" s="5" t="s">
        <v>6087</v>
      </c>
      <c r="K1763" s="5">
        <v>1.0</v>
      </c>
      <c r="L1763" s="5">
        <v>15131.0</v>
      </c>
      <c r="M1763" s="11">
        <v>-118.58594</v>
      </c>
      <c r="N1763" s="11">
        <v>52.05381</v>
      </c>
      <c r="O1763" s="11">
        <v>577.0</v>
      </c>
      <c r="P1763" s="5" t="s">
        <v>6280</v>
      </c>
      <c r="Q1763" s="72">
        <v>1.0</v>
      </c>
      <c r="R1763" s="11" t="s">
        <v>1232</v>
      </c>
      <c r="S1763" s="11" t="s">
        <v>6009</v>
      </c>
    </row>
    <row r="1764" ht="14.25" customHeight="1">
      <c r="B1764" s="5">
        <v>5.0</v>
      </c>
      <c r="C1764" s="5" t="s">
        <v>6010</v>
      </c>
      <c r="D1764" s="5" t="s">
        <v>6283</v>
      </c>
      <c r="E1764" s="5">
        <v>13216.0</v>
      </c>
      <c r="F1764" s="5" t="s">
        <v>6284</v>
      </c>
      <c r="G1764" s="5" t="s">
        <v>6285</v>
      </c>
      <c r="H1764" s="5" t="s">
        <v>6209</v>
      </c>
      <c r="I1764" s="5" t="s">
        <v>49</v>
      </c>
      <c r="J1764" s="5" t="s">
        <v>6087</v>
      </c>
      <c r="K1764" s="5">
        <v>1.0</v>
      </c>
      <c r="L1764" s="5">
        <v>15132.0</v>
      </c>
      <c r="M1764" s="5">
        <v>-126.520716</v>
      </c>
      <c r="N1764" s="5">
        <v>56.948458</v>
      </c>
      <c r="O1764" s="5">
        <v>1326.0</v>
      </c>
      <c r="P1764" s="5" t="s">
        <v>6283</v>
      </c>
      <c r="Q1764" s="5">
        <v>5.0</v>
      </c>
      <c r="R1764" s="5" t="s">
        <v>6284</v>
      </c>
      <c r="S1764" s="5" t="s">
        <v>6009</v>
      </c>
    </row>
    <row r="1765" ht="14.25" customHeight="1">
      <c r="B1765" s="5">
        <v>5.0</v>
      </c>
      <c r="C1765" s="5" t="s">
        <v>6010</v>
      </c>
      <c r="D1765" s="5" t="s">
        <v>6286</v>
      </c>
      <c r="E1765" s="5">
        <v>12415.0</v>
      </c>
      <c r="F1765" s="5" t="s">
        <v>6287</v>
      </c>
      <c r="G1765" s="5" t="s">
        <v>6288</v>
      </c>
      <c r="H1765" s="5" t="s">
        <v>6289</v>
      </c>
      <c r="I1765" s="5" t="s">
        <v>641</v>
      </c>
      <c r="J1765" s="5" t="s">
        <v>6262</v>
      </c>
      <c r="K1765" s="5">
        <v>1.0</v>
      </c>
      <c r="L1765" s="5">
        <v>14437.0</v>
      </c>
      <c r="M1765" s="5">
        <v>-124.7014444</v>
      </c>
      <c r="N1765" s="5">
        <v>55.78552778</v>
      </c>
      <c r="O1765" s="5">
        <v>766.0</v>
      </c>
      <c r="P1765" s="5" t="s">
        <v>6286</v>
      </c>
      <c r="Q1765" s="5">
        <v>2.0</v>
      </c>
      <c r="R1765" s="5" t="s">
        <v>6287</v>
      </c>
      <c r="S1765" s="5" t="s">
        <v>6009</v>
      </c>
    </row>
    <row r="1766" ht="14.25" customHeight="1">
      <c r="A1766" s="5" t="s">
        <v>1908</v>
      </c>
      <c r="B1766" s="5">
        <v>5.0</v>
      </c>
      <c r="C1766" s="5" t="s">
        <v>6010</v>
      </c>
      <c r="D1766" s="5" t="s">
        <v>6290</v>
      </c>
      <c r="E1766" s="5">
        <v>2466.0</v>
      </c>
      <c r="F1766" s="10" t="s">
        <v>6291</v>
      </c>
      <c r="G1766" s="10" t="s">
        <v>6292</v>
      </c>
      <c r="H1766" s="5" t="s">
        <v>6293</v>
      </c>
      <c r="I1766" s="5" t="s">
        <v>1664</v>
      </c>
      <c r="J1766" s="5" t="s">
        <v>6041</v>
      </c>
      <c r="K1766" s="5">
        <v>1.0</v>
      </c>
      <c r="L1766" s="5">
        <v>2869.0</v>
      </c>
      <c r="M1766" s="5">
        <v>-117.5110083</v>
      </c>
      <c r="N1766" s="5">
        <v>51.27072222</v>
      </c>
      <c r="O1766" s="5">
        <v>1182.0</v>
      </c>
      <c r="P1766" s="5" t="s">
        <v>6290</v>
      </c>
      <c r="Q1766" s="5">
        <v>3.0</v>
      </c>
      <c r="R1766" s="5" t="s">
        <v>6294</v>
      </c>
      <c r="S1766" s="5" t="s">
        <v>6009</v>
      </c>
    </row>
    <row r="1767" ht="14.25" customHeight="1">
      <c r="A1767" s="5" t="s">
        <v>2037</v>
      </c>
      <c r="B1767" s="5">
        <v>5.0</v>
      </c>
      <c r="C1767" s="5" t="s">
        <v>6010</v>
      </c>
      <c r="D1767" s="5" t="s">
        <v>6295</v>
      </c>
      <c r="E1767" s="5">
        <v>2492.0</v>
      </c>
      <c r="F1767" s="10" t="s">
        <v>6296</v>
      </c>
      <c r="G1767" s="5" t="s">
        <v>6297</v>
      </c>
      <c r="H1767" s="5" t="s">
        <v>6298</v>
      </c>
      <c r="I1767" s="5" t="s">
        <v>1664</v>
      </c>
      <c r="J1767" s="5" t="s">
        <v>6046</v>
      </c>
      <c r="K1767" s="5">
        <v>1.0</v>
      </c>
      <c r="L1767" s="5">
        <v>2895.0</v>
      </c>
      <c r="M1767" s="10">
        <v>-122.1835</v>
      </c>
      <c r="N1767" s="10">
        <v>56.0125</v>
      </c>
      <c r="O1767" s="10">
        <v>720.0</v>
      </c>
      <c r="P1767" s="10" t="s">
        <v>6295</v>
      </c>
      <c r="Q1767" s="55"/>
      <c r="R1767" s="10" t="str">
        <f>F1767</f>
        <v>GMS Hudson's Hope</v>
      </c>
      <c r="S1767" s="55"/>
      <c r="T1767" s="55"/>
      <c r="U1767" s="55"/>
      <c r="V1767" s="55"/>
      <c r="W1767" s="55"/>
      <c r="X1767" s="55"/>
      <c r="Y1767" s="55"/>
      <c r="Z1767" s="55"/>
      <c r="AA1767" s="55"/>
      <c r="AB1767" s="55"/>
      <c r="AC1767" s="55"/>
      <c r="AD1767" s="55"/>
      <c r="AE1767" s="55"/>
      <c r="AF1767" s="55"/>
      <c r="AG1767" s="55"/>
      <c r="AH1767" s="55"/>
      <c r="AI1767" s="55"/>
      <c r="AJ1767" s="55"/>
      <c r="AK1767" s="55"/>
      <c r="AL1767" s="55"/>
      <c r="AM1767" s="55"/>
      <c r="AN1767" s="55"/>
      <c r="AO1767" s="55"/>
      <c r="AP1767" s="55"/>
      <c r="AQ1767" s="55"/>
      <c r="AR1767" s="55"/>
      <c r="AS1767" s="55"/>
      <c r="AT1767" s="55"/>
      <c r="AU1767" s="55"/>
      <c r="AV1767" s="55"/>
      <c r="AW1767" s="55"/>
      <c r="AX1767" s="55"/>
      <c r="AY1767" s="55"/>
      <c r="AZ1767" s="55"/>
      <c r="BA1767" s="55"/>
      <c r="BB1767" s="55"/>
      <c r="BC1767" s="55"/>
      <c r="BD1767" s="55"/>
      <c r="BE1767" s="55"/>
      <c r="BF1767" s="55"/>
      <c r="BG1767" s="55"/>
      <c r="BH1767" s="55"/>
      <c r="BI1767" s="55"/>
      <c r="BJ1767" s="55"/>
      <c r="BK1767" s="55"/>
      <c r="BL1767" s="55"/>
      <c r="BM1767" s="55"/>
      <c r="BN1767" s="55"/>
      <c r="BO1767" s="55"/>
      <c r="BP1767" s="55"/>
      <c r="BQ1767" s="55"/>
      <c r="BR1767" s="55"/>
      <c r="BS1767" s="55"/>
      <c r="BT1767" s="55"/>
    </row>
    <row r="1768" ht="14.25" customHeight="1">
      <c r="B1768" s="5">
        <v>5.0</v>
      </c>
      <c r="C1768" s="5" t="s">
        <v>6010</v>
      </c>
      <c r="D1768" s="5" t="s">
        <v>6299</v>
      </c>
      <c r="E1768" s="5">
        <v>2463.0</v>
      </c>
      <c r="F1768" s="5" t="s">
        <v>6300</v>
      </c>
      <c r="G1768" s="5" t="s">
        <v>6301</v>
      </c>
      <c r="H1768" s="5" t="s">
        <v>6040</v>
      </c>
      <c r="I1768" s="5" t="s">
        <v>1664</v>
      </c>
      <c r="J1768" s="5" t="s">
        <v>6046</v>
      </c>
      <c r="K1768" s="5">
        <v>1.0</v>
      </c>
      <c r="L1768" s="5">
        <v>2866.0</v>
      </c>
      <c r="M1768" s="11">
        <v>-122.4773611</v>
      </c>
      <c r="N1768" s="11">
        <v>49.44655556</v>
      </c>
      <c r="O1768" s="11">
        <v>794.0</v>
      </c>
      <c r="P1768" s="5" t="s">
        <v>6299</v>
      </c>
      <c r="Q1768" s="72">
        <v>4.0</v>
      </c>
      <c r="R1768" s="11" t="s">
        <v>6302</v>
      </c>
      <c r="S1768" s="11" t="s">
        <v>6009</v>
      </c>
    </row>
    <row r="1769" ht="14.25" customHeight="1">
      <c r="A1769" s="5" t="s">
        <v>2037</v>
      </c>
      <c r="B1769" s="5">
        <v>5.0</v>
      </c>
      <c r="C1769" s="5" t="s">
        <v>6010</v>
      </c>
      <c r="D1769" s="5" t="s">
        <v>6303</v>
      </c>
      <c r="E1769" s="5">
        <v>2462.0</v>
      </c>
      <c r="F1769" s="10" t="s">
        <v>6304</v>
      </c>
      <c r="G1769" s="5" t="s">
        <v>6305</v>
      </c>
      <c r="H1769" s="5" t="s">
        <v>6306</v>
      </c>
      <c r="I1769" s="5" t="s">
        <v>1664</v>
      </c>
      <c r="J1769" s="5" t="s">
        <v>6046</v>
      </c>
      <c r="K1769" s="5">
        <v>1.0</v>
      </c>
      <c r="L1769" s="5">
        <v>2865.0</v>
      </c>
      <c r="M1769" s="10">
        <v>-126.1061</v>
      </c>
      <c r="N1769" s="10">
        <v>49.7058</v>
      </c>
      <c r="O1769" s="10">
        <v>10.0</v>
      </c>
      <c r="P1769" s="10" t="s">
        <v>6303</v>
      </c>
      <c r="Q1769" s="55"/>
      <c r="R1769" s="10" t="str">
        <f>F1769</f>
        <v>Gold R. nr Ucona R. -&gt; Gold River near Ucona River</v>
      </c>
      <c r="S1769" s="55"/>
      <c r="U1769" s="55"/>
      <c r="V1769" s="55"/>
      <c r="W1769" s="55"/>
      <c r="X1769" s="55"/>
      <c r="Y1769" s="55"/>
      <c r="Z1769" s="55"/>
      <c r="AA1769" s="55"/>
      <c r="AB1769" s="55"/>
      <c r="AC1769" s="55"/>
      <c r="AD1769" s="55"/>
      <c r="AE1769" s="55"/>
      <c r="AF1769" s="55"/>
      <c r="AG1769" s="55"/>
      <c r="AH1769" s="55"/>
      <c r="AI1769" s="55"/>
      <c r="AJ1769" s="55"/>
      <c r="AK1769" s="55"/>
      <c r="AL1769" s="55"/>
      <c r="AM1769" s="55"/>
      <c r="AN1769" s="55"/>
      <c r="AO1769" s="55"/>
      <c r="AP1769" s="55"/>
      <c r="AQ1769" s="55"/>
      <c r="AR1769" s="55"/>
      <c r="AS1769" s="55"/>
      <c r="AT1769" s="55"/>
      <c r="AU1769" s="55"/>
      <c r="AV1769" s="55"/>
      <c r="AW1769" s="55"/>
      <c r="AX1769" s="55"/>
      <c r="AY1769" s="55"/>
      <c r="AZ1769" s="55"/>
      <c r="BA1769" s="55"/>
      <c r="BB1769" s="55"/>
      <c r="BC1769" s="55"/>
      <c r="BD1769" s="55"/>
      <c r="BE1769" s="55"/>
      <c r="BF1769" s="55"/>
      <c r="BG1769" s="55"/>
      <c r="BH1769" s="55"/>
      <c r="BI1769" s="55"/>
      <c r="BJ1769" s="55"/>
      <c r="BK1769" s="55"/>
      <c r="BL1769" s="55"/>
      <c r="BM1769" s="55"/>
      <c r="BN1769" s="55"/>
      <c r="BO1769" s="55"/>
      <c r="BP1769" s="55"/>
      <c r="BQ1769" s="55"/>
      <c r="BR1769" s="55"/>
      <c r="BS1769" s="55"/>
      <c r="BT1769" s="55"/>
    </row>
    <row r="1770" ht="14.25" customHeight="1">
      <c r="A1770" s="5" t="s">
        <v>6307</v>
      </c>
      <c r="B1770" s="5">
        <v>5.0</v>
      </c>
      <c r="C1770" s="92" t="s">
        <v>6003</v>
      </c>
      <c r="D1770" s="12" t="s">
        <v>6308</v>
      </c>
      <c r="E1770" s="10"/>
      <c r="F1770" s="12" t="s">
        <v>6309</v>
      </c>
      <c r="G1770" s="94" t="s">
        <v>6310</v>
      </c>
    </row>
    <row r="1771" ht="14.25" customHeight="1">
      <c r="A1771" s="5" t="s">
        <v>2037</v>
      </c>
      <c r="B1771" s="5">
        <v>5.0</v>
      </c>
      <c r="C1771" s="5" t="s">
        <v>6010</v>
      </c>
      <c r="D1771" s="5" t="s">
        <v>6311</v>
      </c>
      <c r="E1771" s="5">
        <v>2464.0</v>
      </c>
      <c r="F1771" s="10" t="s">
        <v>6312</v>
      </c>
      <c r="G1771" s="5" t="s">
        <v>6313</v>
      </c>
      <c r="H1771" s="5" t="s">
        <v>6314</v>
      </c>
      <c r="I1771" s="5" t="s">
        <v>1664</v>
      </c>
      <c r="J1771" s="5" t="s">
        <v>6046</v>
      </c>
      <c r="K1771" s="5">
        <v>1.0</v>
      </c>
      <c r="L1771" s="5">
        <v>2867.0</v>
      </c>
      <c r="M1771" s="10">
        <v>118.597</v>
      </c>
      <c r="N1771" s="10">
        <v>51.6684</v>
      </c>
      <c r="O1771" s="10">
        <v>600.0</v>
      </c>
      <c r="P1771" s="10" t="s">
        <v>6311</v>
      </c>
      <c r="Q1771" s="55"/>
      <c r="R1771" s="10" t="str">
        <f>F1771</f>
        <v>Goldstream R. blw Old Camp Ck - Goldstream River Below Old Camp Creek</v>
      </c>
      <c r="S1771" s="55"/>
      <c r="T1771" s="55"/>
      <c r="U1771" s="55"/>
      <c r="V1771" s="55"/>
      <c r="W1771" s="55"/>
      <c r="X1771" s="55"/>
      <c r="Y1771" s="55"/>
      <c r="Z1771" s="55"/>
      <c r="AA1771" s="55"/>
      <c r="AB1771" s="55"/>
      <c r="AC1771" s="55"/>
      <c r="AD1771" s="55"/>
      <c r="AE1771" s="55"/>
      <c r="AF1771" s="55"/>
      <c r="AG1771" s="55"/>
      <c r="AH1771" s="55"/>
      <c r="AI1771" s="55"/>
      <c r="AJ1771" s="55"/>
      <c r="AK1771" s="55"/>
      <c r="AL1771" s="55"/>
      <c r="AM1771" s="55"/>
      <c r="AN1771" s="55"/>
      <c r="AO1771" s="55"/>
      <c r="AP1771" s="55"/>
      <c r="AQ1771" s="55"/>
      <c r="AR1771" s="55"/>
      <c r="AS1771" s="55"/>
      <c r="AT1771" s="55"/>
      <c r="AU1771" s="55"/>
      <c r="AV1771" s="55"/>
      <c r="AW1771" s="55"/>
      <c r="AX1771" s="55"/>
      <c r="AY1771" s="55"/>
      <c r="AZ1771" s="55"/>
      <c r="BA1771" s="55"/>
      <c r="BB1771" s="55"/>
      <c r="BC1771" s="55"/>
      <c r="BD1771" s="55"/>
      <c r="BE1771" s="55"/>
      <c r="BF1771" s="55"/>
      <c r="BG1771" s="55"/>
      <c r="BH1771" s="55"/>
      <c r="BI1771" s="55"/>
      <c r="BJ1771" s="55"/>
      <c r="BK1771" s="55"/>
      <c r="BL1771" s="55"/>
      <c r="BM1771" s="55"/>
      <c r="BN1771" s="55"/>
      <c r="BO1771" s="55"/>
      <c r="BP1771" s="55"/>
      <c r="BQ1771" s="55"/>
      <c r="BR1771" s="55"/>
      <c r="BS1771" s="55"/>
      <c r="BT1771" s="55"/>
    </row>
    <row r="1772" ht="14.25" customHeight="1">
      <c r="B1772" s="5">
        <v>5.0</v>
      </c>
      <c r="C1772" s="5" t="s">
        <v>6010</v>
      </c>
      <c r="D1772" s="5" t="s">
        <v>6315</v>
      </c>
      <c r="E1772" s="5">
        <v>13122.0</v>
      </c>
      <c r="F1772" s="5" t="s">
        <v>6316</v>
      </c>
      <c r="G1772" s="5" t="s">
        <v>6317</v>
      </c>
      <c r="H1772" s="5" t="s">
        <v>6172</v>
      </c>
      <c r="I1772" s="5" t="s">
        <v>49</v>
      </c>
      <c r="J1772" s="5" t="s">
        <v>6021</v>
      </c>
      <c r="K1772" s="5">
        <v>1.0</v>
      </c>
      <c r="L1772" s="5">
        <v>15044.0</v>
      </c>
      <c r="M1772" s="11">
        <v>-118.596055</v>
      </c>
      <c r="N1772" s="11">
        <v>51.669195</v>
      </c>
      <c r="O1772" s="11">
        <v>617.0</v>
      </c>
      <c r="P1772" s="5" t="s">
        <v>6315</v>
      </c>
      <c r="Q1772" s="72">
        <v>1.0</v>
      </c>
      <c r="R1772" s="11" t="s">
        <v>6316</v>
      </c>
      <c r="S1772" s="11" t="s">
        <v>6009</v>
      </c>
    </row>
    <row r="1773" ht="14.25" customHeight="1">
      <c r="B1773" s="5">
        <v>5.0</v>
      </c>
      <c r="C1773" s="5" t="s">
        <v>6010</v>
      </c>
      <c r="D1773" s="5" t="s">
        <v>6318</v>
      </c>
      <c r="E1773" s="5">
        <v>2465.0</v>
      </c>
      <c r="F1773" s="5" t="s">
        <v>6319</v>
      </c>
      <c r="G1773" s="5" t="s">
        <v>6320</v>
      </c>
      <c r="H1773" s="5" t="s">
        <v>6321</v>
      </c>
      <c r="I1773" s="5" t="s">
        <v>1664</v>
      </c>
      <c r="J1773" s="5" t="s">
        <v>6069</v>
      </c>
      <c r="K1773" s="5">
        <v>1.0</v>
      </c>
      <c r="L1773" s="5">
        <v>2868.0</v>
      </c>
      <c r="M1773" s="5">
        <v>-122.9246111</v>
      </c>
      <c r="N1773" s="5">
        <v>50.79558333</v>
      </c>
      <c r="O1773" s="5">
        <v>1780.0</v>
      </c>
      <c r="P1773" s="5" t="s">
        <v>6318</v>
      </c>
      <c r="Q1773" s="5">
        <v>7.0</v>
      </c>
      <c r="R1773" s="5" t="s">
        <v>6322</v>
      </c>
      <c r="S1773" s="5" t="s">
        <v>6009</v>
      </c>
    </row>
    <row r="1774" ht="14.25" customHeight="1">
      <c r="A1774" s="5" t="s">
        <v>2037</v>
      </c>
      <c r="B1774" s="5">
        <v>5.0</v>
      </c>
      <c r="C1774" s="5" t="s">
        <v>6010</v>
      </c>
      <c r="D1774" s="5" t="s">
        <v>6323</v>
      </c>
      <c r="E1774" s="5">
        <v>2469.0</v>
      </c>
      <c r="F1774" s="10" t="s">
        <v>6324</v>
      </c>
      <c r="G1774" s="5" t="s">
        <v>6325</v>
      </c>
      <c r="H1774" s="5" t="s">
        <v>6326</v>
      </c>
      <c r="I1774" s="5" t="s">
        <v>1664</v>
      </c>
      <c r="J1774" s="5" t="s">
        <v>6046</v>
      </c>
      <c r="K1774" s="5">
        <v>1.0</v>
      </c>
      <c r="L1774" s="5">
        <v>2872.0</v>
      </c>
      <c r="M1774" s="11">
        <v>-121.6248694</v>
      </c>
      <c r="N1774" s="11">
        <v>56.25129444</v>
      </c>
      <c r="O1774" s="11">
        <v>480.0</v>
      </c>
      <c r="P1774" s="5" t="s">
        <v>6323</v>
      </c>
      <c r="Q1774" s="72">
        <v>1.0</v>
      </c>
      <c r="R1774" s="11" t="s">
        <v>6327</v>
      </c>
      <c r="S1774" s="11" t="s">
        <v>6009</v>
      </c>
    </row>
    <row r="1775" ht="14.25" customHeight="1">
      <c r="A1775" s="5" t="s">
        <v>2037</v>
      </c>
      <c r="B1775" s="5">
        <v>5.0</v>
      </c>
      <c r="C1775" s="5" t="s">
        <v>6010</v>
      </c>
      <c r="D1775" s="5" t="s">
        <v>6328</v>
      </c>
      <c r="E1775" s="5">
        <v>13095.0</v>
      </c>
      <c r="F1775" s="5" t="s">
        <v>6329</v>
      </c>
      <c r="G1775" s="5" t="s">
        <v>6330</v>
      </c>
      <c r="H1775" s="5" t="s">
        <v>6014</v>
      </c>
      <c r="I1775" s="5" t="s">
        <v>49</v>
      </c>
      <c r="J1775" s="5" t="s">
        <v>6021</v>
      </c>
      <c r="K1775" s="5">
        <v>1.0</v>
      </c>
      <c r="L1775" s="5">
        <v>15017.0</v>
      </c>
      <c r="M1775" s="11">
        <v>-122.2410972</v>
      </c>
      <c r="N1775" s="11">
        <v>56.50833611</v>
      </c>
      <c r="O1775" s="11">
        <v>657.0</v>
      </c>
      <c r="P1775" s="5" t="s">
        <v>6328</v>
      </c>
      <c r="Q1775" s="72">
        <v>1.0</v>
      </c>
      <c r="R1775" s="11" t="s">
        <v>6329</v>
      </c>
      <c r="S1775" s="11" t="s">
        <v>6009</v>
      </c>
    </row>
    <row r="1776" ht="14.25" customHeight="1">
      <c r="A1776" s="5" t="s">
        <v>2037</v>
      </c>
      <c r="B1776" s="5">
        <v>5.0</v>
      </c>
      <c r="C1776" s="5" t="s">
        <v>6010</v>
      </c>
      <c r="D1776" s="5" t="s">
        <v>6331</v>
      </c>
      <c r="E1776" s="5">
        <v>2468.0</v>
      </c>
      <c r="F1776" s="10" t="s">
        <v>6332</v>
      </c>
      <c r="G1776" s="5" t="s">
        <v>6333</v>
      </c>
      <c r="H1776" s="5" t="s">
        <v>6334</v>
      </c>
      <c r="I1776" s="5" t="s">
        <v>1664</v>
      </c>
      <c r="J1776" s="5" t="s">
        <v>6187</v>
      </c>
      <c r="K1776" s="5">
        <v>1.0</v>
      </c>
      <c r="L1776" s="5">
        <v>2871.0</v>
      </c>
      <c r="M1776" s="10">
        <v>-125.98639</v>
      </c>
      <c r="N1776" s="10">
        <v>49.8153</v>
      </c>
      <c r="O1776" s="10">
        <v>215.0</v>
      </c>
      <c r="P1776" s="10" t="s">
        <v>6331</v>
      </c>
      <c r="Q1776" s="55"/>
      <c r="R1776" s="10" t="str">
        <f>F1776</f>
        <v>Heber R. nr Gold R. -&gt; Heber River near Gold River</v>
      </c>
      <c r="S1776" s="55"/>
      <c r="T1776" s="55"/>
      <c r="U1776" s="55"/>
      <c r="V1776" s="55"/>
      <c r="W1776" s="55"/>
      <c r="X1776" s="55"/>
      <c r="Y1776" s="55"/>
      <c r="Z1776" s="55"/>
      <c r="AA1776" s="55"/>
      <c r="AB1776" s="55"/>
      <c r="AC1776" s="55"/>
      <c r="AD1776" s="55"/>
      <c r="AE1776" s="55"/>
      <c r="AF1776" s="55"/>
      <c r="AG1776" s="55"/>
      <c r="AH1776" s="55"/>
      <c r="AI1776" s="55"/>
      <c r="AJ1776" s="55"/>
      <c r="AK1776" s="55"/>
      <c r="AL1776" s="55"/>
      <c r="AM1776" s="55"/>
      <c r="AN1776" s="55"/>
      <c r="AO1776" s="55"/>
      <c r="AP1776" s="55"/>
      <c r="AQ1776" s="55"/>
      <c r="AR1776" s="55"/>
      <c r="AS1776" s="55"/>
      <c r="AT1776" s="55"/>
      <c r="AU1776" s="55"/>
      <c r="AV1776" s="55"/>
      <c r="AW1776" s="55"/>
      <c r="AX1776" s="55"/>
      <c r="AY1776" s="55"/>
      <c r="AZ1776" s="55"/>
      <c r="BA1776" s="55"/>
      <c r="BB1776" s="55"/>
      <c r="BC1776" s="55"/>
      <c r="BD1776" s="55"/>
      <c r="BE1776" s="55"/>
      <c r="BF1776" s="55"/>
      <c r="BG1776" s="55"/>
      <c r="BH1776" s="55"/>
      <c r="BI1776" s="55"/>
      <c r="BJ1776" s="55"/>
      <c r="BK1776" s="55"/>
      <c r="BL1776" s="55"/>
      <c r="BM1776" s="55"/>
      <c r="BN1776" s="55"/>
      <c r="BO1776" s="55"/>
      <c r="BP1776" s="55"/>
      <c r="BQ1776" s="55"/>
      <c r="BR1776" s="55"/>
      <c r="BS1776" s="55"/>
      <c r="BT1776" s="55"/>
    </row>
    <row r="1777" ht="14.25" customHeight="1">
      <c r="B1777" s="5">
        <v>5.0</v>
      </c>
      <c r="C1777" s="5" t="s">
        <v>6010</v>
      </c>
      <c r="D1777" s="5" t="s">
        <v>6335</v>
      </c>
      <c r="E1777" s="5">
        <v>2470.0</v>
      </c>
      <c r="F1777" s="5" t="s">
        <v>6336</v>
      </c>
      <c r="G1777" s="5" t="s">
        <v>6337</v>
      </c>
      <c r="H1777" s="5" t="s">
        <v>6338</v>
      </c>
      <c r="I1777" s="5" t="s">
        <v>1664</v>
      </c>
      <c r="J1777" s="5" t="s">
        <v>6041</v>
      </c>
      <c r="K1777" s="5">
        <v>1.0</v>
      </c>
      <c r="L1777" s="5">
        <v>2873.0</v>
      </c>
      <c r="M1777" s="11">
        <v>-123.606</v>
      </c>
      <c r="N1777" s="11">
        <v>56.73476667</v>
      </c>
      <c r="O1777" s="11">
        <v>1450.0</v>
      </c>
      <c r="P1777" s="5" t="s">
        <v>6335</v>
      </c>
      <c r="Q1777" s="72">
        <v>7.0</v>
      </c>
      <c r="R1777" s="11" t="s">
        <v>6339</v>
      </c>
      <c r="S1777" s="11" t="s">
        <v>6009</v>
      </c>
    </row>
    <row r="1778" ht="14.25" customHeight="1">
      <c r="A1778" s="5" t="s">
        <v>2037</v>
      </c>
      <c r="B1778" s="5">
        <v>5.0</v>
      </c>
      <c r="C1778" s="5" t="s">
        <v>6010</v>
      </c>
      <c r="D1778" s="5" t="s">
        <v>6340</v>
      </c>
      <c r="E1778" s="5">
        <v>2471.0</v>
      </c>
      <c r="F1778" s="10" t="s">
        <v>6341</v>
      </c>
      <c r="G1778" s="5" t="s">
        <v>6342</v>
      </c>
      <c r="H1778" s="5" t="s">
        <v>6343</v>
      </c>
      <c r="I1778" s="5" t="s">
        <v>1664</v>
      </c>
      <c r="J1778" s="5" t="s">
        <v>6046</v>
      </c>
      <c r="K1778" s="5">
        <v>1.0</v>
      </c>
      <c r="L1778" s="5">
        <v>2874.0</v>
      </c>
      <c r="M1778" s="10">
        <v>-122.94216</v>
      </c>
      <c r="N1778" s="10">
        <v>50.73049</v>
      </c>
      <c r="O1778" s="10">
        <v>990.0</v>
      </c>
      <c r="P1778" s="10" t="s">
        <v>6340</v>
      </c>
      <c r="Q1778" s="55"/>
      <c r="R1778" s="10" t="str">
        <f>F1778</f>
        <v>Hurley R. ab Lone Goat Ck -&gt; Hurley River above Lone Goat Creek</v>
      </c>
      <c r="S1778" s="55"/>
      <c r="T1778" s="55"/>
      <c r="U1778" s="55"/>
      <c r="V1778" s="55"/>
      <c r="W1778" s="55"/>
      <c r="X1778" s="55"/>
      <c r="Y1778" s="55"/>
      <c r="Z1778" s="55"/>
      <c r="AA1778" s="55"/>
      <c r="AB1778" s="55"/>
      <c r="AC1778" s="55"/>
      <c r="AD1778" s="55"/>
      <c r="AE1778" s="55"/>
      <c r="AF1778" s="55"/>
      <c r="AG1778" s="55"/>
      <c r="AH1778" s="55"/>
      <c r="AI1778" s="55"/>
      <c r="AJ1778" s="55"/>
      <c r="AK1778" s="55"/>
      <c r="AL1778" s="55"/>
      <c r="AM1778" s="55"/>
      <c r="AN1778" s="55"/>
      <c r="AO1778" s="55"/>
      <c r="AP1778" s="55"/>
      <c r="AQ1778" s="55"/>
      <c r="AR1778" s="55"/>
      <c r="AS1778" s="55"/>
      <c r="AT1778" s="55"/>
      <c r="AU1778" s="55"/>
      <c r="AV1778" s="55"/>
      <c r="AW1778" s="55"/>
      <c r="AX1778" s="55"/>
      <c r="AY1778" s="55"/>
      <c r="AZ1778" s="55"/>
      <c r="BA1778" s="55"/>
      <c r="BB1778" s="55"/>
      <c r="BC1778" s="55"/>
      <c r="BD1778" s="55"/>
      <c r="BE1778" s="55"/>
      <c r="BF1778" s="55"/>
      <c r="BG1778" s="55"/>
      <c r="BH1778" s="55"/>
      <c r="BI1778" s="55"/>
      <c r="BJ1778" s="55"/>
      <c r="BK1778" s="55"/>
      <c r="BL1778" s="55"/>
      <c r="BM1778" s="55"/>
      <c r="BN1778" s="55"/>
      <c r="BO1778" s="55"/>
      <c r="BP1778" s="55"/>
      <c r="BQ1778" s="55"/>
      <c r="BR1778" s="55"/>
      <c r="BS1778" s="55"/>
      <c r="BT1778" s="55"/>
    </row>
    <row r="1779" ht="14.25" customHeight="1">
      <c r="A1779" s="7" t="s">
        <v>88</v>
      </c>
      <c r="B1779" s="5">
        <v>5.0</v>
      </c>
      <c r="C1779" s="5" t="s">
        <v>6010</v>
      </c>
      <c r="D1779" s="5" t="s">
        <v>6344</v>
      </c>
      <c r="E1779" s="5">
        <v>13120.0</v>
      </c>
      <c r="F1779" s="5" t="s">
        <v>6345</v>
      </c>
      <c r="G1779" s="95" t="s">
        <v>6346</v>
      </c>
      <c r="H1779" s="5" t="s">
        <v>6347</v>
      </c>
      <c r="I1779" s="5" t="s">
        <v>49</v>
      </c>
      <c r="J1779" s="5" t="s">
        <v>6021</v>
      </c>
      <c r="K1779" s="5">
        <v>1.0</v>
      </c>
      <c r="L1779" s="5">
        <v>15042.0</v>
      </c>
      <c r="M1779" s="11">
        <v>-122.942242</v>
      </c>
      <c r="N1779" s="11">
        <v>50.730979</v>
      </c>
      <c r="O1779" s="11">
        <v>1012.0</v>
      </c>
      <c r="P1779" s="5" t="s">
        <v>6344</v>
      </c>
      <c r="Q1779" s="72">
        <v>3.0</v>
      </c>
      <c r="R1779" s="11" t="s">
        <v>6345</v>
      </c>
      <c r="S1779" s="11" t="s">
        <v>6009</v>
      </c>
    </row>
    <row r="1780" ht="14.25" customHeight="1">
      <c r="A1780" s="5" t="s">
        <v>2037</v>
      </c>
      <c r="B1780" s="5">
        <v>5.0</v>
      </c>
      <c r="C1780" s="5" t="s">
        <v>6010</v>
      </c>
      <c r="D1780" s="5" t="s">
        <v>6348</v>
      </c>
      <c r="E1780" s="5">
        <v>2472.0</v>
      </c>
      <c r="F1780" s="10" t="s">
        <v>6349</v>
      </c>
      <c r="G1780" s="5" t="s">
        <v>6350</v>
      </c>
      <c r="H1780" s="5" t="s">
        <v>6351</v>
      </c>
      <c r="I1780" s="5" t="s">
        <v>1664</v>
      </c>
      <c r="J1780" s="5" t="s">
        <v>6046</v>
      </c>
      <c r="K1780" s="5">
        <v>1.0</v>
      </c>
      <c r="L1780" s="5">
        <v>2875.0</v>
      </c>
      <c r="M1780" s="10">
        <v>-118.08273</v>
      </c>
      <c r="N1780" s="10">
        <v>51.0133</v>
      </c>
      <c r="O1780" s="10">
        <v>500.0</v>
      </c>
      <c r="P1780" s="10" t="s">
        <v>6348</v>
      </c>
      <c r="Q1780" s="55"/>
      <c r="R1780" s="10" t="s">
        <v>6352</v>
      </c>
      <c r="S1780" s="55"/>
      <c r="T1780" s="55"/>
      <c r="U1780" s="55"/>
      <c r="V1780" s="55"/>
      <c r="W1780" s="55"/>
      <c r="X1780" s="55"/>
      <c r="Y1780" s="55"/>
      <c r="Z1780" s="55"/>
      <c r="AA1780" s="55"/>
      <c r="AB1780" s="55"/>
      <c r="AC1780" s="55"/>
      <c r="AD1780" s="55"/>
      <c r="AE1780" s="55"/>
      <c r="AF1780" s="55"/>
      <c r="AG1780" s="55"/>
      <c r="AH1780" s="55"/>
      <c r="AI1780" s="55"/>
      <c r="AJ1780" s="55"/>
      <c r="AK1780" s="55"/>
      <c r="AL1780" s="55"/>
      <c r="AM1780" s="55"/>
      <c r="AN1780" s="55"/>
      <c r="AO1780" s="55"/>
      <c r="AP1780" s="55"/>
      <c r="AQ1780" s="55"/>
      <c r="AR1780" s="55"/>
      <c r="AS1780" s="55"/>
      <c r="AT1780" s="55"/>
      <c r="AU1780" s="55"/>
      <c r="AV1780" s="55"/>
      <c r="AW1780" s="55"/>
      <c r="AX1780" s="55"/>
      <c r="AY1780" s="55"/>
      <c r="AZ1780" s="55"/>
      <c r="BA1780" s="55"/>
      <c r="BB1780" s="55"/>
      <c r="BC1780" s="55"/>
      <c r="BD1780" s="55"/>
      <c r="BE1780" s="55"/>
      <c r="BF1780" s="55"/>
      <c r="BG1780" s="55"/>
      <c r="BH1780" s="55"/>
      <c r="BI1780" s="55"/>
      <c r="BJ1780" s="55"/>
      <c r="BK1780" s="55"/>
      <c r="BL1780" s="55"/>
      <c r="BM1780" s="55"/>
      <c r="BN1780" s="55"/>
      <c r="BO1780" s="55"/>
      <c r="BP1780" s="55"/>
      <c r="BQ1780" s="55"/>
      <c r="BR1780" s="55"/>
      <c r="BS1780" s="55"/>
      <c r="BT1780" s="55"/>
    </row>
    <row r="1781" ht="14.25" customHeight="1">
      <c r="A1781" s="5" t="s">
        <v>1908</v>
      </c>
      <c r="B1781" s="5">
        <v>5.0</v>
      </c>
      <c r="C1781" s="5" t="s">
        <v>6010</v>
      </c>
      <c r="D1781" s="5" t="s">
        <v>6353</v>
      </c>
      <c r="E1781" s="5">
        <v>2473.0</v>
      </c>
      <c r="F1781" s="10" t="s">
        <v>6354</v>
      </c>
      <c r="G1781" s="10" t="s">
        <v>6355</v>
      </c>
      <c r="H1781" s="5" t="s">
        <v>6040</v>
      </c>
      <c r="I1781" s="5" t="s">
        <v>1664</v>
      </c>
      <c r="J1781" s="5" t="s">
        <v>6046</v>
      </c>
      <c r="K1781" s="5">
        <v>1.0</v>
      </c>
      <c r="L1781" s="5">
        <v>2876.0</v>
      </c>
      <c r="M1781" s="11">
        <v>-125.1116083</v>
      </c>
      <c r="N1781" s="11">
        <v>56.72735556</v>
      </c>
      <c r="O1781" s="11">
        <v>711.0</v>
      </c>
      <c r="P1781" s="5" t="s">
        <v>6353</v>
      </c>
      <c r="Q1781" s="72">
        <v>1.0</v>
      </c>
      <c r="R1781" s="11" t="s">
        <v>6356</v>
      </c>
      <c r="S1781" s="11" t="s">
        <v>6009</v>
      </c>
    </row>
    <row r="1782" ht="14.25" customHeight="1">
      <c r="A1782" s="96" t="s">
        <v>6357</v>
      </c>
      <c r="B1782" s="96">
        <v>5.0</v>
      </c>
      <c r="C1782" s="96" t="s">
        <v>6010</v>
      </c>
      <c r="D1782" s="96" t="s">
        <v>6358</v>
      </c>
      <c r="E1782" s="96">
        <v>13217.0</v>
      </c>
      <c r="F1782" s="96" t="s">
        <v>6359</v>
      </c>
      <c r="G1782" s="96" t="s">
        <v>6360</v>
      </c>
      <c r="H1782" s="5" t="s">
        <v>6361</v>
      </c>
      <c r="I1782" s="5" t="s">
        <v>49</v>
      </c>
      <c r="J1782" s="5" t="s">
        <v>6087</v>
      </c>
      <c r="K1782" s="5">
        <v>1.0</v>
      </c>
      <c r="L1782" s="5">
        <v>15133.0</v>
      </c>
      <c r="M1782" s="97">
        <v>-126.19401</v>
      </c>
      <c r="N1782" s="97">
        <v>56.605415</v>
      </c>
      <c r="O1782" s="97">
        <v>1467.0</v>
      </c>
      <c r="P1782" s="97" t="s">
        <v>6358</v>
      </c>
      <c r="Q1782" s="98">
        <v>6.0</v>
      </c>
      <c r="R1782" s="97" t="s">
        <v>6359</v>
      </c>
      <c r="S1782" s="97" t="s">
        <v>6009</v>
      </c>
      <c r="T1782" s="96"/>
      <c r="U1782" s="97"/>
      <c r="V1782" s="97"/>
      <c r="W1782" s="97"/>
      <c r="X1782" s="97"/>
      <c r="Y1782" s="97"/>
      <c r="Z1782" s="97"/>
      <c r="AA1782" s="97"/>
      <c r="AB1782" s="97"/>
      <c r="AC1782" s="97"/>
      <c r="AD1782" s="97"/>
      <c r="AE1782" s="97"/>
      <c r="AF1782" s="96"/>
      <c r="AG1782" s="96"/>
      <c r="AH1782" s="96"/>
      <c r="AI1782" s="97"/>
      <c r="AJ1782" s="97"/>
      <c r="AK1782" s="97"/>
      <c r="AL1782" s="97"/>
      <c r="AM1782" s="97"/>
      <c r="AN1782" s="97"/>
      <c r="AO1782" s="97"/>
      <c r="AP1782" s="97"/>
      <c r="AQ1782" s="97"/>
      <c r="AR1782" s="97"/>
      <c r="AS1782" s="97"/>
      <c r="AT1782" s="97"/>
      <c r="AU1782" s="97"/>
      <c r="AV1782" s="97"/>
      <c r="AW1782" s="97"/>
      <c r="AX1782" s="97"/>
      <c r="AY1782" s="97"/>
      <c r="AZ1782" s="97"/>
      <c r="BA1782" s="97"/>
      <c r="BB1782" s="97"/>
      <c r="BC1782" s="97"/>
      <c r="BD1782" s="97"/>
      <c r="BE1782" s="97"/>
      <c r="BF1782" s="97"/>
      <c r="BG1782" s="97"/>
      <c r="BH1782" s="97"/>
      <c r="BI1782" s="97"/>
      <c r="BJ1782" s="97"/>
      <c r="BK1782" s="97"/>
      <c r="BL1782" s="97"/>
      <c r="BM1782" s="97"/>
      <c r="BN1782" s="97"/>
      <c r="BO1782" s="97"/>
      <c r="BP1782" s="97"/>
      <c r="BQ1782" s="97"/>
      <c r="BR1782" s="97"/>
      <c r="BS1782" s="97"/>
      <c r="BT1782" s="97"/>
    </row>
    <row r="1783" ht="14.25" customHeight="1">
      <c r="A1783" s="97" t="s">
        <v>6362</v>
      </c>
      <c r="B1783" s="96">
        <v>5.0</v>
      </c>
      <c r="C1783" s="96" t="s">
        <v>6010</v>
      </c>
      <c r="D1783" s="96" t="s">
        <v>6358</v>
      </c>
      <c r="E1783" s="96">
        <v>13128.0</v>
      </c>
      <c r="F1783" s="96"/>
      <c r="G1783" s="96" t="s">
        <v>127</v>
      </c>
      <c r="H1783" s="5" t="s">
        <v>6363</v>
      </c>
      <c r="I1783" s="5" t="s">
        <v>49</v>
      </c>
      <c r="J1783" s="5" t="s">
        <v>6087</v>
      </c>
      <c r="K1783" s="5">
        <v>1.0</v>
      </c>
      <c r="L1783" s="5">
        <v>15050.0</v>
      </c>
      <c r="M1783" s="97"/>
      <c r="N1783" s="97"/>
      <c r="O1783" s="97"/>
      <c r="P1783" s="97"/>
      <c r="Q1783" s="97"/>
      <c r="R1783" s="97"/>
      <c r="S1783" s="97"/>
      <c r="T1783" s="97"/>
      <c r="U1783" s="97"/>
      <c r="V1783" s="97"/>
      <c r="W1783" s="97"/>
      <c r="X1783" s="97"/>
      <c r="Y1783" s="97"/>
      <c r="Z1783" s="97"/>
      <c r="AA1783" s="97"/>
      <c r="AB1783" s="97"/>
      <c r="AC1783" s="97"/>
      <c r="AD1783" s="97"/>
      <c r="AE1783" s="97"/>
      <c r="AF1783" s="96"/>
      <c r="AG1783" s="96"/>
      <c r="AH1783" s="96"/>
      <c r="AI1783" s="97"/>
      <c r="AJ1783" s="97"/>
      <c r="AK1783" s="97"/>
      <c r="AL1783" s="97"/>
      <c r="AM1783" s="97"/>
      <c r="AN1783" s="97"/>
      <c r="AO1783" s="97"/>
      <c r="AP1783" s="97"/>
      <c r="AQ1783" s="97"/>
      <c r="AR1783" s="97"/>
      <c r="AS1783" s="97"/>
      <c r="AT1783" s="97"/>
      <c r="AU1783" s="97"/>
      <c r="AV1783" s="97"/>
      <c r="AW1783" s="97"/>
      <c r="AX1783" s="97"/>
      <c r="AY1783" s="97"/>
      <c r="AZ1783" s="97"/>
      <c r="BA1783" s="97"/>
      <c r="BB1783" s="97"/>
      <c r="BC1783" s="97"/>
      <c r="BD1783" s="97"/>
      <c r="BE1783" s="97"/>
      <c r="BF1783" s="97"/>
      <c r="BG1783" s="97"/>
      <c r="BH1783" s="97"/>
      <c r="BI1783" s="97"/>
      <c r="BJ1783" s="97"/>
      <c r="BK1783" s="97"/>
      <c r="BL1783" s="97"/>
      <c r="BM1783" s="97"/>
      <c r="BN1783" s="97"/>
      <c r="BO1783" s="97"/>
      <c r="BP1783" s="97"/>
      <c r="BQ1783" s="97"/>
      <c r="BR1783" s="97"/>
      <c r="BS1783" s="97"/>
      <c r="BT1783" s="97"/>
    </row>
    <row r="1784" ht="14.25" customHeight="1">
      <c r="B1784" s="5">
        <v>5.0</v>
      </c>
      <c r="C1784" s="5" t="s">
        <v>6010</v>
      </c>
      <c r="D1784" s="5" t="s">
        <v>6364</v>
      </c>
      <c r="E1784" s="5">
        <v>2474.0</v>
      </c>
      <c r="F1784" s="5" t="s">
        <v>6365</v>
      </c>
      <c r="G1784" s="5" t="s">
        <v>6366</v>
      </c>
      <c r="H1784" s="5" t="s">
        <v>6367</v>
      </c>
      <c r="I1784" s="5" t="s">
        <v>1664</v>
      </c>
      <c r="J1784" s="5" t="s">
        <v>6046</v>
      </c>
      <c r="K1784" s="5">
        <v>1.0</v>
      </c>
      <c r="L1784" s="5">
        <v>2877.0</v>
      </c>
      <c r="M1784" s="11">
        <v>-125.3086111</v>
      </c>
      <c r="N1784" s="11">
        <v>50.04333333</v>
      </c>
      <c r="O1784" s="11">
        <v>15.0</v>
      </c>
      <c r="P1784" s="5" t="s">
        <v>6364</v>
      </c>
      <c r="Q1784" s="72">
        <v>1.0</v>
      </c>
      <c r="R1784" s="11" t="s">
        <v>6368</v>
      </c>
      <c r="S1784" s="11" t="s">
        <v>6009</v>
      </c>
    </row>
    <row r="1785" ht="14.25" customHeight="1">
      <c r="B1785" s="5">
        <v>5.0</v>
      </c>
      <c r="C1785" s="5" t="s">
        <v>6010</v>
      </c>
      <c r="D1785" s="5" t="s">
        <v>6369</v>
      </c>
      <c r="E1785" s="5">
        <v>13098.0</v>
      </c>
      <c r="F1785" s="5" t="s">
        <v>6370</v>
      </c>
      <c r="G1785" s="5" t="s">
        <v>6371</v>
      </c>
      <c r="H1785" s="5" t="s">
        <v>6014</v>
      </c>
      <c r="I1785" s="5" t="s">
        <v>49</v>
      </c>
      <c r="J1785" s="5" t="s">
        <v>6262</v>
      </c>
      <c r="K1785" s="5">
        <v>1.0</v>
      </c>
      <c r="L1785" s="5">
        <v>15020.0</v>
      </c>
      <c r="M1785" s="5">
        <v>-116.92827777777778</v>
      </c>
      <c r="N1785" s="5">
        <v>49.903749999999995</v>
      </c>
      <c r="O1785" s="5">
        <v>717.0</v>
      </c>
      <c r="P1785" s="5" t="s">
        <v>6369</v>
      </c>
      <c r="Q1785" s="5">
        <v>1.0</v>
      </c>
      <c r="R1785" s="5" t="s">
        <v>6370</v>
      </c>
      <c r="S1785" s="5" t="s">
        <v>6009</v>
      </c>
    </row>
    <row r="1786" ht="14.25" customHeight="1">
      <c r="B1786" s="5">
        <v>5.0</v>
      </c>
      <c r="C1786" s="5" t="s">
        <v>6010</v>
      </c>
      <c r="D1786" s="5" t="s">
        <v>6372</v>
      </c>
      <c r="E1786" s="5">
        <v>13101.0</v>
      </c>
      <c r="F1786" s="5" t="s">
        <v>6373</v>
      </c>
      <c r="G1786" s="5" t="s">
        <v>6374</v>
      </c>
      <c r="H1786" s="5" t="s">
        <v>6014</v>
      </c>
      <c r="I1786" s="5" t="s">
        <v>49</v>
      </c>
      <c r="J1786" s="5" t="s">
        <v>6087</v>
      </c>
      <c r="K1786" s="5">
        <v>1.0</v>
      </c>
      <c r="L1786" s="5">
        <v>15023.0</v>
      </c>
      <c r="M1786" s="5">
        <v>-126.2975972</v>
      </c>
      <c r="N1786" s="5">
        <v>56.02119167</v>
      </c>
      <c r="O1786" s="5">
        <v>1257.0</v>
      </c>
      <c r="P1786" s="5" t="s">
        <v>6372</v>
      </c>
      <c r="Q1786" s="5">
        <v>6.0</v>
      </c>
      <c r="R1786" s="5" t="s">
        <v>6373</v>
      </c>
      <c r="S1786" s="5" t="s">
        <v>6009</v>
      </c>
    </row>
    <row r="1787" ht="14.25" customHeight="1">
      <c r="B1787" s="5">
        <v>5.0</v>
      </c>
      <c r="C1787" s="5" t="s">
        <v>6010</v>
      </c>
      <c r="D1787" s="5" t="s">
        <v>6375</v>
      </c>
      <c r="E1787" s="5">
        <v>12399.0</v>
      </c>
      <c r="F1787" s="5" t="s">
        <v>6376</v>
      </c>
      <c r="G1787" s="5" t="s">
        <v>6377</v>
      </c>
      <c r="H1787" s="5" t="s">
        <v>6289</v>
      </c>
      <c r="I1787" s="5" t="s">
        <v>641</v>
      </c>
      <c r="J1787" s="5" t="s">
        <v>6127</v>
      </c>
      <c r="K1787" s="5">
        <v>1.0</v>
      </c>
      <c r="L1787" s="5">
        <v>14421.0</v>
      </c>
      <c r="M1787" s="5">
        <v>-118.3606556</v>
      </c>
      <c r="N1787" s="5">
        <v>51.41128889</v>
      </c>
      <c r="O1787" s="5">
        <v>1840.0</v>
      </c>
      <c r="P1787" s="5" t="s">
        <v>6375</v>
      </c>
      <c r="Q1787" s="5">
        <v>6.0</v>
      </c>
      <c r="R1787" s="5" t="s">
        <v>6376</v>
      </c>
      <c r="S1787" s="5" t="s">
        <v>6009</v>
      </c>
    </row>
    <row r="1788" ht="14.25" customHeight="1">
      <c r="A1788" s="5" t="s">
        <v>2037</v>
      </c>
      <c r="B1788" s="5">
        <v>5.0</v>
      </c>
      <c r="C1788" s="5" t="s">
        <v>6010</v>
      </c>
      <c r="D1788" s="5" t="s">
        <v>6378</v>
      </c>
      <c r="E1788" s="5">
        <v>2467.0</v>
      </c>
      <c r="F1788" s="10" t="s">
        <v>6379</v>
      </c>
      <c r="G1788" s="5" t="s">
        <v>6380</v>
      </c>
      <c r="H1788" s="5" t="s">
        <v>6381</v>
      </c>
      <c r="I1788" s="5" t="s">
        <v>1664</v>
      </c>
      <c r="J1788" s="5" t="s">
        <v>6046</v>
      </c>
      <c r="K1788" s="5">
        <v>1.0</v>
      </c>
      <c r="L1788" s="5">
        <v>2870.0</v>
      </c>
      <c r="M1788" s="10">
        <v>-117.87831</v>
      </c>
      <c r="N1788" s="10">
        <v>51.8771</v>
      </c>
      <c r="O1788" s="10">
        <v>770.0</v>
      </c>
      <c r="P1788" s="10" t="s">
        <v>6378</v>
      </c>
      <c r="Q1788" s="55"/>
      <c r="R1788" s="10" t="s">
        <v>6382</v>
      </c>
      <c r="S1788" s="55"/>
      <c r="T1788" s="55"/>
      <c r="U1788" s="55"/>
      <c r="V1788" s="55"/>
      <c r="W1788" s="55"/>
      <c r="X1788" s="55"/>
      <c r="Y1788" s="55"/>
      <c r="Z1788" s="55"/>
      <c r="AA1788" s="55"/>
      <c r="AB1788" s="55"/>
      <c r="AC1788" s="55"/>
      <c r="AD1788" s="55"/>
      <c r="AE1788" s="55"/>
      <c r="AF1788" s="55"/>
      <c r="AG1788" s="55"/>
      <c r="AH1788" s="55"/>
      <c r="AI1788" s="55"/>
      <c r="AJ1788" s="55"/>
      <c r="AK1788" s="55"/>
      <c r="AL1788" s="55"/>
      <c r="AM1788" s="55"/>
      <c r="AN1788" s="55"/>
      <c r="AO1788" s="55"/>
      <c r="AP1788" s="55"/>
      <c r="AQ1788" s="55"/>
      <c r="AR1788" s="55"/>
      <c r="AS1788" s="55"/>
      <c r="AT1788" s="55"/>
      <c r="AU1788" s="55"/>
      <c r="AV1788" s="55"/>
      <c r="AW1788" s="55"/>
      <c r="AX1788" s="55"/>
      <c r="AY1788" s="55"/>
      <c r="AZ1788" s="55"/>
      <c r="BA1788" s="55"/>
      <c r="BB1788" s="55"/>
      <c r="BC1788" s="55"/>
      <c r="BD1788" s="55"/>
      <c r="BE1788" s="55"/>
      <c r="BF1788" s="55"/>
      <c r="BG1788" s="55"/>
      <c r="BH1788" s="55"/>
      <c r="BI1788" s="55"/>
      <c r="BJ1788" s="55"/>
      <c r="BK1788" s="55"/>
      <c r="BL1788" s="55"/>
      <c r="BM1788" s="55"/>
      <c r="BN1788" s="55"/>
      <c r="BO1788" s="55"/>
      <c r="BP1788" s="55"/>
      <c r="BQ1788" s="55"/>
      <c r="BR1788" s="55"/>
      <c r="BS1788" s="55"/>
      <c r="BT1788" s="55"/>
    </row>
    <row r="1789" ht="14.25" customHeight="1">
      <c r="A1789" s="5" t="s">
        <v>2037</v>
      </c>
      <c r="B1789" s="5">
        <v>5.0</v>
      </c>
      <c r="C1789" s="5" t="s">
        <v>6010</v>
      </c>
      <c r="D1789" s="5" t="s">
        <v>6383</v>
      </c>
      <c r="E1789" s="5">
        <v>2461.0</v>
      </c>
      <c r="F1789" s="10" t="s">
        <v>6384</v>
      </c>
      <c r="G1789" s="5" t="s">
        <v>6385</v>
      </c>
      <c r="H1789" s="5" t="s">
        <v>6386</v>
      </c>
      <c r="I1789" s="5" t="s">
        <v>1664</v>
      </c>
      <c r="J1789" s="5" t="s">
        <v>6046</v>
      </c>
      <c r="K1789" s="5">
        <v>1.0</v>
      </c>
      <c r="L1789" s="5">
        <v>2864.0</v>
      </c>
      <c r="M1789" s="10">
        <v>-115.63461</v>
      </c>
      <c r="N1789" s="10">
        <v>49.61122</v>
      </c>
      <c r="O1789" s="10">
        <v>770.0</v>
      </c>
      <c r="P1789" s="10" t="s">
        <v>6383</v>
      </c>
      <c r="Q1789" s="55"/>
      <c r="R1789" s="10" t="s">
        <v>6387</v>
      </c>
      <c r="S1789" s="55"/>
      <c r="T1789" s="55"/>
      <c r="U1789" s="55"/>
      <c r="V1789" s="55"/>
      <c r="W1789" s="55"/>
      <c r="X1789" s="55"/>
      <c r="Y1789" s="55"/>
      <c r="Z1789" s="55"/>
      <c r="AA1789" s="55"/>
      <c r="AB1789" s="55"/>
      <c r="AC1789" s="55"/>
      <c r="AD1789" s="55"/>
      <c r="AE1789" s="55"/>
      <c r="AF1789" s="55"/>
      <c r="AG1789" s="55"/>
      <c r="AH1789" s="55"/>
      <c r="AI1789" s="55"/>
      <c r="AJ1789" s="55"/>
      <c r="AK1789" s="55"/>
      <c r="AL1789" s="55"/>
      <c r="AM1789" s="55"/>
      <c r="AN1789" s="55"/>
      <c r="AO1789" s="55"/>
      <c r="AP1789" s="55"/>
      <c r="AQ1789" s="55"/>
      <c r="AR1789" s="55"/>
      <c r="AS1789" s="55"/>
      <c r="AT1789" s="55"/>
      <c r="AU1789" s="55"/>
      <c r="AV1789" s="55"/>
      <c r="AW1789" s="55"/>
      <c r="AX1789" s="55"/>
      <c r="AY1789" s="55"/>
      <c r="AZ1789" s="55"/>
      <c r="BA1789" s="55"/>
      <c r="BB1789" s="55"/>
      <c r="BC1789" s="55"/>
      <c r="BD1789" s="55"/>
      <c r="BE1789" s="55"/>
      <c r="BF1789" s="55"/>
      <c r="BG1789" s="55"/>
      <c r="BH1789" s="55"/>
      <c r="BI1789" s="55"/>
      <c r="BJ1789" s="55"/>
      <c r="BK1789" s="55"/>
      <c r="BL1789" s="55"/>
      <c r="BM1789" s="55"/>
      <c r="BN1789" s="55"/>
      <c r="BO1789" s="55"/>
      <c r="BP1789" s="55"/>
      <c r="BQ1789" s="55"/>
      <c r="BR1789" s="55"/>
      <c r="BS1789" s="55"/>
      <c r="BT1789" s="55"/>
    </row>
    <row r="1790" ht="14.25" customHeight="1">
      <c r="A1790" s="5" t="s">
        <v>2037</v>
      </c>
      <c r="B1790" s="5">
        <v>5.0</v>
      </c>
      <c r="C1790" s="5" t="s">
        <v>6010</v>
      </c>
      <c r="D1790" s="5" t="s">
        <v>6388</v>
      </c>
      <c r="E1790" s="5">
        <v>2475.0</v>
      </c>
      <c r="F1790" s="10" t="s">
        <v>6389</v>
      </c>
      <c r="G1790" s="5" t="s">
        <v>6390</v>
      </c>
      <c r="H1790" s="5" t="s">
        <v>6391</v>
      </c>
      <c r="I1790" s="5" t="s">
        <v>1664</v>
      </c>
      <c r="J1790" s="5" t="s">
        <v>6041</v>
      </c>
      <c r="K1790" s="5">
        <v>1.0</v>
      </c>
      <c r="L1790" s="5">
        <v>2878.0</v>
      </c>
      <c r="M1790" s="11">
        <v>-125.0731667</v>
      </c>
      <c r="N1790" s="11">
        <v>57.62333333</v>
      </c>
      <c r="O1790" s="11">
        <v>1554.0</v>
      </c>
      <c r="P1790" s="5" t="s">
        <v>6388</v>
      </c>
      <c r="Q1790" s="72">
        <v>6.0</v>
      </c>
      <c r="R1790" s="11" t="s">
        <v>6392</v>
      </c>
      <c r="S1790" s="11" t="s">
        <v>6009</v>
      </c>
    </row>
    <row r="1791" ht="14.25" customHeight="1">
      <c r="A1791" s="5" t="s">
        <v>2037</v>
      </c>
      <c r="B1791" s="5">
        <v>5.0</v>
      </c>
      <c r="C1791" s="5" t="s">
        <v>6010</v>
      </c>
      <c r="D1791" s="5" t="s">
        <v>6393</v>
      </c>
      <c r="E1791" s="5">
        <v>2476.0</v>
      </c>
      <c r="F1791" s="10" t="s">
        <v>6394</v>
      </c>
      <c r="G1791" s="5" t="s">
        <v>6395</v>
      </c>
      <c r="H1791" s="5" t="s">
        <v>6396</v>
      </c>
      <c r="I1791" s="5" t="s">
        <v>1664</v>
      </c>
      <c r="J1791" s="5" t="s">
        <v>6187</v>
      </c>
      <c r="K1791" s="5">
        <v>1.0</v>
      </c>
      <c r="L1791" s="5">
        <v>2879.0</v>
      </c>
      <c r="M1791" s="10">
        <v>-123.1835</v>
      </c>
      <c r="N1791" s="10">
        <v>50.8593</v>
      </c>
      <c r="O1791" s="10">
        <v>1829.0</v>
      </c>
      <c r="P1791" s="10" t="s">
        <v>6393</v>
      </c>
      <c r="Q1791" s="55"/>
      <c r="R1791" s="10" t="s">
        <v>6397</v>
      </c>
      <c r="S1791" s="55"/>
      <c r="T1791" s="55"/>
      <c r="U1791" s="55"/>
      <c r="V1791" s="55"/>
      <c r="W1791" s="55"/>
      <c r="X1791" s="55"/>
      <c r="Y1791" s="55"/>
      <c r="Z1791" s="55"/>
      <c r="AA1791" s="55"/>
      <c r="AB1791" s="55"/>
      <c r="AC1791" s="55"/>
      <c r="AD1791" s="55"/>
      <c r="AE1791" s="55"/>
      <c r="AF1791" s="55"/>
      <c r="AG1791" s="55"/>
      <c r="AH1791" s="55"/>
      <c r="AI1791" s="55"/>
      <c r="AJ1791" s="55"/>
      <c r="AK1791" s="55"/>
      <c r="AL1791" s="55"/>
      <c r="AM1791" s="55"/>
      <c r="AN1791" s="55"/>
      <c r="AO1791" s="55"/>
      <c r="AP1791" s="55"/>
      <c r="AQ1791" s="55"/>
      <c r="AR1791" s="55"/>
      <c r="AS1791" s="55"/>
      <c r="AT1791" s="55"/>
      <c r="AU1791" s="55"/>
      <c r="AV1791" s="55"/>
      <c r="AW1791" s="55"/>
      <c r="AX1791" s="55"/>
      <c r="AY1791" s="55"/>
      <c r="AZ1791" s="55"/>
      <c r="BA1791" s="55"/>
      <c r="BB1791" s="55"/>
      <c r="BC1791" s="55"/>
      <c r="BD1791" s="55"/>
      <c r="BE1791" s="55"/>
      <c r="BF1791" s="55"/>
      <c r="BG1791" s="55"/>
      <c r="BH1791" s="55"/>
      <c r="BI1791" s="55"/>
      <c r="BJ1791" s="55"/>
      <c r="BK1791" s="55"/>
      <c r="BL1791" s="55"/>
      <c r="BM1791" s="55"/>
      <c r="BN1791" s="55"/>
      <c r="BO1791" s="55"/>
      <c r="BP1791" s="55"/>
      <c r="BQ1791" s="55"/>
      <c r="BR1791" s="55"/>
      <c r="BS1791" s="55"/>
      <c r="BT1791" s="55"/>
    </row>
    <row r="1792" ht="14.25" customHeight="1">
      <c r="B1792" s="5">
        <v>5.0</v>
      </c>
      <c r="C1792" s="5" t="s">
        <v>6010</v>
      </c>
      <c r="D1792" s="5" t="s">
        <v>6398</v>
      </c>
      <c r="E1792" s="5">
        <v>13105.0</v>
      </c>
      <c r="F1792" s="5" t="s">
        <v>6399</v>
      </c>
      <c r="G1792" s="5" t="s">
        <v>6400</v>
      </c>
      <c r="H1792" s="5" t="s">
        <v>6401</v>
      </c>
      <c r="I1792" s="5" t="s">
        <v>49</v>
      </c>
      <c r="J1792" s="5" t="s">
        <v>6087</v>
      </c>
      <c r="K1792" s="5">
        <v>1.0</v>
      </c>
      <c r="L1792" s="5">
        <v>15027.0</v>
      </c>
      <c r="M1792" s="5">
        <v>-122.314283</v>
      </c>
      <c r="N1792" s="5">
        <v>49.581909</v>
      </c>
      <c r="O1792" s="5">
        <v>1208.0</v>
      </c>
      <c r="P1792" s="5" t="s">
        <v>6398</v>
      </c>
      <c r="Q1792" s="5">
        <v>6.0</v>
      </c>
      <c r="R1792" s="5" t="s">
        <v>6402</v>
      </c>
      <c r="S1792" s="5" t="s">
        <v>6009</v>
      </c>
    </row>
    <row r="1793" ht="14.25" customHeight="1">
      <c r="B1793" s="5">
        <v>5.0</v>
      </c>
      <c r="C1793" s="5" t="s">
        <v>6010</v>
      </c>
      <c r="D1793" s="5" t="s">
        <v>6403</v>
      </c>
      <c r="E1793" s="5">
        <v>13121.0</v>
      </c>
      <c r="F1793" s="5" t="s">
        <v>6404</v>
      </c>
      <c r="G1793" s="5" t="s">
        <v>6405</v>
      </c>
      <c r="H1793" s="5" t="s">
        <v>6172</v>
      </c>
      <c r="I1793" s="5" t="s">
        <v>49</v>
      </c>
      <c r="J1793" s="5" t="s">
        <v>6127</v>
      </c>
      <c r="K1793" s="5">
        <v>1.0</v>
      </c>
      <c r="L1793" s="5">
        <v>15043.0</v>
      </c>
      <c r="M1793" s="5">
        <v>-122.62537499999999</v>
      </c>
      <c r="N1793" s="5">
        <v>50.69855555555555</v>
      </c>
      <c r="O1793" s="5">
        <v>1718.0</v>
      </c>
      <c r="P1793" s="5" t="s">
        <v>6403</v>
      </c>
      <c r="Q1793" s="5">
        <v>7.0</v>
      </c>
      <c r="R1793" s="5" t="s">
        <v>6404</v>
      </c>
      <c r="S1793" s="5" t="s">
        <v>6009</v>
      </c>
    </row>
    <row r="1794" ht="14.25" customHeight="1">
      <c r="B1794" s="5">
        <v>5.0</v>
      </c>
      <c r="C1794" s="5" t="s">
        <v>6010</v>
      </c>
      <c r="D1794" s="5" t="s">
        <v>6406</v>
      </c>
      <c r="E1794" s="5">
        <v>2478.0</v>
      </c>
      <c r="F1794" s="5" t="s">
        <v>6407</v>
      </c>
      <c r="G1794" s="5" t="s">
        <v>6408</v>
      </c>
      <c r="H1794" s="5" t="s">
        <v>6409</v>
      </c>
      <c r="I1794" s="5" t="s">
        <v>1664</v>
      </c>
      <c r="J1794" s="5" t="s">
        <v>6041</v>
      </c>
      <c r="K1794" s="5">
        <v>1.0</v>
      </c>
      <c r="L1794" s="5">
        <v>2881.0</v>
      </c>
      <c r="M1794" s="5">
        <v>-123.4041667</v>
      </c>
      <c r="N1794" s="5">
        <v>56.9815</v>
      </c>
      <c r="O1794" s="5">
        <v>1200.0</v>
      </c>
      <c r="P1794" s="5" t="s">
        <v>6406</v>
      </c>
      <c r="Q1794" s="5">
        <v>4.0</v>
      </c>
      <c r="R1794" s="5" t="s">
        <v>6407</v>
      </c>
      <c r="S1794" s="5" t="s">
        <v>6009</v>
      </c>
    </row>
    <row r="1795" ht="14.25" customHeight="1">
      <c r="A1795" s="5" t="s">
        <v>2037</v>
      </c>
      <c r="B1795" s="5">
        <v>5.0</v>
      </c>
      <c r="C1795" s="5" t="s">
        <v>6010</v>
      </c>
      <c r="D1795" s="5" t="s">
        <v>6410</v>
      </c>
      <c r="E1795" s="5">
        <v>2511.0</v>
      </c>
      <c r="F1795" s="10" t="s">
        <v>6411</v>
      </c>
      <c r="G1795" s="5" t="s">
        <v>6412</v>
      </c>
      <c r="H1795" s="5" t="s">
        <v>6413</v>
      </c>
      <c r="I1795" s="5" t="s">
        <v>1664</v>
      </c>
      <c r="J1795" s="5" t="s">
        <v>6187</v>
      </c>
      <c r="K1795" s="5">
        <v>1.0</v>
      </c>
      <c r="L1795" s="5">
        <v>2914.0</v>
      </c>
      <c r="M1795" s="10">
        <v>-124.6442</v>
      </c>
      <c r="N1795" s="10">
        <v>56.245</v>
      </c>
      <c r="O1795" s="10">
        <v>728.0</v>
      </c>
      <c r="P1795" s="10" t="s">
        <v>6410</v>
      </c>
      <c r="Q1795" s="55"/>
      <c r="R1795" s="10" t="s">
        <v>6414</v>
      </c>
      <c r="S1795" s="55"/>
      <c r="T1795" s="55"/>
      <c r="U1795" s="55"/>
      <c r="V1795" s="55"/>
      <c r="W1795" s="55"/>
      <c r="X1795" s="55"/>
      <c r="Y1795" s="55"/>
      <c r="Z1795" s="55"/>
      <c r="AA1795" s="55"/>
      <c r="AB1795" s="55"/>
      <c r="AC1795" s="55"/>
      <c r="AD1795" s="55"/>
      <c r="AE1795" s="55"/>
      <c r="AF1795" s="55"/>
      <c r="AG1795" s="55"/>
      <c r="AH1795" s="55"/>
      <c r="AI1795" s="55"/>
      <c r="AJ1795" s="55"/>
      <c r="AK1795" s="55"/>
      <c r="AL1795" s="55"/>
      <c r="AM1795" s="55"/>
      <c r="AN1795" s="55"/>
      <c r="AO1795" s="55"/>
      <c r="AP1795" s="55"/>
      <c r="AQ1795" s="55"/>
      <c r="AR1795" s="55"/>
      <c r="AS1795" s="55"/>
      <c r="AT1795" s="55"/>
      <c r="AU1795" s="55"/>
      <c r="AV1795" s="55"/>
      <c r="AW1795" s="55"/>
      <c r="AX1795" s="55"/>
      <c r="AY1795" s="55"/>
      <c r="AZ1795" s="55"/>
      <c r="BA1795" s="55"/>
      <c r="BB1795" s="55"/>
      <c r="BC1795" s="55"/>
      <c r="BD1795" s="55"/>
      <c r="BE1795" s="55"/>
      <c r="BF1795" s="55"/>
      <c r="BG1795" s="55"/>
      <c r="BH1795" s="55"/>
      <c r="BI1795" s="55"/>
      <c r="BJ1795" s="55"/>
      <c r="BK1795" s="55"/>
      <c r="BL1795" s="55"/>
      <c r="BM1795" s="55"/>
      <c r="BN1795" s="55"/>
      <c r="BO1795" s="55"/>
      <c r="BP1795" s="55"/>
      <c r="BQ1795" s="55"/>
      <c r="BR1795" s="55"/>
      <c r="BS1795" s="55"/>
      <c r="BT1795" s="55"/>
    </row>
    <row r="1796" ht="14.25" customHeight="1">
      <c r="B1796" s="5">
        <v>5.0</v>
      </c>
      <c r="C1796" s="5" t="s">
        <v>6010</v>
      </c>
      <c r="D1796" s="5" t="s">
        <v>6415</v>
      </c>
      <c r="E1796" s="5">
        <v>2479.0</v>
      </c>
      <c r="F1796" s="5" t="s">
        <v>6416</v>
      </c>
      <c r="G1796" s="5" t="s">
        <v>6417</v>
      </c>
      <c r="H1796" s="5" t="s">
        <v>6418</v>
      </c>
      <c r="I1796" s="5" t="s">
        <v>1664</v>
      </c>
      <c r="J1796" s="5" t="s">
        <v>6041</v>
      </c>
      <c r="K1796" s="5">
        <v>1.0</v>
      </c>
      <c r="L1796" s="5">
        <v>2882.0</v>
      </c>
      <c r="M1796" s="5">
        <v>-122.2076944</v>
      </c>
      <c r="N1796" s="5">
        <v>50.76255556</v>
      </c>
      <c r="O1796" s="5">
        <v>1850.0</v>
      </c>
      <c r="P1796" s="5" t="s">
        <v>6415</v>
      </c>
      <c r="Q1796" s="5">
        <v>8.0</v>
      </c>
      <c r="R1796" s="5" t="s">
        <v>6416</v>
      </c>
      <c r="S1796" s="5" t="s">
        <v>6009</v>
      </c>
    </row>
    <row r="1797" ht="14.25" customHeight="1">
      <c r="A1797" s="5" t="s">
        <v>1908</v>
      </c>
      <c r="B1797" s="5">
        <v>5.0</v>
      </c>
      <c r="C1797" s="5" t="s">
        <v>6010</v>
      </c>
      <c r="D1797" s="5" t="s">
        <v>6419</v>
      </c>
      <c r="E1797" s="5">
        <v>2480.0</v>
      </c>
      <c r="F1797" s="10" t="s">
        <v>6420</v>
      </c>
      <c r="G1797" s="10" t="s">
        <v>6421</v>
      </c>
      <c r="H1797" s="5" t="s">
        <v>6422</v>
      </c>
      <c r="I1797" s="5" t="s">
        <v>1664</v>
      </c>
      <c r="J1797" s="5" t="s">
        <v>6046</v>
      </c>
      <c r="K1797" s="5">
        <v>1.0</v>
      </c>
      <c r="L1797" s="5">
        <v>2883.0</v>
      </c>
      <c r="M1797" s="11">
        <v>-121.3471528</v>
      </c>
      <c r="N1797" s="11">
        <v>56.09306667</v>
      </c>
      <c r="O1797" s="11">
        <v>600.0</v>
      </c>
      <c r="P1797" s="5" t="s">
        <v>6419</v>
      </c>
      <c r="Q1797" s="72">
        <v>1.0</v>
      </c>
      <c r="R1797" s="11" t="s">
        <v>6423</v>
      </c>
      <c r="S1797" s="11" t="s">
        <v>6009</v>
      </c>
    </row>
    <row r="1798" ht="14.25" customHeight="1">
      <c r="A1798" s="5" t="s">
        <v>1908</v>
      </c>
      <c r="B1798" s="5">
        <v>5.0</v>
      </c>
      <c r="C1798" s="5" t="s">
        <v>6010</v>
      </c>
      <c r="D1798" s="5" t="s">
        <v>6424</v>
      </c>
      <c r="E1798" s="5">
        <v>2481.0</v>
      </c>
      <c r="F1798" s="10" t="s">
        <v>6425</v>
      </c>
      <c r="G1798" s="10" t="s">
        <v>6426</v>
      </c>
      <c r="H1798" s="5" t="s">
        <v>6427</v>
      </c>
      <c r="I1798" s="5" t="s">
        <v>1664</v>
      </c>
      <c r="J1798" s="5" t="s">
        <v>6041</v>
      </c>
      <c r="K1798" s="5">
        <v>1.0</v>
      </c>
      <c r="L1798" s="5">
        <v>2884.0</v>
      </c>
      <c r="M1798" s="11">
        <v>-118.2258333</v>
      </c>
      <c r="N1798" s="11">
        <v>52.22055556</v>
      </c>
      <c r="O1798" s="11">
        <v>1935.0</v>
      </c>
      <c r="P1798" s="5" t="s">
        <v>6424</v>
      </c>
      <c r="Q1798" s="72">
        <v>7.0</v>
      </c>
      <c r="R1798" s="11" t="s">
        <v>6428</v>
      </c>
      <c r="S1798" s="11" t="s">
        <v>6009</v>
      </c>
    </row>
    <row r="1799" ht="14.25" customHeight="1">
      <c r="B1799" s="5">
        <v>5.0</v>
      </c>
      <c r="C1799" s="5" t="s">
        <v>6010</v>
      </c>
      <c r="D1799" s="5" t="s">
        <v>6429</v>
      </c>
      <c r="E1799" s="5">
        <v>13119.0</v>
      </c>
      <c r="F1799" s="5" t="s">
        <v>6430</v>
      </c>
      <c r="G1799" s="5" t="s">
        <v>6431</v>
      </c>
      <c r="H1799" s="5" t="s">
        <v>6432</v>
      </c>
      <c r="I1799" s="5" t="s">
        <v>6433</v>
      </c>
      <c r="J1799" s="5" t="s">
        <v>6087</v>
      </c>
      <c r="K1799" s="5">
        <v>1.0</v>
      </c>
      <c r="L1799" s="5">
        <v>15041.0</v>
      </c>
      <c r="M1799" s="5">
        <v>-121.23169722222222</v>
      </c>
      <c r="N1799" s="5">
        <v>54.72528055555556</v>
      </c>
      <c r="O1799" s="5">
        <v>1570.0</v>
      </c>
      <c r="P1799" s="5" t="s">
        <v>6429</v>
      </c>
      <c r="Q1799" s="5">
        <v>7.0</v>
      </c>
      <c r="R1799" s="5" t="s">
        <v>6430</v>
      </c>
      <c r="S1799" s="5" t="s">
        <v>6009</v>
      </c>
    </row>
    <row r="1800" ht="14.25" customHeight="1">
      <c r="B1800" s="5">
        <v>5.0</v>
      </c>
      <c r="C1800" s="5" t="s">
        <v>6010</v>
      </c>
      <c r="D1800" s="5" t="s">
        <v>6434</v>
      </c>
      <c r="E1800" s="5">
        <v>2482.0</v>
      </c>
      <c r="F1800" s="5" t="s">
        <v>6435</v>
      </c>
      <c r="G1800" s="5" t="s">
        <v>6436</v>
      </c>
      <c r="H1800" s="5" t="s">
        <v>6437</v>
      </c>
      <c r="I1800" s="5" t="s">
        <v>1664</v>
      </c>
      <c r="J1800" s="5" t="s">
        <v>6069</v>
      </c>
      <c r="K1800" s="5">
        <v>1.0</v>
      </c>
      <c r="L1800" s="5">
        <v>2885.0</v>
      </c>
      <c r="M1800" s="5">
        <v>-114.975</v>
      </c>
      <c r="N1800" s="5">
        <v>49.44722222</v>
      </c>
      <c r="O1800" s="5">
        <v>1860.0</v>
      </c>
      <c r="P1800" s="5" t="s">
        <v>6434</v>
      </c>
      <c r="Q1800" s="5">
        <v>6.0</v>
      </c>
      <c r="R1800" s="5" t="s">
        <v>6435</v>
      </c>
      <c r="S1800" s="5" t="s">
        <v>6009</v>
      </c>
    </row>
    <row r="1801" ht="14.25" customHeight="1">
      <c r="B1801" s="5">
        <v>5.0</v>
      </c>
      <c r="C1801" s="5" t="s">
        <v>6010</v>
      </c>
      <c r="D1801" s="5" t="s">
        <v>6438</v>
      </c>
      <c r="E1801" s="5">
        <v>13091.0</v>
      </c>
      <c r="F1801" s="5" t="s">
        <v>6439</v>
      </c>
      <c r="G1801" s="5" t="s">
        <v>6440</v>
      </c>
      <c r="H1801" s="5" t="s">
        <v>6014</v>
      </c>
      <c r="I1801" s="5" t="s">
        <v>6433</v>
      </c>
      <c r="J1801" s="5" t="s">
        <v>6087</v>
      </c>
      <c r="K1801" s="5">
        <v>1.0</v>
      </c>
      <c r="L1801" s="5">
        <v>15013.0</v>
      </c>
      <c r="M1801" s="5">
        <v>-121.80416666666666</v>
      </c>
      <c r="N1801" s="5">
        <v>54.526666666666664</v>
      </c>
      <c r="O1801" s="5">
        <v>1484.0</v>
      </c>
      <c r="P1801" s="5" t="s">
        <v>6438</v>
      </c>
      <c r="Q1801" s="5">
        <v>7.0</v>
      </c>
      <c r="R1801" s="5" t="s">
        <v>6439</v>
      </c>
      <c r="S1801" s="5" t="s">
        <v>6009</v>
      </c>
    </row>
    <row r="1802" ht="14.25" customHeight="1">
      <c r="A1802" s="5" t="s">
        <v>1908</v>
      </c>
      <c r="B1802" s="5">
        <v>5.0</v>
      </c>
      <c r="C1802" s="5" t="s">
        <v>6010</v>
      </c>
      <c r="D1802" s="5" t="s">
        <v>6441</v>
      </c>
      <c r="E1802" s="5">
        <v>2483.0</v>
      </c>
      <c r="F1802" s="10" t="s">
        <v>6442</v>
      </c>
      <c r="G1802" s="10" t="s">
        <v>6443</v>
      </c>
      <c r="H1802" s="5" t="s">
        <v>6278</v>
      </c>
      <c r="I1802" s="5" t="s">
        <v>1664</v>
      </c>
      <c r="J1802" s="5" t="s">
        <v>6041</v>
      </c>
      <c r="K1802" s="5">
        <v>1.0</v>
      </c>
      <c r="L1802" s="5">
        <v>2886.0</v>
      </c>
      <c r="M1802" s="11">
        <v>-118.1516028</v>
      </c>
      <c r="N1802" s="11">
        <v>51.03634167</v>
      </c>
      <c r="O1802" s="11">
        <v>1850.0</v>
      </c>
      <c r="P1802" s="5" t="s">
        <v>6441</v>
      </c>
      <c r="Q1802" s="72">
        <v>6.0</v>
      </c>
      <c r="R1802" s="11" t="s">
        <v>6444</v>
      </c>
      <c r="S1802" s="11" t="s">
        <v>6009</v>
      </c>
    </row>
    <row r="1803" ht="14.25" customHeight="1">
      <c r="B1803" s="5">
        <v>5.0</v>
      </c>
      <c r="C1803" s="5" t="s">
        <v>6010</v>
      </c>
      <c r="D1803" s="5" t="s">
        <v>6445</v>
      </c>
      <c r="E1803" s="5">
        <v>12400.0</v>
      </c>
      <c r="F1803" s="5" t="s">
        <v>6446</v>
      </c>
      <c r="G1803" s="5" t="s">
        <v>6447</v>
      </c>
      <c r="H1803" s="5" t="s">
        <v>6289</v>
      </c>
      <c r="I1803" s="5" t="s">
        <v>641</v>
      </c>
      <c r="J1803" s="5" t="s">
        <v>6087</v>
      </c>
      <c r="K1803" s="5">
        <v>1.0</v>
      </c>
      <c r="L1803" s="5">
        <v>14422.0</v>
      </c>
      <c r="M1803" s="5">
        <v>-123.1063889</v>
      </c>
      <c r="N1803" s="5">
        <v>56.78138889</v>
      </c>
      <c r="O1803" s="5">
        <v>1196.0</v>
      </c>
      <c r="P1803" s="5" t="s">
        <v>6445</v>
      </c>
      <c r="Q1803" s="5">
        <v>5.0</v>
      </c>
      <c r="R1803" s="5" t="s">
        <v>6446</v>
      </c>
      <c r="S1803" s="5" t="s">
        <v>6009</v>
      </c>
    </row>
    <row r="1804" ht="14.25" customHeight="1">
      <c r="A1804" s="5" t="s">
        <v>1908</v>
      </c>
      <c r="B1804" s="5">
        <v>5.0</v>
      </c>
      <c r="C1804" s="5" t="s">
        <v>6010</v>
      </c>
      <c r="D1804" s="5" t="s">
        <v>6448</v>
      </c>
      <c r="E1804" s="5">
        <v>2484.0</v>
      </c>
      <c r="F1804" s="10" t="s">
        <v>6449</v>
      </c>
      <c r="G1804" s="10" t="s">
        <v>6450</v>
      </c>
      <c r="H1804" s="5" t="s">
        <v>6451</v>
      </c>
      <c r="I1804" s="5" t="s">
        <v>1664</v>
      </c>
      <c r="J1804" s="5" t="s">
        <v>6046</v>
      </c>
      <c r="K1804" s="5">
        <v>1.0</v>
      </c>
      <c r="L1804" s="5">
        <v>2887.0</v>
      </c>
      <c r="M1804" s="11">
        <v>-123.6212389</v>
      </c>
      <c r="N1804" s="11">
        <v>55.43404722</v>
      </c>
      <c r="O1804" s="11">
        <v>725.0</v>
      </c>
      <c r="P1804" s="5" t="s">
        <v>6448</v>
      </c>
      <c r="Q1804" s="72">
        <v>1.0</v>
      </c>
      <c r="R1804" s="11" t="s">
        <v>6452</v>
      </c>
      <c r="S1804" s="11" t="s">
        <v>6009</v>
      </c>
    </row>
    <row r="1805" ht="14.25" customHeight="1">
      <c r="B1805" s="5">
        <v>5.0</v>
      </c>
      <c r="C1805" s="5" t="s">
        <v>6010</v>
      </c>
      <c r="D1805" s="5" t="s">
        <v>6453</v>
      </c>
      <c r="E1805" s="5">
        <v>13093.0</v>
      </c>
      <c r="F1805" s="5" t="s">
        <v>6454</v>
      </c>
      <c r="G1805" s="5" t="s">
        <v>6455</v>
      </c>
      <c r="H1805" s="5" t="s">
        <v>6014</v>
      </c>
      <c r="I1805" s="5" t="s">
        <v>49</v>
      </c>
      <c r="J1805" s="5" t="s">
        <v>6262</v>
      </c>
      <c r="K1805" s="5">
        <v>1.0</v>
      </c>
      <c r="L1805" s="5">
        <v>15015.0</v>
      </c>
      <c r="M1805" s="5">
        <v>-117.358372</v>
      </c>
      <c r="N1805" s="5">
        <v>49.996657</v>
      </c>
      <c r="O1805" s="5">
        <v>653.0</v>
      </c>
      <c r="P1805" s="5" t="s">
        <v>6453</v>
      </c>
      <c r="Q1805" s="5">
        <v>1.0</v>
      </c>
      <c r="R1805" s="5" t="s">
        <v>6454</v>
      </c>
      <c r="S1805" s="5" t="s">
        <v>6009</v>
      </c>
    </row>
    <row r="1806" ht="14.25" customHeight="1">
      <c r="A1806" s="5" t="s">
        <v>1908</v>
      </c>
      <c r="B1806" s="5">
        <v>5.0</v>
      </c>
      <c r="C1806" s="5" t="s">
        <v>6010</v>
      </c>
      <c r="D1806" s="5" t="s">
        <v>6456</v>
      </c>
      <c r="E1806" s="5">
        <v>2485.0</v>
      </c>
      <c r="F1806" s="10" t="s">
        <v>6457</v>
      </c>
      <c r="G1806" s="10" t="s">
        <v>6458</v>
      </c>
      <c r="H1806" s="5" t="s">
        <v>6459</v>
      </c>
      <c r="I1806" s="5" t="s">
        <v>1664</v>
      </c>
      <c r="J1806" s="5" t="s">
        <v>6069</v>
      </c>
      <c r="K1806" s="5">
        <v>1.0</v>
      </c>
      <c r="L1806" s="5">
        <v>2888.0</v>
      </c>
      <c r="M1806" s="11">
        <v>-122.7855833</v>
      </c>
      <c r="N1806" s="11">
        <v>51.14752778</v>
      </c>
      <c r="O1806" s="11">
        <v>1969.0</v>
      </c>
      <c r="P1806" s="5" t="s">
        <v>6456</v>
      </c>
      <c r="Q1806" s="72">
        <v>8.0</v>
      </c>
      <c r="R1806" s="11" t="s">
        <v>6460</v>
      </c>
      <c r="S1806" s="11" t="s">
        <v>6009</v>
      </c>
    </row>
    <row r="1807" ht="14.25" customHeight="1">
      <c r="A1807" s="5" t="s">
        <v>6461</v>
      </c>
      <c r="B1807" s="5">
        <v>5.0</v>
      </c>
      <c r="C1807" s="5" t="s">
        <v>6010</v>
      </c>
      <c r="D1807" s="5" t="s">
        <v>6462</v>
      </c>
      <c r="E1807" s="5">
        <v>2486.0</v>
      </c>
      <c r="F1807" s="10" t="s">
        <v>6463</v>
      </c>
      <c r="G1807" s="5" t="s">
        <v>6464</v>
      </c>
      <c r="H1807" s="5" t="s">
        <v>6465</v>
      </c>
      <c r="I1807" s="5" t="s">
        <v>1664</v>
      </c>
      <c r="J1807" s="5" t="s">
        <v>6187</v>
      </c>
      <c r="K1807" s="5">
        <v>1.0</v>
      </c>
      <c r="L1807" s="5">
        <v>2889.0</v>
      </c>
      <c r="V1807" s="55"/>
      <c r="W1807" s="55"/>
      <c r="X1807" s="55"/>
      <c r="Y1807" s="55"/>
      <c r="Z1807" s="55"/>
      <c r="AA1807" s="55"/>
      <c r="AB1807" s="55"/>
      <c r="AC1807" s="55"/>
      <c r="AD1807" s="55"/>
      <c r="AE1807" s="55"/>
      <c r="AF1807" s="55"/>
      <c r="AG1807" s="55"/>
      <c r="AH1807" s="55"/>
      <c r="AI1807" s="55"/>
      <c r="AJ1807" s="55"/>
      <c r="AK1807" s="55"/>
      <c r="AL1807" s="55"/>
      <c r="AM1807" s="55"/>
      <c r="AN1807" s="55"/>
      <c r="AO1807" s="55"/>
      <c r="AP1807" s="55"/>
      <c r="AQ1807" s="55"/>
      <c r="AR1807" s="55"/>
      <c r="AS1807" s="55"/>
      <c r="AT1807" s="55"/>
      <c r="AU1807" s="55"/>
      <c r="AV1807" s="55"/>
      <c r="AW1807" s="55"/>
      <c r="AX1807" s="55"/>
      <c r="AY1807" s="55"/>
      <c r="AZ1807" s="55"/>
      <c r="BA1807" s="55"/>
      <c r="BB1807" s="55"/>
      <c r="BC1807" s="55"/>
      <c r="BD1807" s="55"/>
      <c r="BE1807" s="55"/>
      <c r="BF1807" s="55"/>
      <c r="BG1807" s="55"/>
      <c r="BH1807" s="55"/>
      <c r="BI1807" s="55"/>
      <c r="BJ1807" s="55"/>
      <c r="BK1807" s="55"/>
      <c r="BL1807" s="55"/>
      <c r="BM1807" s="55"/>
      <c r="BN1807" s="55"/>
      <c r="BO1807" s="55"/>
      <c r="BP1807" s="55"/>
      <c r="BQ1807" s="55"/>
      <c r="BR1807" s="55"/>
      <c r="BS1807" s="55"/>
      <c r="BT1807" s="55"/>
    </row>
    <row r="1808" ht="14.25" customHeight="1">
      <c r="A1808" s="5" t="s">
        <v>1908</v>
      </c>
      <c r="B1808" s="5">
        <v>5.0</v>
      </c>
      <c r="C1808" s="5" t="s">
        <v>6010</v>
      </c>
      <c r="D1808" s="5" t="s">
        <v>6466</v>
      </c>
      <c r="E1808" s="5">
        <v>2487.0</v>
      </c>
      <c r="F1808" s="10" t="s">
        <v>6467</v>
      </c>
      <c r="G1808" s="10" t="s">
        <v>6468</v>
      </c>
      <c r="H1808" s="5" t="s">
        <v>6469</v>
      </c>
      <c r="I1808" s="5" t="s">
        <v>1664</v>
      </c>
      <c r="J1808" s="5" t="s">
        <v>6046</v>
      </c>
      <c r="K1808" s="5">
        <v>1.0</v>
      </c>
      <c r="L1808" s="5">
        <v>2890.0</v>
      </c>
      <c r="M1808" s="11">
        <v>-124.8006972</v>
      </c>
      <c r="N1808" s="11">
        <v>56.12661389</v>
      </c>
      <c r="O1808" s="11">
        <v>775.0</v>
      </c>
      <c r="P1808" s="5" t="s">
        <v>6466</v>
      </c>
      <c r="Q1808" s="72">
        <v>2.0</v>
      </c>
      <c r="R1808" s="11" t="s">
        <v>6470</v>
      </c>
      <c r="S1808" s="11" t="s">
        <v>6009</v>
      </c>
    </row>
    <row r="1809" ht="14.25" customHeight="1">
      <c r="A1809" s="5" t="s">
        <v>6461</v>
      </c>
      <c r="B1809" s="5">
        <v>5.0</v>
      </c>
      <c r="C1809" s="5" t="s">
        <v>6010</v>
      </c>
      <c r="D1809" s="5" t="s">
        <v>6471</v>
      </c>
      <c r="E1809" s="5">
        <v>2488.0</v>
      </c>
      <c r="F1809" s="10" t="s">
        <v>6472</v>
      </c>
      <c r="G1809" s="5" t="s">
        <v>6473</v>
      </c>
      <c r="H1809" s="5" t="s">
        <v>6474</v>
      </c>
      <c r="I1809" s="5" t="s">
        <v>1664</v>
      </c>
      <c r="J1809" s="5" t="s">
        <v>6187</v>
      </c>
      <c r="K1809" s="5">
        <v>1.0</v>
      </c>
      <c r="L1809" s="5">
        <v>2891.0</v>
      </c>
      <c r="V1809" s="55"/>
      <c r="W1809" s="55"/>
      <c r="X1809" s="55"/>
      <c r="Y1809" s="55"/>
      <c r="Z1809" s="55"/>
      <c r="AA1809" s="55"/>
      <c r="AB1809" s="55"/>
      <c r="AC1809" s="55"/>
      <c r="AD1809" s="55"/>
      <c r="AE1809" s="55"/>
      <c r="AF1809" s="55"/>
      <c r="AG1809" s="55"/>
      <c r="AH1809" s="55"/>
      <c r="AI1809" s="55"/>
      <c r="AJ1809" s="55"/>
      <c r="AK1809" s="55"/>
      <c r="AL1809" s="55"/>
      <c r="AM1809" s="55"/>
      <c r="AN1809" s="55"/>
      <c r="AO1809" s="55"/>
      <c r="AP1809" s="55"/>
      <c r="AQ1809" s="55"/>
      <c r="AR1809" s="55"/>
      <c r="AS1809" s="55"/>
      <c r="AT1809" s="55"/>
      <c r="AU1809" s="55"/>
      <c r="AV1809" s="55"/>
      <c r="AW1809" s="55"/>
      <c r="AX1809" s="55"/>
      <c r="AY1809" s="55"/>
      <c r="AZ1809" s="55"/>
      <c r="BA1809" s="55"/>
      <c r="BB1809" s="55"/>
      <c r="BC1809" s="55"/>
      <c r="BD1809" s="55"/>
      <c r="BE1809" s="55"/>
      <c r="BF1809" s="55"/>
      <c r="BG1809" s="55"/>
      <c r="BH1809" s="55"/>
      <c r="BI1809" s="55"/>
      <c r="BJ1809" s="55"/>
      <c r="BK1809" s="55"/>
      <c r="BL1809" s="55"/>
      <c r="BM1809" s="55"/>
      <c r="BN1809" s="55"/>
      <c r="BO1809" s="55"/>
      <c r="BP1809" s="55"/>
      <c r="BQ1809" s="55"/>
      <c r="BR1809" s="55"/>
      <c r="BS1809" s="55"/>
      <c r="BT1809" s="55"/>
    </row>
    <row r="1810" ht="14.25" customHeight="1">
      <c r="A1810" s="5" t="s">
        <v>2037</v>
      </c>
      <c r="B1810" s="5">
        <v>5.0</v>
      </c>
      <c r="C1810" s="5" t="s">
        <v>6010</v>
      </c>
      <c r="D1810" s="5" t="s">
        <v>6475</v>
      </c>
      <c r="E1810" s="5">
        <v>2489.0</v>
      </c>
      <c r="F1810" s="10" t="s">
        <v>6476</v>
      </c>
      <c r="G1810" s="5" t="s">
        <v>6477</v>
      </c>
      <c r="H1810" s="5" t="s">
        <v>6040</v>
      </c>
      <c r="I1810" s="5" t="s">
        <v>1664</v>
      </c>
      <c r="J1810" s="5" t="s">
        <v>6046</v>
      </c>
      <c r="K1810" s="5">
        <v>1.0</v>
      </c>
      <c r="L1810" s="5">
        <v>2892.0</v>
      </c>
      <c r="M1810" s="11">
        <v>-123.0364472</v>
      </c>
      <c r="N1810" s="11">
        <v>54.99717778</v>
      </c>
      <c r="O1810" s="11">
        <v>675.0</v>
      </c>
      <c r="P1810" s="5" t="s">
        <v>6475</v>
      </c>
      <c r="Q1810" s="72">
        <v>1.0</v>
      </c>
      <c r="R1810" s="11" t="s">
        <v>6478</v>
      </c>
      <c r="S1810" s="11" t="s">
        <v>6009</v>
      </c>
    </row>
    <row r="1811" ht="14.25" customHeight="1">
      <c r="A1811" s="5" t="s">
        <v>1908</v>
      </c>
      <c r="B1811" s="5">
        <v>5.0</v>
      </c>
      <c r="C1811" s="5" t="s">
        <v>6010</v>
      </c>
      <c r="D1811" s="5" t="s">
        <v>6479</v>
      </c>
      <c r="E1811" s="5">
        <v>2494.0</v>
      </c>
      <c r="F1811" s="10" t="s">
        <v>6480</v>
      </c>
      <c r="G1811" s="10" t="s">
        <v>6481</v>
      </c>
      <c r="H1811" s="5" t="s">
        <v>6482</v>
      </c>
      <c r="I1811" s="5" t="s">
        <v>1664</v>
      </c>
      <c r="J1811" s="5" t="s">
        <v>6046</v>
      </c>
      <c r="K1811" s="5">
        <v>1.0</v>
      </c>
      <c r="L1811" s="5">
        <v>2897.0</v>
      </c>
      <c r="M1811" s="11">
        <v>-122.9161</v>
      </c>
      <c r="N1811" s="11">
        <v>55.08346944</v>
      </c>
      <c r="O1811" s="11">
        <v>700.0</v>
      </c>
      <c r="P1811" s="5" t="s">
        <v>6479</v>
      </c>
      <c r="Q1811" s="72">
        <v>1.0</v>
      </c>
      <c r="R1811" s="11" t="s">
        <v>6483</v>
      </c>
      <c r="S1811" s="11" t="s">
        <v>6009</v>
      </c>
    </row>
    <row r="1812" ht="14.25" customHeight="1">
      <c r="A1812" s="5" t="s">
        <v>88</v>
      </c>
      <c r="B1812" s="5">
        <v>5.0</v>
      </c>
      <c r="C1812" s="5" t="s">
        <v>6010</v>
      </c>
      <c r="D1812" s="5" t="s">
        <v>6484</v>
      </c>
      <c r="E1812" s="5">
        <v>2490.0</v>
      </c>
      <c r="F1812" s="5" t="s">
        <v>6485</v>
      </c>
      <c r="G1812" s="10" t="s">
        <v>6486</v>
      </c>
      <c r="H1812" s="5" t="s">
        <v>6040</v>
      </c>
      <c r="I1812" s="5" t="s">
        <v>1664</v>
      </c>
      <c r="J1812" s="5" t="s">
        <v>6041</v>
      </c>
      <c r="K1812" s="5">
        <v>1.0</v>
      </c>
      <c r="L1812" s="5">
        <v>2893.0</v>
      </c>
      <c r="M1812" s="11">
        <v>-122.1375833</v>
      </c>
      <c r="N1812" s="11">
        <v>54.60555556</v>
      </c>
      <c r="O1812" s="11">
        <v>790.0</v>
      </c>
      <c r="P1812" s="5" t="s">
        <v>6484</v>
      </c>
      <c r="Q1812" s="72">
        <v>2.0</v>
      </c>
      <c r="R1812" s="11" t="s">
        <v>6485</v>
      </c>
      <c r="S1812" s="11" t="s">
        <v>6009</v>
      </c>
    </row>
    <row r="1813" ht="14.25" customHeight="1">
      <c r="B1813" s="5">
        <v>5.0</v>
      </c>
      <c r="C1813" s="5" t="s">
        <v>6010</v>
      </c>
      <c r="D1813" s="5" t="s">
        <v>6487</v>
      </c>
      <c r="E1813" s="5">
        <v>12387.0</v>
      </c>
      <c r="F1813" s="5" t="s">
        <v>6488</v>
      </c>
      <c r="G1813" s="5" t="s">
        <v>6489</v>
      </c>
      <c r="H1813" s="5" t="s">
        <v>6490</v>
      </c>
      <c r="I1813" s="5" t="s">
        <v>641</v>
      </c>
      <c r="J1813" s="5" t="s">
        <v>6015</v>
      </c>
      <c r="K1813" s="5">
        <v>1.0</v>
      </c>
      <c r="L1813" s="5">
        <v>14409.0</v>
      </c>
      <c r="M1813" s="11"/>
      <c r="N1813" s="11"/>
      <c r="O1813" s="11"/>
      <c r="Q1813" s="72"/>
      <c r="R1813" s="11"/>
      <c r="S1813" s="11"/>
    </row>
    <row r="1814" ht="14.25" customHeight="1">
      <c r="B1814" s="5">
        <v>5.0</v>
      </c>
      <c r="C1814" s="5" t="s">
        <v>6010</v>
      </c>
      <c r="D1814" s="5" t="s">
        <v>6491</v>
      </c>
      <c r="E1814" s="5">
        <v>13118.0</v>
      </c>
      <c r="F1814" s="5" t="s">
        <v>6492</v>
      </c>
      <c r="G1814" s="5" t="s">
        <v>6493</v>
      </c>
      <c r="H1814" s="5" t="s">
        <v>6086</v>
      </c>
      <c r="I1814" s="5" t="s">
        <v>49</v>
      </c>
      <c r="J1814" s="5" t="s">
        <v>6087</v>
      </c>
      <c r="K1814" s="5">
        <v>1.0</v>
      </c>
      <c r="L1814" s="5">
        <v>15040.0</v>
      </c>
      <c r="M1814" s="5">
        <v>-123.897927</v>
      </c>
      <c r="N1814" s="5">
        <v>55.1238</v>
      </c>
      <c r="O1814" s="5">
        <v>1028.0</v>
      </c>
      <c r="P1814" s="5" t="s">
        <v>6491</v>
      </c>
      <c r="Q1814" s="5">
        <v>4.0</v>
      </c>
      <c r="R1814" s="5" t="s">
        <v>6492</v>
      </c>
      <c r="S1814" s="5" t="s">
        <v>6009</v>
      </c>
    </row>
    <row r="1815" ht="14.25" customHeight="1">
      <c r="B1815" s="5">
        <v>5.0</v>
      </c>
      <c r="C1815" s="5" t="s">
        <v>6010</v>
      </c>
      <c r="D1815" s="5" t="s">
        <v>6494</v>
      </c>
      <c r="E1815" s="5">
        <v>2496.0</v>
      </c>
      <c r="F1815" s="5" t="s">
        <v>6495</v>
      </c>
      <c r="G1815" s="5" t="s">
        <v>6496</v>
      </c>
      <c r="H1815" s="5" t="s">
        <v>6497</v>
      </c>
      <c r="I1815" s="5" t="s">
        <v>1664</v>
      </c>
      <c r="J1815" s="5" t="s">
        <v>6041</v>
      </c>
      <c r="K1815" s="5">
        <v>1.0</v>
      </c>
      <c r="L1815" s="5">
        <v>2899.0</v>
      </c>
      <c r="M1815" s="11">
        <v>-122.6373333</v>
      </c>
      <c r="N1815" s="11">
        <v>55.353</v>
      </c>
      <c r="O1815" s="11">
        <v>1400.0</v>
      </c>
      <c r="P1815" s="5" t="s">
        <v>6494</v>
      </c>
      <c r="Q1815" s="72">
        <v>7.0</v>
      </c>
      <c r="R1815" s="11" t="s">
        <v>6495</v>
      </c>
      <c r="S1815" s="11" t="s">
        <v>6009</v>
      </c>
    </row>
    <row r="1816" ht="14.25" customHeight="1">
      <c r="B1816" s="5">
        <v>5.0</v>
      </c>
      <c r="C1816" s="5" t="s">
        <v>6010</v>
      </c>
      <c r="D1816" s="5" t="s">
        <v>6498</v>
      </c>
      <c r="E1816" s="5">
        <v>12404.0</v>
      </c>
      <c r="F1816" s="5" t="s">
        <v>6499</v>
      </c>
      <c r="G1816" s="5" t="s">
        <v>6500</v>
      </c>
      <c r="H1816" s="5" t="s">
        <v>6289</v>
      </c>
      <c r="I1816" s="5" t="s">
        <v>641</v>
      </c>
      <c r="J1816" s="5" t="s">
        <v>6021</v>
      </c>
      <c r="K1816" s="5">
        <v>1.0</v>
      </c>
      <c r="L1816" s="5">
        <v>14426.0</v>
      </c>
      <c r="M1816" s="11">
        <v>-122.8647222</v>
      </c>
      <c r="N1816" s="11">
        <v>57.06166667</v>
      </c>
      <c r="O1816" s="11">
        <v>1755.0</v>
      </c>
      <c r="P1816" s="5" t="s">
        <v>6498</v>
      </c>
      <c r="Q1816" s="72">
        <v>8.0</v>
      </c>
      <c r="R1816" s="11" t="s">
        <v>6499</v>
      </c>
      <c r="S1816" s="11" t="s">
        <v>6009</v>
      </c>
    </row>
    <row r="1817" ht="14.25" customHeight="1">
      <c r="A1817" s="5" t="s">
        <v>6501</v>
      </c>
      <c r="B1817" s="5">
        <v>5.0</v>
      </c>
      <c r="C1817" s="5" t="s">
        <v>6010</v>
      </c>
      <c r="D1817" s="5" t="s">
        <v>6502</v>
      </c>
      <c r="E1817" s="5">
        <v>2493.0</v>
      </c>
      <c r="F1817" s="10" t="s">
        <v>6503</v>
      </c>
      <c r="G1817" s="5" t="s">
        <v>6504</v>
      </c>
      <c r="H1817" s="5" t="s">
        <v>6505</v>
      </c>
      <c r="I1817" s="5" t="s">
        <v>1664</v>
      </c>
      <c r="J1817" s="5" t="s">
        <v>6046</v>
      </c>
      <c r="K1817" s="5">
        <v>1.0</v>
      </c>
      <c r="L1817" s="5">
        <v>2896.0</v>
      </c>
      <c r="M1817" s="11">
        <v>-122.3535</v>
      </c>
      <c r="N1817" s="11">
        <v>57.00196667</v>
      </c>
      <c r="O1817" s="11">
        <v>1204.0</v>
      </c>
      <c r="P1817" s="5" t="s">
        <v>6502</v>
      </c>
      <c r="Q1817" s="72">
        <v>8.0</v>
      </c>
      <c r="R1817" s="11" t="s">
        <v>6506</v>
      </c>
      <c r="S1817" s="11" t="s">
        <v>6009</v>
      </c>
    </row>
    <row r="1818" ht="14.25" customHeight="1">
      <c r="B1818" s="5">
        <v>5.0</v>
      </c>
      <c r="C1818" s="5" t="s">
        <v>6010</v>
      </c>
      <c r="D1818" s="5" t="s">
        <v>6507</v>
      </c>
      <c r="E1818" s="5">
        <v>13094.0</v>
      </c>
      <c r="F1818" s="5" t="s">
        <v>6508</v>
      </c>
      <c r="G1818" s="5" t="s">
        <v>6509</v>
      </c>
      <c r="H1818" s="5" t="s">
        <v>6014</v>
      </c>
      <c r="I1818" s="5" t="s">
        <v>49</v>
      </c>
      <c r="J1818" s="5" t="s">
        <v>6087</v>
      </c>
      <c r="K1818" s="5">
        <v>1.0</v>
      </c>
      <c r="L1818" s="5">
        <v>15016.0</v>
      </c>
      <c r="M1818" s="11">
        <v>-122.1829</v>
      </c>
      <c r="N1818" s="11">
        <v>56.0131</v>
      </c>
      <c r="O1818" s="11">
        <v>720.0</v>
      </c>
      <c r="P1818" s="5" t="s">
        <v>6507</v>
      </c>
      <c r="Q1818" s="72">
        <v>1.0</v>
      </c>
      <c r="R1818" s="11" t="s">
        <v>6508</v>
      </c>
      <c r="S1818" s="11" t="s">
        <v>6009</v>
      </c>
    </row>
    <row r="1819" ht="14.25" customHeight="1">
      <c r="A1819" s="5" t="s">
        <v>6501</v>
      </c>
      <c r="B1819" s="5">
        <v>5.0</v>
      </c>
      <c r="C1819" s="5" t="s">
        <v>6010</v>
      </c>
      <c r="D1819" s="5" t="s">
        <v>6510</v>
      </c>
      <c r="E1819" s="5">
        <v>2495.0</v>
      </c>
      <c r="F1819" s="10" t="s">
        <v>6511</v>
      </c>
      <c r="G1819" s="5" t="s">
        <v>6512</v>
      </c>
      <c r="H1819" s="5" t="s">
        <v>6513</v>
      </c>
      <c r="I1819" s="5" t="s">
        <v>1664</v>
      </c>
      <c r="J1819" s="5" t="s">
        <v>6041</v>
      </c>
      <c r="K1819" s="5">
        <v>1.0</v>
      </c>
      <c r="L1819" s="5">
        <v>2898.0</v>
      </c>
      <c r="M1819" s="11">
        <v>-126.7483139</v>
      </c>
      <c r="N1819" s="11">
        <v>57.54858333</v>
      </c>
      <c r="O1819" s="11">
        <v>1311.0</v>
      </c>
      <c r="P1819" s="5" t="s">
        <v>6510</v>
      </c>
      <c r="Q1819" s="72">
        <v>5.0</v>
      </c>
      <c r="R1819" s="11" t="s">
        <v>6514</v>
      </c>
      <c r="S1819" s="11" t="s">
        <v>6009</v>
      </c>
    </row>
    <row r="1820" ht="14.25" customHeight="1">
      <c r="A1820" s="5" t="s">
        <v>2037</v>
      </c>
      <c r="B1820" s="5">
        <v>5.0</v>
      </c>
      <c r="C1820" s="5" t="s">
        <v>6010</v>
      </c>
      <c r="D1820" s="5" t="s">
        <v>6515</v>
      </c>
      <c r="E1820" s="5">
        <v>2497.0</v>
      </c>
      <c r="F1820" s="38" t="s">
        <v>6516</v>
      </c>
      <c r="G1820" s="29" t="s">
        <v>6517</v>
      </c>
      <c r="H1820" s="5" t="s">
        <v>6518</v>
      </c>
      <c r="I1820" s="5" t="s">
        <v>1664</v>
      </c>
      <c r="J1820" s="5" t="s">
        <v>6046</v>
      </c>
      <c r="K1820" s="5">
        <v>1.0</v>
      </c>
      <c r="L1820" s="5">
        <v>2900.0</v>
      </c>
      <c r="M1820" s="10">
        <v>-116.92972</v>
      </c>
      <c r="N1820" s="10">
        <v>49.5444</v>
      </c>
      <c r="O1820" s="10">
        <v>545.0</v>
      </c>
      <c r="P1820" s="10" t="s">
        <v>6515</v>
      </c>
      <c r="Q1820" s="10"/>
      <c r="R1820" s="10" t="s">
        <v>6519</v>
      </c>
      <c r="S1820" s="55"/>
      <c r="T1820" s="55"/>
      <c r="U1820" s="99"/>
      <c r="V1820" s="99"/>
      <c r="W1820" s="99"/>
      <c r="X1820" s="99"/>
      <c r="Y1820" s="99"/>
      <c r="Z1820" s="99"/>
      <c r="AA1820" s="99"/>
      <c r="AB1820" s="99"/>
      <c r="AC1820" s="99"/>
      <c r="AD1820" s="99"/>
      <c r="AE1820" s="99"/>
      <c r="AF1820" s="99"/>
      <c r="AG1820" s="99"/>
      <c r="AH1820" s="99"/>
      <c r="AI1820" s="99"/>
      <c r="AJ1820" s="99"/>
      <c r="AK1820" s="99"/>
      <c r="AL1820" s="99"/>
      <c r="AM1820" s="99"/>
      <c r="AN1820" s="99"/>
      <c r="AO1820" s="99"/>
      <c r="AP1820" s="99"/>
      <c r="AQ1820" s="99"/>
      <c r="AR1820" s="99"/>
      <c r="AS1820" s="99"/>
      <c r="AT1820" s="99"/>
      <c r="AU1820" s="99"/>
      <c r="AV1820" s="99"/>
      <c r="AW1820" s="99"/>
      <c r="AX1820" s="99"/>
      <c r="AY1820" s="99"/>
      <c r="AZ1820" s="99"/>
      <c r="BA1820" s="99"/>
      <c r="BB1820" s="99"/>
      <c r="BC1820" s="99"/>
      <c r="BD1820" s="99"/>
      <c r="BE1820" s="99"/>
      <c r="BF1820" s="99"/>
      <c r="BG1820" s="99"/>
      <c r="BH1820" s="99"/>
      <c r="BI1820" s="99"/>
      <c r="BJ1820" s="99"/>
      <c r="BK1820" s="99"/>
      <c r="BL1820" s="99"/>
      <c r="BM1820" s="99"/>
      <c r="BN1820" s="99"/>
      <c r="BO1820" s="99"/>
      <c r="BP1820" s="99"/>
      <c r="BQ1820" s="99"/>
      <c r="BR1820" s="99"/>
      <c r="BS1820" s="99"/>
      <c r="BT1820" s="99"/>
    </row>
    <row r="1821" ht="14.25" customHeight="1">
      <c r="A1821" s="5" t="s">
        <v>1908</v>
      </c>
      <c r="B1821" s="5">
        <v>5.0</v>
      </c>
      <c r="C1821" s="5" t="s">
        <v>6010</v>
      </c>
      <c r="D1821" s="5" t="s">
        <v>6520</v>
      </c>
      <c r="E1821" s="5">
        <v>2498.0</v>
      </c>
      <c r="F1821" s="10" t="s">
        <v>6521</v>
      </c>
      <c r="G1821" s="10" t="s">
        <v>6522</v>
      </c>
      <c r="H1821" s="5" t="s">
        <v>6523</v>
      </c>
      <c r="I1821" s="5" t="s">
        <v>1664</v>
      </c>
      <c r="J1821" s="5" t="s">
        <v>6187</v>
      </c>
      <c r="K1821" s="5">
        <v>1.0</v>
      </c>
      <c r="L1821" s="5">
        <v>2901.0</v>
      </c>
    </row>
    <row r="1822" ht="14.25" customHeight="1">
      <c r="A1822" s="5" t="s">
        <v>2037</v>
      </c>
      <c r="B1822" s="5">
        <v>5.0</v>
      </c>
      <c r="C1822" s="5" t="s">
        <v>6010</v>
      </c>
      <c r="D1822" s="5" t="s">
        <v>6524</v>
      </c>
      <c r="E1822" s="5">
        <v>2499.0</v>
      </c>
      <c r="F1822" s="10" t="s">
        <v>6525</v>
      </c>
      <c r="G1822" s="5" t="s">
        <v>6526</v>
      </c>
      <c r="H1822" s="5" t="s">
        <v>6527</v>
      </c>
      <c r="I1822" s="5" t="s">
        <v>1664</v>
      </c>
      <c r="J1822" s="5" t="s">
        <v>6187</v>
      </c>
      <c r="K1822" s="5">
        <v>1.0</v>
      </c>
      <c r="L1822" s="5">
        <v>2902.0</v>
      </c>
      <c r="X1822" s="55"/>
      <c r="Y1822" s="55"/>
      <c r="Z1822" s="55"/>
      <c r="AA1822" s="55"/>
      <c r="AB1822" s="55"/>
      <c r="AC1822" s="55"/>
      <c r="AD1822" s="55"/>
      <c r="AE1822" s="55"/>
      <c r="AF1822" s="55"/>
      <c r="AG1822" s="55"/>
      <c r="AH1822" s="55"/>
      <c r="AI1822" s="55"/>
      <c r="AJ1822" s="55"/>
      <c r="AK1822" s="55"/>
      <c r="AL1822" s="55"/>
      <c r="AM1822" s="55"/>
      <c r="AN1822" s="55"/>
      <c r="AO1822" s="55"/>
      <c r="AP1822" s="55"/>
      <c r="AQ1822" s="55"/>
      <c r="AR1822" s="55"/>
      <c r="AS1822" s="55"/>
      <c r="AT1822" s="55"/>
      <c r="AU1822" s="55"/>
      <c r="AV1822" s="55"/>
      <c r="AW1822" s="55"/>
      <c r="AX1822" s="55"/>
      <c r="AY1822" s="55"/>
      <c r="AZ1822" s="55"/>
      <c r="BA1822" s="55"/>
      <c r="BB1822" s="55"/>
      <c r="BC1822" s="55"/>
      <c r="BD1822" s="55"/>
      <c r="BE1822" s="55"/>
      <c r="BF1822" s="55"/>
      <c r="BG1822" s="55"/>
      <c r="BH1822" s="55"/>
      <c r="BI1822" s="55"/>
      <c r="BJ1822" s="55"/>
      <c r="BK1822" s="55"/>
      <c r="BL1822" s="55"/>
      <c r="BM1822" s="55"/>
      <c r="BN1822" s="55"/>
      <c r="BO1822" s="55"/>
      <c r="BP1822" s="55"/>
      <c r="BQ1822" s="55"/>
      <c r="BR1822" s="55"/>
      <c r="BS1822" s="55"/>
      <c r="BT1822" s="55"/>
    </row>
    <row r="1823" ht="14.25" customHeight="1">
      <c r="B1823" s="5">
        <v>5.0</v>
      </c>
      <c r="C1823" s="5" t="s">
        <v>6010</v>
      </c>
      <c r="D1823" s="5" t="s">
        <v>6528</v>
      </c>
      <c r="E1823" s="5">
        <v>13218.0</v>
      </c>
      <c r="F1823" s="29" t="s">
        <v>6529</v>
      </c>
      <c r="G1823" s="5" t="s">
        <v>6530</v>
      </c>
      <c r="H1823" s="5" t="s">
        <v>6531</v>
      </c>
      <c r="I1823" s="5" t="s">
        <v>49</v>
      </c>
      <c r="J1823" s="5" t="s">
        <v>6021</v>
      </c>
      <c r="K1823" s="5">
        <v>1.0</v>
      </c>
      <c r="L1823" s="5">
        <v>15134.0</v>
      </c>
      <c r="M1823" s="38">
        <v>-125.51</v>
      </c>
      <c r="N1823" s="38">
        <v>49.93002</v>
      </c>
      <c r="O1823" s="38">
        <v>280.0</v>
      </c>
      <c r="P1823" s="38" t="s">
        <v>6528</v>
      </c>
      <c r="Q1823" s="38"/>
      <c r="R1823" s="38"/>
      <c r="S1823" s="99"/>
      <c r="T1823" s="99"/>
      <c r="U1823" s="99"/>
      <c r="V1823" s="99"/>
      <c r="W1823" s="99"/>
      <c r="X1823" s="99"/>
      <c r="Y1823" s="99"/>
      <c r="Z1823" s="99"/>
      <c r="AA1823" s="99"/>
      <c r="AB1823" s="99"/>
      <c r="AC1823" s="99"/>
      <c r="AD1823" s="99"/>
      <c r="AE1823" s="99"/>
      <c r="AF1823" s="99"/>
      <c r="AG1823" s="99"/>
      <c r="AH1823" s="99"/>
      <c r="AI1823" s="99"/>
      <c r="AJ1823" s="99"/>
      <c r="AK1823" s="99"/>
      <c r="AL1823" s="99"/>
      <c r="AM1823" s="99"/>
      <c r="AN1823" s="99"/>
      <c r="AO1823" s="99"/>
      <c r="AP1823" s="99"/>
      <c r="AQ1823" s="99"/>
      <c r="AR1823" s="99"/>
      <c r="AS1823" s="99"/>
      <c r="AT1823" s="99"/>
      <c r="AU1823" s="99"/>
      <c r="AV1823" s="99"/>
      <c r="AW1823" s="99"/>
      <c r="AX1823" s="99"/>
      <c r="AY1823" s="99"/>
      <c r="AZ1823" s="99"/>
      <c r="BA1823" s="99"/>
      <c r="BB1823" s="99"/>
      <c r="BC1823" s="99"/>
      <c r="BD1823" s="99"/>
      <c r="BE1823" s="99"/>
      <c r="BF1823" s="99"/>
      <c r="BG1823" s="99"/>
      <c r="BH1823" s="99"/>
      <c r="BI1823" s="99"/>
      <c r="BJ1823" s="99"/>
      <c r="BK1823" s="99"/>
      <c r="BL1823" s="99"/>
      <c r="BM1823" s="99"/>
      <c r="BN1823" s="99"/>
      <c r="BO1823" s="99"/>
      <c r="BP1823" s="99"/>
      <c r="BQ1823" s="99"/>
      <c r="BR1823" s="99"/>
      <c r="BS1823" s="99"/>
      <c r="BT1823" s="99"/>
    </row>
    <row r="1824" ht="14.25" customHeight="1">
      <c r="A1824" s="5" t="s">
        <v>422</v>
      </c>
      <c r="B1824" s="5">
        <v>5.0</v>
      </c>
      <c r="C1824" s="5" t="s">
        <v>6532</v>
      </c>
      <c r="D1824" s="5" t="s">
        <v>6533</v>
      </c>
      <c r="E1824" s="5">
        <v>13123.0</v>
      </c>
      <c r="F1824" s="5" t="s">
        <v>6534</v>
      </c>
      <c r="G1824" s="5" t="s">
        <v>127</v>
      </c>
      <c r="H1824" s="5" t="s">
        <v>6535</v>
      </c>
      <c r="I1824" s="5" t="s">
        <v>49</v>
      </c>
      <c r="J1824" s="5" t="s">
        <v>6262</v>
      </c>
      <c r="K1824" s="5">
        <v>1.0</v>
      </c>
      <c r="L1824" s="5">
        <v>15045.0</v>
      </c>
      <c r="M1824" s="10">
        <v>50.62289722</v>
      </c>
      <c r="N1824" s="10">
        <v>-116.0627083</v>
      </c>
      <c r="O1824" s="10">
        <v>1009.0</v>
      </c>
      <c r="P1824" s="10" t="s">
        <v>6536</v>
      </c>
      <c r="Q1824" s="10"/>
      <c r="R1824" s="10" t="s">
        <v>6534</v>
      </c>
      <c r="S1824" s="55" t="s">
        <v>6537</v>
      </c>
      <c r="T1824" s="55"/>
      <c r="U1824" s="55"/>
      <c r="V1824" s="55"/>
      <c r="W1824" s="55"/>
      <c r="X1824" s="55"/>
      <c r="Y1824" s="55"/>
      <c r="Z1824" s="55"/>
      <c r="AA1824" s="55"/>
      <c r="AB1824" s="55"/>
      <c r="AC1824" s="55"/>
      <c r="AD1824" s="55"/>
      <c r="AE1824" s="55"/>
      <c r="AF1824" s="55"/>
      <c r="AG1824" s="55"/>
      <c r="AH1824" s="55"/>
      <c r="AI1824" s="55"/>
      <c r="AJ1824" s="55"/>
      <c r="AK1824" s="55"/>
      <c r="AL1824" s="55"/>
      <c r="AM1824" s="55"/>
      <c r="AN1824" s="55"/>
      <c r="AO1824" s="55"/>
      <c r="AP1824" s="55"/>
      <c r="AQ1824" s="55"/>
      <c r="AR1824" s="55"/>
      <c r="AS1824" s="55"/>
      <c r="AT1824" s="55"/>
      <c r="AU1824" s="55"/>
      <c r="AV1824" s="55"/>
      <c r="AW1824" s="55"/>
      <c r="AX1824" s="55"/>
      <c r="AY1824" s="55"/>
      <c r="AZ1824" s="55"/>
      <c r="BA1824" s="55"/>
      <c r="BB1824" s="55"/>
      <c r="BC1824" s="55"/>
      <c r="BD1824" s="55"/>
      <c r="BE1824" s="55"/>
      <c r="BF1824" s="55"/>
      <c r="BG1824" s="55"/>
      <c r="BH1824" s="55"/>
      <c r="BI1824" s="55"/>
      <c r="BJ1824" s="55"/>
      <c r="BK1824" s="55"/>
      <c r="BL1824" s="55"/>
      <c r="BM1824" s="55"/>
      <c r="BN1824" s="55"/>
      <c r="BO1824" s="55"/>
      <c r="BP1824" s="55"/>
      <c r="BQ1824" s="55"/>
      <c r="BR1824" s="55"/>
      <c r="BS1824" s="55"/>
      <c r="BT1824" s="55"/>
    </row>
    <row r="1825" ht="14.25" customHeight="1">
      <c r="A1825" s="5" t="s">
        <v>2037</v>
      </c>
      <c r="B1825" s="5">
        <v>5.0</v>
      </c>
      <c r="C1825" s="5" t="s">
        <v>6010</v>
      </c>
      <c r="D1825" s="5" t="s">
        <v>6538</v>
      </c>
      <c r="E1825" s="5">
        <v>2500.0</v>
      </c>
      <c r="F1825" s="10" t="s">
        <v>6539</v>
      </c>
      <c r="G1825" s="5" t="s">
        <v>6540</v>
      </c>
      <c r="H1825" s="5" t="s">
        <v>6541</v>
      </c>
      <c r="I1825" s="5" t="s">
        <v>1664</v>
      </c>
      <c r="J1825" s="5" t="s">
        <v>6187</v>
      </c>
      <c r="K1825" s="5">
        <v>1.0</v>
      </c>
      <c r="L1825" s="5">
        <v>2903.0</v>
      </c>
      <c r="M1825" s="36"/>
      <c r="N1825" s="36"/>
      <c r="O1825" s="37"/>
      <c r="R1825" s="36"/>
      <c r="U1825" s="55"/>
      <c r="V1825" s="55"/>
      <c r="W1825" s="55"/>
      <c r="X1825" s="55"/>
      <c r="Y1825" s="55"/>
      <c r="Z1825" s="55"/>
      <c r="AA1825" s="55"/>
      <c r="AB1825" s="55"/>
      <c r="AC1825" s="55"/>
      <c r="AD1825" s="55"/>
      <c r="AE1825" s="55"/>
      <c r="AF1825" s="55"/>
      <c r="AG1825" s="55"/>
      <c r="AH1825" s="55"/>
      <c r="AI1825" s="55"/>
      <c r="AJ1825" s="55"/>
      <c r="AK1825" s="55"/>
      <c r="AL1825" s="55"/>
      <c r="AM1825" s="55"/>
      <c r="AN1825" s="55"/>
      <c r="AO1825" s="55"/>
      <c r="AP1825" s="55"/>
      <c r="AQ1825" s="55"/>
      <c r="AR1825" s="55"/>
      <c r="AS1825" s="55"/>
      <c r="AT1825" s="55"/>
      <c r="AU1825" s="55"/>
      <c r="AV1825" s="55"/>
      <c r="AW1825" s="55"/>
      <c r="AX1825" s="55"/>
      <c r="AY1825" s="55"/>
      <c r="AZ1825" s="55"/>
      <c r="BA1825" s="55"/>
      <c r="BB1825" s="55"/>
      <c r="BC1825" s="55"/>
      <c r="BD1825" s="55"/>
      <c r="BE1825" s="55"/>
      <c r="BF1825" s="55"/>
      <c r="BG1825" s="55"/>
      <c r="BH1825" s="55"/>
      <c r="BI1825" s="55"/>
      <c r="BJ1825" s="55"/>
      <c r="BK1825" s="55"/>
      <c r="BL1825" s="55"/>
      <c r="BM1825" s="55"/>
      <c r="BN1825" s="55"/>
      <c r="BO1825" s="55"/>
      <c r="BP1825" s="55"/>
      <c r="BQ1825" s="55"/>
      <c r="BR1825" s="55"/>
      <c r="BS1825" s="55"/>
      <c r="BT1825" s="55"/>
    </row>
    <row r="1826" ht="14.25" customHeight="1">
      <c r="A1826" s="7" t="s">
        <v>88</v>
      </c>
      <c r="B1826" s="5">
        <v>5.0</v>
      </c>
      <c r="C1826" s="5" t="s">
        <v>6010</v>
      </c>
      <c r="D1826" s="5" t="s">
        <v>6542</v>
      </c>
      <c r="E1826" s="5">
        <v>13124.0</v>
      </c>
      <c r="F1826" s="29" t="s">
        <v>6543</v>
      </c>
      <c r="G1826" s="100" t="s">
        <v>6544</v>
      </c>
      <c r="H1826" s="5" t="s">
        <v>6545</v>
      </c>
      <c r="I1826" s="5" t="s">
        <v>49</v>
      </c>
      <c r="J1826" s="5" t="s">
        <v>6021</v>
      </c>
      <c r="K1826" s="5">
        <v>1.0</v>
      </c>
      <c r="L1826" s="5">
        <v>15046.0</v>
      </c>
      <c r="M1826" s="29">
        <v>-125.669767</v>
      </c>
      <c r="N1826" s="29">
        <v>50.093619</v>
      </c>
      <c r="O1826" s="29">
        <v>226.0</v>
      </c>
      <c r="P1826" s="29" t="s">
        <v>6542</v>
      </c>
      <c r="Q1826" s="101">
        <v>2.0</v>
      </c>
      <c r="R1826" s="29" t="s">
        <v>6543</v>
      </c>
      <c r="S1826" s="29" t="s">
        <v>6009</v>
      </c>
      <c r="T1826" s="29"/>
      <c r="U1826" s="29"/>
      <c r="V1826" s="29"/>
      <c r="W1826" s="29"/>
      <c r="X1826" s="29"/>
      <c r="Y1826" s="29"/>
      <c r="Z1826" s="29"/>
      <c r="AA1826" s="29"/>
      <c r="AB1826" s="29"/>
      <c r="AC1826" s="29"/>
      <c r="AD1826" s="29"/>
      <c r="AE1826" s="29"/>
      <c r="AF1826" s="29"/>
      <c r="AG1826" s="29"/>
      <c r="AH1826" s="29"/>
      <c r="AI1826" s="29"/>
      <c r="AJ1826" s="29"/>
      <c r="AK1826" s="29"/>
      <c r="AL1826" s="29"/>
      <c r="AM1826" s="29"/>
      <c r="AN1826" s="29"/>
      <c r="AO1826" s="29"/>
      <c r="AP1826" s="29"/>
      <c r="AQ1826" s="29"/>
      <c r="AR1826" s="29"/>
      <c r="AS1826" s="29"/>
      <c r="AT1826" s="29"/>
      <c r="AU1826" s="29"/>
      <c r="AV1826" s="29"/>
      <c r="AW1826" s="29"/>
      <c r="AX1826" s="29"/>
      <c r="AY1826" s="29"/>
      <c r="AZ1826" s="29"/>
      <c r="BA1826" s="29"/>
      <c r="BB1826" s="29"/>
      <c r="BC1826" s="29"/>
      <c r="BD1826" s="29"/>
      <c r="BE1826" s="29"/>
      <c r="BF1826" s="29"/>
      <c r="BG1826" s="29"/>
      <c r="BH1826" s="29"/>
      <c r="BI1826" s="29"/>
      <c r="BJ1826" s="29"/>
      <c r="BK1826" s="29"/>
      <c r="BL1826" s="29"/>
      <c r="BM1826" s="29"/>
      <c r="BN1826" s="29"/>
      <c r="BO1826" s="29"/>
      <c r="BP1826" s="29"/>
      <c r="BQ1826" s="29"/>
      <c r="BR1826" s="29"/>
      <c r="BS1826" s="29"/>
      <c r="BT1826" s="29"/>
    </row>
    <row r="1827" ht="14.25" customHeight="1">
      <c r="B1827" s="5">
        <v>5.0</v>
      </c>
      <c r="C1827" s="5" t="s">
        <v>6010</v>
      </c>
      <c r="D1827" s="5" t="s">
        <v>6546</v>
      </c>
      <c r="E1827" s="5">
        <v>12406.0</v>
      </c>
      <c r="F1827" s="5" t="s">
        <v>6547</v>
      </c>
      <c r="G1827" s="5" t="s">
        <v>6548</v>
      </c>
      <c r="H1827" s="5" t="s">
        <v>6201</v>
      </c>
      <c r="I1827" s="5" t="s">
        <v>641</v>
      </c>
      <c r="J1827" s="5" t="s">
        <v>6021</v>
      </c>
      <c r="K1827" s="5">
        <v>1.0</v>
      </c>
      <c r="L1827" s="5">
        <v>14428.0</v>
      </c>
      <c r="M1827" s="36">
        <v>-122.2423833</v>
      </c>
      <c r="N1827" s="36">
        <v>50.72808056</v>
      </c>
      <c r="O1827" s="37">
        <v>290.0</v>
      </c>
      <c r="P1827" s="5" t="s">
        <v>6546</v>
      </c>
      <c r="Q1827" s="72">
        <v>1.0</v>
      </c>
      <c r="R1827" s="36" t="s">
        <v>6547</v>
      </c>
      <c r="S1827" s="11" t="s">
        <v>6009</v>
      </c>
    </row>
    <row r="1828" ht="14.25" customHeight="1">
      <c r="B1828" s="5">
        <v>5.0</v>
      </c>
      <c r="C1828" s="5" t="s">
        <v>6010</v>
      </c>
      <c r="D1828" s="5" t="s">
        <v>6549</v>
      </c>
      <c r="E1828" s="5">
        <v>2504.0</v>
      </c>
      <c r="F1828" s="29" t="s">
        <v>6547</v>
      </c>
      <c r="G1828" s="5" t="s">
        <v>6550</v>
      </c>
      <c r="H1828" s="5" t="s">
        <v>6396</v>
      </c>
      <c r="I1828" s="5" t="s">
        <v>1664</v>
      </c>
      <c r="J1828" s="5" t="s">
        <v>6187</v>
      </c>
      <c r="K1828" s="5">
        <v>1.0</v>
      </c>
      <c r="L1828" s="5">
        <v>2907.0</v>
      </c>
      <c r="M1828" s="29"/>
      <c r="N1828" s="29"/>
      <c r="O1828" s="29"/>
      <c r="P1828" s="29"/>
      <c r="Q1828" s="29"/>
      <c r="R1828" s="29"/>
      <c r="S1828" s="29"/>
      <c r="T1828" s="29"/>
      <c r="U1828" s="29"/>
      <c r="V1828" s="99"/>
      <c r="W1828" s="99"/>
      <c r="X1828" s="99"/>
      <c r="Y1828" s="99"/>
      <c r="Z1828" s="99"/>
      <c r="AA1828" s="99"/>
      <c r="AB1828" s="99"/>
      <c r="AC1828" s="99"/>
      <c r="AD1828" s="99"/>
      <c r="AE1828" s="99"/>
      <c r="AF1828" s="99"/>
      <c r="AG1828" s="99"/>
      <c r="AH1828" s="99"/>
      <c r="AI1828" s="99"/>
      <c r="AJ1828" s="99"/>
      <c r="AK1828" s="99"/>
      <c r="AL1828" s="99"/>
      <c r="AM1828" s="99"/>
      <c r="AN1828" s="99"/>
      <c r="AO1828" s="99"/>
      <c r="AP1828" s="99"/>
      <c r="AQ1828" s="99"/>
      <c r="AR1828" s="99"/>
      <c r="AS1828" s="99"/>
      <c r="AT1828" s="99"/>
      <c r="AU1828" s="99"/>
      <c r="AV1828" s="99"/>
      <c r="AW1828" s="99"/>
      <c r="AX1828" s="99"/>
      <c r="AY1828" s="99"/>
      <c r="AZ1828" s="99"/>
      <c r="BA1828" s="99"/>
      <c r="BB1828" s="99"/>
      <c r="BC1828" s="99"/>
      <c r="BD1828" s="99"/>
      <c r="BE1828" s="99"/>
      <c r="BF1828" s="99"/>
      <c r="BG1828" s="99"/>
      <c r="BH1828" s="99"/>
      <c r="BI1828" s="99"/>
      <c r="BJ1828" s="99"/>
      <c r="BK1828" s="99"/>
      <c r="BL1828" s="99"/>
      <c r="BM1828" s="99"/>
      <c r="BN1828" s="99"/>
      <c r="BO1828" s="99"/>
      <c r="BP1828" s="99"/>
      <c r="BQ1828" s="99"/>
      <c r="BR1828" s="99"/>
      <c r="BS1828" s="99"/>
      <c r="BT1828" s="99"/>
    </row>
    <row r="1829" ht="14.25" customHeight="1">
      <c r="B1829" s="5">
        <v>5.0</v>
      </c>
      <c r="C1829" s="5" t="s">
        <v>6010</v>
      </c>
      <c r="D1829" s="5" t="s">
        <v>6551</v>
      </c>
      <c r="E1829" s="5">
        <v>13089.0</v>
      </c>
      <c r="F1829" s="5" t="s">
        <v>6552</v>
      </c>
      <c r="G1829" s="5" t="s">
        <v>6553</v>
      </c>
      <c r="H1829" s="5" t="s">
        <v>6246</v>
      </c>
      <c r="I1829" s="5" t="s">
        <v>49</v>
      </c>
      <c r="J1829" s="5" t="s">
        <v>6087</v>
      </c>
      <c r="K1829" s="5">
        <v>1.0</v>
      </c>
      <c r="L1829" s="5">
        <v>15011.0</v>
      </c>
      <c r="M1829" s="29">
        <v>-124.1319806</v>
      </c>
      <c r="N1829" s="29">
        <v>57.26375556</v>
      </c>
      <c r="O1829" s="29">
        <v>1387.0</v>
      </c>
      <c r="P1829" s="29" t="s">
        <v>6551</v>
      </c>
      <c r="Q1829" s="29">
        <v>5.0</v>
      </c>
      <c r="R1829" s="29" t="s">
        <v>6552</v>
      </c>
      <c r="S1829" s="29" t="s">
        <v>6009</v>
      </c>
      <c r="T1829" s="29"/>
      <c r="U1829" s="29"/>
      <c r="V1829" s="29"/>
      <c r="W1829" s="29"/>
      <c r="X1829" s="29"/>
      <c r="Y1829" s="29"/>
      <c r="Z1829" s="29"/>
      <c r="AA1829" s="29"/>
      <c r="AB1829" s="29"/>
      <c r="AC1829" s="29"/>
      <c r="AD1829" s="29"/>
      <c r="AE1829" s="29"/>
      <c r="AF1829" s="29"/>
      <c r="AG1829" s="29"/>
      <c r="AH1829" s="29"/>
      <c r="AI1829" s="29"/>
      <c r="AJ1829" s="29"/>
      <c r="AK1829" s="29"/>
      <c r="AL1829" s="29"/>
      <c r="AM1829" s="29"/>
      <c r="AN1829" s="29"/>
      <c r="AO1829" s="29"/>
      <c r="AP1829" s="29"/>
      <c r="AQ1829" s="29"/>
      <c r="AR1829" s="29"/>
      <c r="AS1829" s="29"/>
      <c r="AT1829" s="29"/>
      <c r="AU1829" s="29"/>
      <c r="AV1829" s="29"/>
      <c r="AW1829" s="29"/>
      <c r="AX1829" s="29"/>
      <c r="AY1829" s="29"/>
      <c r="AZ1829" s="29"/>
      <c r="BA1829" s="29"/>
      <c r="BB1829" s="29"/>
      <c r="BC1829" s="29"/>
      <c r="BD1829" s="29"/>
      <c r="BE1829" s="29"/>
      <c r="BF1829" s="29"/>
      <c r="BG1829" s="29"/>
      <c r="BH1829" s="29"/>
      <c r="BI1829" s="29"/>
      <c r="BJ1829" s="29"/>
      <c r="BK1829" s="29"/>
      <c r="BL1829" s="29"/>
      <c r="BM1829" s="29"/>
      <c r="BN1829" s="29"/>
      <c r="BO1829" s="29"/>
      <c r="BP1829" s="29"/>
      <c r="BQ1829" s="29"/>
      <c r="BR1829" s="29"/>
      <c r="BS1829" s="29"/>
      <c r="BT1829" s="29"/>
    </row>
    <row r="1830" ht="14.25" customHeight="1">
      <c r="A1830" s="5" t="s">
        <v>2037</v>
      </c>
      <c r="B1830" s="5">
        <v>5.0</v>
      </c>
      <c r="C1830" s="5" t="s">
        <v>6010</v>
      </c>
      <c r="D1830" s="5" t="s">
        <v>6554</v>
      </c>
      <c r="E1830" s="5">
        <v>12349.0</v>
      </c>
      <c r="F1830" s="10" t="s">
        <v>6555</v>
      </c>
      <c r="G1830" s="5" t="s">
        <v>6556</v>
      </c>
      <c r="H1830" s="5" t="s">
        <v>6032</v>
      </c>
      <c r="I1830" s="5" t="s">
        <v>49</v>
      </c>
      <c r="J1830" s="5" t="s">
        <v>6258</v>
      </c>
      <c r="K1830" s="5">
        <v>1.0</v>
      </c>
      <c r="L1830" s="5">
        <v>14405.0</v>
      </c>
      <c r="M1830" s="39">
        <v>120.902</v>
      </c>
      <c r="N1830" s="39">
        <v>56.203</v>
      </c>
      <c r="O1830" s="102">
        <v>583.0</v>
      </c>
      <c r="P1830" s="10" t="s">
        <v>6554</v>
      </c>
      <c r="Q1830" s="10"/>
      <c r="R1830" s="39" t="s">
        <v>6555</v>
      </c>
      <c r="W1830" s="55"/>
      <c r="X1830" s="55"/>
      <c r="Y1830" s="55"/>
      <c r="Z1830" s="55"/>
      <c r="AA1830" s="55"/>
      <c r="AB1830" s="55"/>
      <c r="AC1830" s="55"/>
      <c r="AD1830" s="55"/>
      <c r="AE1830" s="55"/>
      <c r="AF1830" s="55"/>
      <c r="AG1830" s="55"/>
      <c r="AH1830" s="55"/>
      <c r="AI1830" s="55"/>
      <c r="AJ1830" s="55"/>
      <c r="AK1830" s="55"/>
      <c r="AL1830" s="55"/>
      <c r="AM1830" s="55"/>
      <c r="AN1830" s="55"/>
      <c r="AO1830" s="55"/>
      <c r="AP1830" s="55"/>
      <c r="AQ1830" s="55"/>
      <c r="AR1830" s="55"/>
      <c r="AS1830" s="55"/>
      <c r="AT1830" s="55"/>
      <c r="AU1830" s="55"/>
      <c r="AV1830" s="55"/>
      <c r="AW1830" s="55"/>
      <c r="AX1830" s="55"/>
      <c r="AY1830" s="55"/>
      <c r="AZ1830" s="55"/>
      <c r="BA1830" s="55"/>
      <c r="BB1830" s="55"/>
      <c r="BC1830" s="55"/>
      <c r="BD1830" s="55"/>
      <c r="BE1830" s="55"/>
      <c r="BF1830" s="55"/>
      <c r="BG1830" s="55"/>
      <c r="BH1830" s="55"/>
      <c r="BI1830" s="55"/>
      <c r="BJ1830" s="55"/>
      <c r="BK1830" s="55"/>
      <c r="BL1830" s="55"/>
      <c r="BM1830" s="55"/>
      <c r="BN1830" s="55"/>
      <c r="BO1830" s="55"/>
      <c r="BP1830" s="55"/>
      <c r="BQ1830" s="55"/>
      <c r="BR1830" s="55"/>
      <c r="BS1830" s="55"/>
      <c r="BT1830" s="55"/>
    </row>
    <row r="1831" ht="14.25" customHeight="1">
      <c r="B1831" s="5">
        <v>5.0</v>
      </c>
      <c r="C1831" s="5" t="s">
        <v>6010</v>
      </c>
      <c r="D1831" s="5" t="s">
        <v>6557</v>
      </c>
      <c r="E1831" s="5">
        <v>2503.0</v>
      </c>
      <c r="F1831" s="29" t="s">
        <v>6558</v>
      </c>
      <c r="G1831" s="5" t="s">
        <v>6559</v>
      </c>
      <c r="H1831" s="5" t="s">
        <v>6278</v>
      </c>
      <c r="I1831" s="5" t="s">
        <v>1664</v>
      </c>
      <c r="J1831" s="5" t="s">
        <v>6069</v>
      </c>
      <c r="K1831" s="5">
        <v>1.0</v>
      </c>
      <c r="L1831" s="5">
        <v>2906.0</v>
      </c>
      <c r="M1831" s="29">
        <v>-117.7012139</v>
      </c>
      <c r="N1831" s="29">
        <v>50.43417222</v>
      </c>
      <c r="O1831" s="29">
        <v>1800.0</v>
      </c>
      <c r="P1831" s="29" t="s">
        <v>6557</v>
      </c>
      <c r="Q1831" s="29">
        <v>6.0</v>
      </c>
      <c r="R1831" s="29" t="s">
        <v>6560</v>
      </c>
      <c r="S1831" s="29" t="s">
        <v>6009</v>
      </c>
      <c r="T1831" s="29"/>
      <c r="U1831" s="29"/>
      <c r="V1831" s="29"/>
      <c r="W1831" s="29"/>
      <c r="X1831" s="29"/>
      <c r="Y1831" s="29"/>
      <c r="Z1831" s="29"/>
      <c r="AA1831" s="29"/>
      <c r="AB1831" s="29"/>
      <c r="AC1831" s="29"/>
      <c r="AD1831" s="29"/>
      <c r="AE1831" s="29"/>
      <c r="AF1831" s="29"/>
      <c r="AG1831" s="29"/>
      <c r="AH1831" s="29"/>
      <c r="AI1831" s="29"/>
      <c r="AJ1831" s="29"/>
      <c r="AK1831" s="29"/>
      <c r="AL1831" s="29"/>
      <c r="AM1831" s="29"/>
      <c r="AN1831" s="29"/>
      <c r="AO1831" s="29"/>
      <c r="AP1831" s="29"/>
      <c r="AQ1831" s="29"/>
      <c r="AR1831" s="29"/>
      <c r="AS1831" s="29"/>
      <c r="AT1831" s="29"/>
      <c r="AU1831" s="29"/>
      <c r="AV1831" s="29"/>
      <c r="AW1831" s="29"/>
      <c r="AX1831" s="29"/>
      <c r="AY1831" s="29"/>
      <c r="AZ1831" s="29"/>
      <c r="BA1831" s="29"/>
      <c r="BB1831" s="29"/>
      <c r="BC1831" s="29"/>
      <c r="BD1831" s="29"/>
      <c r="BE1831" s="29"/>
      <c r="BF1831" s="29"/>
      <c r="BG1831" s="29"/>
      <c r="BH1831" s="29"/>
      <c r="BI1831" s="29"/>
      <c r="BJ1831" s="29"/>
      <c r="BK1831" s="29"/>
      <c r="BL1831" s="29"/>
      <c r="BM1831" s="29"/>
      <c r="BN1831" s="29"/>
      <c r="BO1831" s="29"/>
      <c r="BP1831" s="29"/>
      <c r="BQ1831" s="29"/>
      <c r="BR1831" s="29"/>
      <c r="BS1831" s="29"/>
      <c r="BT1831" s="29"/>
    </row>
    <row r="1832" ht="14.25" customHeight="1">
      <c r="A1832" s="5" t="s">
        <v>2037</v>
      </c>
      <c r="B1832" s="5">
        <v>5.0</v>
      </c>
      <c r="C1832" s="5" t="s">
        <v>6010</v>
      </c>
      <c r="D1832" s="5" t="s">
        <v>6561</v>
      </c>
      <c r="E1832" s="5">
        <v>2505.0</v>
      </c>
      <c r="F1832" s="10" t="s">
        <v>6562</v>
      </c>
      <c r="G1832" s="5" t="s">
        <v>6563</v>
      </c>
      <c r="H1832" s="5" t="s">
        <v>6564</v>
      </c>
      <c r="I1832" s="5" t="s">
        <v>1664</v>
      </c>
      <c r="J1832" s="5" t="s">
        <v>6046</v>
      </c>
      <c r="K1832" s="5">
        <v>1.0</v>
      </c>
      <c r="L1832" s="5">
        <v>2908.0</v>
      </c>
      <c r="M1832" s="39">
        <v>122.3294</v>
      </c>
      <c r="N1832" s="39">
        <v>49.5561</v>
      </c>
      <c r="O1832" s="102">
        <v>330.0</v>
      </c>
      <c r="P1832" s="39" t="s">
        <v>6561</v>
      </c>
      <c r="Q1832" s="10"/>
      <c r="R1832" s="39" t="s">
        <v>6565</v>
      </c>
      <c r="S1832" s="55"/>
      <c r="T1832" s="55"/>
      <c r="U1832" s="55"/>
      <c r="V1832" s="55"/>
      <c r="W1832" s="55"/>
      <c r="X1832" s="55"/>
      <c r="Y1832" s="55"/>
      <c r="Z1832" s="55"/>
      <c r="AA1832" s="55"/>
      <c r="AB1832" s="55"/>
      <c r="AC1832" s="55"/>
      <c r="AD1832" s="55"/>
      <c r="AE1832" s="55"/>
      <c r="AF1832" s="55"/>
      <c r="AG1832" s="55"/>
      <c r="AH1832" s="55"/>
      <c r="AI1832" s="55"/>
      <c r="AJ1832" s="55"/>
      <c r="AK1832" s="55"/>
      <c r="AL1832" s="55"/>
      <c r="AM1832" s="55"/>
      <c r="AN1832" s="55"/>
      <c r="AO1832" s="55"/>
      <c r="AP1832" s="55"/>
      <c r="AQ1832" s="55"/>
      <c r="AR1832" s="55"/>
      <c r="AS1832" s="55"/>
      <c r="AT1832" s="55"/>
      <c r="AU1832" s="55"/>
      <c r="AV1832" s="55"/>
      <c r="AW1832" s="55"/>
      <c r="AX1832" s="55"/>
      <c r="AY1832" s="55"/>
      <c r="AZ1832" s="55"/>
      <c r="BA1832" s="55"/>
      <c r="BB1832" s="55"/>
      <c r="BC1832" s="55"/>
      <c r="BD1832" s="55"/>
      <c r="BE1832" s="55"/>
      <c r="BF1832" s="55"/>
      <c r="BG1832" s="55"/>
      <c r="BH1832" s="55"/>
      <c r="BI1832" s="55"/>
      <c r="BJ1832" s="55"/>
      <c r="BK1832" s="55"/>
      <c r="BL1832" s="55"/>
      <c r="BM1832" s="55"/>
      <c r="BN1832" s="55"/>
      <c r="BO1832" s="55"/>
      <c r="BP1832" s="55"/>
      <c r="BQ1832" s="55"/>
      <c r="BR1832" s="55"/>
      <c r="BS1832" s="55"/>
      <c r="BT1832" s="55"/>
    </row>
    <row r="1833" ht="14.25" customHeight="1">
      <c r="B1833" s="5">
        <v>5.0</v>
      </c>
      <c r="C1833" s="5" t="s">
        <v>6010</v>
      </c>
      <c r="D1833" s="5" t="s">
        <v>6566</v>
      </c>
      <c r="E1833" s="5">
        <v>2506.0</v>
      </c>
      <c r="F1833" s="5" t="s">
        <v>6567</v>
      </c>
      <c r="G1833" s="5" t="s">
        <v>6568</v>
      </c>
      <c r="H1833" s="5" t="s">
        <v>6040</v>
      </c>
      <c r="I1833" s="5" t="s">
        <v>1664</v>
      </c>
      <c r="J1833" s="5" t="s">
        <v>6046</v>
      </c>
      <c r="K1833" s="5">
        <v>1.0</v>
      </c>
      <c r="L1833" s="5">
        <v>2909.0</v>
      </c>
      <c r="M1833" s="11">
        <v>-122.4020556</v>
      </c>
      <c r="N1833" s="11">
        <v>49.62366667</v>
      </c>
      <c r="O1833" s="11">
        <v>930.0</v>
      </c>
      <c r="P1833" s="5" t="s">
        <v>6566</v>
      </c>
      <c r="Q1833" s="72">
        <v>5.0</v>
      </c>
      <c r="R1833" s="11" t="s">
        <v>6569</v>
      </c>
      <c r="S1833" s="11" t="s">
        <v>6009</v>
      </c>
    </row>
    <row r="1834" ht="14.25" customHeight="1">
      <c r="B1834" s="5">
        <v>5.0</v>
      </c>
      <c r="C1834" s="5" t="s">
        <v>6010</v>
      </c>
      <c r="D1834" s="5" t="s">
        <v>6570</v>
      </c>
      <c r="E1834" s="5">
        <v>2501.0</v>
      </c>
      <c r="F1834" s="5" t="s">
        <v>6571</v>
      </c>
      <c r="G1834" s="5" t="s">
        <v>6572</v>
      </c>
      <c r="H1834" s="5" t="s">
        <v>6573</v>
      </c>
      <c r="I1834" s="5" t="s">
        <v>1664</v>
      </c>
      <c r="J1834" s="5" t="s">
        <v>6187</v>
      </c>
      <c r="K1834" s="5">
        <v>1.0</v>
      </c>
      <c r="L1834" s="5">
        <v>2904.0</v>
      </c>
    </row>
    <row r="1835" ht="14.25" customHeight="1">
      <c r="B1835" s="5">
        <v>5.0</v>
      </c>
      <c r="C1835" s="5" t="s">
        <v>6010</v>
      </c>
      <c r="D1835" s="5" t="s">
        <v>6574</v>
      </c>
      <c r="E1835" s="5">
        <v>13219.0</v>
      </c>
      <c r="F1835" s="5" t="s">
        <v>6575</v>
      </c>
      <c r="G1835" s="5" t="s">
        <v>6576</v>
      </c>
      <c r="H1835" s="5" t="s">
        <v>6209</v>
      </c>
      <c r="I1835" s="5" t="s">
        <v>49</v>
      </c>
      <c r="J1835" s="5" t="s">
        <v>6021</v>
      </c>
      <c r="K1835" s="5">
        <v>1.0</v>
      </c>
      <c r="L1835" s="5">
        <v>15135.0</v>
      </c>
      <c r="M1835" s="11">
        <v>-117.541639</v>
      </c>
      <c r="N1835" s="11">
        <v>51.716141</v>
      </c>
      <c r="O1835" s="11">
        <v>800.0</v>
      </c>
      <c r="P1835" s="5" t="s">
        <v>6574</v>
      </c>
      <c r="Q1835" s="72">
        <v>1.0</v>
      </c>
      <c r="R1835" s="11" t="s">
        <v>6575</v>
      </c>
      <c r="S1835" s="11" t="s">
        <v>6009</v>
      </c>
    </row>
    <row r="1836" ht="14.25" customHeight="1">
      <c r="A1836" s="5" t="s">
        <v>2037</v>
      </c>
      <c r="B1836" s="5">
        <v>5.0</v>
      </c>
      <c r="C1836" s="5" t="s">
        <v>6010</v>
      </c>
      <c r="D1836" s="5" t="s">
        <v>6577</v>
      </c>
      <c r="E1836" s="5">
        <v>2502.0</v>
      </c>
      <c r="F1836" s="38" t="s">
        <v>6578</v>
      </c>
      <c r="G1836" s="5" t="s">
        <v>6579</v>
      </c>
      <c r="H1836" s="5" t="s">
        <v>6580</v>
      </c>
      <c r="I1836" s="5" t="s">
        <v>1664</v>
      </c>
      <c r="J1836" s="5" t="s">
        <v>6046</v>
      </c>
      <c r="K1836" s="5">
        <v>1.0</v>
      </c>
      <c r="L1836" s="5">
        <v>2905.0</v>
      </c>
      <c r="M1836" s="28">
        <v>-188.53</v>
      </c>
      <c r="N1836" s="28">
        <v>50.35</v>
      </c>
      <c r="O1836" s="28">
        <v>675.0</v>
      </c>
      <c r="P1836" s="28" t="s">
        <v>6577</v>
      </c>
      <c r="Q1836" s="28"/>
      <c r="R1836" s="28" t="s">
        <v>6581</v>
      </c>
      <c r="S1836" s="55"/>
      <c r="T1836" s="55"/>
      <c r="U1836" s="99"/>
      <c r="V1836" s="99"/>
      <c r="W1836" s="99"/>
      <c r="X1836" s="99"/>
      <c r="Y1836" s="99"/>
      <c r="Z1836" s="99"/>
      <c r="AA1836" s="99"/>
      <c r="AB1836" s="99"/>
      <c r="AC1836" s="99"/>
      <c r="AD1836" s="99"/>
      <c r="AE1836" s="99"/>
      <c r="AF1836" s="99"/>
      <c r="AG1836" s="99"/>
      <c r="AH1836" s="99"/>
      <c r="AI1836" s="99"/>
      <c r="AJ1836" s="99"/>
      <c r="AK1836" s="99"/>
      <c r="AL1836" s="99"/>
      <c r="AM1836" s="99"/>
      <c r="AN1836" s="99"/>
      <c r="AO1836" s="99"/>
      <c r="AP1836" s="99"/>
      <c r="AQ1836" s="99"/>
      <c r="AR1836" s="99"/>
      <c r="AS1836" s="99"/>
      <c r="AT1836" s="99"/>
      <c r="AU1836" s="99"/>
      <c r="AV1836" s="99"/>
      <c r="AW1836" s="99"/>
      <c r="AX1836" s="99"/>
      <c r="AY1836" s="99"/>
      <c r="AZ1836" s="99"/>
      <c r="BA1836" s="99"/>
      <c r="BB1836" s="99"/>
      <c r="BC1836" s="99"/>
      <c r="BD1836" s="99"/>
      <c r="BE1836" s="99"/>
      <c r="BF1836" s="99"/>
      <c r="BG1836" s="99"/>
      <c r="BH1836" s="99"/>
      <c r="BI1836" s="99"/>
      <c r="BJ1836" s="99"/>
      <c r="BK1836" s="99"/>
      <c r="BL1836" s="99"/>
      <c r="BM1836" s="99"/>
      <c r="BN1836" s="99"/>
      <c r="BO1836" s="99"/>
      <c r="BP1836" s="99"/>
      <c r="BQ1836" s="99"/>
      <c r="BR1836" s="99"/>
      <c r="BS1836" s="99"/>
      <c r="BT1836" s="99"/>
    </row>
    <row r="1837" ht="14.25" customHeight="1">
      <c r="B1837" s="5">
        <v>5.0</v>
      </c>
      <c r="C1837" s="5" t="s">
        <v>6010</v>
      </c>
      <c r="D1837" s="5" t="s">
        <v>6582</v>
      </c>
      <c r="E1837" s="5">
        <v>12352.0</v>
      </c>
      <c r="F1837" s="5" t="s">
        <v>6583</v>
      </c>
      <c r="G1837" s="5" t="s">
        <v>6584</v>
      </c>
      <c r="H1837" s="5" t="s">
        <v>6585</v>
      </c>
      <c r="I1837" s="5" t="s">
        <v>49</v>
      </c>
      <c r="J1837" s="5" t="s">
        <v>6258</v>
      </c>
      <c r="K1837" s="5">
        <v>1.0</v>
      </c>
      <c r="L1837" s="5">
        <v>14408.0</v>
      </c>
      <c r="V1837" s="55"/>
      <c r="W1837" s="55"/>
      <c r="X1837" s="55"/>
      <c r="Y1837" s="55"/>
      <c r="Z1837" s="55"/>
      <c r="AA1837" s="55"/>
      <c r="AB1837" s="55"/>
      <c r="AC1837" s="55"/>
      <c r="AD1837" s="55"/>
      <c r="AE1837" s="55"/>
      <c r="AF1837" s="55"/>
      <c r="AG1837" s="55"/>
      <c r="AH1837" s="55"/>
      <c r="AI1837" s="55"/>
      <c r="AJ1837" s="55"/>
      <c r="AK1837" s="55"/>
      <c r="AL1837" s="55"/>
      <c r="AM1837" s="55"/>
      <c r="AN1837" s="55"/>
      <c r="AO1837" s="55"/>
      <c r="AP1837" s="55"/>
      <c r="AQ1837" s="55"/>
      <c r="AR1837" s="55"/>
      <c r="AS1837" s="55"/>
      <c r="AT1837" s="55"/>
      <c r="AU1837" s="55"/>
      <c r="AV1837" s="55"/>
      <c r="AW1837" s="55"/>
      <c r="AX1837" s="55"/>
      <c r="AY1837" s="55"/>
      <c r="AZ1837" s="55"/>
      <c r="BA1837" s="55"/>
      <c r="BB1837" s="55"/>
      <c r="BC1837" s="55"/>
      <c r="BD1837" s="55"/>
      <c r="BE1837" s="55"/>
      <c r="BF1837" s="55"/>
      <c r="BG1837" s="55"/>
      <c r="BH1837" s="55"/>
      <c r="BI1837" s="55"/>
      <c r="BJ1837" s="55"/>
      <c r="BK1837" s="55"/>
      <c r="BL1837" s="55"/>
      <c r="BM1837" s="55"/>
      <c r="BN1837" s="55"/>
      <c r="BO1837" s="55"/>
      <c r="BP1837" s="55"/>
      <c r="BQ1837" s="55"/>
      <c r="BR1837" s="55"/>
      <c r="BS1837" s="55"/>
      <c r="BT1837" s="55"/>
    </row>
    <row r="1838" ht="14.25" customHeight="1">
      <c r="B1838" s="5">
        <v>5.0</v>
      </c>
      <c r="C1838" s="5" t="s">
        <v>6010</v>
      </c>
      <c r="D1838" s="5" t="s">
        <v>6586</v>
      </c>
      <c r="E1838" s="5">
        <v>12351.0</v>
      </c>
      <c r="F1838" s="29" t="s">
        <v>6587</v>
      </c>
      <c r="G1838" s="5" t="s">
        <v>6588</v>
      </c>
      <c r="H1838" s="5" t="s">
        <v>6589</v>
      </c>
      <c r="I1838" s="5" t="s">
        <v>49</v>
      </c>
      <c r="J1838" s="5" t="s">
        <v>6057</v>
      </c>
      <c r="K1838" s="5">
        <v>1.0</v>
      </c>
      <c r="L1838" s="5">
        <v>14407.0</v>
      </c>
      <c r="M1838" s="29"/>
      <c r="N1838" s="29"/>
      <c r="O1838" s="29"/>
      <c r="P1838" s="29"/>
      <c r="Q1838" s="29"/>
      <c r="R1838" s="29"/>
      <c r="S1838" s="29"/>
      <c r="T1838" s="29"/>
      <c r="U1838" s="29"/>
      <c r="V1838" s="99"/>
      <c r="W1838" s="99"/>
      <c r="X1838" s="99"/>
      <c r="Y1838" s="99"/>
      <c r="Z1838" s="99"/>
      <c r="AA1838" s="99"/>
      <c r="AB1838" s="99"/>
      <c r="AC1838" s="99"/>
      <c r="AD1838" s="99"/>
      <c r="AE1838" s="99"/>
      <c r="AF1838" s="99"/>
      <c r="AG1838" s="99"/>
      <c r="AH1838" s="99"/>
      <c r="AI1838" s="99"/>
      <c r="AJ1838" s="99"/>
      <c r="AK1838" s="99"/>
      <c r="AL1838" s="99"/>
      <c r="AM1838" s="99"/>
      <c r="AN1838" s="99"/>
      <c r="AO1838" s="99"/>
      <c r="AP1838" s="99"/>
      <c r="AQ1838" s="99"/>
      <c r="AR1838" s="99"/>
      <c r="AS1838" s="99"/>
      <c r="AT1838" s="99"/>
      <c r="AU1838" s="99"/>
      <c r="AV1838" s="99"/>
      <c r="AW1838" s="99"/>
      <c r="AX1838" s="99"/>
      <c r="AY1838" s="99"/>
      <c r="AZ1838" s="99"/>
      <c r="BA1838" s="99"/>
      <c r="BB1838" s="99"/>
      <c r="BC1838" s="99"/>
      <c r="BD1838" s="99"/>
      <c r="BE1838" s="99"/>
      <c r="BF1838" s="99"/>
      <c r="BG1838" s="99"/>
      <c r="BH1838" s="99"/>
      <c r="BI1838" s="99"/>
      <c r="BJ1838" s="99"/>
      <c r="BK1838" s="99"/>
      <c r="BL1838" s="99"/>
      <c r="BM1838" s="99"/>
      <c r="BN1838" s="99"/>
      <c r="BO1838" s="99"/>
      <c r="BP1838" s="99"/>
      <c r="BQ1838" s="99"/>
      <c r="BR1838" s="99"/>
      <c r="BS1838" s="99"/>
      <c r="BT1838" s="99"/>
    </row>
    <row r="1839" ht="14.25" customHeight="1">
      <c r="A1839" s="5" t="s">
        <v>88</v>
      </c>
      <c r="B1839" s="5">
        <v>5.0</v>
      </c>
      <c r="C1839" s="5" t="s">
        <v>6010</v>
      </c>
      <c r="D1839" s="5" t="s">
        <v>6590</v>
      </c>
      <c r="E1839" s="5">
        <v>12409.0</v>
      </c>
      <c r="F1839" s="29" t="s">
        <v>6591</v>
      </c>
      <c r="G1839" s="10" t="s">
        <v>6592</v>
      </c>
      <c r="H1839" s="5" t="s">
        <v>6289</v>
      </c>
      <c r="I1839" s="5" t="s">
        <v>641</v>
      </c>
      <c r="J1839" s="5" t="s">
        <v>6021</v>
      </c>
      <c r="K1839" s="5">
        <v>1.0</v>
      </c>
      <c r="L1839" s="5">
        <v>14431.0</v>
      </c>
      <c r="M1839" s="11">
        <v>-122.2397222</v>
      </c>
      <c r="N1839" s="11">
        <v>56.83</v>
      </c>
      <c r="O1839" s="11">
        <v>1011.0</v>
      </c>
      <c r="P1839" s="5" t="s">
        <v>6590</v>
      </c>
      <c r="Q1839" s="72">
        <v>8.0</v>
      </c>
      <c r="R1839" s="11" t="s">
        <v>6591</v>
      </c>
      <c r="S1839" s="11" t="s">
        <v>6009</v>
      </c>
      <c r="T1839" s="29"/>
      <c r="U1839" s="29"/>
      <c r="V1839" s="29"/>
      <c r="W1839" s="29"/>
      <c r="X1839" s="29"/>
      <c r="Y1839" s="29"/>
      <c r="Z1839" s="29"/>
      <c r="AA1839" s="29"/>
      <c r="AB1839" s="29"/>
      <c r="AC1839" s="29"/>
      <c r="AD1839" s="29"/>
      <c r="AE1839" s="29"/>
      <c r="AF1839" s="29"/>
      <c r="AG1839" s="29"/>
      <c r="AH1839" s="29"/>
      <c r="AI1839" s="29"/>
      <c r="AJ1839" s="29"/>
      <c r="AK1839" s="29"/>
      <c r="AL1839" s="29"/>
      <c r="AM1839" s="29"/>
      <c r="AN1839" s="29"/>
      <c r="AO1839" s="29"/>
      <c r="AP1839" s="29"/>
      <c r="AQ1839" s="29"/>
      <c r="AR1839" s="29"/>
      <c r="AS1839" s="29"/>
      <c r="AT1839" s="29"/>
      <c r="AU1839" s="29"/>
      <c r="AV1839" s="29"/>
      <c r="AW1839" s="29"/>
      <c r="AX1839" s="29"/>
      <c r="AY1839" s="29"/>
      <c r="AZ1839" s="29"/>
      <c r="BA1839" s="29"/>
      <c r="BB1839" s="29"/>
      <c r="BC1839" s="29"/>
      <c r="BD1839" s="29"/>
      <c r="BE1839" s="29"/>
      <c r="BF1839" s="29"/>
      <c r="BG1839" s="29"/>
      <c r="BH1839" s="29"/>
      <c r="BI1839" s="29"/>
      <c r="BJ1839" s="29"/>
      <c r="BK1839" s="29"/>
      <c r="BL1839" s="29"/>
      <c r="BM1839" s="29"/>
      <c r="BN1839" s="29"/>
      <c r="BO1839" s="29"/>
      <c r="BP1839" s="29"/>
      <c r="BQ1839" s="29"/>
      <c r="BR1839" s="29"/>
      <c r="BS1839" s="29"/>
      <c r="BT1839" s="29"/>
    </row>
    <row r="1840" ht="14.25" customHeight="1">
      <c r="A1840" s="7" t="s">
        <v>88</v>
      </c>
      <c r="B1840" s="5">
        <v>5.0</v>
      </c>
      <c r="C1840" s="5" t="s">
        <v>6010</v>
      </c>
      <c r="D1840" s="5" t="s">
        <v>6593</v>
      </c>
      <c r="E1840" s="5">
        <v>13117.0</v>
      </c>
      <c r="F1840" s="5" t="s">
        <v>6594</v>
      </c>
      <c r="G1840" s="103" t="s">
        <v>6595</v>
      </c>
      <c r="H1840" s="5" t="s">
        <v>6086</v>
      </c>
      <c r="I1840" s="5" t="s">
        <v>49</v>
      </c>
      <c r="J1840" s="5" t="s">
        <v>6087</v>
      </c>
      <c r="K1840" s="5">
        <v>1.0</v>
      </c>
      <c r="L1840" s="5">
        <v>15039.0</v>
      </c>
      <c r="M1840" s="11">
        <v>-124.096333</v>
      </c>
      <c r="N1840" s="11">
        <v>55.41635</v>
      </c>
      <c r="O1840" s="11">
        <v>1189.0</v>
      </c>
      <c r="P1840" s="5" t="s">
        <v>6593</v>
      </c>
      <c r="Q1840" s="72">
        <v>5.0</v>
      </c>
      <c r="R1840" s="11" t="s">
        <v>6594</v>
      </c>
      <c r="S1840" s="11" t="s">
        <v>6009</v>
      </c>
    </row>
    <row r="1841" ht="14.25" customHeight="1">
      <c r="B1841" s="5">
        <v>5.0</v>
      </c>
      <c r="C1841" s="5" t="s">
        <v>6010</v>
      </c>
      <c r="D1841" s="5" t="s">
        <v>6596</v>
      </c>
      <c r="E1841" s="5">
        <v>12410.0</v>
      </c>
      <c r="F1841" s="5" t="s">
        <v>6597</v>
      </c>
      <c r="G1841" s="5" t="s">
        <v>6598</v>
      </c>
      <c r="H1841" s="5" t="s">
        <v>6201</v>
      </c>
      <c r="I1841" s="5" t="s">
        <v>641</v>
      </c>
      <c r="J1841" s="5" t="s">
        <v>6021</v>
      </c>
      <c r="K1841" s="5">
        <v>1.0</v>
      </c>
      <c r="L1841" s="5">
        <v>14432.0</v>
      </c>
      <c r="M1841" s="11">
        <v>-125.5844333</v>
      </c>
      <c r="N1841" s="11">
        <v>49.97266667</v>
      </c>
      <c r="O1841" s="11">
        <v>249.0</v>
      </c>
      <c r="P1841" s="5" t="s">
        <v>6596</v>
      </c>
      <c r="Q1841" s="72">
        <v>4.0</v>
      </c>
      <c r="R1841" s="11" t="s">
        <v>6597</v>
      </c>
      <c r="S1841" s="11" t="s">
        <v>6009</v>
      </c>
    </row>
    <row r="1842" ht="14.25" customHeight="1">
      <c r="B1842" s="5">
        <v>5.0</v>
      </c>
      <c r="C1842" s="5" t="s">
        <v>6010</v>
      </c>
      <c r="D1842" s="5" t="s">
        <v>6599</v>
      </c>
      <c r="E1842" s="5">
        <v>2445.0</v>
      </c>
      <c r="F1842" s="5" t="s">
        <v>6600</v>
      </c>
      <c r="G1842" s="5" t="s">
        <v>6601</v>
      </c>
      <c r="H1842" s="5" t="s">
        <v>6040</v>
      </c>
      <c r="I1842" s="5" t="s">
        <v>1664</v>
      </c>
      <c r="J1842" s="5" t="s">
        <v>6046</v>
      </c>
      <c r="K1842" s="5">
        <v>1.0</v>
      </c>
      <c r="L1842" s="5">
        <v>2848.0</v>
      </c>
      <c r="M1842" s="10">
        <v>-123.13333</v>
      </c>
      <c r="N1842" s="10">
        <v>50.1222</v>
      </c>
      <c r="O1842" s="10">
        <v>880.0</v>
      </c>
      <c r="P1842" s="10" t="s">
        <v>6602</v>
      </c>
      <c r="Q1842" s="10"/>
      <c r="R1842" s="10" t="s">
        <v>6600</v>
      </c>
      <c r="S1842" s="55"/>
      <c r="T1842" s="55"/>
      <c r="U1842" s="55"/>
      <c r="V1842" s="55"/>
      <c r="W1842" s="55"/>
      <c r="X1842" s="55"/>
      <c r="Y1842" s="55"/>
      <c r="Z1842" s="55"/>
      <c r="AA1842" s="55"/>
      <c r="AB1842" s="55"/>
      <c r="AC1842" s="55"/>
      <c r="AD1842" s="55"/>
      <c r="AE1842" s="55"/>
      <c r="AF1842" s="55"/>
      <c r="AG1842" s="55"/>
      <c r="AH1842" s="55"/>
      <c r="AI1842" s="55"/>
      <c r="AJ1842" s="55"/>
      <c r="AK1842" s="55"/>
      <c r="AL1842" s="55"/>
      <c r="AM1842" s="55"/>
      <c r="AN1842" s="55"/>
      <c r="AO1842" s="55"/>
      <c r="AP1842" s="55"/>
      <c r="AQ1842" s="55"/>
      <c r="AR1842" s="55"/>
      <c r="AS1842" s="55"/>
      <c r="AT1842" s="55"/>
      <c r="AU1842" s="55"/>
      <c r="AV1842" s="55"/>
      <c r="AW1842" s="55"/>
      <c r="AX1842" s="55"/>
      <c r="AY1842" s="55"/>
      <c r="AZ1842" s="55"/>
      <c r="BA1842" s="55"/>
      <c r="BB1842" s="55"/>
      <c r="BC1842" s="55"/>
      <c r="BD1842" s="55"/>
      <c r="BE1842" s="55"/>
      <c r="BF1842" s="55"/>
      <c r="BG1842" s="55"/>
      <c r="BH1842" s="55"/>
      <c r="BI1842" s="55"/>
      <c r="BJ1842" s="55"/>
      <c r="BK1842" s="55"/>
      <c r="BL1842" s="55"/>
      <c r="BM1842" s="55"/>
      <c r="BN1842" s="55"/>
      <c r="BO1842" s="55"/>
      <c r="BP1842" s="55"/>
      <c r="BQ1842" s="55"/>
      <c r="BR1842" s="55"/>
      <c r="BS1842" s="55"/>
      <c r="BT1842" s="55"/>
    </row>
    <row r="1843" ht="14.25" customHeight="1">
      <c r="A1843" s="5" t="s">
        <v>2037</v>
      </c>
      <c r="B1843" s="5">
        <v>5.0</v>
      </c>
      <c r="C1843" s="5" t="s">
        <v>6010</v>
      </c>
      <c r="D1843" s="5" t="s">
        <v>6603</v>
      </c>
      <c r="E1843" s="5">
        <v>2507.0</v>
      </c>
      <c r="F1843" s="10" t="s">
        <v>6604</v>
      </c>
      <c r="G1843" s="5" t="s">
        <v>6605</v>
      </c>
      <c r="H1843" s="5" t="s">
        <v>6040</v>
      </c>
      <c r="I1843" s="5" t="s">
        <v>1664</v>
      </c>
      <c r="J1843" s="5" t="s">
        <v>6046</v>
      </c>
      <c r="K1843" s="5">
        <v>1.0</v>
      </c>
      <c r="L1843" s="5">
        <v>2910.0</v>
      </c>
      <c r="M1843" s="11">
        <v>-121.6186111</v>
      </c>
      <c r="N1843" s="11">
        <v>49.23194444</v>
      </c>
      <c r="O1843" s="11">
        <v>641.0</v>
      </c>
      <c r="P1843" s="5" t="s">
        <v>6603</v>
      </c>
      <c r="Q1843" s="72">
        <v>4.0</v>
      </c>
      <c r="R1843" s="11" t="s">
        <v>6606</v>
      </c>
      <c r="S1843" s="11" t="s">
        <v>6009</v>
      </c>
    </row>
    <row r="1844" ht="14.25" customHeight="1">
      <c r="B1844" s="5">
        <v>5.0</v>
      </c>
      <c r="C1844" s="5" t="s">
        <v>6010</v>
      </c>
      <c r="D1844" s="5" t="s">
        <v>6607</v>
      </c>
      <c r="E1844" s="5">
        <v>13090.0</v>
      </c>
      <c r="F1844" s="5" t="s">
        <v>6608</v>
      </c>
      <c r="G1844" s="5" t="s">
        <v>6609</v>
      </c>
      <c r="H1844" s="5" t="s">
        <v>6014</v>
      </c>
      <c r="I1844" s="5" t="s">
        <v>49</v>
      </c>
      <c r="J1844" s="5" t="s">
        <v>6610</v>
      </c>
      <c r="K1844" s="5">
        <v>1.0</v>
      </c>
      <c r="L1844" s="5">
        <v>15012.0</v>
      </c>
      <c r="M1844" s="5">
        <v>-125.6773389</v>
      </c>
      <c r="N1844" s="5">
        <v>57.40755556</v>
      </c>
      <c r="O1844" s="5">
        <v>971.0</v>
      </c>
      <c r="P1844" s="5" t="s">
        <v>6607</v>
      </c>
      <c r="Q1844" s="5">
        <v>2.0</v>
      </c>
      <c r="R1844" s="5" t="s">
        <v>6608</v>
      </c>
      <c r="S1844" s="5" t="s">
        <v>6009</v>
      </c>
    </row>
    <row r="1845" ht="14.25" customHeight="1">
      <c r="B1845" s="5">
        <v>5.0</v>
      </c>
      <c r="C1845" s="5" t="s">
        <v>6010</v>
      </c>
      <c r="D1845" s="5" t="s">
        <v>6611</v>
      </c>
      <c r="E1845" s="5">
        <v>12414.0</v>
      </c>
      <c r="F1845" s="5" t="s">
        <v>6612</v>
      </c>
      <c r="G1845" s="5" t="s">
        <v>6613</v>
      </c>
      <c r="H1845" s="5" t="s">
        <v>6289</v>
      </c>
      <c r="I1845" s="5" t="s">
        <v>641</v>
      </c>
      <c r="J1845" s="5" t="s">
        <v>6087</v>
      </c>
      <c r="K1845" s="5">
        <v>1.0</v>
      </c>
      <c r="L1845" s="5">
        <v>14436.0</v>
      </c>
      <c r="M1845" s="5">
        <v>-125.7004694</v>
      </c>
      <c r="N1845" s="5">
        <v>57.39618056</v>
      </c>
      <c r="O1845" s="5">
        <v>1565.0</v>
      </c>
      <c r="P1845" s="5" t="s">
        <v>6611</v>
      </c>
      <c r="Q1845" s="5">
        <v>7.0</v>
      </c>
      <c r="R1845" s="5" t="s">
        <v>6612</v>
      </c>
      <c r="S1845" s="5" t="s">
        <v>6009</v>
      </c>
    </row>
    <row r="1846" ht="14.25" customHeight="1">
      <c r="B1846" s="5">
        <v>5.0</v>
      </c>
      <c r="C1846" s="5" t="s">
        <v>6010</v>
      </c>
      <c r="D1846" s="5" t="s">
        <v>6614</v>
      </c>
      <c r="E1846" s="5">
        <v>12411.0</v>
      </c>
      <c r="F1846" s="5" t="s">
        <v>6615</v>
      </c>
      <c r="G1846" s="5" t="s">
        <v>6616</v>
      </c>
      <c r="H1846" s="5" t="s">
        <v>6289</v>
      </c>
      <c r="I1846" s="5" t="s">
        <v>641</v>
      </c>
      <c r="J1846" s="5" t="s">
        <v>6127</v>
      </c>
      <c r="K1846" s="5">
        <v>1.0</v>
      </c>
      <c r="L1846" s="5">
        <v>14433.0</v>
      </c>
      <c r="M1846" s="5">
        <v>-116.6294111</v>
      </c>
      <c r="N1846" s="5">
        <v>51.69630278</v>
      </c>
      <c r="O1846" s="5">
        <v>2122.0</v>
      </c>
      <c r="P1846" s="5" t="s">
        <v>6614</v>
      </c>
      <c r="Q1846" s="5">
        <v>7.0</v>
      </c>
      <c r="R1846" s="5" t="s">
        <v>6615</v>
      </c>
      <c r="S1846" s="5" t="s">
        <v>6009</v>
      </c>
    </row>
    <row r="1847" ht="14.25" customHeight="1">
      <c r="A1847" s="5" t="s">
        <v>772</v>
      </c>
      <c r="B1847" s="5">
        <v>5.0</v>
      </c>
      <c r="C1847" s="5" t="s">
        <v>6010</v>
      </c>
      <c r="D1847" s="5" t="s">
        <v>6617</v>
      </c>
      <c r="E1847" s="5">
        <v>2477.0</v>
      </c>
      <c r="F1847" s="38" t="s">
        <v>6618</v>
      </c>
      <c r="G1847" s="10" t="s">
        <v>6619</v>
      </c>
      <c r="H1847" s="5" t="s">
        <v>6620</v>
      </c>
      <c r="I1847" s="5" t="s">
        <v>1664</v>
      </c>
      <c r="J1847" s="5" t="s">
        <v>6046</v>
      </c>
      <c r="K1847" s="5">
        <v>1.0</v>
      </c>
      <c r="L1847" s="5">
        <v>2880.0</v>
      </c>
      <c r="M1847" s="5">
        <v>-123.74819</v>
      </c>
      <c r="N1847" s="5">
        <v>56.04997</v>
      </c>
      <c r="O1847" s="5">
        <v>712.0</v>
      </c>
      <c r="P1847" s="5" t="s">
        <v>6617</v>
      </c>
      <c r="Q1847" s="5">
        <v>1.0</v>
      </c>
      <c r="R1847" s="5" t="s">
        <v>6621</v>
      </c>
      <c r="S1847" s="5" t="s">
        <v>6009</v>
      </c>
      <c r="U1847" s="29"/>
      <c r="V1847" s="29"/>
      <c r="W1847" s="29"/>
      <c r="X1847" s="29"/>
      <c r="Y1847" s="29"/>
      <c r="Z1847" s="29"/>
      <c r="AA1847" s="29"/>
      <c r="AB1847" s="29"/>
      <c r="AC1847" s="29"/>
      <c r="AD1847" s="29"/>
      <c r="AE1847" s="29"/>
      <c r="AF1847" s="29"/>
      <c r="AG1847" s="29"/>
      <c r="AH1847" s="29"/>
      <c r="AI1847" s="29"/>
      <c r="AJ1847" s="29"/>
      <c r="AK1847" s="29"/>
      <c r="AL1847" s="29"/>
      <c r="AM1847" s="29"/>
      <c r="AN1847" s="29"/>
      <c r="AO1847" s="29"/>
      <c r="AP1847" s="29"/>
      <c r="AQ1847" s="29"/>
      <c r="AR1847" s="29"/>
      <c r="AS1847" s="29"/>
      <c r="AT1847" s="29"/>
      <c r="AU1847" s="29"/>
      <c r="AV1847" s="29"/>
      <c r="AW1847" s="29"/>
      <c r="AX1847" s="29"/>
      <c r="AY1847" s="29"/>
      <c r="AZ1847" s="29"/>
      <c r="BA1847" s="29"/>
      <c r="BB1847" s="29"/>
      <c r="BC1847" s="29"/>
      <c r="BD1847" s="29"/>
      <c r="BE1847" s="29"/>
      <c r="BF1847" s="29"/>
      <c r="BG1847" s="29"/>
      <c r="BH1847" s="29"/>
      <c r="BI1847" s="29"/>
      <c r="BJ1847" s="29"/>
      <c r="BK1847" s="29"/>
      <c r="BL1847" s="29"/>
      <c r="BM1847" s="29"/>
      <c r="BN1847" s="29"/>
      <c r="BO1847" s="29"/>
      <c r="BP1847" s="29"/>
      <c r="BQ1847" s="29"/>
      <c r="BR1847" s="29"/>
      <c r="BS1847" s="29"/>
      <c r="BT1847" s="29"/>
    </row>
    <row r="1848" ht="14.25" customHeight="1">
      <c r="A1848" s="5" t="s">
        <v>2037</v>
      </c>
      <c r="B1848" s="5">
        <v>5.0</v>
      </c>
      <c r="C1848" s="5" t="s">
        <v>6010</v>
      </c>
      <c r="D1848" s="5" t="s">
        <v>6622</v>
      </c>
      <c r="E1848" s="5">
        <v>2510.0</v>
      </c>
      <c r="F1848" s="10" t="s">
        <v>6623</v>
      </c>
      <c r="G1848" s="5" t="s">
        <v>6624</v>
      </c>
      <c r="H1848" s="5" t="s">
        <v>6625</v>
      </c>
      <c r="I1848" s="5" t="s">
        <v>1664</v>
      </c>
      <c r="J1848" s="5" t="s">
        <v>6046</v>
      </c>
      <c r="K1848" s="5">
        <v>1.0</v>
      </c>
      <c r="L1848" s="5">
        <v>2913.0</v>
      </c>
      <c r="M1848" s="104">
        <v>122.715833</v>
      </c>
      <c r="N1848" s="104">
        <v>56.1061</v>
      </c>
      <c r="O1848" s="105">
        <v>676.0</v>
      </c>
      <c r="P1848" s="55" t="s">
        <v>6622</v>
      </c>
      <c r="Q1848" s="55"/>
      <c r="R1848" s="104" t="s">
        <v>6626</v>
      </c>
      <c r="S1848" s="55"/>
      <c r="T1848" s="55"/>
      <c r="U1848" s="55"/>
      <c r="V1848" s="55"/>
      <c r="W1848" s="55"/>
      <c r="X1848" s="55"/>
      <c r="Y1848" s="55"/>
      <c r="Z1848" s="55"/>
      <c r="AA1848" s="55"/>
      <c r="AB1848" s="55"/>
      <c r="AC1848" s="55"/>
      <c r="AD1848" s="55"/>
      <c r="AE1848" s="55"/>
      <c r="AF1848" s="55"/>
      <c r="AG1848" s="55"/>
      <c r="AH1848" s="55"/>
      <c r="AI1848" s="55"/>
      <c r="AJ1848" s="55"/>
      <c r="AK1848" s="55"/>
      <c r="AL1848" s="55"/>
      <c r="AM1848" s="55"/>
      <c r="AN1848" s="55"/>
      <c r="AO1848" s="55"/>
      <c r="AP1848" s="55"/>
      <c r="AQ1848" s="55"/>
      <c r="AR1848" s="55"/>
      <c r="AS1848" s="55"/>
      <c r="AT1848" s="55"/>
      <c r="AU1848" s="55"/>
      <c r="AV1848" s="55"/>
      <c r="AW1848" s="55"/>
      <c r="AX1848" s="55"/>
      <c r="AY1848" s="55"/>
      <c r="AZ1848" s="55"/>
      <c r="BA1848" s="55"/>
      <c r="BB1848" s="55"/>
      <c r="BC1848" s="55"/>
      <c r="BD1848" s="55"/>
      <c r="BE1848" s="55"/>
      <c r="BF1848" s="55"/>
      <c r="BG1848" s="55"/>
      <c r="BH1848" s="55"/>
      <c r="BI1848" s="55"/>
      <c r="BJ1848" s="55"/>
      <c r="BK1848" s="55"/>
      <c r="BL1848" s="55"/>
      <c r="BM1848" s="55"/>
      <c r="BN1848" s="55"/>
      <c r="BO1848" s="55"/>
      <c r="BP1848" s="55"/>
      <c r="BQ1848" s="55"/>
      <c r="BR1848" s="55"/>
      <c r="BS1848" s="55"/>
      <c r="BT1848" s="55"/>
    </row>
    <row r="1849" ht="14.25" customHeight="1">
      <c r="A1849" s="5" t="s">
        <v>1908</v>
      </c>
      <c r="B1849" s="5">
        <v>5.0</v>
      </c>
      <c r="C1849" s="5" t="s">
        <v>6010</v>
      </c>
      <c r="D1849" s="5" t="s">
        <v>6627</v>
      </c>
      <c r="E1849" s="5">
        <v>2508.0</v>
      </c>
      <c r="F1849" s="38" t="s">
        <v>6628</v>
      </c>
      <c r="G1849" s="10" t="s">
        <v>6629</v>
      </c>
      <c r="H1849" s="5" t="s">
        <v>6630</v>
      </c>
      <c r="I1849" s="5" t="s">
        <v>1664</v>
      </c>
      <c r="J1849" s="5" t="s">
        <v>6069</v>
      </c>
      <c r="K1849" s="5">
        <v>1.0</v>
      </c>
      <c r="L1849" s="5">
        <v>2911.0</v>
      </c>
      <c r="M1849" s="11">
        <v>-125.67925</v>
      </c>
      <c r="N1849" s="11">
        <v>49.70413889</v>
      </c>
      <c r="O1849" s="11">
        <v>1490.0</v>
      </c>
      <c r="P1849" s="5" t="s">
        <v>6627</v>
      </c>
      <c r="Q1849" s="72">
        <v>8.0</v>
      </c>
      <c r="R1849" s="11" t="s">
        <v>6631</v>
      </c>
      <c r="S1849" s="11" t="s">
        <v>6009</v>
      </c>
      <c r="U1849" s="29"/>
      <c r="V1849" s="29"/>
      <c r="W1849" s="29"/>
      <c r="X1849" s="29"/>
      <c r="Y1849" s="29"/>
      <c r="Z1849" s="29"/>
      <c r="AA1849" s="29"/>
      <c r="AB1849" s="29"/>
      <c r="AC1849" s="29"/>
      <c r="AD1849" s="29"/>
      <c r="AE1849" s="29"/>
      <c r="AF1849" s="29"/>
      <c r="AG1849" s="29"/>
      <c r="AH1849" s="29"/>
      <c r="AI1849" s="29"/>
      <c r="AJ1849" s="29"/>
      <c r="AK1849" s="29"/>
      <c r="AL1849" s="29"/>
      <c r="AM1849" s="29"/>
      <c r="AN1849" s="29"/>
      <c r="AO1849" s="29"/>
      <c r="AP1849" s="29"/>
      <c r="AQ1849" s="29"/>
      <c r="AR1849" s="29"/>
      <c r="AS1849" s="29"/>
      <c r="AT1849" s="29"/>
      <c r="AU1849" s="29"/>
      <c r="AV1849" s="29"/>
      <c r="AW1849" s="29"/>
      <c r="AX1849" s="29"/>
      <c r="AY1849" s="29"/>
      <c r="AZ1849" s="29"/>
      <c r="BA1849" s="29"/>
      <c r="BB1849" s="29"/>
      <c r="BC1849" s="29"/>
      <c r="BD1849" s="29"/>
      <c r="BE1849" s="29"/>
      <c r="BF1849" s="29"/>
      <c r="BG1849" s="29"/>
      <c r="BH1849" s="29"/>
      <c r="BI1849" s="29"/>
      <c r="BJ1849" s="29"/>
      <c r="BK1849" s="29"/>
      <c r="BL1849" s="29"/>
      <c r="BM1849" s="29"/>
      <c r="BN1849" s="29"/>
      <c r="BO1849" s="29"/>
      <c r="BP1849" s="29"/>
      <c r="BQ1849" s="29"/>
      <c r="BR1849" s="29"/>
      <c r="BS1849" s="29"/>
      <c r="BT1849" s="29"/>
    </row>
    <row r="1850" ht="14.25" customHeight="1">
      <c r="A1850" s="5" t="s">
        <v>88</v>
      </c>
      <c r="B1850" s="5">
        <v>5.0</v>
      </c>
      <c r="C1850" s="5" t="s">
        <v>6010</v>
      </c>
      <c r="D1850" s="5" t="s">
        <v>6632</v>
      </c>
      <c r="E1850" s="5">
        <v>2509.0</v>
      </c>
      <c r="F1850" s="5" t="s">
        <v>6633</v>
      </c>
      <c r="G1850" s="10" t="s">
        <v>6634</v>
      </c>
      <c r="H1850" s="5" t="s">
        <v>6635</v>
      </c>
      <c r="I1850" s="5" t="s">
        <v>1664</v>
      </c>
      <c r="J1850" s="5" t="s">
        <v>6046</v>
      </c>
      <c r="K1850" s="5">
        <v>1.0</v>
      </c>
      <c r="L1850" s="5">
        <v>2912.0</v>
      </c>
      <c r="M1850" s="11">
        <v>-121.1381111</v>
      </c>
      <c r="N1850" s="11">
        <v>56.72893056</v>
      </c>
      <c r="O1850" s="11">
        <v>925.0</v>
      </c>
      <c r="P1850" s="5" t="s">
        <v>6632</v>
      </c>
      <c r="Q1850" s="72">
        <v>7.0</v>
      </c>
      <c r="R1850" s="11" t="s">
        <v>6633</v>
      </c>
      <c r="S1850" s="11" t="s">
        <v>6009</v>
      </c>
    </row>
    <row r="1851" ht="14.25" customHeight="1">
      <c r="A1851" s="5" t="s">
        <v>5043</v>
      </c>
      <c r="B1851" s="5">
        <v>14.0</v>
      </c>
      <c r="C1851" s="10" t="s">
        <v>6636</v>
      </c>
      <c r="D1851" s="5" t="s">
        <v>6637</v>
      </c>
      <c r="E1851" s="5">
        <v>2569.0</v>
      </c>
      <c r="F1851" s="5" t="s">
        <v>6038</v>
      </c>
      <c r="G1851" s="5" t="s">
        <v>6638</v>
      </c>
      <c r="H1851" s="5" t="s">
        <v>6639</v>
      </c>
      <c r="I1851" s="5" t="s">
        <v>1664</v>
      </c>
      <c r="J1851" s="5" t="s">
        <v>6640</v>
      </c>
      <c r="K1851" s="5">
        <v>1.0</v>
      </c>
      <c r="L1851" s="5">
        <v>2972.0</v>
      </c>
    </row>
    <row r="1852" ht="14.25" customHeight="1">
      <c r="B1852" s="5">
        <v>14.0</v>
      </c>
      <c r="C1852" s="5" t="s">
        <v>6099</v>
      </c>
      <c r="D1852" s="5" t="s">
        <v>6641</v>
      </c>
      <c r="E1852" s="5">
        <v>2535.0</v>
      </c>
      <c r="F1852" s="5" t="s">
        <v>6642</v>
      </c>
      <c r="G1852" s="5" t="s">
        <v>6643</v>
      </c>
      <c r="H1852" s="5" t="s">
        <v>6644</v>
      </c>
      <c r="I1852" s="5" t="s">
        <v>1664</v>
      </c>
      <c r="J1852" s="5" t="s">
        <v>6645</v>
      </c>
      <c r="K1852" s="5">
        <v>1.0</v>
      </c>
      <c r="L1852" s="5">
        <v>2938.0</v>
      </c>
      <c r="M1852" s="11">
        <v>-119.7238333</v>
      </c>
      <c r="N1852" s="11">
        <v>52.59566667</v>
      </c>
      <c r="O1852" s="11">
        <v>1620.0</v>
      </c>
      <c r="P1852" s="16" t="s">
        <v>6641</v>
      </c>
      <c r="Q1852" s="72">
        <v>5.0</v>
      </c>
      <c r="R1852" s="11" t="s">
        <v>6642</v>
      </c>
      <c r="S1852" s="11" t="s">
        <v>6646</v>
      </c>
    </row>
    <row r="1853" ht="14.25" customHeight="1">
      <c r="B1853" s="5">
        <v>14.0</v>
      </c>
      <c r="C1853" s="5" t="s">
        <v>6099</v>
      </c>
      <c r="D1853" s="5" t="s">
        <v>6647</v>
      </c>
      <c r="E1853" s="5">
        <v>2514.0</v>
      </c>
      <c r="F1853" s="5" t="s">
        <v>6648</v>
      </c>
      <c r="G1853" s="5" t="s">
        <v>6649</v>
      </c>
      <c r="H1853" s="5" t="s">
        <v>6650</v>
      </c>
      <c r="I1853" s="5" t="s">
        <v>1664</v>
      </c>
      <c r="J1853" s="5" t="s">
        <v>6645</v>
      </c>
      <c r="K1853" s="5">
        <v>1.0</v>
      </c>
      <c r="L1853" s="5">
        <v>2917.0</v>
      </c>
      <c r="M1853" s="11">
        <v>-121.491</v>
      </c>
      <c r="N1853" s="11">
        <v>53.05683333</v>
      </c>
      <c r="O1853" s="11">
        <v>1480.0</v>
      </c>
      <c r="P1853" s="16" t="s">
        <v>6647</v>
      </c>
      <c r="Q1853" s="72">
        <v>4.0</v>
      </c>
      <c r="R1853" s="11" t="s">
        <v>6648</v>
      </c>
      <c r="S1853" s="11" t="s">
        <v>6646</v>
      </c>
    </row>
    <row r="1854" ht="14.25" customHeight="1">
      <c r="A1854" s="5" t="s">
        <v>6651</v>
      </c>
      <c r="B1854" s="5">
        <v>14.0</v>
      </c>
      <c r="C1854" s="10" t="s">
        <v>6636</v>
      </c>
      <c r="D1854" s="5" t="s">
        <v>6652</v>
      </c>
      <c r="E1854" s="5">
        <v>2545.0</v>
      </c>
      <c r="F1854" s="5" t="s">
        <v>6070</v>
      </c>
      <c r="G1854" s="5" t="s">
        <v>6653</v>
      </c>
      <c r="H1854" s="5" t="s">
        <v>6654</v>
      </c>
      <c r="I1854" s="5" t="s">
        <v>1664</v>
      </c>
      <c r="J1854" s="5" t="s">
        <v>5996</v>
      </c>
      <c r="K1854" s="5">
        <v>1.0</v>
      </c>
      <c r="L1854" s="5">
        <v>2948.0</v>
      </c>
      <c r="M1854" s="29"/>
      <c r="N1854" s="29"/>
      <c r="O1854" s="29"/>
      <c r="P1854" s="29"/>
      <c r="Q1854" s="29"/>
      <c r="R1854" s="29"/>
      <c r="S1854" s="29"/>
      <c r="T1854" s="29"/>
      <c r="U1854" s="29"/>
      <c r="V1854" s="29"/>
      <c r="W1854" s="29"/>
      <c r="X1854" s="29"/>
      <c r="Y1854" s="29"/>
      <c r="Z1854" s="29"/>
      <c r="AA1854" s="29"/>
      <c r="AB1854" s="29"/>
      <c r="AC1854" s="29"/>
      <c r="AD1854" s="29"/>
      <c r="AE1854" s="29"/>
      <c r="AF1854" s="29"/>
      <c r="AG1854" s="29"/>
      <c r="AH1854" s="29"/>
      <c r="AI1854" s="29"/>
      <c r="AJ1854" s="29"/>
      <c r="AK1854" s="29"/>
      <c r="AL1854" s="29"/>
      <c r="AM1854" s="29"/>
      <c r="AN1854" s="29"/>
      <c r="AO1854" s="29"/>
      <c r="AP1854" s="29"/>
      <c r="AQ1854" s="29"/>
      <c r="AR1854" s="29"/>
      <c r="AS1854" s="29"/>
      <c r="AT1854" s="29"/>
      <c r="AU1854" s="29"/>
      <c r="AV1854" s="29"/>
      <c r="AW1854" s="29"/>
      <c r="AX1854" s="29"/>
      <c r="AY1854" s="29"/>
      <c r="AZ1854" s="29"/>
      <c r="BA1854" s="29"/>
      <c r="BB1854" s="29"/>
      <c r="BC1854" s="29"/>
      <c r="BD1854" s="29"/>
      <c r="BE1854" s="29"/>
      <c r="BF1854" s="29"/>
      <c r="BG1854" s="29"/>
      <c r="BH1854" s="29"/>
      <c r="BI1854" s="29"/>
      <c r="BJ1854" s="29"/>
      <c r="BK1854" s="29"/>
      <c r="BL1854" s="29"/>
      <c r="BM1854" s="29"/>
      <c r="BN1854" s="29"/>
      <c r="BO1854" s="29"/>
      <c r="BP1854" s="29"/>
      <c r="BQ1854" s="29"/>
      <c r="BR1854" s="29"/>
      <c r="BS1854" s="29"/>
      <c r="BT1854" s="29"/>
    </row>
    <row r="1855" ht="14.25" customHeight="1">
      <c r="B1855" s="5">
        <v>14.0</v>
      </c>
      <c r="C1855" s="5" t="s">
        <v>6636</v>
      </c>
      <c r="D1855" s="5" t="s">
        <v>6655</v>
      </c>
      <c r="E1855" s="5">
        <v>2556.0</v>
      </c>
      <c r="F1855" s="5" t="s">
        <v>6656</v>
      </c>
      <c r="G1855" s="5" t="s">
        <v>6657</v>
      </c>
      <c r="H1855" s="5" t="s">
        <v>6658</v>
      </c>
      <c r="I1855" s="5" t="s">
        <v>1664</v>
      </c>
      <c r="J1855" s="5" t="s">
        <v>6645</v>
      </c>
      <c r="K1855" s="5">
        <v>1.0</v>
      </c>
      <c r="L1855" s="5">
        <v>2959.0</v>
      </c>
      <c r="M1855" s="29">
        <v>-120.7705</v>
      </c>
      <c r="N1855" s="29">
        <v>49.0945</v>
      </c>
      <c r="O1855" s="29">
        <v>1940.0</v>
      </c>
      <c r="P1855" s="29" t="s">
        <v>6655</v>
      </c>
      <c r="Q1855" s="101">
        <v>8.0</v>
      </c>
      <c r="R1855" s="29" t="s">
        <v>6656</v>
      </c>
      <c r="S1855" s="29" t="s">
        <v>6646</v>
      </c>
      <c r="U1855" s="29"/>
      <c r="V1855" s="29"/>
      <c r="W1855" s="29"/>
      <c r="X1855" s="29"/>
      <c r="Y1855" s="29"/>
      <c r="Z1855" s="29"/>
      <c r="AA1855" s="29"/>
      <c r="AB1855" s="29"/>
      <c r="AC1855" s="29"/>
      <c r="AD1855" s="29"/>
      <c r="AE1855" s="29"/>
      <c r="AF1855" s="29"/>
      <c r="AG1855" s="29"/>
      <c r="AH1855" s="29"/>
      <c r="AI1855" s="29"/>
      <c r="AJ1855" s="29"/>
      <c r="AK1855" s="29"/>
      <c r="AL1855" s="29"/>
      <c r="AM1855" s="29"/>
      <c r="AN1855" s="29"/>
      <c r="AO1855" s="29"/>
      <c r="AP1855" s="29"/>
      <c r="AQ1855" s="29"/>
      <c r="AR1855" s="29"/>
      <c r="AS1855" s="29"/>
      <c r="AT1855" s="29"/>
      <c r="AU1855" s="29"/>
      <c r="AV1855" s="29"/>
      <c r="AW1855" s="29"/>
      <c r="AX1855" s="29"/>
      <c r="AY1855" s="29"/>
      <c r="AZ1855" s="29"/>
      <c r="BA1855" s="29"/>
      <c r="BB1855" s="29"/>
      <c r="BC1855" s="29"/>
      <c r="BD1855" s="29"/>
      <c r="BE1855" s="29"/>
      <c r="BF1855" s="29"/>
      <c r="BG1855" s="29"/>
      <c r="BH1855" s="29"/>
      <c r="BI1855" s="29"/>
      <c r="BJ1855" s="29"/>
      <c r="BK1855" s="29"/>
      <c r="BL1855" s="29"/>
      <c r="BM1855" s="29"/>
      <c r="BN1855" s="29"/>
      <c r="BO1855" s="29"/>
      <c r="BP1855" s="29"/>
      <c r="BQ1855" s="29"/>
      <c r="BR1855" s="29"/>
      <c r="BS1855" s="29"/>
      <c r="BT1855" s="29"/>
    </row>
    <row r="1856" ht="14.25" customHeight="1">
      <c r="B1856" s="5">
        <v>14.0</v>
      </c>
      <c r="C1856" s="5" t="s">
        <v>6636</v>
      </c>
      <c r="D1856" s="5" t="s">
        <v>6659</v>
      </c>
      <c r="E1856" s="5">
        <v>2576.0</v>
      </c>
      <c r="F1856" s="29" t="s">
        <v>6660</v>
      </c>
      <c r="G1856" s="5" t="s">
        <v>6661</v>
      </c>
      <c r="H1856" s="5" t="s">
        <v>6662</v>
      </c>
      <c r="I1856" s="5" t="s">
        <v>1664</v>
      </c>
      <c r="J1856" s="5" t="s">
        <v>6663</v>
      </c>
      <c r="K1856" s="5">
        <v>1.0</v>
      </c>
      <c r="L1856" s="5">
        <v>2979.0</v>
      </c>
      <c r="M1856" s="29"/>
      <c r="N1856" s="29"/>
      <c r="O1856" s="29"/>
      <c r="P1856" s="29"/>
      <c r="Q1856" s="29"/>
      <c r="R1856" s="29"/>
      <c r="S1856" s="29"/>
      <c r="T1856" s="29"/>
      <c r="U1856" s="29"/>
      <c r="V1856" s="29"/>
      <c r="W1856" s="29"/>
      <c r="X1856" s="29"/>
      <c r="Y1856" s="29"/>
      <c r="Z1856" s="29"/>
      <c r="AA1856" s="29"/>
      <c r="AB1856" s="29"/>
      <c r="AC1856" s="29"/>
      <c r="AD1856" s="29"/>
      <c r="AE1856" s="29"/>
      <c r="AF1856" s="29"/>
      <c r="AG1856" s="29"/>
      <c r="AH1856" s="29"/>
      <c r="AI1856" s="29"/>
      <c r="AJ1856" s="29"/>
      <c r="AK1856" s="29"/>
      <c r="AL1856" s="29"/>
      <c r="AM1856" s="29"/>
      <c r="AN1856" s="29"/>
      <c r="AO1856" s="29"/>
      <c r="AP1856" s="29"/>
      <c r="AQ1856" s="29"/>
      <c r="AR1856" s="29"/>
      <c r="AS1856" s="29"/>
      <c r="AT1856" s="29"/>
      <c r="AU1856" s="29"/>
      <c r="AV1856" s="29"/>
      <c r="AW1856" s="29"/>
      <c r="AX1856" s="29"/>
      <c r="AY1856" s="29"/>
      <c r="AZ1856" s="29"/>
      <c r="BA1856" s="29"/>
      <c r="BB1856" s="29"/>
      <c r="BC1856" s="29"/>
      <c r="BD1856" s="29"/>
      <c r="BE1856" s="29"/>
      <c r="BF1856" s="29"/>
      <c r="BG1856" s="29"/>
      <c r="BH1856" s="29"/>
      <c r="BI1856" s="29"/>
      <c r="BJ1856" s="29"/>
      <c r="BK1856" s="29"/>
      <c r="BL1856" s="29"/>
      <c r="BM1856" s="29"/>
      <c r="BN1856" s="29"/>
      <c r="BO1856" s="29"/>
      <c r="BP1856" s="29"/>
      <c r="BQ1856" s="29"/>
      <c r="BR1856" s="29"/>
      <c r="BS1856" s="29"/>
      <c r="BT1856" s="29"/>
    </row>
    <row r="1857" ht="14.25" customHeight="1">
      <c r="B1857" s="5">
        <v>14.0</v>
      </c>
      <c r="C1857" s="5" t="s">
        <v>6636</v>
      </c>
      <c r="D1857" s="5" t="s">
        <v>6664</v>
      </c>
      <c r="E1857" s="5">
        <v>2523.0</v>
      </c>
      <c r="F1857" s="5" t="s">
        <v>6665</v>
      </c>
      <c r="G1857" s="5" t="s">
        <v>6666</v>
      </c>
      <c r="H1857" s="5" t="s">
        <v>6667</v>
      </c>
      <c r="I1857" s="5" t="s">
        <v>1664</v>
      </c>
      <c r="J1857" s="5" t="s">
        <v>6645</v>
      </c>
      <c r="K1857" s="5">
        <v>1.0</v>
      </c>
      <c r="L1857" s="5">
        <v>2926.0</v>
      </c>
      <c r="M1857" s="11">
        <v>-120.8675</v>
      </c>
      <c r="N1857" s="11">
        <v>52.10683333</v>
      </c>
      <c r="O1857" s="11">
        <v>1460.0</v>
      </c>
      <c r="P1857" s="11" t="s">
        <v>6664</v>
      </c>
      <c r="Q1857" s="72">
        <v>4.0</v>
      </c>
      <c r="R1857" s="11" t="s">
        <v>6665</v>
      </c>
      <c r="S1857" s="11" t="s">
        <v>6646</v>
      </c>
    </row>
    <row r="1858" ht="14.25" customHeight="1">
      <c r="B1858" s="5">
        <v>14.0</v>
      </c>
      <c r="C1858" s="5" t="s">
        <v>6636</v>
      </c>
      <c r="D1858" s="5" t="s">
        <v>6668</v>
      </c>
      <c r="E1858" s="5">
        <v>2528.0</v>
      </c>
      <c r="F1858" s="5" t="s">
        <v>6669</v>
      </c>
      <c r="G1858" s="5" t="s">
        <v>6670</v>
      </c>
      <c r="H1858" s="5" t="s">
        <v>6671</v>
      </c>
      <c r="I1858" s="5" t="s">
        <v>1664</v>
      </c>
      <c r="J1858" s="5" t="s">
        <v>6672</v>
      </c>
      <c r="K1858" s="5">
        <v>1.0</v>
      </c>
      <c r="L1858" s="5">
        <v>2931.0</v>
      </c>
    </row>
    <row r="1859" ht="14.25" customHeight="1">
      <c r="B1859" s="5">
        <v>14.0</v>
      </c>
      <c r="C1859" s="5" t="s">
        <v>6636</v>
      </c>
      <c r="D1859" s="5" t="s">
        <v>6673</v>
      </c>
      <c r="E1859" s="5">
        <v>2527.0</v>
      </c>
      <c r="F1859" s="5" t="s">
        <v>6674</v>
      </c>
      <c r="G1859" s="5" t="s">
        <v>6675</v>
      </c>
      <c r="H1859" s="5" t="s">
        <v>6676</v>
      </c>
      <c r="I1859" s="5" t="s">
        <v>1664</v>
      </c>
      <c r="J1859" s="5" t="s">
        <v>6677</v>
      </c>
      <c r="K1859" s="5">
        <v>1.0</v>
      </c>
      <c r="L1859" s="5">
        <v>2930.0</v>
      </c>
    </row>
    <row r="1860" ht="14.25" customHeight="1">
      <c r="B1860" s="5">
        <v>14.0</v>
      </c>
      <c r="C1860" s="5" t="s">
        <v>6636</v>
      </c>
      <c r="D1860" s="5" t="s">
        <v>6678</v>
      </c>
      <c r="E1860" s="5">
        <v>2555.0</v>
      </c>
      <c r="F1860" s="5" t="s">
        <v>956</v>
      </c>
      <c r="G1860" s="5" t="s">
        <v>6679</v>
      </c>
      <c r="H1860" s="5" t="s">
        <v>6654</v>
      </c>
      <c r="I1860" s="5" t="s">
        <v>1664</v>
      </c>
      <c r="J1860" s="5" t="s">
        <v>5996</v>
      </c>
      <c r="K1860" s="5">
        <v>1.0</v>
      </c>
      <c r="L1860" s="5">
        <v>2958.0</v>
      </c>
      <c r="M1860" s="11">
        <v>-119.9821111</v>
      </c>
      <c r="N1860" s="11">
        <v>49.86236111</v>
      </c>
      <c r="O1860" s="11">
        <v>1460.0</v>
      </c>
      <c r="P1860" s="11" t="s">
        <v>6678</v>
      </c>
      <c r="Q1860" s="72">
        <v>6.0</v>
      </c>
      <c r="R1860" s="11" t="s">
        <v>6095</v>
      </c>
      <c r="S1860" s="11" t="s">
        <v>6646</v>
      </c>
    </row>
    <row r="1861" ht="14.25" customHeight="1">
      <c r="B1861" s="5">
        <v>14.0</v>
      </c>
      <c r="C1861" s="5" t="s">
        <v>6636</v>
      </c>
      <c r="D1861" s="5" t="s">
        <v>6680</v>
      </c>
      <c r="E1861" s="5">
        <v>2564.0</v>
      </c>
      <c r="F1861" s="5" t="s">
        <v>6681</v>
      </c>
      <c r="G1861" s="5" t="s">
        <v>6682</v>
      </c>
      <c r="H1861" s="5" t="s">
        <v>6683</v>
      </c>
      <c r="I1861" s="5" t="s">
        <v>1664</v>
      </c>
      <c r="J1861" s="5" t="s">
        <v>6645</v>
      </c>
      <c r="K1861" s="5">
        <v>1.0</v>
      </c>
      <c r="L1861" s="5">
        <v>2967.0</v>
      </c>
      <c r="M1861" s="11">
        <v>-126.248</v>
      </c>
      <c r="N1861" s="11">
        <v>52.481</v>
      </c>
      <c r="O1861" s="11">
        <v>1330.0</v>
      </c>
      <c r="P1861" s="11" t="s">
        <v>6680</v>
      </c>
      <c r="Q1861" s="72">
        <v>7.0</v>
      </c>
      <c r="R1861" s="11" t="s">
        <v>6681</v>
      </c>
      <c r="S1861" s="11" t="s">
        <v>6646</v>
      </c>
    </row>
    <row r="1862" ht="14.25" customHeight="1">
      <c r="A1862" s="29"/>
      <c r="B1862" s="29">
        <v>14.0</v>
      </c>
      <c r="C1862" s="29" t="s">
        <v>6636</v>
      </c>
      <c r="D1862" s="29" t="s">
        <v>6684</v>
      </c>
      <c r="E1862" s="29">
        <v>2574.0</v>
      </c>
      <c r="F1862" s="29" t="s">
        <v>6685</v>
      </c>
      <c r="G1862" s="29" t="s">
        <v>6686</v>
      </c>
      <c r="H1862" s="5" t="s">
        <v>6687</v>
      </c>
      <c r="I1862" s="5" t="s">
        <v>1664</v>
      </c>
      <c r="J1862" s="5" t="s">
        <v>6645</v>
      </c>
      <c r="K1862" s="5">
        <v>1.0</v>
      </c>
      <c r="L1862" s="5">
        <v>2977.0</v>
      </c>
      <c r="M1862" s="29"/>
      <c r="N1862" s="29"/>
      <c r="O1862" s="29"/>
      <c r="P1862" s="29"/>
      <c r="Q1862" s="29"/>
      <c r="R1862" s="29"/>
      <c r="S1862" s="29"/>
      <c r="T1862" s="29"/>
      <c r="U1862" s="29"/>
      <c r="V1862" s="29"/>
      <c r="W1862" s="29"/>
      <c r="X1862" s="29"/>
      <c r="Y1862" s="29"/>
      <c r="Z1862" s="29"/>
      <c r="AA1862" s="29"/>
      <c r="AB1862" s="29"/>
      <c r="AC1862" s="29"/>
      <c r="AD1862" s="29"/>
      <c r="AE1862" s="29"/>
      <c r="AF1862" s="29"/>
      <c r="AG1862" s="29"/>
      <c r="AH1862" s="29"/>
      <c r="AI1862" s="29"/>
      <c r="AJ1862" s="29"/>
      <c r="AK1862" s="29"/>
      <c r="AL1862" s="29"/>
      <c r="AM1862" s="29"/>
      <c r="AN1862" s="29"/>
      <c r="AO1862" s="29"/>
      <c r="AP1862" s="29"/>
      <c r="AQ1862" s="29"/>
      <c r="AR1862" s="29"/>
      <c r="AS1862" s="29"/>
      <c r="AT1862" s="29"/>
      <c r="AU1862" s="29"/>
      <c r="AV1862" s="29"/>
      <c r="AW1862" s="29"/>
      <c r="AX1862" s="29"/>
      <c r="AY1862" s="29"/>
      <c r="AZ1862" s="29"/>
      <c r="BA1862" s="29"/>
      <c r="BB1862" s="29"/>
      <c r="BC1862" s="29"/>
      <c r="BD1862" s="29"/>
      <c r="BE1862" s="29"/>
      <c r="BF1862" s="29"/>
      <c r="BG1862" s="29"/>
      <c r="BH1862" s="29"/>
      <c r="BI1862" s="29"/>
      <c r="BJ1862" s="29"/>
      <c r="BK1862" s="29"/>
      <c r="BL1862" s="29"/>
      <c r="BM1862" s="29"/>
      <c r="BN1862" s="29"/>
      <c r="BO1862" s="29"/>
      <c r="BP1862" s="29"/>
      <c r="BQ1862" s="29"/>
      <c r="BR1862" s="29"/>
      <c r="BS1862" s="29"/>
      <c r="BT1862" s="29"/>
    </row>
    <row r="1863" ht="14.25" customHeight="1">
      <c r="B1863" s="5">
        <v>14.0</v>
      </c>
      <c r="C1863" s="5" t="s">
        <v>6636</v>
      </c>
      <c r="D1863" s="5" t="s">
        <v>6688</v>
      </c>
      <c r="E1863" s="5">
        <v>2540.0</v>
      </c>
      <c r="F1863" s="10" t="s">
        <v>6689</v>
      </c>
      <c r="G1863" s="5" t="s">
        <v>6690</v>
      </c>
      <c r="H1863" s="5" t="s">
        <v>6691</v>
      </c>
      <c r="I1863" s="5" t="s">
        <v>1664</v>
      </c>
      <c r="J1863" s="5" t="s">
        <v>6692</v>
      </c>
      <c r="K1863" s="5">
        <v>1.0</v>
      </c>
      <c r="L1863" s="5">
        <v>2943.0</v>
      </c>
      <c r="M1863" s="11">
        <v>-118.9856944</v>
      </c>
      <c r="N1863" s="11">
        <v>51.40611111</v>
      </c>
      <c r="O1863" s="11">
        <v>1525.0</v>
      </c>
      <c r="P1863" s="11" t="s">
        <v>6688</v>
      </c>
      <c r="Q1863" s="72">
        <v>4.0</v>
      </c>
      <c r="R1863" s="11" t="s">
        <v>6693</v>
      </c>
      <c r="S1863" s="11" t="s">
        <v>6646</v>
      </c>
    </row>
    <row r="1864" ht="14.25" customHeight="1">
      <c r="B1864" s="5">
        <v>14.0</v>
      </c>
      <c r="C1864" s="5" t="s">
        <v>6636</v>
      </c>
      <c r="D1864" s="5" t="s">
        <v>6694</v>
      </c>
      <c r="E1864" s="5">
        <v>2531.0</v>
      </c>
      <c r="F1864" s="5" t="s">
        <v>6695</v>
      </c>
      <c r="G1864" s="5" t="s">
        <v>6696</v>
      </c>
      <c r="H1864" s="5" t="s">
        <v>6697</v>
      </c>
      <c r="I1864" s="5" t="s">
        <v>1664</v>
      </c>
      <c r="J1864" s="5" t="s">
        <v>6645</v>
      </c>
      <c r="K1864" s="5">
        <v>1.0</v>
      </c>
      <c r="L1864" s="5">
        <v>2934.0</v>
      </c>
      <c r="M1864" s="11">
        <v>-121.7125</v>
      </c>
      <c r="N1864" s="11">
        <v>49.03166667</v>
      </c>
      <c r="O1864" s="11">
        <v>1600.0</v>
      </c>
      <c r="P1864" s="11" t="s">
        <v>6694</v>
      </c>
      <c r="Q1864" s="72">
        <v>7.0</v>
      </c>
      <c r="R1864" s="11" t="s">
        <v>6695</v>
      </c>
      <c r="S1864" s="11" t="s">
        <v>6646</v>
      </c>
    </row>
    <row r="1865" ht="14.25" customHeight="1">
      <c r="B1865" s="5">
        <v>14.0</v>
      </c>
      <c r="C1865" s="5" t="s">
        <v>6636</v>
      </c>
      <c r="D1865" s="5" t="s">
        <v>6698</v>
      </c>
      <c r="E1865" s="5">
        <v>2538.0</v>
      </c>
      <c r="F1865" s="29" t="s">
        <v>6699</v>
      </c>
      <c r="G1865" s="5" t="s">
        <v>6700</v>
      </c>
      <c r="H1865" s="5" t="s">
        <v>6701</v>
      </c>
      <c r="I1865" s="5" t="s">
        <v>1664</v>
      </c>
      <c r="J1865" s="5" t="s">
        <v>6645</v>
      </c>
      <c r="K1865" s="5">
        <v>1.0</v>
      </c>
      <c r="L1865" s="5">
        <v>2941.0</v>
      </c>
      <c r="M1865" s="29">
        <v>-119.303632</v>
      </c>
      <c r="N1865" s="29">
        <v>52.16782</v>
      </c>
      <c r="O1865" s="29">
        <v>1280.0</v>
      </c>
      <c r="P1865" s="29" t="s">
        <v>6698</v>
      </c>
      <c r="Q1865" s="101">
        <v>3.0</v>
      </c>
      <c r="R1865" s="29" t="s">
        <v>6699</v>
      </c>
      <c r="S1865" s="29" t="s">
        <v>6646</v>
      </c>
      <c r="T1865" s="29"/>
      <c r="U1865" s="29"/>
      <c r="V1865" s="29"/>
      <c r="W1865" s="29"/>
      <c r="X1865" s="29"/>
      <c r="Y1865" s="29"/>
      <c r="Z1865" s="29"/>
      <c r="AA1865" s="29"/>
      <c r="AB1865" s="29"/>
      <c r="AC1865" s="29"/>
      <c r="AD1865" s="29"/>
      <c r="AE1865" s="29"/>
      <c r="AF1865" s="29"/>
      <c r="AG1865" s="29"/>
      <c r="AH1865" s="29"/>
      <c r="AI1865" s="29"/>
      <c r="AJ1865" s="29"/>
      <c r="AK1865" s="29"/>
      <c r="AL1865" s="29"/>
      <c r="AM1865" s="29"/>
      <c r="AN1865" s="29"/>
      <c r="AO1865" s="29"/>
      <c r="AP1865" s="29"/>
      <c r="AQ1865" s="29"/>
      <c r="AR1865" s="29"/>
      <c r="AS1865" s="29"/>
      <c r="AT1865" s="29"/>
      <c r="AU1865" s="29"/>
      <c r="AV1865" s="29"/>
      <c r="AW1865" s="29"/>
      <c r="AX1865" s="29"/>
      <c r="AY1865" s="29"/>
      <c r="AZ1865" s="29"/>
      <c r="BA1865" s="29"/>
      <c r="BB1865" s="29"/>
      <c r="BC1865" s="29"/>
      <c r="BD1865" s="29"/>
      <c r="BE1865" s="29"/>
      <c r="BF1865" s="29"/>
      <c r="BG1865" s="29"/>
      <c r="BH1865" s="29"/>
      <c r="BI1865" s="29"/>
      <c r="BJ1865" s="29"/>
      <c r="BK1865" s="29"/>
      <c r="BL1865" s="29"/>
      <c r="BM1865" s="29"/>
      <c r="BN1865" s="29"/>
      <c r="BO1865" s="29"/>
      <c r="BP1865" s="29"/>
      <c r="BQ1865" s="29"/>
      <c r="BR1865" s="29"/>
      <c r="BS1865" s="29"/>
      <c r="BT1865" s="29"/>
    </row>
    <row r="1866" ht="14.25" customHeight="1">
      <c r="B1866" s="5">
        <v>14.0</v>
      </c>
      <c r="C1866" s="5" t="s">
        <v>6636</v>
      </c>
      <c r="D1866" s="5" t="s">
        <v>6702</v>
      </c>
      <c r="E1866" s="5">
        <v>2575.0</v>
      </c>
      <c r="F1866" s="29" t="s">
        <v>6703</v>
      </c>
      <c r="G1866" s="5" t="s">
        <v>6704</v>
      </c>
      <c r="H1866" s="5" t="s">
        <v>6705</v>
      </c>
      <c r="I1866" s="5" t="s">
        <v>1664</v>
      </c>
      <c r="J1866" s="5" t="s">
        <v>6706</v>
      </c>
      <c r="K1866" s="5">
        <v>1.0</v>
      </c>
      <c r="L1866" s="5">
        <v>2978.0</v>
      </c>
      <c r="M1866" s="29"/>
      <c r="N1866" s="29"/>
      <c r="O1866" s="29"/>
      <c r="P1866" s="29"/>
      <c r="Q1866" s="29"/>
      <c r="R1866" s="29"/>
      <c r="S1866" s="29"/>
      <c r="T1866" s="29"/>
      <c r="U1866" s="29"/>
      <c r="V1866" s="29"/>
      <c r="W1866" s="29"/>
      <c r="X1866" s="29"/>
      <c r="Y1866" s="29"/>
      <c r="Z1866" s="29"/>
      <c r="AA1866" s="29"/>
      <c r="AB1866" s="29"/>
      <c r="AC1866" s="29"/>
      <c r="AD1866" s="29"/>
      <c r="AE1866" s="29"/>
      <c r="AF1866" s="29"/>
      <c r="AG1866" s="29"/>
      <c r="AH1866" s="29"/>
      <c r="AI1866" s="29"/>
      <c r="AJ1866" s="29"/>
      <c r="AK1866" s="29"/>
      <c r="AL1866" s="29"/>
      <c r="AM1866" s="29"/>
      <c r="AN1866" s="29"/>
      <c r="AO1866" s="29"/>
      <c r="AP1866" s="29"/>
      <c r="AQ1866" s="29"/>
      <c r="AR1866" s="29"/>
      <c r="AS1866" s="29"/>
      <c r="AT1866" s="29"/>
      <c r="AU1866" s="29"/>
      <c r="AV1866" s="29"/>
      <c r="AW1866" s="29"/>
      <c r="AX1866" s="29"/>
      <c r="AY1866" s="29"/>
      <c r="AZ1866" s="29"/>
      <c r="BA1866" s="29"/>
      <c r="BB1866" s="29"/>
      <c r="BC1866" s="29"/>
      <c r="BD1866" s="29"/>
      <c r="BE1866" s="29"/>
      <c r="BF1866" s="29"/>
      <c r="BG1866" s="29"/>
      <c r="BH1866" s="29"/>
      <c r="BI1866" s="29"/>
      <c r="BJ1866" s="29"/>
      <c r="BK1866" s="29"/>
      <c r="BL1866" s="29"/>
      <c r="BM1866" s="29"/>
      <c r="BN1866" s="29"/>
      <c r="BO1866" s="29"/>
      <c r="BP1866" s="29"/>
      <c r="BQ1866" s="29"/>
      <c r="BR1866" s="29"/>
      <c r="BS1866" s="29"/>
      <c r="BT1866" s="29"/>
    </row>
    <row r="1867" ht="14.25" customHeight="1">
      <c r="A1867" s="5" t="s">
        <v>5043</v>
      </c>
      <c r="B1867" s="5">
        <v>14.0</v>
      </c>
      <c r="C1867" s="10" t="s">
        <v>6636</v>
      </c>
      <c r="D1867" s="5" t="s">
        <v>6707</v>
      </c>
      <c r="E1867" s="5">
        <v>2532.0</v>
      </c>
      <c r="F1867" s="5" t="s">
        <v>6708</v>
      </c>
      <c r="G1867" s="5" t="s">
        <v>6709</v>
      </c>
      <c r="H1867" s="5" t="s">
        <v>6710</v>
      </c>
      <c r="I1867" s="5" t="s">
        <v>1664</v>
      </c>
      <c r="J1867" s="5" t="s">
        <v>6711</v>
      </c>
      <c r="K1867" s="5">
        <v>1.0</v>
      </c>
      <c r="L1867" s="5">
        <v>2935.0</v>
      </c>
    </row>
    <row r="1868" ht="14.25" customHeight="1">
      <c r="B1868" s="5">
        <v>14.0</v>
      </c>
      <c r="C1868" s="5" t="s">
        <v>6636</v>
      </c>
      <c r="D1868" s="5" t="s">
        <v>6712</v>
      </c>
      <c r="E1868" s="5">
        <v>2517.0</v>
      </c>
      <c r="F1868" s="29" t="s">
        <v>6713</v>
      </c>
      <c r="G1868" s="5" t="s">
        <v>6714</v>
      </c>
      <c r="H1868" s="5" t="s">
        <v>6715</v>
      </c>
      <c r="I1868" s="5" t="s">
        <v>1664</v>
      </c>
      <c r="J1868" s="5" t="s">
        <v>6692</v>
      </c>
      <c r="K1868" s="5">
        <v>1.0</v>
      </c>
      <c r="L1868" s="5">
        <v>2920.0</v>
      </c>
      <c r="M1868" s="29">
        <v>-121.0244167</v>
      </c>
      <c r="N1868" s="29">
        <v>53.62208333</v>
      </c>
      <c r="O1868" s="29">
        <v>1820.0</v>
      </c>
      <c r="P1868" s="29" t="s">
        <v>6712</v>
      </c>
      <c r="Q1868" s="101">
        <v>6.0</v>
      </c>
      <c r="R1868" s="29" t="s">
        <v>6713</v>
      </c>
      <c r="S1868" s="29" t="s">
        <v>6646</v>
      </c>
      <c r="T1868" s="29"/>
      <c r="U1868" s="29"/>
      <c r="V1868" s="29"/>
      <c r="W1868" s="29"/>
      <c r="X1868" s="29"/>
      <c r="Y1868" s="29"/>
      <c r="Z1868" s="29"/>
      <c r="AA1868" s="29"/>
      <c r="AB1868" s="29"/>
      <c r="AC1868" s="29"/>
      <c r="AD1868" s="29"/>
      <c r="AE1868" s="29"/>
      <c r="AF1868" s="29"/>
      <c r="AG1868" s="29"/>
      <c r="AH1868" s="29"/>
      <c r="AI1868" s="29"/>
      <c r="AJ1868" s="29"/>
      <c r="AK1868" s="29"/>
      <c r="AL1868" s="29"/>
      <c r="AM1868" s="29"/>
      <c r="AN1868" s="29"/>
      <c r="AO1868" s="29"/>
      <c r="AP1868" s="29"/>
      <c r="AQ1868" s="29"/>
      <c r="AR1868" s="29"/>
      <c r="AS1868" s="29"/>
      <c r="AT1868" s="29"/>
      <c r="AU1868" s="29"/>
      <c r="AV1868" s="29"/>
      <c r="AW1868" s="29"/>
      <c r="AX1868" s="29"/>
      <c r="AY1868" s="29"/>
      <c r="AZ1868" s="29"/>
      <c r="BA1868" s="29"/>
      <c r="BB1868" s="29"/>
      <c r="BC1868" s="29"/>
      <c r="BD1868" s="29"/>
      <c r="BE1868" s="29"/>
      <c r="BF1868" s="29"/>
      <c r="BG1868" s="29"/>
      <c r="BH1868" s="29"/>
      <c r="BI1868" s="29"/>
      <c r="BJ1868" s="29"/>
      <c r="BK1868" s="29"/>
      <c r="BL1868" s="29"/>
      <c r="BM1868" s="29"/>
      <c r="BN1868" s="29"/>
      <c r="BO1868" s="29"/>
      <c r="BP1868" s="29"/>
      <c r="BQ1868" s="29"/>
      <c r="BR1868" s="29"/>
      <c r="BS1868" s="29"/>
      <c r="BT1868" s="29"/>
    </row>
    <row r="1869" ht="14.25" customHeight="1">
      <c r="B1869" s="5">
        <v>14.0</v>
      </c>
      <c r="C1869" s="5" t="s">
        <v>6636</v>
      </c>
      <c r="D1869" s="5" t="s">
        <v>6716</v>
      </c>
      <c r="E1869" s="5">
        <v>2544.0</v>
      </c>
      <c r="F1869" s="5" t="s">
        <v>6717</v>
      </c>
      <c r="G1869" s="5" t="s">
        <v>6718</v>
      </c>
      <c r="H1869" s="5" t="s">
        <v>6719</v>
      </c>
      <c r="I1869" s="5" t="s">
        <v>1664</v>
      </c>
      <c r="J1869" s="5" t="s">
        <v>6720</v>
      </c>
      <c r="K1869" s="5">
        <v>1.0</v>
      </c>
      <c r="L1869" s="5">
        <v>2947.0</v>
      </c>
    </row>
    <row r="1870" ht="14.25" customHeight="1">
      <c r="A1870" s="5" t="s">
        <v>5043</v>
      </c>
      <c r="B1870" s="5">
        <v>14.0</v>
      </c>
      <c r="C1870" s="10" t="s">
        <v>6636</v>
      </c>
      <c r="D1870" s="5" t="s">
        <v>6721</v>
      </c>
      <c r="E1870" s="5">
        <v>2551.0</v>
      </c>
      <c r="F1870" s="5" t="s">
        <v>6234</v>
      </c>
      <c r="G1870" s="5" t="s">
        <v>6722</v>
      </c>
      <c r="H1870" s="5" t="s">
        <v>6723</v>
      </c>
      <c r="I1870" s="5" t="s">
        <v>1664</v>
      </c>
      <c r="J1870" s="5" t="s">
        <v>5996</v>
      </c>
      <c r="K1870" s="5">
        <v>1.0</v>
      </c>
      <c r="L1870" s="5">
        <v>2954.0</v>
      </c>
    </row>
    <row r="1871" ht="14.25" customHeight="1">
      <c r="B1871" s="5">
        <v>14.0</v>
      </c>
      <c r="C1871" s="5" t="s">
        <v>6636</v>
      </c>
      <c r="D1871" s="5" t="s">
        <v>6724</v>
      </c>
      <c r="E1871" s="5">
        <v>12498.0</v>
      </c>
      <c r="F1871" s="5" t="s">
        <v>6725</v>
      </c>
      <c r="G1871" s="5" t="s">
        <v>6726</v>
      </c>
      <c r="H1871" s="5" t="s">
        <v>6727</v>
      </c>
      <c r="I1871" s="5" t="s">
        <v>49</v>
      </c>
      <c r="J1871" s="5" t="s">
        <v>6728</v>
      </c>
      <c r="K1871" s="5">
        <v>1.0</v>
      </c>
      <c r="L1871" s="5">
        <v>14520.0</v>
      </c>
      <c r="M1871" s="11">
        <v>-118.943556</v>
      </c>
      <c r="N1871" s="11">
        <v>50.652472</v>
      </c>
      <c r="O1871" s="11">
        <v>1950.0</v>
      </c>
      <c r="P1871" s="11" t="s">
        <v>6724</v>
      </c>
      <c r="Q1871" s="72">
        <v>7.0</v>
      </c>
      <c r="R1871" s="11" t="s">
        <v>6725</v>
      </c>
      <c r="S1871" s="11" t="s">
        <v>6646</v>
      </c>
    </row>
    <row r="1872" ht="14.25" customHeight="1">
      <c r="B1872" s="5">
        <v>14.0</v>
      </c>
      <c r="C1872" s="5" t="s">
        <v>6636</v>
      </c>
      <c r="D1872" s="5" t="s">
        <v>6729</v>
      </c>
      <c r="E1872" s="5">
        <v>2542.0</v>
      </c>
      <c r="F1872" s="5" t="s">
        <v>6730</v>
      </c>
      <c r="G1872" s="5" t="s">
        <v>6731</v>
      </c>
      <c r="H1872" s="5" t="s">
        <v>6732</v>
      </c>
      <c r="I1872" s="5" t="s">
        <v>1664</v>
      </c>
      <c r="J1872" s="5" t="s">
        <v>6733</v>
      </c>
      <c r="K1872" s="5">
        <v>1.0</v>
      </c>
      <c r="L1872" s="5">
        <v>2945.0</v>
      </c>
    </row>
    <row r="1873" ht="14.25" customHeight="1">
      <c r="B1873" s="5">
        <v>14.0</v>
      </c>
      <c r="C1873" s="5" t="s">
        <v>6636</v>
      </c>
      <c r="D1873" s="5" t="s">
        <v>6734</v>
      </c>
      <c r="E1873" s="5">
        <v>2559.0</v>
      </c>
      <c r="F1873" s="5" t="s">
        <v>6735</v>
      </c>
      <c r="G1873" s="5" t="s">
        <v>6736</v>
      </c>
      <c r="H1873" s="5" t="s">
        <v>6737</v>
      </c>
      <c r="I1873" s="5" t="s">
        <v>1664</v>
      </c>
      <c r="J1873" s="5" t="s">
        <v>6738</v>
      </c>
      <c r="K1873" s="5">
        <v>1.0</v>
      </c>
      <c r="L1873" s="5">
        <v>2962.0</v>
      </c>
    </row>
    <row r="1874" ht="14.25" customHeight="1">
      <c r="B1874" s="5">
        <v>14.0</v>
      </c>
      <c r="C1874" s="5" t="s">
        <v>6636</v>
      </c>
      <c r="D1874" s="5" t="s">
        <v>6739</v>
      </c>
      <c r="E1874" s="5">
        <v>2550.0</v>
      </c>
      <c r="F1874" s="29" t="s">
        <v>6279</v>
      </c>
      <c r="G1874" s="5" t="s">
        <v>6740</v>
      </c>
      <c r="H1874" s="5" t="s">
        <v>6654</v>
      </c>
      <c r="I1874" s="5" t="s">
        <v>1664</v>
      </c>
      <c r="J1874" s="5" t="s">
        <v>5996</v>
      </c>
      <c r="K1874" s="5">
        <v>1.0</v>
      </c>
      <c r="L1874" s="5">
        <v>2953.0</v>
      </c>
      <c r="V1874" s="29"/>
      <c r="W1874" s="29"/>
      <c r="X1874" s="29"/>
      <c r="Y1874" s="29"/>
      <c r="Z1874" s="29"/>
      <c r="AA1874" s="29"/>
      <c r="AB1874" s="29"/>
      <c r="AC1874" s="29"/>
      <c r="AD1874" s="29"/>
      <c r="AE1874" s="29"/>
      <c r="AF1874" s="29"/>
      <c r="AG1874" s="29"/>
      <c r="AH1874" s="29"/>
      <c r="AI1874" s="29"/>
      <c r="AJ1874" s="29"/>
      <c r="AK1874" s="29"/>
      <c r="AL1874" s="29"/>
      <c r="AM1874" s="29"/>
      <c r="AN1874" s="29"/>
      <c r="AO1874" s="29"/>
      <c r="AP1874" s="29"/>
      <c r="AQ1874" s="29"/>
      <c r="AR1874" s="29"/>
      <c r="AS1874" s="29"/>
      <c r="AT1874" s="29"/>
      <c r="AU1874" s="29"/>
      <c r="AV1874" s="29"/>
      <c r="AW1874" s="29"/>
      <c r="AX1874" s="29"/>
      <c r="AY1874" s="29"/>
      <c r="AZ1874" s="29"/>
      <c r="BA1874" s="29"/>
      <c r="BB1874" s="29"/>
      <c r="BC1874" s="29"/>
      <c r="BD1874" s="29"/>
      <c r="BE1874" s="29"/>
      <c r="BF1874" s="29"/>
      <c r="BG1874" s="29"/>
      <c r="BH1874" s="29"/>
      <c r="BI1874" s="29"/>
      <c r="BJ1874" s="29"/>
      <c r="BK1874" s="29"/>
      <c r="BL1874" s="29"/>
      <c r="BM1874" s="29"/>
      <c r="BN1874" s="29"/>
      <c r="BO1874" s="29"/>
      <c r="BP1874" s="29"/>
      <c r="BQ1874" s="29"/>
      <c r="BR1874" s="29"/>
      <c r="BS1874" s="29"/>
      <c r="BT1874" s="29"/>
    </row>
    <row r="1875" ht="14.25" customHeight="1">
      <c r="B1875" s="5">
        <v>14.0</v>
      </c>
      <c r="C1875" s="5" t="s">
        <v>6636</v>
      </c>
      <c r="D1875" s="5" t="s">
        <v>6741</v>
      </c>
      <c r="E1875" s="5">
        <v>2578.0</v>
      </c>
      <c r="F1875" s="29" t="s">
        <v>6742</v>
      </c>
      <c r="G1875" s="5" t="s">
        <v>6743</v>
      </c>
      <c r="H1875" s="5" t="s">
        <v>6744</v>
      </c>
      <c r="I1875" s="5" t="s">
        <v>1664</v>
      </c>
      <c r="J1875" s="5" t="s">
        <v>6738</v>
      </c>
      <c r="K1875" s="5">
        <v>1.0</v>
      </c>
      <c r="L1875" s="5">
        <v>2981.0</v>
      </c>
      <c r="V1875" s="29"/>
      <c r="W1875" s="29"/>
      <c r="X1875" s="29"/>
      <c r="Y1875" s="29"/>
      <c r="Z1875" s="29"/>
      <c r="AA1875" s="29"/>
      <c r="AB1875" s="29"/>
      <c r="AC1875" s="29"/>
      <c r="AD1875" s="29"/>
      <c r="AE1875" s="29"/>
      <c r="AF1875" s="29"/>
      <c r="AG1875" s="29"/>
      <c r="AH1875" s="29"/>
      <c r="AI1875" s="29"/>
      <c r="AJ1875" s="29"/>
      <c r="AK1875" s="29"/>
      <c r="AL1875" s="29"/>
      <c r="AM1875" s="29"/>
      <c r="AN1875" s="29"/>
      <c r="AO1875" s="29"/>
      <c r="AP1875" s="29"/>
      <c r="AQ1875" s="29"/>
      <c r="AR1875" s="29"/>
      <c r="AS1875" s="29"/>
      <c r="AT1875" s="29"/>
      <c r="AU1875" s="29"/>
      <c r="AV1875" s="29"/>
      <c r="AW1875" s="29"/>
      <c r="AX1875" s="29"/>
      <c r="AY1875" s="29"/>
      <c r="AZ1875" s="29"/>
      <c r="BA1875" s="29"/>
      <c r="BB1875" s="29"/>
      <c r="BC1875" s="29"/>
      <c r="BD1875" s="29"/>
      <c r="BE1875" s="29"/>
      <c r="BF1875" s="29"/>
      <c r="BG1875" s="29"/>
      <c r="BH1875" s="29"/>
      <c r="BI1875" s="29"/>
      <c r="BJ1875" s="29"/>
      <c r="BK1875" s="29"/>
      <c r="BL1875" s="29"/>
      <c r="BM1875" s="29"/>
      <c r="BN1875" s="29"/>
      <c r="BO1875" s="29"/>
      <c r="BP1875" s="29"/>
      <c r="BQ1875" s="29"/>
      <c r="BR1875" s="29"/>
      <c r="BS1875" s="29"/>
      <c r="BT1875" s="29"/>
    </row>
    <row r="1876" ht="14.25" customHeight="1">
      <c r="B1876" s="5">
        <v>14.0</v>
      </c>
      <c r="C1876" s="5" t="s">
        <v>6636</v>
      </c>
      <c r="D1876" s="5" t="s">
        <v>6745</v>
      </c>
      <c r="E1876" s="5">
        <v>2577.0</v>
      </c>
      <c r="F1876" s="5" t="s">
        <v>6746</v>
      </c>
      <c r="G1876" s="5" t="s">
        <v>6747</v>
      </c>
      <c r="H1876" s="5" t="s">
        <v>6748</v>
      </c>
      <c r="I1876" s="5" t="s">
        <v>1664</v>
      </c>
      <c r="J1876" s="5" t="s">
        <v>6738</v>
      </c>
      <c r="K1876" s="5">
        <v>1.0</v>
      </c>
      <c r="L1876" s="5">
        <v>2980.0</v>
      </c>
    </row>
    <row r="1877" ht="14.25" customHeight="1">
      <c r="B1877" s="5">
        <v>14.0</v>
      </c>
      <c r="C1877" s="5" t="s">
        <v>6636</v>
      </c>
      <c r="D1877" s="5" t="s">
        <v>6749</v>
      </c>
      <c r="E1877" s="5">
        <v>2570.0</v>
      </c>
      <c r="F1877" s="5" t="s">
        <v>6750</v>
      </c>
      <c r="G1877" s="5" t="s">
        <v>6751</v>
      </c>
      <c r="H1877" s="5" t="s">
        <v>6752</v>
      </c>
      <c r="I1877" s="5" t="s">
        <v>1664</v>
      </c>
      <c r="J1877" s="5" t="s">
        <v>6753</v>
      </c>
      <c r="K1877" s="5">
        <v>1.0</v>
      </c>
      <c r="L1877" s="5">
        <v>2973.0</v>
      </c>
      <c r="M1877" s="36"/>
      <c r="N1877" s="36"/>
      <c r="O1877" s="37"/>
      <c r="R1877" s="36"/>
    </row>
    <row r="1878" ht="14.25" customHeight="1">
      <c r="B1878" s="5">
        <v>14.0</v>
      </c>
      <c r="C1878" s="5" t="s">
        <v>6636</v>
      </c>
      <c r="D1878" s="5" t="s">
        <v>6754</v>
      </c>
      <c r="E1878" s="5">
        <v>2553.0</v>
      </c>
      <c r="F1878" s="5" t="s">
        <v>6755</v>
      </c>
      <c r="G1878" s="5" t="s">
        <v>6756</v>
      </c>
      <c r="H1878" s="5" t="s">
        <v>6757</v>
      </c>
      <c r="I1878" s="5" t="s">
        <v>1664</v>
      </c>
      <c r="J1878" s="5" t="s">
        <v>6645</v>
      </c>
      <c r="K1878" s="5">
        <v>1.0</v>
      </c>
      <c r="L1878" s="5">
        <v>2956.0</v>
      </c>
      <c r="M1878" s="11">
        <v>-118.6776667</v>
      </c>
      <c r="N1878" s="11">
        <v>49.55066667</v>
      </c>
      <c r="O1878" s="11">
        <v>1860.0</v>
      </c>
      <c r="P1878" s="11" t="s">
        <v>6754</v>
      </c>
      <c r="Q1878" s="72">
        <v>6.0</v>
      </c>
      <c r="R1878" s="11" t="s">
        <v>6755</v>
      </c>
      <c r="S1878" s="11" t="s">
        <v>6646</v>
      </c>
    </row>
    <row r="1879" ht="14.25" customHeight="1">
      <c r="B1879" s="5">
        <v>14.0</v>
      </c>
      <c r="C1879" s="5" t="s">
        <v>6636</v>
      </c>
      <c r="D1879" s="5" t="s">
        <v>6758</v>
      </c>
      <c r="E1879" s="5">
        <v>2530.0</v>
      </c>
      <c r="F1879" s="5" t="s">
        <v>868</v>
      </c>
      <c r="G1879" s="5" t="s">
        <v>6759</v>
      </c>
      <c r="H1879" s="5" t="s">
        <v>6760</v>
      </c>
      <c r="I1879" s="5" t="s">
        <v>1664</v>
      </c>
      <c r="J1879" s="5" t="s">
        <v>6761</v>
      </c>
      <c r="K1879" s="5">
        <v>1.0</v>
      </c>
      <c r="L1879" s="5">
        <v>2933.0</v>
      </c>
    </row>
    <row r="1880" ht="14.25" customHeight="1">
      <c r="A1880" s="5" t="s">
        <v>5043</v>
      </c>
      <c r="B1880" s="5">
        <v>14.0</v>
      </c>
      <c r="C1880" s="10" t="s">
        <v>6636</v>
      </c>
      <c r="D1880" s="5" t="s">
        <v>6762</v>
      </c>
      <c r="E1880" s="5">
        <v>2521.0</v>
      </c>
      <c r="F1880" s="5" t="s">
        <v>6322</v>
      </c>
      <c r="G1880" s="5" t="s">
        <v>6763</v>
      </c>
      <c r="H1880" s="5" t="s">
        <v>6764</v>
      </c>
      <c r="I1880" s="5" t="s">
        <v>1664</v>
      </c>
      <c r="J1880" s="5" t="s">
        <v>5996</v>
      </c>
      <c r="K1880" s="5">
        <v>1.0</v>
      </c>
      <c r="L1880" s="5">
        <v>2924.0</v>
      </c>
    </row>
    <row r="1881" ht="14.25" customHeight="1">
      <c r="B1881" s="5">
        <v>14.0</v>
      </c>
      <c r="C1881" s="5" t="s">
        <v>6636</v>
      </c>
      <c r="D1881" s="5" t="s">
        <v>6765</v>
      </c>
      <c r="E1881" s="5">
        <v>12499.0</v>
      </c>
      <c r="F1881" s="5" t="s">
        <v>6766</v>
      </c>
      <c r="G1881" s="5" t="s">
        <v>6767</v>
      </c>
      <c r="H1881" s="5" t="s">
        <v>6727</v>
      </c>
      <c r="I1881" s="5" t="s">
        <v>49</v>
      </c>
      <c r="J1881" s="5" t="s">
        <v>6728</v>
      </c>
      <c r="K1881" s="5">
        <v>1.0</v>
      </c>
      <c r="L1881" s="5">
        <v>14521.0</v>
      </c>
      <c r="M1881" s="11">
        <v>-119.422417</v>
      </c>
      <c r="N1881" s="11">
        <v>49.615833</v>
      </c>
      <c r="O1881" s="11">
        <v>1550.0</v>
      </c>
      <c r="P1881" s="11" t="s">
        <v>6765</v>
      </c>
      <c r="Q1881" s="72">
        <v>6.0</v>
      </c>
      <c r="R1881" s="11" t="s">
        <v>6766</v>
      </c>
      <c r="S1881" s="11" t="s">
        <v>6646</v>
      </c>
    </row>
    <row r="1882" ht="14.25" customHeight="1">
      <c r="B1882" s="5">
        <v>14.0</v>
      </c>
      <c r="C1882" s="5" t="s">
        <v>6636</v>
      </c>
      <c r="D1882" s="5" t="s">
        <v>6768</v>
      </c>
      <c r="E1882" s="5">
        <v>12500.0</v>
      </c>
      <c r="F1882" s="29" t="s">
        <v>6769</v>
      </c>
      <c r="G1882" s="5" t="s">
        <v>6770</v>
      </c>
      <c r="H1882" s="5" t="s">
        <v>6727</v>
      </c>
      <c r="I1882" s="5" t="s">
        <v>49</v>
      </c>
      <c r="J1882" s="5" t="s">
        <v>6728</v>
      </c>
      <c r="K1882" s="5">
        <v>1.0</v>
      </c>
      <c r="L1882" s="5">
        <v>14522.0</v>
      </c>
      <c r="M1882" s="29">
        <v>-124.452102</v>
      </c>
      <c r="N1882" s="29">
        <v>48.943923</v>
      </c>
      <c r="O1882" s="29">
        <v>1190.0</v>
      </c>
      <c r="P1882" s="29" t="s">
        <v>6768</v>
      </c>
      <c r="Q1882" s="101">
        <v>6.0</v>
      </c>
      <c r="R1882" s="29" t="s">
        <v>6769</v>
      </c>
      <c r="S1882" s="29" t="s">
        <v>6646</v>
      </c>
      <c r="T1882" s="29"/>
      <c r="U1882" s="29"/>
      <c r="V1882" s="29"/>
      <c r="W1882" s="29"/>
      <c r="X1882" s="29"/>
      <c r="Y1882" s="29"/>
      <c r="Z1882" s="29"/>
      <c r="AA1882" s="29"/>
      <c r="AB1882" s="29"/>
      <c r="AC1882" s="29"/>
      <c r="AD1882" s="29"/>
      <c r="AE1882" s="29"/>
      <c r="AF1882" s="29"/>
      <c r="AG1882" s="29"/>
      <c r="AH1882" s="29"/>
      <c r="AI1882" s="29"/>
      <c r="AJ1882" s="29"/>
      <c r="AK1882" s="29"/>
      <c r="AL1882" s="29"/>
      <c r="AM1882" s="29"/>
      <c r="AN1882" s="29"/>
      <c r="AO1882" s="29"/>
      <c r="AP1882" s="29"/>
      <c r="AQ1882" s="29"/>
      <c r="AR1882" s="29"/>
      <c r="AS1882" s="29"/>
      <c r="AT1882" s="29"/>
      <c r="AU1882" s="29"/>
      <c r="AV1882" s="29"/>
      <c r="AW1882" s="29"/>
      <c r="AX1882" s="29"/>
      <c r="AY1882" s="29"/>
      <c r="AZ1882" s="29"/>
      <c r="BA1882" s="29"/>
      <c r="BB1882" s="29"/>
      <c r="BC1882" s="29"/>
      <c r="BD1882" s="29"/>
      <c r="BE1882" s="29"/>
      <c r="BF1882" s="29"/>
      <c r="BG1882" s="29"/>
      <c r="BH1882" s="29"/>
      <c r="BI1882" s="29"/>
      <c r="BJ1882" s="29"/>
      <c r="BK1882" s="29"/>
      <c r="BL1882" s="29"/>
      <c r="BM1882" s="29"/>
      <c r="BN1882" s="29"/>
      <c r="BO1882" s="29"/>
      <c r="BP1882" s="29"/>
      <c r="BQ1882" s="29"/>
      <c r="BR1882" s="29"/>
      <c r="BS1882" s="29"/>
      <c r="BT1882" s="29"/>
    </row>
    <row r="1883" ht="14.25" customHeight="1">
      <c r="B1883" s="5">
        <v>14.0</v>
      </c>
      <c r="C1883" s="5" t="s">
        <v>6636</v>
      </c>
      <c r="D1883" s="5" t="s">
        <v>6771</v>
      </c>
      <c r="E1883" s="5">
        <v>2515.0</v>
      </c>
      <c r="F1883" s="5" t="s">
        <v>6772</v>
      </c>
      <c r="G1883" s="5" t="s">
        <v>6773</v>
      </c>
      <c r="H1883" s="5" t="s">
        <v>6774</v>
      </c>
      <c r="I1883" s="5" t="s">
        <v>1664</v>
      </c>
      <c r="J1883" s="5" t="s">
        <v>6645</v>
      </c>
      <c r="K1883" s="5">
        <v>1.0</v>
      </c>
      <c r="L1883" s="5">
        <v>2918.0</v>
      </c>
      <c r="M1883" s="11">
        <v>-121.0036111</v>
      </c>
      <c r="N1883" s="11">
        <v>54.10555556</v>
      </c>
      <c r="O1883" s="11">
        <v>1100.0</v>
      </c>
      <c r="P1883" s="11" t="s">
        <v>6771</v>
      </c>
      <c r="Q1883" s="72">
        <v>4.0</v>
      </c>
      <c r="R1883" s="11" t="s">
        <v>6772</v>
      </c>
      <c r="S1883" s="11" t="s">
        <v>6646</v>
      </c>
    </row>
    <row r="1884" ht="14.25" customHeight="1">
      <c r="B1884" s="5">
        <v>14.0</v>
      </c>
      <c r="C1884" s="5" t="s">
        <v>6636</v>
      </c>
      <c r="D1884" s="5" t="s">
        <v>6775</v>
      </c>
      <c r="E1884" s="5">
        <v>2563.0</v>
      </c>
      <c r="F1884" s="29" t="s">
        <v>6776</v>
      </c>
      <c r="G1884" s="5" t="s">
        <v>6777</v>
      </c>
      <c r="H1884" s="5" t="s">
        <v>6778</v>
      </c>
      <c r="I1884" s="5" t="s">
        <v>1664</v>
      </c>
      <c r="J1884" s="5" t="s">
        <v>6645</v>
      </c>
      <c r="K1884" s="5">
        <v>1.0</v>
      </c>
      <c r="L1884" s="5">
        <v>2966.0</v>
      </c>
      <c r="M1884" s="11">
        <v>-124.279111</v>
      </c>
      <c r="N1884" s="11">
        <v>48.969444</v>
      </c>
      <c r="O1884" s="11">
        <v>1160.0</v>
      </c>
      <c r="P1884" s="11" t="s">
        <v>6775</v>
      </c>
      <c r="Q1884" s="72">
        <v>8.0</v>
      </c>
      <c r="R1884" s="11" t="s">
        <v>6776</v>
      </c>
      <c r="S1884" s="11" t="s">
        <v>6646</v>
      </c>
      <c r="X1884" s="29"/>
      <c r="Y1884" s="29"/>
      <c r="Z1884" s="29"/>
      <c r="AA1884" s="29"/>
      <c r="AB1884" s="29"/>
      <c r="AC1884" s="29"/>
      <c r="AD1884" s="29"/>
      <c r="AE1884" s="29"/>
      <c r="AF1884" s="29"/>
      <c r="AG1884" s="29"/>
      <c r="AH1884" s="29"/>
      <c r="AI1884" s="29"/>
      <c r="AJ1884" s="29"/>
      <c r="AK1884" s="29"/>
      <c r="AL1884" s="29"/>
      <c r="AM1884" s="29"/>
      <c r="AN1884" s="29"/>
      <c r="AO1884" s="29"/>
      <c r="AP1884" s="29"/>
      <c r="AQ1884" s="29"/>
      <c r="AR1884" s="29"/>
      <c r="AS1884" s="29"/>
      <c r="AT1884" s="29"/>
      <c r="AU1884" s="29"/>
      <c r="AV1884" s="29"/>
      <c r="AW1884" s="29"/>
      <c r="AX1884" s="29"/>
      <c r="AY1884" s="29"/>
      <c r="AZ1884" s="29"/>
      <c r="BA1884" s="29"/>
      <c r="BB1884" s="29"/>
      <c r="BC1884" s="29"/>
      <c r="BD1884" s="29"/>
      <c r="BE1884" s="29"/>
      <c r="BF1884" s="29"/>
      <c r="BG1884" s="29"/>
      <c r="BH1884" s="29"/>
      <c r="BI1884" s="29"/>
      <c r="BJ1884" s="29"/>
      <c r="BK1884" s="29"/>
      <c r="BL1884" s="29"/>
      <c r="BM1884" s="29"/>
      <c r="BN1884" s="29"/>
      <c r="BO1884" s="29"/>
      <c r="BP1884" s="29"/>
      <c r="BQ1884" s="29"/>
      <c r="BR1884" s="29"/>
      <c r="BS1884" s="29"/>
      <c r="BT1884" s="29"/>
    </row>
    <row r="1885" ht="14.25" customHeight="1">
      <c r="B1885" s="5">
        <v>14.0</v>
      </c>
      <c r="C1885" s="5" t="s">
        <v>6636</v>
      </c>
      <c r="D1885" s="5" t="s">
        <v>6779</v>
      </c>
      <c r="E1885" s="5">
        <v>2580.0</v>
      </c>
      <c r="F1885" s="5" t="s">
        <v>6780</v>
      </c>
      <c r="G1885" s="5" t="s">
        <v>6781</v>
      </c>
      <c r="H1885" s="5" t="s">
        <v>6782</v>
      </c>
      <c r="I1885" s="5" t="s">
        <v>1664</v>
      </c>
      <c r="J1885" s="5" t="s">
        <v>6783</v>
      </c>
      <c r="K1885" s="5">
        <v>1.0</v>
      </c>
      <c r="L1885" s="5">
        <v>2983.0</v>
      </c>
      <c r="M1885" s="29"/>
      <c r="N1885" s="29"/>
      <c r="O1885" s="29"/>
      <c r="P1885" s="29"/>
      <c r="Q1885" s="29"/>
      <c r="R1885" s="29"/>
      <c r="S1885" s="29"/>
      <c r="T1885" s="29"/>
      <c r="U1885" s="29"/>
      <c r="V1885" s="29"/>
      <c r="W1885" s="29"/>
      <c r="X1885" s="29"/>
      <c r="Y1885" s="29"/>
      <c r="Z1885" s="29"/>
      <c r="AA1885" s="29"/>
      <c r="AB1885" s="29"/>
      <c r="AC1885" s="29"/>
      <c r="AD1885" s="29"/>
      <c r="AE1885" s="29"/>
      <c r="AF1885" s="29"/>
      <c r="AG1885" s="29"/>
      <c r="AH1885" s="29"/>
      <c r="AI1885" s="29"/>
      <c r="AJ1885" s="29"/>
      <c r="AK1885" s="29"/>
      <c r="AL1885" s="29"/>
      <c r="AM1885" s="29"/>
      <c r="AN1885" s="29"/>
      <c r="AO1885" s="29"/>
      <c r="AP1885" s="29"/>
      <c r="AQ1885" s="29"/>
      <c r="AR1885" s="29"/>
      <c r="AS1885" s="29"/>
      <c r="AT1885" s="29"/>
      <c r="AU1885" s="29"/>
      <c r="AV1885" s="29"/>
      <c r="AW1885" s="29"/>
      <c r="AX1885" s="29"/>
      <c r="AY1885" s="29"/>
      <c r="AZ1885" s="29"/>
      <c r="BA1885" s="29"/>
      <c r="BB1885" s="29"/>
      <c r="BC1885" s="29"/>
      <c r="BD1885" s="29"/>
      <c r="BE1885" s="29"/>
      <c r="BF1885" s="29"/>
      <c r="BG1885" s="29"/>
      <c r="BH1885" s="29"/>
      <c r="BI1885" s="29"/>
      <c r="BJ1885" s="29"/>
      <c r="BK1885" s="29"/>
      <c r="BL1885" s="29"/>
      <c r="BM1885" s="29"/>
      <c r="BN1885" s="29"/>
      <c r="BO1885" s="29"/>
      <c r="BP1885" s="29"/>
      <c r="BQ1885" s="29"/>
      <c r="BR1885" s="29"/>
      <c r="BS1885" s="29"/>
      <c r="BT1885" s="29"/>
    </row>
    <row r="1886" ht="14.25" customHeight="1">
      <c r="B1886" s="5">
        <v>14.0</v>
      </c>
      <c r="C1886" s="5" t="s">
        <v>6636</v>
      </c>
      <c r="D1886" s="5" t="s">
        <v>6784</v>
      </c>
      <c r="E1886" s="5">
        <v>12497.0</v>
      </c>
      <c r="F1886" s="5" t="s">
        <v>6785</v>
      </c>
      <c r="G1886" s="5" t="s">
        <v>6786</v>
      </c>
      <c r="H1886" s="5" t="s">
        <v>6787</v>
      </c>
      <c r="I1886" s="5" t="s">
        <v>49</v>
      </c>
      <c r="J1886" s="5" t="s">
        <v>6728</v>
      </c>
      <c r="K1886" s="5">
        <v>1.0</v>
      </c>
      <c r="L1886" s="5">
        <v>14519.0</v>
      </c>
      <c r="M1886" s="11">
        <v>-120.7824444</v>
      </c>
      <c r="N1886" s="11">
        <v>54.30277778</v>
      </c>
      <c r="O1886" s="11">
        <v>1601.0</v>
      </c>
      <c r="P1886" s="29" t="s">
        <v>6788</v>
      </c>
      <c r="Q1886" s="101">
        <v>8.0</v>
      </c>
      <c r="R1886" s="29" t="s">
        <v>6789</v>
      </c>
      <c r="S1886" s="29" t="s">
        <v>6646</v>
      </c>
      <c r="T1886" s="29"/>
      <c r="U1886" s="29"/>
      <c r="V1886" s="29"/>
      <c r="W1886" s="29"/>
      <c r="X1886" s="29"/>
      <c r="Y1886" s="29"/>
      <c r="Z1886" s="29"/>
      <c r="AA1886" s="29"/>
      <c r="AB1886" s="29"/>
      <c r="AC1886" s="29"/>
      <c r="AD1886" s="29"/>
      <c r="AE1886" s="29"/>
      <c r="AF1886" s="29"/>
      <c r="AG1886" s="29"/>
      <c r="AH1886" s="29"/>
      <c r="AI1886" s="29"/>
      <c r="AJ1886" s="29"/>
      <c r="AK1886" s="29"/>
      <c r="AL1886" s="29"/>
      <c r="AM1886" s="29"/>
      <c r="AN1886" s="29"/>
      <c r="AO1886" s="29"/>
      <c r="AP1886" s="29"/>
      <c r="AQ1886" s="29"/>
      <c r="AR1886" s="29"/>
      <c r="AS1886" s="29"/>
      <c r="AT1886" s="29"/>
      <c r="AU1886" s="29"/>
      <c r="AV1886" s="29"/>
      <c r="AW1886" s="29"/>
      <c r="AX1886" s="29"/>
      <c r="AY1886" s="29"/>
      <c r="AZ1886" s="29"/>
      <c r="BA1886" s="29"/>
      <c r="BB1886" s="29"/>
      <c r="BC1886" s="29"/>
      <c r="BD1886" s="29"/>
      <c r="BE1886" s="29"/>
      <c r="BF1886" s="29"/>
      <c r="BG1886" s="29"/>
      <c r="BH1886" s="29"/>
      <c r="BI1886" s="29"/>
      <c r="BJ1886" s="29"/>
      <c r="BK1886" s="29"/>
      <c r="BL1886" s="29"/>
      <c r="BM1886" s="29"/>
      <c r="BN1886" s="29"/>
      <c r="BO1886" s="29"/>
      <c r="BP1886" s="29"/>
      <c r="BQ1886" s="29"/>
      <c r="BR1886" s="29"/>
      <c r="BS1886" s="29"/>
      <c r="BT1886" s="29"/>
    </row>
    <row r="1887" ht="14.25" customHeight="1">
      <c r="B1887" s="5">
        <v>14.0</v>
      </c>
      <c r="C1887" s="5" t="s">
        <v>6636</v>
      </c>
      <c r="D1887" s="5" t="s">
        <v>6790</v>
      </c>
      <c r="E1887" s="5">
        <v>2536.0</v>
      </c>
      <c r="F1887" s="29" t="s">
        <v>6791</v>
      </c>
      <c r="G1887" s="5" t="s">
        <v>6792</v>
      </c>
      <c r="H1887" s="5" t="s">
        <v>6793</v>
      </c>
      <c r="I1887" s="5" t="s">
        <v>1664</v>
      </c>
      <c r="J1887" s="5" t="s">
        <v>6645</v>
      </c>
      <c r="K1887" s="5">
        <v>1.0</v>
      </c>
      <c r="L1887" s="5">
        <v>2939.0</v>
      </c>
      <c r="U1887" s="29"/>
      <c r="V1887" s="29"/>
      <c r="W1887" s="29"/>
      <c r="X1887" s="29"/>
      <c r="Y1887" s="29"/>
      <c r="Z1887" s="29"/>
      <c r="AA1887" s="29"/>
      <c r="AB1887" s="29"/>
      <c r="AC1887" s="29"/>
      <c r="AD1887" s="29"/>
      <c r="AE1887" s="29"/>
      <c r="AF1887" s="29"/>
      <c r="AG1887" s="29"/>
      <c r="AH1887" s="29"/>
      <c r="AI1887" s="29"/>
      <c r="AJ1887" s="29"/>
      <c r="AK1887" s="29"/>
      <c r="AL1887" s="29"/>
      <c r="AM1887" s="29"/>
      <c r="AN1887" s="29"/>
      <c r="AO1887" s="29"/>
      <c r="AP1887" s="29"/>
      <c r="AQ1887" s="29"/>
      <c r="AR1887" s="29"/>
      <c r="AS1887" s="29"/>
      <c r="AT1887" s="29"/>
      <c r="AU1887" s="29"/>
      <c r="AV1887" s="29"/>
      <c r="AW1887" s="29"/>
      <c r="AX1887" s="29"/>
      <c r="AY1887" s="29"/>
      <c r="AZ1887" s="29"/>
      <c r="BA1887" s="29"/>
      <c r="BB1887" s="29"/>
      <c r="BC1887" s="29"/>
      <c r="BD1887" s="29"/>
      <c r="BE1887" s="29"/>
      <c r="BF1887" s="29"/>
      <c r="BG1887" s="29"/>
      <c r="BH1887" s="29"/>
      <c r="BI1887" s="29"/>
      <c r="BJ1887" s="29"/>
      <c r="BK1887" s="29"/>
      <c r="BL1887" s="29"/>
      <c r="BM1887" s="29"/>
      <c r="BN1887" s="29"/>
      <c r="BO1887" s="29"/>
      <c r="BP1887" s="29"/>
      <c r="BQ1887" s="29"/>
      <c r="BR1887" s="29"/>
      <c r="BS1887" s="29"/>
      <c r="BT1887" s="29"/>
    </row>
    <row r="1888" ht="14.25" customHeight="1">
      <c r="A1888" s="5" t="s">
        <v>5043</v>
      </c>
      <c r="B1888" s="5">
        <v>14.0</v>
      </c>
      <c r="C1888" s="10" t="s">
        <v>6636</v>
      </c>
      <c r="D1888" s="5" t="s">
        <v>6794</v>
      </c>
      <c r="E1888" s="5">
        <v>2567.0</v>
      </c>
      <c r="F1888" s="5" t="s">
        <v>6795</v>
      </c>
      <c r="G1888" s="5" t="s">
        <v>6796</v>
      </c>
      <c r="H1888" s="5" t="s">
        <v>6797</v>
      </c>
      <c r="I1888" s="5" t="s">
        <v>1664</v>
      </c>
      <c r="J1888" s="5" t="s">
        <v>6640</v>
      </c>
      <c r="K1888" s="5">
        <v>1.0</v>
      </c>
      <c r="L1888" s="5">
        <v>2970.0</v>
      </c>
      <c r="M1888" s="11">
        <v>-120.0321667</v>
      </c>
      <c r="N1888" s="11">
        <v>52.20366667</v>
      </c>
      <c r="O1888" s="11">
        <v>1770.0</v>
      </c>
      <c r="P1888" s="11" t="s">
        <v>6790</v>
      </c>
      <c r="Q1888" s="72">
        <v>6.0</v>
      </c>
      <c r="R1888" s="11" t="s">
        <v>6791</v>
      </c>
      <c r="S1888" s="11" t="s">
        <v>6646</v>
      </c>
    </row>
    <row r="1889" ht="14.25" customHeight="1">
      <c r="B1889" s="5">
        <v>14.0</v>
      </c>
      <c r="C1889" s="5" t="s">
        <v>6636</v>
      </c>
      <c r="D1889" s="5" t="s">
        <v>6798</v>
      </c>
      <c r="E1889" s="5">
        <v>2571.0</v>
      </c>
      <c r="F1889" s="5" t="s">
        <v>6799</v>
      </c>
      <c r="G1889" s="5" t="s">
        <v>6800</v>
      </c>
      <c r="H1889" s="5" t="s">
        <v>6801</v>
      </c>
      <c r="I1889" s="5" t="s">
        <v>1664</v>
      </c>
      <c r="J1889" s="5" t="s">
        <v>6645</v>
      </c>
      <c r="K1889" s="5">
        <v>1.0</v>
      </c>
      <c r="L1889" s="5">
        <v>2974.0</v>
      </c>
      <c r="M1889" s="11">
        <v>-126.3046667</v>
      </c>
      <c r="N1889" s="11">
        <v>54.19616667</v>
      </c>
      <c r="O1889" s="11">
        <v>1300.0</v>
      </c>
      <c r="P1889" s="11" t="s">
        <v>6798</v>
      </c>
      <c r="Q1889" s="72">
        <v>6.0</v>
      </c>
      <c r="R1889" s="11" t="s">
        <v>6799</v>
      </c>
      <c r="S1889" s="11" t="s">
        <v>6646</v>
      </c>
    </row>
    <row r="1890" ht="14.25" customHeight="1">
      <c r="B1890" s="5">
        <v>14.0</v>
      </c>
      <c r="C1890" s="5" t="s">
        <v>6636</v>
      </c>
      <c r="D1890" s="5" t="s">
        <v>6802</v>
      </c>
      <c r="E1890" s="5">
        <v>2513.0</v>
      </c>
      <c r="F1890" s="5" t="s">
        <v>6803</v>
      </c>
      <c r="G1890" s="5" t="s">
        <v>6804</v>
      </c>
      <c r="H1890" s="5" t="s">
        <v>6805</v>
      </c>
      <c r="I1890" s="5" t="s">
        <v>1664</v>
      </c>
      <c r="J1890" s="5" t="s">
        <v>6645</v>
      </c>
      <c r="K1890" s="5">
        <v>1.0</v>
      </c>
      <c r="L1890" s="5">
        <v>2916.0</v>
      </c>
      <c r="M1890" s="11">
        <v>-120.3172778</v>
      </c>
      <c r="N1890" s="11">
        <v>53.30775</v>
      </c>
      <c r="O1890" s="11">
        <v>1580.0</v>
      </c>
      <c r="P1890" s="11" t="s">
        <v>6802</v>
      </c>
      <c r="Q1890" s="72">
        <v>5.0</v>
      </c>
      <c r="R1890" s="11" t="s">
        <v>6806</v>
      </c>
      <c r="S1890" s="11" t="s">
        <v>6646</v>
      </c>
      <c r="V1890" s="29"/>
      <c r="W1890" s="29"/>
      <c r="X1890" s="29"/>
      <c r="Y1890" s="29"/>
      <c r="Z1890" s="29"/>
      <c r="AA1890" s="29"/>
      <c r="AB1890" s="29"/>
      <c r="AC1890" s="29"/>
      <c r="AD1890" s="29"/>
      <c r="AE1890" s="29"/>
      <c r="AF1890" s="29"/>
      <c r="AG1890" s="29"/>
      <c r="AH1890" s="29"/>
      <c r="AI1890" s="29"/>
      <c r="AJ1890" s="29"/>
      <c r="AK1890" s="29"/>
      <c r="AL1890" s="29"/>
      <c r="AM1890" s="29"/>
      <c r="AN1890" s="29"/>
      <c r="AO1890" s="29"/>
      <c r="AP1890" s="29"/>
      <c r="AQ1890" s="29"/>
      <c r="AR1890" s="29"/>
      <c r="AS1890" s="29"/>
      <c r="AT1890" s="29"/>
      <c r="AU1890" s="29"/>
      <c r="AV1890" s="29"/>
      <c r="AW1890" s="29"/>
      <c r="AX1890" s="29"/>
      <c r="AY1890" s="29"/>
      <c r="AZ1890" s="29"/>
      <c r="BA1890" s="29"/>
      <c r="BB1890" s="29"/>
      <c r="BC1890" s="29"/>
      <c r="BD1890" s="29"/>
      <c r="BE1890" s="29"/>
      <c r="BF1890" s="29"/>
      <c r="BG1890" s="29"/>
      <c r="BH1890" s="29"/>
      <c r="BI1890" s="29"/>
      <c r="BJ1890" s="29"/>
      <c r="BK1890" s="29"/>
      <c r="BL1890" s="29"/>
      <c r="BM1890" s="29"/>
      <c r="BN1890" s="29"/>
      <c r="BO1890" s="29"/>
      <c r="BP1890" s="29"/>
      <c r="BQ1890" s="29"/>
      <c r="BR1890" s="29"/>
      <c r="BS1890" s="29"/>
      <c r="BT1890" s="29"/>
    </row>
    <row r="1891" ht="14.25" customHeight="1">
      <c r="B1891" s="5">
        <v>14.0</v>
      </c>
      <c r="C1891" s="5" t="s">
        <v>6636</v>
      </c>
      <c r="D1891" s="5" t="s">
        <v>6807</v>
      </c>
      <c r="E1891" s="5">
        <v>2554.0</v>
      </c>
      <c r="F1891" s="5" t="s">
        <v>6808</v>
      </c>
      <c r="G1891" s="5" t="s">
        <v>6809</v>
      </c>
      <c r="H1891" s="5" t="s">
        <v>6810</v>
      </c>
      <c r="I1891" s="5" t="s">
        <v>1664</v>
      </c>
      <c r="J1891" s="5" t="s">
        <v>6645</v>
      </c>
      <c r="K1891" s="5">
        <v>1.0</v>
      </c>
      <c r="L1891" s="5">
        <v>2957.0</v>
      </c>
      <c r="M1891" s="11">
        <v>-118.9496667</v>
      </c>
      <c r="N1891" s="11">
        <v>49.94466667</v>
      </c>
      <c r="O1891" s="11">
        <v>1780.0</v>
      </c>
      <c r="P1891" s="11" t="s">
        <v>6807</v>
      </c>
      <c r="Q1891" s="72">
        <v>7.0</v>
      </c>
      <c r="R1891" s="11" t="s">
        <v>6808</v>
      </c>
      <c r="S1891" s="11" t="s">
        <v>6646</v>
      </c>
    </row>
    <row r="1892" ht="14.25" customHeight="1">
      <c r="A1892" s="5" t="s">
        <v>5043</v>
      </c>
      <c r="B1892" s="5">
        <v>14.0</v>
      </c>
      <c r="C1892" s="10" t="s">
        <v>6636</v>
      </c>
      <c r="D1892" s="5" t="s">
        <v>6811</v>
      </c>
      <c r="E1892" s="5">
        <v>2522.0</v>
      </c>
      <c r="F1892" s="29" t="s">
        <v>6416</v>
      </c>
      <c r="G1892" s="5" t="s">
        <v>6812</v>
      </c>
      <c r="H1892" s="5" t="s">
        <v>6813</v>
      </c>
      <c r="I1892" s="5" t="s">
        <v>1664</v>
      </c>
      <c r="J1892" s="5" t="s">
        <v>5996</v>
      </c>
      <c r="K1892" s="5">
        <v>1.0</v>
      </c>
      <c r="L1892" s="5">
        <v>2925.0</v>
      </c>
      <c r="W1892" s="29"/>
      <c r="X1892" s="29"/>
      <c r="Y1892" s="29"/>
      <c r="Z1892" s="29"/>
      <c r="AA1892" s="29"/>
      <c r="AB1892" s="29"/>
      <c r="AC1892" s="29"/>
      <c r="AD1892" s="29"/>
      <c r="AE1892" s="29"/>
      <c r="AF1892" s="29"/>
      <c r="AG1892" s="29"/>
      <c r="AH1892" s="29"/>
      <c r="AI1892" s="29"/>
      <c r="AJ1892" s="29"/>
      <c r="AK1892" s="29"/>
      <c r="AL1892" s="29"/>
      <c r="AM1892" s="29"/>
      <c r="AN1892" s="29"/>
      <c r="AO1892" s="29"/>
      <c r="AP1892" s="29"/>
      <c r="AQ1892" s="29"/>
      <c r="AR1892" s="29"/>
      <c r="AS1892" s="29"/>
      <c r="AT1892" s="29"/>
      <c r="AU1892" s="29"/>
      <c r="AV1892" s="29"/>
      <c r="AW1892" s="29"/>
      <c r="AX1892" s="29"/>
      <c r="AY1892" s="29"/>
      <c r="AZ1892" s="29"/>
      <c r="BA1892" s="29"/>
      <c r="BB1892" s="29"/>
      <c r="BC1892" s="29"/>
      <c r="BD1892" s="29"/>
      <c r="BE1892" s="29"/>
      <c r="BF1892" s="29"/>
      <c r="BG1892" s="29"/>
      <c r="BH1892" s="29"/>
      <c r="BI1892" s="29"/>
      <c r="BJ1892" s="29"/>
      <c r="BK1892" s="29"/>
      <c r="BL1892" s="29"/>
      <c r="BM1892" s="29"/>
      <c r="BN1892" s="29"/>
      <c r="BO1892" s="29"/>
      <c r="BP1892" s="29"/>
      <c r="BQ1892" s="29"/>
      <c r="BR1892" s="29"/>
      <c r="BS1892" s="29"/>
      <c r="BT1892" s="29"/>
    </row>
    <row r="1893" ht="14.25" customHeight="1">
      <c r="B1893" s="5">
        <v>14.0</v>
      </c>
      <c r="C1893" s="5" t="s">
        <v>6636</v>
      </c>
      <c r="D1893" s="5" t="s">
        <v>6814</v>
      </c>
      <c r="E1893" s="5">
        <v>2543.0</v>
      </c>
      <c r="F1893" s="5" t="s">
        <v>6428</v>
      </c>
      <c r="G1893" s="5" t="s">
        <v>6815</v>
      </c>
      <c r="H1893" s="5" t="s">
        <v>6816</v>
      </c>
      <c r="I1893" s="5" t="s">
        <v>1664</v>
      </c>
      <c r="J1893" s="5" t="s">
        <v>5996</v>
      </c>
      <c r="K1893" s="5">
        <v>1.0</v>
      </c>
      <c r="L1893" s="5">
        <v>2946.0</v>
      </c>
    </row>
    <row r="1894" ht="14.25" customHeight="1">
      <c r="A1894" s="5" t="s">
        <v>5043</v>
      </c>
      <c r="B1894" s="5">
        <v>14.0</v>
      </c>
      <c r="C1894" s="10" t="s">
        <v>6636</v>
      </c>
      <c r="D1894" s="5" t="s">
        <v>6817</v>
      </c>
      <c r="E1894" s="5">
        <v>2548.0</v>
      </c>
      <c r="F1894" s="29" t="s">
        <v>6435</v>
      </c>
      <c r="G1894" s="5" t="s">
        <v>6818</v>
      </c>
      <c r="H1894" s="5" t="s">
        <v>6819</v>
      </c>
      <c r="I1894" s="5" t="s">
        <v>1664</v>
      </c>
      <c r="J1894" s="5" t="s">
        <v>5996</v>
      </c>
      <c r="K1894" s="5">
        <v>1.0</v>
      </c>
      <c r="L1894" s="5">
        <v>2951.0</v>
      </c>
      <c r="M1894" s="29"/>
      <c r="N1894" s="29"/>
      <c r="O1894" s="29"/>
      <c r="P1894" s="29"/>
      <c r="Q1894" s="29"/>
      <c r="R1894" s="29"/>
      <c r="S1894" s="29"/>
      <c r="T1894" s="29"/>
      <c r="U1894" s="29"/>
      <c r="V1894" s="29"/>
      <c r="W1894" s="29"/>
      <c r="X1894" s="29"/>
      <c r="Y1894" s="29"/>
      <c r="Z1894" s="29"/>
      <c r="AA1894" s="29"/>
      <c r="AB1894" s="29"/>
      <c r="AC1894" s="29"/>
      <c r="AD1894" s="29"/>
      <c r="AE1894" s="29"/>
      <c r="AF1894" s="29"/>
      <c r="AG1894" s="29"/>
      <c r="AH1894" s="29"/>
      <c r="AI1894" s="29"/>
      <c r="AJ1894" s="29"/>
      <c r="AK1894" s="29"/>
      <c r="AL1894" s="29"/>
      <c r="AM1894" s="29"/>
      <c r="AN1894" s="29"/>
      <c r="AO1894" s="29"/>
      <c r="AP1894" s="29"/>
      <c r="AQ1894" s="29"/>
      <c r="AR1894" s="29"/>
      <c r="AS1894" s="29"/>
      <c r="AT1894" s="29"/>
      <c r="AU1894" s="29"/>
      <c r="AV1894" s="29"/>
      <c r="AW1894" s="29"/>
      <c r="AX1894" s="29"/>
      <c r="AY1894" s="29"/>
      <c r="AZ1894" s="29"/>
      <c r="BA1894" s="29"/>
      <c r="BB1894" s="29"/>
      <c r="BC1894" s="29"/>
      <c r="BD1894" s="29"/>
      <c r="BE1894" s="29"/>
      <c r="BF1894" s="29"/>
      <c r="BG1894" s="29"/>
      <c r="BH1894" s="29"/>
      <c r="BI1894" s="29"/>
      <c r="BJ1894" s="29"/>
      <c r="BK1894" s="29"/>
      <c r="BL1894" s="29"/>
      <c r="BM1894" s="29"/>
      <c r="BN1894" s="29"/>
      <c r="BO1894" s="29"/>
      <c r="BP1894" s="29"/>
      <c r="BQ1894" s="29"/>
      <c r="BR1894" s="29"/>
      <c r="BS1894" s="29"/>
      <c r="BT1894" s="29"/>
    </row>
    <row r="1895" ht="14.25" customHeight="1">
      <c r="A1895" s="5" t="s">
        <v>5043</v>
      </c>
      <c r="B1895" s="5">
        <v>14.0</v>
      </c>
      <c r="C1895" s="10" t="s">
        <v>6636</v>
      </c>
      <c r="D1895" s="5" t="s">
        <v>6820</v>
      </c>
      <c r="E1895" s="5">
        <v>2547.0</v>
      </c>
      <c r="F1895" s="5" t="s">
        <v>6435</v>
      </c>
      <c r="G1895" s="5" t="s">
        <v>6821</v>
      </c>
      <c r="H1895" s="5" t="s">
        <v>6822</v>
      </c>
      <c r="I1895" s="5" t="s">
        <v>1664</v>
      </c>
      <c r="J1895" s="5" t="s">
        <v>6672</v>
      </c>
      <c r="K1895" s="5">
        <v>1.0</v>
      </c>
      <c r="L1895" s="5">
        <v>2950.0</v>
      </c>
    </row>
    <row r="1896" ht="14.25" customHeight="1">
      <c r="B1896" s="5">
        <v>14.0</v>
      </c>
      <c r="C1896" s="5" t="s">
        <v>6636</v>
      </c>
      <c r="D1896" s="5" t="s">
        <v>6823</v>
      </c>
      <c r="E1896" s="5">
        <v>2534.0</v>
      </c>
      <c r="F1896" s="5" t="s">
        <v>6824</v>
      </c>
      <c r="G1896" s="5" t="s">
        <v>6825</v>
      </c>
      <c r="H1896" s="5" t="s">
        <v>6826</v>
      </c>
      <c r="I1896" s="5" t="s">
        <v>1664</v>
      </c>
      <c r="J1896" s="5" t="s">
        <v>6645</v>
      </c>
      <c r="K1896" s="5">
        <v>1.0</v>
      </c>
      <c r="L1896" s="5">
        <v>2937.0</v>
      </c>
      <c r="M1896" s="11">
        <v>-119.3213889</v>
      </c>
      <c r="N1896" s="11">
        <v>52.18277778</v>
      </c>
      <c r="O1896" s="11">
        <v>1550.0</v>
      </c>
      <c r="P1896" s="11" t="s">
        <v>6823</v>
      </c>
      <c r="Q1896" s="72">
        <v>5.0</v>
      </c>
      <c r="R1896" s="11" t="s">
        <v>6824</v>
      </c>
      <c r="S1896" s="11" t="s">
        <v>6646</v>
      </c>
    </row>
    <row r="1897" ht="14.25" customHeight="1">
      <c r="A1897" s="5" t="s">
        <v>5043</v>
      </c>
      <c r="B1897" s="5">
        <v>14.0</v>
      </c>
      <c r="C1897" s="10" t="s">
        <v>6636</v>
      </c>
      <c r="D1897" s="5" t="s">
        <v>6827</v>
      </c>
      <c r="E1897" s="5">
        <v>2541.0</v>
      </c>
      <c r="F1897" s="5" t="s">
        <v>6444</v>
      </c>
      <c r="G1897" s="5" t="s">
        <v>6828</v>
      </c>
      <c r="H1897" s="5" t="s">
        <v>6829</v>
      </c>
      <c r="I1897" s="5" t="s">
        <v>1664</v>
      </c>
      <c r="J1897" s="5" t="s">
        <v>5996</v>
      </c>
      <c r="K1897" s="5">
        <v>1.0</v>
      </c>
      <c r="L1897" s="5">
        <v>2944.0</v>
      </c>
    </row>
    <row r="1898" ht="14.25" customHeight="1">
      <c r="B1898" s="5">
        <v>14.0</v>
      </c>
      <c r="C1898" s="5" t="s">
        <v>6099</v>
      </c>
      <c r="D1898" s="5" t="s">
        <v>6830</v>
      </c>
      <c r="E1898" s="5">
        <v>2537.0</v>
      </c>
      <c r="F1898" s="29" t="s">
        <v>6831</v>
      </c>
      <c r="G1898" s="5" t="s">
        <v>6832</v>
      </c>
      <c r="H1898" s="5" t="s">
        <v>6676</v>
      </c>
      <c r="I1898" s="5" t="s">
        <v>1664</v>
      </c>
      <c r="J1898" s="5" t="s">
        <v>6677</v>
      </c>
      <c r="K1898" s="5">
        <v>1.0</v>
      </c>
      <c r="L1898" s="5">
        <v>2940.0</v>
      </c>
      <c r="M1898" s="29"/>
      <c r="N1898" s="29"/>
      <c r="O1898" s="29"/>
      <c r="P1898" s="29"/>
      <c r="Q1898" s="29"/>
      <c r="R1898" s="29"/>
      <c r="S1898" s="29"/>
      <c r="T1898" s="29"/>
      <c r="U1898" s="29"/>
      <c r="V1898" s="29"/>
      <c r="W1898" s="29"/>
      <c r="X1898" s="29"/>
      <c r="Y1898" s="29"/>
      <c r="Z1898" s="29"/>
      <c r="AA1898" s="29"/>
      <c r="AB1898" s="29"/>
      <c r="AC1898" s="29"/>
      <c r="AD1898" s="29"/>
      <c r="AE1898" s="29"/>
      <c r="AF1898" s="29"/>
      <c r="AG1898" s="29"/>
      <c r="AH1898" s="29"/>
      <c r="AI1898" s="29"/>
      <c r="AJ1898" s="29"/>
      <c r="AK1898" s="29"/>
      <c r="AL1898" s="29"/>
      <c r="AM1898" s="29"/>
      <c r="AN1898" s="29"/>
      <c r="AO1898" s="29"/>
      <c r="AP1898" s="29"/>
      <c r="AQ1898" s="29"/>
      <c r="AR1898" s="29"/>
      <c r="AS1898" s="29"/>
      <c r="AT1898" s="29"/>
      <c r="AU1898" s="29"/>
      <c r="AV1898" s="29"/>
      <c r="AW1898" s="29"/>
      <c r="AX1898" s="29"/>
      <c r="AY1898" s="29"/>
      <c r="AZ1898" s="29"/>
      <c r="BA1898" s="29"/>
      <c r="BB1898" s="29"/>
      <c r="BC1898" s="29"/>
      <c r="BD1898" s="29"/>
      <c r="BE1898" s="29"/>
      <c r="BF1898" s="29"/>
      <c r="BG1898" s="29"/>
      <c r="BH1898" s="29"/>
      <c r="BI1898" s="29"/>
      <c r="BJ1898" s="29"/>
      <c r="BK1898" s="29"/>
      <c r="BL1898" s="29"/>
      <c r="BM1898" s="29"/>
      <c r="BN1898" s="29"/>
      <c r="BO1898" s="29"/>
      <c r="BP1898" s="29"/>
      <c r="BQ1898" s="29"/>
      <c r="BR1898" s="29"/>
      <c r="BS1898" s="29"/>
      <c r="BT1898" s="29"/>
    </row>
    <row r="1899" ht="14.25" customHeight="1">
      <c r="A1899" s="5" t="s">
        <v>422</v>
      </c>
      <c r="B1899" s="5">
        <v>14.0</v>
      </c>
      <c r="C1899" s="5" t="s">
        <v>6833</v>
      </c>
      <c r="D1899" s="5" t="s">
        <v>5993</v>
      </c>
      <c r="E1899" s="5">
        <v>2518.0</v>
      </c>
      <c r="F1899" s="5" t="s">
        <v>1680</v>
      </c>
      <c r="G1899" s="5" t="s">
        <v>5994</v>
      </c>
      <c r="H1899" s="5" t="s">
        <v>5995</v>
      </c>
      <c r="I1899" s="5" t="s">
        <v>1664</v>
      </c>
      <c r="J1899" s="5" t="s">
        <v>5996</v>
      </c>
      <c r="K1899" s="5">
        <v>1.0</v>
      </c>
      <c r="L1899" s="5">
        <v>2921.0</v>
      </c>
      <c r="V1899" s="29"/>
      <c r="W1899" s="29"/>
      <c r="X1899" s="29"/>
      <c r="Y1899" s="29"/>
      <c r="Z1899" s="29"/>
      <c r="AA1899" s="29"/>
      <c r="AB1899" s="29"/>
      <c r="AC1899" s="29"/>
      <c r="AD1899" s="29"/>
      <c r="AE1899" s="29"/>
      <c r="AF1899" s="29"/>
      <c r="AG1899" s="29"/>
      <c r="AH1899" s="29"/>
      <c r="AI1899" s="29"/>
      <c r="AJ1899" s="29"/>
      <c r="AK1899" s="29"/>
      <c r="AL1899" s="29"/>
      <c r="AM1899" s="29"/>
      <c r="AN1899" s="29"/>
      <c r="AO1899" s="29"/>
      <c r="AP1899" s="29"/>
      <c r="AQ1899" s="29"/>
      <c r="AR1899" s="29"/>
      <c r="AS1899" s="29"/>
      <c r="AT1899" s="29"/>
      <c r="AU1899" s="29"/>
      <c r="AV1899" s="29"/>
      <c r="AW1899" s="29"/>
      <c r="AX1899" s="29"/>
      <c r="AY1899" s="29"/>
      <c r="AZ1899" s="29"/>
      <c r="BA1899" s="29"/>
      <c r="BB1899" s="29"/>
      <c r="BC1899" s="29"/>
      <c r="BD1899" s="29"/>
      <c r="BE1899" s="29"/>
      <c r="BF1899" s="29"/>
      <c r="BG1899" s="29"/>
      <c r="BH1899" s="29"/>
      <c r="BI1899" s="29"/>
      <c r="BJ1899" s="29"/>
      <c r="BK1899" s="29"/>
      <c r="BL1899" s="29"/>
      <c r="BM1899" s="29"/>
      <c r="BN1899" s="29"/>
      <c r="BO1899" s="29"/>
      <c r="BP1899" s="29"/>
      <c r="BQ1899" s="29"/>
      <c r="BR1899" s="29"/>
      <c r="BS1899" s="29"/>
      <c r="BT1899" s="29"/>
    </row>
    <row r="1900" ht="14.25" customHeight="1">
      <c r="A1900" s="5" t="s">
        <v>6834</v>
      </c>
      <c r="B1900" s="5">
        <v>14.0</v>
      </c>
      <c r="C1900" s="10" t="s">
        <v>6099</v>
      </c>
      <c r="D1900" s="10" t="s">
        <v>6835</v>
      </c>
      <c r="E1900" s="5">
        <v>2549.0</v>
      </c>
      <c r="F1900" s="5" t="s">
        <v>6836</v>
      </c>
      <c r="G1900" s="5" t="s">
        <v>6837</v>
      </c>
      <c r="H1900" s="5" t="s">
        <v>6838</v>
      </c>
      <c r="I1900" s="5" t="s">
        <v>1664</v>
      </c>
      <c r="J1900" s="5" t="s">
        <v>6645</v>
      </c>
      <c r="K1900" s="5">
        <v>1.0</v>
      </c>
      <c r="L1900" s="5">
        <v>2952.0</v>
      </c>
      <c r="V1900" s="29"/>
      <c r="W1900" s="29"/>
      <c r="X1900" s="29"/>
      <c r="Y1900" s="29"/>
      <c r="Z1900" s="29"/>
      <c r="AA1900" s="29"/>
      <c r="AB1900" s="29"/>
      <c r="AC1900" s="29"/>
      <c r="AD1900" s="29"/>
      <c r="AE1900" s="29"/>
      <c r="AF1900" s="29"/>
      <c r="AG1900" s="29"/>
      <c r="AH1900" s="29"/>
      <c r="AI1900" s="29"/>
      <c r="AJ1900" s="29"/>
      <c r="AK1900" s="29"/>
      <c r="AL1900" s="29"/>
      <c r="AM1900" s="29"/>
      <c r="AN1900" s="29"/>
      <c r="AO1900" s="29"/>
      <c r="AP1900" s="29"/>
      <c r="AQ1900" s="29"/>
      <c r="AR1900" s="29"/>
      <c r="AS1900" s="29"/>
      <c r="AT1900" s="29"/>
      <c r="AU1900" s="29"/>
      <c r="AV1900" s="29"/>
      <c r="AW1900" s="29"/>
      <c r="AX1900" s="29"/>
      <c r="AY1900" s="29"/>
      <c r="AZ1900" s="29"/>
      <c r="BA1900" s="29"/>
      <c r="BB1900" s="29"/>
      <c r="BC1900" s="29"/>
      <c r="BD1900" s="29"/>
      <c r="BE1900" s="29"/>
      <c r="BF1900" s="29"/>
      <c r="BG1900" s="29"/>
      <c r="BH1900" s="29"/>
      <c r="BI1900" s="29"/>
      <c r="BJ1900" s="29"/>
      <c r="BK1900" s="29"/>
      <c r="BL1900" s="29"/>
      <c r="BM1900" s="29"/>
      <c r="BN1900" s="29"/>
      <c r="BO1900" s="29"/>
      <c r="BP1900" s="29"/>
      <c r="BQ1900" s="29"/>
      <c r="BR1900" s="29"/>
      <c r="BS1900" s="29"/>
      <c r="BT1900" s="29"/>
    </row>
    <row r="1901" ht="14.25" customHeight="1">
      <c r="A1901" s="5" t="s">
        <v>422</v>
      </c>
      <c r="B1901" s="5">
        <v>14.0</v>
      </c>
      <c r="C1901" s="5" t="s">
        <v>5992</v>
      </c>
      <c r="D1901" s="5" t="s">
        <v>5997</v>
      </c>
      <c r="E1901" s="5">
        <v>2520.0</v>
      </c>
      <c r="F1901" s="5" t="s">
        <v>5998</v>
      </c>
      <c r="G1901" s="5" t="s">
        <v>5999</v>
      </c>
      <c r="H1901" s="5" t="s">
        <v>6000</v>
      </c>
      <c r="I1901" s="5" t="s">
        <v>1664</v>
      </c>
      <c r="J1901" s="5" t="s">
        <v>5996</v>
      </c>
      <c r="K1901" s="5">
        <v>1.0</v>
      </c>
      <c r="L1901" s="5">
        <v>2923.0</v>
      </c>
    </row>
    <row r="1902" ht="14.25" customHeight="1">
      <c r="B1902" s="5">
        <v>14.0</v>
      </c>
      <c r="C1902" s="5" t="s">
        <v>6099</v>
      </c>
      <c r="D1902" s="5" t="s">
        <v>6839</v>
      </c>
      <c r="E1902" s="5">
        <v>12501.0</v>
      </c>
      <c r="F1902" s="5" t="s">
        <v>6840</v>
      </c>
      <c r="G1902" s="5" t="s">
        <v>6841</v>
      </c>
      <c r="H1902" s="5" t="s">
        <v>6842</v>
      </c>
      <c r="I1902" s="5" t="s">
        <v>49</v>
      </c>
      <c r="J1902" s="5" t="s">
        <v>6728</v>
      </c>
      <c r="K1902" s="5">
        <v>1.0</v>
      </c>
      <c r="L1902" s="5">
        <v>14523.0</v>
      </c>
    </row>
    <row r="1903" ht="14.25" customHeight="1">
      <c r="B1903" s="5">
        <v>14.0</v>
      </c>
      <c r="C1903" s="5" t="s">
        <v>6099</v>
      </c>
      <c r="D1903" s="5" t="s">
        <v>6843</v>
      </c>
      <c r="E1903" s="5">
        <v>2558.0</v>
      </c>
      <c r="F1903" s="5" t="s">
        <v>6844</v>
      </c>
      <c r="G1903" s="5" t="s">
        <v>6845</v>
      </c>
      <c r="H1903" s="5" t="s">
        <v>6846</v>
      </c>
      <c r="I1903" s="5" t="s">
        <v>1664</v>
      </c>
      <c r="J1903" s="5" t="s">
        <v>6645</v>
      </c>
      <c r="K1903" s="5">
        <v>1.0</v>
      </c>
      <c r="L1903" s="5">
        <v>2961.0</v>
      </c>
      <c r="M1903" s="11">
        <v>-124.4605</v>
      </c>
      <c r="N1903" s="11">
        <v>51.24366667</v>
      </c>
      <c r="O1903" s="11">
        <v>1500.0</v>
      </c>
      <c r="P1903" s="11" t="s">
        <v>6843</v>
      </c>
      <c r="Q1903" s="72">
        <v>7.0</v>
      </c>
      <c r="R1903" s="11" t="s">
        <v>6844</v>
      </c>
      <c r="S1903" s="11" t="s">
        <v>6646</v>
      </c>
    </row>
    <row r="1904" ht="14.25" customHeight="1">
      <c r="B1904" s="5">
        <v>14.0</v>
      </c>
      <c r="C1904" s="5" t="s">
        <v>6099</v>
      </c>
      <c r="D1904" s="5" t="s">
        <v>6847</v>
      </c>
      <c r="E1904" s="5">
        <v>2529.0</v>
      </c>
      <c r="F1904" s="5" t="s">
        <v>6848</v>
      </c>
      <c r="G1904" s="5" t="s">
        <v>6849</v>
      </c>
      <c r="H1904" s="5" t="s">
        <v>6850</v>
      </c>
      <c r="I1904" s="5" t="s">
        <v>1664</v>
      </c>
      <c r="J1904" s="5" t="s">
        <v>6672</v>
      </c>
      <c r="K1904" s="5">
        <v>1.0</v>
      </c>
      <c r="L1904" s="5">
        <v>2932.0</v>
      </c>
      <c r="M1904" s="29"/>
      <c r="N1904" s="29"/>
      <c r="O1904" s="29"/>
      <c r="P1904" s="29"/>
      <c r="Q1904" s="29"/>
      <c r="R1904" s="29"/>
      <c r="S1904" s="29"/>
      <c r="T1904" s="29"/>
      <c r="U1904" s="29"/>
      <c r="V1904" s="29"/>
      <c r="W1904" s="29"/>
      <c r="X1904" s="29"/>
      <c r="Y1904" s="29"/>
      <c r="Z1904" s="29"/>
      <c r="AA1904" s="29"/>
      <c r="AB1904" s="29"/>
      <c r="AC1904" s="29"/>
      <c r="AD1904" s="29"/>
      <c r="AE1904" s="29"/>
      <c r="AF1904" s="29"/>
      <c r="AG1904" s="29"/>
      <c r="AH1904" s="29"/>
      <c r="AI1904" s="29"/>
      <c r="AJ1904" s="29"/>
      <c r="AK1904" s="29"/>
      <c r="AL1904" s="29"/>
      <c r="AM1904" s="29"/>
      <c r="AN1904" s="29"/>
      <c r="AO1904" s="29"/>
      <c r="AP1904" s="29"/>
      <c r="AQ1904" s="29"/>
      <c r="AR1904" s="29"/>
      <c r="AS1904" s="29"/>
      <c r="AT1904" s="29"/>
      <c r="AU1904" s="29"/>
      <c r="AV1904" s="29"/>
      <c r="AW1904" s="29"/>
      <c r="AX1904" s="29"/>
      <c r="AY1904" s="29"/>
      <c r="AZ1904" s="29"/>
      <c r="BA1904" s="29"/>
      <c r="BB1904" s="29"/>
      <c r="BC1904" s="29"/>
      <c r="BD1904" s="29"/>
      <c r="BE1904" s="29"/>
      <c r="BF1904" s="29"/>
      <c r="BG1904" s="29"/>
      <c r="BH1904" s="29"/>
      <c r="BI1904" s="29"/>
      <c r="BJ1904" s="29"/>
      <c r="BK1904" s="29"/>
      <c r="BL1904" s="29"/>
      <c r="BM1904" s="29"/>
      <c r="BN1904" s="29"/>
      <c r="BO1904" s="29"/>
      <c r="BP1904" s="29"/>
      <c r="BQ1904" s="29"/>
      <c r="BR1904" s="29"/>
      <c r="BS1904" s="29"/>
      <c r="BT1904" s="29"/>
    </row>
    <row r="1905" ht="14.25" customHeight="1">
      <c r="A1905" s="5" t="s">
        <v>422</v>
      </c>
      <c r="B1905" s="5">
        <v>5.0</v>
      </c>
      <c r="C1905" s="5" t="s">
        <v>6093</v>
      </c>
      <c r="D1905" s="5" t="s">
        <v>6851</v>
      </c>
      <c r="E1905" s="5">
        <v>2491.0</v>
      </c>
      <c r="F1905" s="5" t="s">
        <v>6852</v>
      </c>
      <c r="G1905" s="5" t="s">
        <v>6853</v>
      </c>
      <c r="H1905" s="5" t="s">
        <v>6854</v>
      </c>
      <c r="I1905" s="5" t="s">
        <v>1664</v>
      </c>
      <c r="J1905" s="5" t="s">
        <v>6855</v>
      </c>
      <c r="K1905" s="5">
        <v>1.0</v>
      </c>
      <c r="L1905" s="5">
        <v>2894.0</v>
      </c>
    </row>
    <row r="1906" ht="14.25" customHeight="1">
      <c r="B1906" s="5">
        <v>14.0</v>
      </c>
      <c r="C1906" s="5" t="s">
        <v>6099</v>
      </c>
      <c r="D1906" s="5" t="s">
        <v>6856</v>
      </c>
      <c r="E1906" s="5">
        <v>2539.0</v>
      </c>
      <c r="F1906" s="5" t="s">
        <v>6852</v>
      </c>
      <c r="G1906" s="5" t="s">
        <v>6857</v>
      </c>
      <c r="H1906" s="5" t="s">
        <v>6858</v>
      </c>
      <c r="I1906" s="5" t="s">
        <v>1664</v>
      </c>
      <c r="J1906" s="5" t="s">
        <v>6645</v>
      </c>
      <c r="K1906" s="5">
        <v>1.0</v>
      </c>
      <c r="L1906" s="5">
        <v>2942.0</v>
      </c>
      <c r="M1906" s="5">
        <v>-118.6185</v>
      </c>
      <c r="N1906" s="5">
        <v>50.4495</v>
      </c>
      <c r="O1906" s="5">
        <v>1890.0</v>
      </c>
      <c r="P1906" s="5" t="s">
        <v>6856</v>
      </c>
      <c r="Q1906" s="5">
        <v>6.0</v>
      </c>
      <c r="R1906" s="5" t="s">
        <v>6852</v>
      </c>
      <c r="S1906" s="5" t="s">
        <v>6646</v>
      </c>
    </row>
    <row r="1907" ht="14.25" customHeight="1">
      <c r="A1907" s="5" t="s">
        <v>5043</v>
      </c>
      <c r="B1907" s="5">
        <v>14.0</v>
      </c>
      <c r="C1907" s="10" t="s">
        <v>6636</v>
      </c>
      <c r="D1907" s="5" t="s">
        <v>6859</v>
      </c>
      <c r="E1907" s="5">
        <v>2565.0</v>
      </c>
      <c r="F1907" s="5" t="s">
        <v>6495</v>
      </c>
      <c r="G1907" s="5" t="s">
        <v>6860</v>
      </c>
      <c r="H1907" s="5" t="s">
        <v>6861</v>
      </c>
      <c r="I1907" s="5" t="s">
        <v>1664</v>
      </c>
      <c r="J1907" s="5" t="s">
        <v>6640</v>
      </c>
      <c r="K1907" s="5">
        <v>1.0</v>
      </c>
      <c r="L1907" s="5">
        <v>2968.0</v>
      </c>
    </row>
    <row r="1908" ht="14.25" customHeight="1">
      <c r="B1908" s="5">
        <v>14.0</v>
      </c>
      <c r="C1908" s="10" t="s">
        <v>6099</v>
      </c>
      <c r="D1908" s="5" t="s">
        <v>6862</v>
      </c>
      <c r="E1908" s="5">
        <v>2566.0</v>
      </c>
      <c r="F1908" s="5" t="s">
        <v>6514</v>
      </c>
      <c r="G1908" s="5" t="s">
        <v>6863</v>
      </c>
      <c r="H1908" s="5" t="s">
        <v>6864</v>
      </c>
      <c r="I1908" s="5" t="s">
        <v>1664</v>
      </c>
      <c r="J1908" s="5" t="s">
        <v>6640</v>
      </c>
      <c r="K1908" s="5">
        <v>1.0</v>
      </c>
      <c r="L1908" s="5">
        <v>2969.0</v>
      </c>
    </row>
    <row r="1909" ht="14.25" customHeight="1">
      <c r="B1909" s="5">
        <v>14.0</v>
      </c>
      <c r="C1909" s="10" t="s">
        <v>6099</v>
      </c>
      <c r="D1909" s="5" t="s">
        <v>6865</v>
      </c>
      <c r="E1909" s="5">
        <v>2552.0</v>
      </c>
      <c r="F1909" s="5" t="s">
        <v>6866</v>
      </c>
      <c r="G1909" s="5" t="s">
        <v>6867</v>
      </c>
      <c r="H1909" s="5" t="s">
        <v>6868</v>
      </c>
      <c r="I1909" s="5" t="s">
        <v>1664</v>
      </c>
      <c r="J1909" s="5" t="s">
        <v>6692</v>
      </c>
      <c r="K1909" s="5">
        <v>1.0</v>
      </c>
      <c r="L1909" s="5">
        <v>2955.0</v>
      </c>
      <c r="M1909" s="11">
        <v>-117.0865</v>
      </c>
      <c r="N1909" s="11">
        <v>49.69016667</v>
      </c>
      <c r="O1909" s="11">
        <v>2100.0</v>
      </c>
      <c r="P1909" s="11" t="s">
        <v>6865</v>
      </c>
      <c r="Q1909" s="72">
        <v>7.0</v>
      </c>
      <c r="R1909" s="11" t="s">
        <v>6866</v>
      </c>
      <c r="S1909" s="11" t="s">
        <v>6646</v>
      </c>
    </row>
    <row r="1910" ht="14.25" customHeight="1">
      <c r="B1910" s="5">
        <v>14.0</v>
      </c>
      <c r="C1910" s="10" t="s">
        <v>6099</v>
      </c>
      <c r="D1910" s="5" t="s">
        <v>6869</v>
      </c>
      <c r="E1910" s="5">
        <v>2516.0</v>
      </c>
      <c r="F1910" s="29" t="s">
        <v>6870</v>
      </c>
      <c r="G1910" s="5" t="s">
        <v>6871</v>
      </c>
      <c r="H1910" s="5" t="s">
        <v>6872</v>
      </c>
      <c r="I1910" s="5" t="s">
        <v>1664</v>
      </c>
      <c r="J1910" s="5" t="s">
        <v>6783</v>
      </c>
      <c r="K1910" s="5">
        <v>1.0</v>
      </c>
      <c r="L1910" s="5">
        <v>2919.0</v>
      </c>
      <c r="M1910" s="29">
        <v>-120.3751667</v>
      </c>
      <c r="N1910" s="29">
        <v>53.78416667</v>
      </c>
      <c r="O1910" s="29">
        <v>1690.0</v>
      </c>
      <c r="P1910" s="29" t="s">
        <v>6869</v>
      </c>
      <c r="Q1910" s="101">
        <v>8.0</v>
      </c>
      <c r="R1910" s="29" t="s">
        <v>6870</v>
      </c>
      <c r="S1910" s="29" t="s">
        <v>6646</v>
      </c>
      <c r="T1910" s="29"/>
      <c r="U1910" s="29"/>
      <c r="V1910" s="29"/>
      <c r="W1910" s="29"/>
      <c r="X1910" s="29"/>
      <c r="Y1910" s="29"/>
      <c r="Z1910" s="29"/>
      <c r="AA1910" s="29"/>
      <c r="AB1910" s="29"/>
      <c r="AC1910" s="29"/>
      <c r="AD1910" s="29"/>
      <c r="AE1910" s="29"/>
      <c r="AF1910" s="29"/>
      <c r="AG1910" s="29"/>
      <c r="AH1910" s="29"/>
      <c r="AI1910" s="29"/>
      <c r="AJ1910" s="29"/>
      <c r="AK1910" s="29"/>
      <c r="AL1910" s="29"/>
      <c r="AM1910" s="29"/>
      <c r="AN1910" s="29"/>
      <c r="AO1910" s="29"/>
      <c r="AP1910" s="29"/>
      <c r="AQ1910" s="29"/>
      <c r="AR1910" s="29"/>
      <c r="AS1910" s="29"/>
      <c r="AT1910" s="29"/>
      <c r="AU1910" s="29"/>
      <c r="AV1910" s="29"/>
      <c r="AW1910" s="29"/>
      <c r="AX1910" s="29"/>
      <c r="AY1910" s="29"/>
      <c r="AZ1910" s="29"/>
      <c r="BA1910" s="29"/>
      <c r="BB1910" s="29"/>
      <c r="BC1910" s="29"/>
      <c r="BD1910" s="29"/>
      <c r="BE1910" s="29"/>
      <c r="BF1910" s="29"/>
      <c r="BG1910" s="29"/>
      <c r="BH1910" s="29"/>
      <c r="BI1910" s="29"/>
      <c r="BJ1910" s="29"/>
      <c r="BK1910" s="29"/>
      <c r="BL1910" s="29"/>
      <c r="BM1910" s="29"/>
      <c r="BN1910" s="29"/>
      <c r="BO1910" s="29"/>
      <c r="BP1910" s="29"/>
      <c r="BQ1910" s="29"/>
      <c r="BR1910" s="29"/>
      <c r="BS1910" s="29"/>
      <c r="BT1910" s="29"/>
    </row>
    <row r="1911" ht="14.25" customHeight="1">
      <c r="B1911" s="5">
        <v>14.0</v>
      </c>
      <c r="C1911" s="10" t="s">
        <v>6099</v>
      </c>
      <c r="D1911" s="5" t="s">
        <v>6873</v>
      </c>
      <c r="E1911" s="5">
        <v>2572.0</v>
      </c>
      <c r="F1911" s="5" t="s">
        <v>6874</v>
      </c>
      <c r="G1911" s="5" t="s">
        <v>6875</v>
      </c>
      <c r="H1911" s="5" t="s">
        <v>6876</v>
      </c>
      <c r="I1911" s="5" t="s">
        <v>1664</v>
      </c>
      <c r="J1911" s="5" t="s">
        <v>6645</v>
      </c>
      <c r="K1911" s="5">
        <v>1.0</v>
      </c>
      <c r="L1911" s="5">
        <v>2975.0</v>
      </c>
      <c r="M1911" s="11">
        <v>-127.6955</v>
      </c>
      <c r="N1911" s="11">
        <v>55.8575</v>
      </c>
      <c r="O1911" s="11">
        <v>1480.0</v>
      </c>
      <c r="P1911" s="11" t="s">
        <v>6873</v>
      </c>
      <c r="Q1911" s="72">
        <v>7.0</v>
      </c>
      <c r="R1911" s="11" t="s">
        <v>6874</v>
      </c>
      <c r="S1911" s="11" t="s">
        <v>6646</v>
      </c>
    </row>
    <row r="1912" ht="14.25" customHeight="1">
      <c r="B1912" s="5">
        <v>14.0</v>
      </c>
      <c r="C1912" s="10" t="s">
        <v>6099</v>
      </c>
      <c r="D1912" s="5" t="s">
        <v>6877</v>
      </c>
      <c r="E1912" s="5">
        <v>2533.0</v>
      </c>
      <c r="F1912" s="10" t="s">
        <v>6878</v>
      </c>
      <c r="G1912" s="5" t="s">
        <v>6879</v>
      </c>
      <c r="H1912" s="5" t="s">
        <v>6880</v>
      </c>
      <c r="I1912" s="5" t="s">
        <v>1664</v>
      </c>
      <c r="J1912" s="5" t="s">
        <v>6645</v>
      </c>
      <c r="K1912" s="5">
        <v>1.0</v>
      </c>
      <c r="L1912" s="5">
        <v>2936.0</v>
      </c>
      <c r="M1912" s="11">
        <v>-121.6578333</v>
      </c>
      <c r="N1912" s="11">
        <v>49.66083333</v>
      </c>
      <c r="O1912" s="11">
        <v>1180.0</v>
      </c>
      <c r="P1912" s="11" t="s">
        <v>6877</v>
      </c>
      <c r="Q1912" s="72">
        <v>6.0</v>
      </c>
      <c r="R1912" s="11" t="s">
        <v>6881</v>
      </c>
      <c r="S1912" s="11" t="s">
        <v>6646</v>
      </c>
    </row>
    <row r="1913" ht="14.25" customHeight="1">
      <c r="B1913" s="5">
        <v>14.0</v>
      </c>
      <c r="C1913" s="10" t="s">
        <v>6099</v>
      </c>
      <c r="D1913" s="5" t="s">
        <v>6882</v>
      </c>
      <c r="E1913" s="5">
        <v>2546.0</v>
      </c>
      <c r="F1913" s="5" t="s">
        <v>6560</v>
      </c>
      <c r="G1913" s="5" t="s">
        <v>6883</v>
      </c>
      <c r="H1913" s="5" t="s">
        <v>6884</v>
      </c>
      <c r="I1913" s="5" t="s">
        <v>1664</v>
      </c>
      <c r="J1913" s="5" t="s">
        <v>5996</v>
      </c>
      <c r="K1913" s="5">
        <v>1.0</v>
      </c>
      <c r="L1913" s="5">
        <v>2949.0</v>
      </c>
    </row>
    <row r="1914" ht="14.25" customHeight="1">
      <c r="A1914" s="5" t="s">
        <v>422</v>
      </c>
      <c r="B1914" s="5">
        <v>14.0</v>
      </c>
      <c r="C1914" s="10" t="s">
        <v>5992</v>
      </c>
      <c r="D1914" s="5" t="s">
        <v>6001</v>
      </c>
      <c r="E1914" s="5">
        <v>2519.0</v>
      </c>
      <c r="F1914" s="5" t="s">
        <v>1685</v>
      </c>
      <c r="G1914" s="5" t="s">
        <v>6002</v>
      </c>
      <c r="H1914" s="5" t="s">
        <v>6000</v>
      </c>
      <c r="I1914" s="5" t="s">
        <v>1664</v>
      </c>
      <c r="J1914" s="5" t="s">
        <v>5996</v>
      </c>
      <c r="K1914" s="5">
        <v>1.0</v>
      </c>
      <c r="L1914" s="5">
        <v>2922.0</v>
      </c>
    </row>
    <row r="1915" ht="14.25" customHeight="1">
      <c r="B1915" s="5">
        <v>14.0</v>
      </c>
      <c r="C1915" s="10" t="s">
        <v>6099</v>
      </c>
      <c r="D1915" s="5" t="s">
        <v>6885</v>
      </c>
      <c r="E1915" s="5">
        <v>2525.0</v>
      </c>
      <c r="F1915" s="5" t="s">
        <v>6886</v>
      </c>
      <c r="G1915" s="5" t="s">
        <v>6887</v>
      </c>
      <c r="H1915" s="5" t="s">
        <v>6888</v>
      </c>
      <c r="I1915" s="5" t="s">
        <v>1664</v>
      </c>
      <c r="J1915" s="5" t="s">
        <v>6645</v>
      </c>
      <c r="K1915" s="5">
        <v>1.0</v>
      </c>
      <c r="L1915" s="5">
        <v>2928.0</v>
      </c>
      <c r="M1915" s="11">
        <v>-122.9398333</v>
      </c>
      <c r="N1915" s="11">
        <v>50.5395</v>
      </c>
      <c r="O1915" s="11">
        <v>1680.0</v>
      </c>
      <c r="P1915" s="11" t="s">
        <v>6885</v>
      </c>
      <c r="Q1915" s="72">
        <v>7.0</v>
      </c>
      <c r="R1915" s="11" t="s">
        <v>6886</v>
      </c>
      <c r="S1915" s="11" t="s">
        <v>6646</v>
      </c>
    </row>
    <row r="1916" ht="14.25" customHeight="1">
      <c r="B1916" s="5">
        <v>14.0</v>
      </c>
      <c r="C1916" s="10" t="s">
        <v>6099</v>
      </c>
      <c r="D1916" s="5" t="s">
        <v>6889</v>
      </c>
      <c r="E1916" s="5">
        <v>2557.0</v>
      </c>
      <c r="F1916" s="5" t="s">
        <v>6890</v>
      </c>
      <c r="G1916" s="5" t="s">
        <v>6891</v>
      </c>
      <c r="H1916" s="5" t="s">
        <v>6737</v>
      </c>
      <c r="I1916" s="5" t="s">
        <v>1664</v>
      </c>
      <c r="J1916" s="5" t="s">
        <v>6738</v>
      </c>
      <c r="K1916" s="5">
        <v>1.0</v>
      </c>
      <c r="L1916" s="5">
        <v>2960.0</v>
      </c>
    </row>
    <row r="1917" ht="14.25" customHeight="1">
      <c r="B1917" s="5">
        <v>14.0</v>
      </c>
      <c r="C1917" s="10" t="s">
        <v>6099</v>
      </c>
      <c r="D1917" s="5" t="s">
        <v>6892</v>
      </c>
      <c r="E1917" s="5">
        <v>12509.0</v>
      </c>
      <c r="F1917" s="5" t="s">
        <v>6893</v>
      </c>
      <c r="G1917" s="5" t="s">
        <v>6894</v>
      </c>
      <c r="H1917" s="5" t="s">
        <v>6895</v>
      </c>
      <c r="I1917" s="5" t="s">
        <v>49</v>
      </c>
      <c r="J1917" s="5" t="s">
        <v>6728</v>
      </c>
      <c r="K1917" s="5">
        <v>1.0</v>
      </c>
      <c r="L1917" s="5">
        <v>14531.0</v>
      </c>
      <c r="M1917" s="11">
        <v>-120.1881</v>
      </c>
      <c r="N1917" s="11">
        <v>49.74072</v>
      </c>
      <c r="O1917" s="11">
        <v>1420.0</v>
      </c>
      <c r="P1917" s="11" t="s">
        <v>6892</v>
      </c>
      <c r="Q1917" s="72">
        <v>5.0</v>
      </c>
      <c r="R1917" s="11" t="s">
        <v>6893</v>
      </c>
      <c r="S1917" s="11" t="s">
        <v>6646</v>
      </c>
    </row>
    <row r="1918" ht="14.25" customHeight="1">
      <c r="B1918" s="5">
        <v>14.0</v>
      </c>
      <c r="C1918" s="10" t="s">
        <v>6099</v>
      </c>
      <c r="D1918" s="5" t="s">
        <v>6896</v>
      </c>
      <c r="E1918" s="5">
        <v>2573.0</v>
      </c>
      <c r="F1918" s="5" t="s">
        <v>6897</v>
      </c>
      <c r="G1918" s="5" t="s">
        <v>6898</v>
      </c>
      <c r="H1918" s="5" t="s">
        <v>6899</v>
      </c>
      <c r="I1918" s="5" t="s">
        <v>1664</v>
      </c>
      <c r="J1918" s="5" t="s">
        <v>6645</v>
      </c>
      <c r="K1918" s="5">
        <v>1.0</v>
      </c>
      <c r="L1918" s="5">
        <v>2976.0</v>
      </c>
      <c r="M1918" s="11">
        <v>-127.6748333</v>
      </c>
      <c r="N1918" s="11">
        <v>54.64616667</v>
      </c>
      <c r="O1918" s="11">
        <v>1360.0</v>
      </c>
      <c r="P1918" s="11" t="s">
        <v>6896</v>
      </c>
      <c r="Q1918" s="72">
        <v>7.0</v>
      </c>
      <c r="R1918" s="11" t="s">
        <v>6897</v>
      </c>
      <c r="S1918" s="11" t="s">
        <v>6646</v>
      </c>
    </row>
    <row r="1919" ht="14.25" customHeight="1">
      <c r="B1919" s="5">
        <v>14.0</v>
      </c>
      <c r="C1919" s="10" t="s">
        <v>6099</v>
      </c>
      <c r="D1919" s="5" t="s">
        <v>6900</v>
      </c>
      <c r="E1919" s="5">
        <v>2579.0</v>
      </c>
      <c r="F1919" s="5" t="s">
        <v>6901</v>
      </c>
      <c r="G1919" s="5" t="s">
        <v>6902</v>
      </c>
      <c r="H1919" s="5" t="s">
        <v>6864</v>
      </c>
      <c r="I1919" s="5" t="s">
        <v>1664</v>
      </c>
      <c r="J1919" s="5" t="s">
        <v>6640</v>
      </c>
      <c r="K1919" s="5">
        <v>1.0</v>
      </c>
      <c r="L1919" s="5">
        <v>2982.0</v>
      </c>
    </row>
    <row r="1920" ht="14.25" customHeight="1">
      <c r="B1920" s="5">
        <v>14.0</v>
      </c>
      <c r="C1920" s="10" t="s">
        <v>6099</v>
      </c>
      <c r="D1920" s="5" t="s">
        <v>6903</v>
      </c>
      <c r="E1920" s="5">
        <v>2560.0</v>
      </c>
      <c r="F1920" s="10" t="s">
        <v>6904</v>
      </c>
      <c r="G1920" s="5" t="s">
        <v>6905</v>
      </c>
      <c r="H1920" s="5" t="s">
        <v>6906</v>
      </c>
      <c r="I1920" s="5" t="s">
        <v>1664</v>
      </c>
      <c r="J1920" s="5" t="s">
        <v>6645</v>
      </c>
      <c r="K1920" s="5">
        <v>1.0</v>
      </c>
      <c r="L1920" s="5">
        <v>2963.0</v>
      </c>
      <c r="M1920" s="11">
        <v>-124.6205</v>
      </c>
      <c r="N1920" s="11">
        <v>51.77616667</v>
      </c>
      <c r="O1920" s="11">
        <v>1650.0</v>
      </c>
      <c r="P1920" s="11" t="s">
        <v>6903</v>
      </c>
      <c r="Q1920" s="72">
        <v>8.0</v>
      </c>
      <c r="R1920" s="11" t="s">
        <v>6907</v>
      </c>
      <c r="S1920" s="11" t="s">
        <v>6646</v>
      </c>
    </row>
    <row r="1921" ht="14.25" customHeight="1">
      <c r="B1921" s="5">
        <v>14.0</v>
      </c>
      <c r="C1921" s="10" t="s">
        <v>6099</v>
      </c>
      <c r="D1921" s="5" t="s">
        <v>6908</v>
      </c>
      <c r="E1921" s="5">
        <v>2568.0</v>
      </c>
      <c r="F1921" s="5" t="s">
        <v>6909</v>
      </c>
      <c r="G1921" s="5" t="s">
        <v>6910</v>
      </c>
      <c r="H1921" s="5" t="s">
        <v>6911</v>
      </c>
      <c r="I1921" s="5" t="s">
        <v>1664</v>
      </c>
      <c r="J1921" s="5" t="s">
        <v>6733</v>
      </c>
      <c r="K1921" s="5">
        <v>1.0</v>
      </c>
      <c r="L1921" s="5">
        <v>2971.0</v>
      </c>
    </row>
    <row r="1922" ht="14.25" customHeight="1">
      <c r="B1922" s="5">
        <v>14.0</v>
      </c>
      <c r="C1922" s="10" t="s">
        <v>6099</v>
      </c>
      <c r="D1922" s="5" t="s">
        <v>6912</v>
      </c>
      <c r="E1922" s="5">
        <v>2561.0</v>
      </c>
      <c r="F1922" s="5" t="s">
        <v>6913</v>
      </c>
      <c r="G1922" s="5" t="s">
        <v>6914</v>
      </c>
      <c r="H1922" s="5" t="s">
        <v>6915</v>
      </c>
      <c r="I1922" s="5" t="s">
        <v>1664</v>
      </c>
      <c r="J1922" s="5" t="s">
        <v>6645</v>
      </c>
      <c r="K1922" s="5">
        <v>1.0</v>
      </c>
      <c r="L1922" s="5">
        <v>2964.0</v>
      </c>
      <c r="M1922" s="11">
        <v>-123.4360167</v>
      </c>
      <c r="N1922" s="11">
        <v>50.15408333</v>
      </c>
      <c r="O1922" s="11">
        <v>1340.0</v>
      </c>
      <c r="P1922" s="11" t="s">
        <v>6912</v>
      </c>
      <c r="Q1922" s="72">
        <v>7.0</v>
      </c>
      <c r="R1922" s="11" t="s">
        <v>6916</v>
      </c>
      <c r="S1922" s="11" t="s">
        <v>6646</v>
      </c>
    </row>
    <row r="1923" ht="14.25" customHeight="1">
      <c r="B1923" s="5">
        <v>14.0</v>
      </c>
      <c r="C1923" s="10" t="s">
        <v>6099</v>
      </c>
      <c r="D1923" s="5" t="s">
        <v>6917</v>
      </c>
      <c r="E1923" s="5">
        <v>2581.0</v>
      </c>
      <c r="F1923" s="5" t="s">
        <v>6918</v>
      </c>
      <c r="G1923" s="5" t="s">
        <v>6919</v>
      </c>
      <c r="H1923" s="5" t="s">
        <v>6920</v>
      </c>
      <c r="I1923" s="5" t="s">
        <v>1664</v>
      </c>
      <c r="J1923" s="5" t="s">
        <v>6663</v>
      </c>
      <c r="K1923" s="5">
        <v>1.0</v>
      </c>
      <c r="L1923" s="5">
        <v>2984.0</v>
      </c>
    </row>
    <row r="1924" ht="14.25" customHeight="1">
      <c r="B1924" s="5">
        <v>14.0</v>
      </c>
      <c r="C1924" s="10" t="s">
        <v>6099</v>
      </c>
      <c r="D1924" s="5" t="s">
        <v>6921</v>
      </c>
      <c r="E1924" s="5">
        <v>2582.0</v>
      </c>
      <c r="F1924" s="5" t="s">
        <v>6922</v>
      </c>
      <c r="G1924" s="5" t="s">
        <v>6923</v>
      </c>
      <c r="H1924" s="5" t="s">
        <v>6924</v>
      </c>
      <c r="I1924" s="5" t="s">
        <v>1664</v>
      </c>
      <c r="J1924" s="5" t="s">
        <v>6706</v>
      </c>
      <c r="K1924" s="5">
        <v>1.0</v>
      </c>
      <c r="L1924" s="5">
        <v>2985.0</v>
      </c>
    </row>
    <row r="1925" ht="14.25" customHeight="1">
      <c r="A1925" s="5" t="s">
        <v>5043</v>
      </c>
      <c r="B1925" s="5">
        <v>14.0</v>
      </c>
      <c r="C1925" s="10" t="s">
        <v>6636</v>
      </c>
      <c r="D1925" s="5" t="s">
        <v>6925</v>
      </c>
      <c r="E1925" s="5">
        <v>2526.0</v>
      </c>
      <c r="F1925" s="5" t="s">
        <v>6926</v>
      </c>
      <c r="G1925" s="5" t="s">
        <v>6927</v>
      </c>
      <c r="H1925" s="5" t="s">
        <v>6928</v>
      </c>
      <c r="I1925" s="5" t="s">
        <v>1664</v>
      </c>
      <c r="J1925" s="5" t="s">
        <v>6929</v>
      </c>
      <c r="K1925" s="5">
        <v>1.0</v>
      </c>
      <c r="L1925" s="5">
        <v>2929.0</v>
      </c>
    </row>
    <row r="1926" ht="14.25" customHeight="1">
      <c r="B1926" s="5">
        <v>14.0</v>
      </c>
      <c r="C1926" s="5" t="s">
        <v>6099</v>
      </c>
      <c r="D1926" s="5" t="s">
        <v>6930</v>
      </c>
      <c r="E1926" s="5">
        <v>2562.0</v>
      </c>
      <c r="F1926" s="5" t="s">
        <v>6931</v>
      </c>
      <c r="G1926" s="5" t="s">
        <v>6932</v>
      </c>
      <c r="H1926" s="5" t="s">
        <v>6933</v>
      </c>
      <c r="I1926" s="5" t="s">
        <v>1664</v>
      </c>
      <c r="J1926" s="5" t="s">
        <v>5996</v>
      </c>
      <c r="K1926" s="5">
        <v>1.0</v>
      </c>
      <c r="L1926" s="5">
        <v>2965.0</v>
      </c>
    </row>
    <row r="1927" ht="14.25" customHeight="1">
      <c r="B1927" s="5">
        <v>14.0</v>
      </c>
      <c r="C1927" s="5" t="s">
        <v>6099</v>
      </c>
      <c r="D1927" s="5" t="s">
        <v>6934</v>
      </c>
      <c r="E1927" s="5">
        <v>2524.0</v>
      </c>
      <c r="F1927" s="5" t="s">
        <v>6935</v>
      </c>
      <c r="G1927" s="5" t="s">
        <v>6936</v>
      </c>
      <c r="H1927" s="5" t="s">
        <v>6937</v>
      </c>
      <c r="I1927" s="5" t="s">
        <v>1664</v>
      </c>
      <c r="J1927" s="5" t="s">
        <v>6645</v>
      </c>
      <c r="K1927" s="5">
        <v>1.0</v>
      </c>
      <c r="L1927" s="5">
        <v>2927.0</v>
      </c>
      <c r="M1927" s="11">
        <v>-121.3548333</v>
      </c>
      <c r="N1927" s="11">
        <v>52.83166667</v>
      </c>
      <c r="O1927" s="11">
        <v>1670.0</v>
      </c>
      <c r="P1927" s="11" t="s">
        <v>6934</v>
      </c>
      <c r="Q1927" s="72">
        <v>5.0</v>
      </c>
      <c r="R1927" s="11" t="s">
        <v>6938</v>
      </c>
      <c r="S1927" s="11" t="s">
        <v>6646</v>
      </c>
    </row>
    <row r="1928" ht="14.25" customHeight="1">
      <c r="B1928" s="5">
        <v>14.0</v>
      </c>
      <c r="C1928" s="5" t="s">
        <v>6099</v>
      </c>
      <c r="D1928" s="5" t="s">
        <v>6939</v>
      </c>
      <c r="E1928" s="5">
        <v>2512.0</v>
      </c>
      <c r="F1928" s="5" t="s">
        <v>1377</v>
      </c>
      <c r="G1928" s="5" t="s">
        <v>6940</v>
      </c>
      <c r="H1928" s="5" t="s">
        <v>6941</v>
      </c>
      <c r="I1928" s="5" t="s">
        <v>1664</v>
      </c>
      <c r="J1928" s="5" t="s">
        <v>6645</v>
      </c>
      <c r="K1928" s="5">
        <v>1.0</v>
      </c>
      <c r="L1928" s="5">
        <v>2915.0</v>
      </c>
      <c r="M1928" s="11">
        <v>-118.5476667</v>
      </c>
      <c r="N1928" s="11">
        <v>52.90666667</v>
      </c>
      <c r="O1928" s="11">
        <v>1860.0</v>
      </c>
      <c r="P1928" s="11" t="s">
        <v>6939</v>
      </c>
      <c r="Q1928" s="72">
        <v>6.0</v>
      </c>
      <c r="R1928" s="11" t="s">
        <v>6942</v>
      </c>
      <c r="S1928" s="11" t="s">
        <v>6646</v>
      </c>
    </row>
    <row r="1929" ht="14.25" customHeight="1">
      <c r="A1929" s="106" t="s">
        <v>1908</v>
      </c>
      <c r="B1929" s="106">
        <v>14.0</v>
      </c>
      <c r="C1929" s="106" t="s">
        <v>6099</v>
      </c>
      <c r="D1929" s="106" t="s">
        <v>6943</v>
      </c>
      <c r="E1929" s="106">
        <v>12954.0</v>
      </c>
      <c r="F1929" s="12" t="s">
        <v>6944</v>
      </c>
      <c r="G1929" s="12" t="s">
        <v>6945</v>
      </c>
      <c r="H1929" s="5" t="s">
        <v>6946</v>
      </c>
      <c r="I1929" s="5" t="s">
        <v>49</v>
      </c>
      <c r="J1929" s="5" t="s">
        <v>6728</v>
      </c>
      <c r="K1929" s="5">
        <v>1.0</v>
      </c>
      <c r="L1929" s="5">
        <v>14886.0</v>
      </c>
      <c r="M1929" s="11">
        <v>-119.0621</v>
      </c>
      <c r="N1929" s="11">
        <v>50.37136</v>
      </c>
      <c r="O1929" s="11">
        <v>1839.0</v>
      </c>
      <c r="P1929" s="11" t="s">
        <v>6943</v>
      </c>
      <c r="Q1929" s="72">
        <v>6.0</v>
      </c>
      <c r="R1929" s="11" t="s">
        <v>6947</v>
      </c>
      <c r="S1929" s="11" t="s">
        <v>6646</v>
      </c>
      <c r="AF1929" s="107"/>
      <c r="AG1929" s="107"/>
      <c r="AH1929" s="107"/>
    </row>
    <row r="1930" ht="14.25" customHeight="1">
      <c r="A1930" s="5" t="s">
        <v>6948</v>
      </c>
      <c r="B1930" s="5">
        <v>14.0</v>
      </c>
      <c r="C1930" s="5" t="s">
        <v>6099</v>
      </c>
      <c r="D1930" s="5" t="s">
        <v>6949</v>
      </c>
      <c r="E1930" s="5">
        <v>13008.0</v>
      </c>
      <c r="F1930" s="12" t="s">
        <v>6950</v>
      </c>
      <c r="G1930" s="10" t="s">
        <v>6951</v>
      </c>
      <c r="H1930" s="5" t="s">
        <v>6952</v>
      </c>
      <c r="I1930" s="5" t="s">
        <v>49</v>
      </c>
      <c r="J1930" s="5" t="s">
        <v>6953</v>
      </c>
      <c r="K1930" s="5">
        <v>1.0</v>
      </c>
      <c r="L1930" s="5">
        <v>14940.0</v>
      </c>
    </row>
    <row r="1931" ht="14.25" customHeight="1">
      <c r="A1931" s="5" t="s">
        <v>1908</v>
      </c>
      <c r="B1931" s="5">
        <v>14.0</v>
      </c>
      <c r="C1931" s="5" t="s">
        <v>6099</v>
      </c>
      <c r="D1931" s="5" t="s">
        <v>6954</v>
      </c>
      <c r="E1931" s="5">
        <v>13009.0</v>
      </c>
      <c r="F1931" s="12" t="s">
        <v>6955</v>
      </c>
      <c r="G1931" s="10" t="s">
        <v>6956</v>
      </c>
      <c r="H1931" s="5" t="s">
        <v>6957</v>
      </c>
      <c r="I1931" s="5" t="s">
        <v>49</v>
      </c>
      <c r="J1931" s="5" t="s">
        <v>6728</v>
      </c>
      <c r="K1931" s="5">
        <v>1.0</v>
      </c>
      <c r="L1931" s="5">
        <v>14941.0</v>
      </c>
      <c r="M1931" s="11">
        <v>-120.862891</v>
      </c>
      <c r="N1931" s="11">
        <v>49.855951</v>
      </c>
      <c r="O1931" s="11">
        <v>1460.0</v>
      </c>
      <c r="P1931" s="11" t="s">
        <v>6954</v>
      </c>
      <c r="Q1931" s="72">
        <v>6.0</v>
      </c>
      <c r="R1931" s="11" t="s">
        <v>6958</v>
      </c>
      <c r="S1931" s="11" t="s">
        <v>6646</v>
      </c>
      <c r="AA1931" s="107"/>
      <c r="AB1931" s="107"/>
      <c r="AC1931" s="107"/>
      <c r="AD1931" s="107"/>
      <c r="AE1931" s="107"/>
      <c r="AF1931" s="107"/>
      <c r="AG1931" s="107"/>
      <c r="AH1931" s="107"/>
    </row>
    <row r="1932" ht="14.25" customHeight="1">
      <c r="A1932" s="5" t="s">
        <v>6959</v>
      </c>
      <c r="B1932" s="107">
        <v>5.0</v>
      </c>
      <c r="C1932" s="92" t="s">
        <v>6003</v>
      </c>
      <c r="D1932" s="12" t="s">
        <v>6960</v>
      </c>
      <c r="F1932" s="12" t="s">
        <v>6961</v>
      </c>
      <c r="G1932" s="12" t="s">
        <v>6962</v>
      </c>
      <c r="M1932" s="11">
        <v>-115.7673333</v>
      </c>
      <c r="N1932" s="11">
        <v>49.25216667</v>
      </c>
      <c r="O1932" s="11">
        <v>1930.0</v>
      </c>
      <c r="P1932" s="93" t="s">
        <v>6963</v>
      </c>
      <c r="Q1932" s="72">
        <v>7.0</v>
      </c>
      <c r="R1932" s="11" t="s">
        <v>6836</v>
      </c>
      <c r="S1932" s="11" t="s">
        <v>6009</v>
      </c>
    </row>
    <row r="1933" ht="14.25" customHeight="1">
      <c r="A1933" s="5" t="s">
        <v>138</v>
      </c>
      <c r="B1933" s="107">
        <v>5.0</v>
      </c>
      <c r="C1933" s="92" t="s">
        <v>6003</v>
      </c>
      <c r="D1933" s="12" t="s">
        <v>6964</v>
      </c>
      <c r="F1933" s="12" t="s">
        <v>6965</v>
      </c>
      <c r="G1933" s="12" t="s">
        <v>6966</v>
      </c>
      <c r="M1933" s="11">
        <v>-125.2881667</v>
      </c>
      <c r="N1933" s="11">
        <v>49.60536111</v>
      </c>
      <c r="O1933" s="11">
        <v>280.0</v>
      </c>
      <c r="P1933" s="18" t="s">
        <v>6967</v>
      </c>
      <c r="Q1933" s="72">
        <v>5.0</v>
      </c>
      <c r="R1933" s="11" t="s">
        <v>6968</v>
      </c>
      <c r="S1933" s="11" t="s">
        <v>6009</v>
      </c>
    </row>
    <row r="1934" ht="14.25" customHeight="1">
      <c r="A1934" s="5" t="s">
        <v>138</v>
      </c>
      <c r="B1934" s="107">
        <v>14.0</v>
      </c>
      <c r="C1934" s="94" t="s">
        <v>6969</v>
      </c>
      <c r="D1934" s="12" t="s">
        <v>6970</v>
      </c>
      <c r="F1934" s="12" t="s">
        <v>6971</v>
      </c>
      <c r="G1934" s="10" t="str">
        <f t="shared" ref="G1934:G1951" si="16">TEXT(CONCATENATE("-&gt; ",-1*M1934," W, ", N1934, "N, Elev. ",O1934," m"),1)</f>
        <v>-&gt; 121.08547 W, 49.70764N, Elev. 1860 m</v>
      </c>
      <c r="M1934" s="11">
        <v>-121.08547</v>
      </c>
      <c r="N1934" s="11">
        <v>49.70764</v>
      </c>
      <c r="O1934" s="11">
        <v>1860.0</v>
      </c>
      <c r="P1934" s="11" t="s">
        <v>6972</v>
      </c>
      <c r="Q1934" s="72">
        <v>8.0</v>
      </c>
      <c r="R1934" s="11" t="s">
        <v>6973</v>
      </c>
      <c r="S1934" s="11" t="s">
        <v>6646</v>
      </c>
    </row>
    <row r="1935" ht="14.25" customHeight="1">
      <c r="A1935" s="5" t="s">
        <v>138</v>
      </c>
      <c r="B1935" s="107">
        <v>14.0</v>
      </c>
      <c r="C1935" s="94" t="s">
        <v>6969</v>
      </c>
      <c r="D1935" s="12" t="s">
        <v>6974</v>
      </c>
      <c r="F1935" s="12" t="s">
        <v>6975</v>
      </c>
      <c r="G1935" s="10" t="str">
        <f t="shared" si="16"/>
        <v>-&gt; 120.28227 W, 49.948639N, Elev. 1640 m</v>
      </c>
      <c r="M1935" s="11">
        <v>-120.28227</v>
      </c>
      <c r="N1935" s="11">
        <v>49.948639</v>
      </c>
      <c r="O1935" s="11">
        <v>1640.0</v>
      </c>
      <c r="P1935" s="11" t="s">
        <v>6976</v>
      </c>
      <c r="Q1935" s="72">
        <v>7.0</v>
      </c>
      <c r="R1935" s="11" t="s">
        <v>6977</v>
      </c>
      <c r="S1935" s="11" t="s">
        <v>6646</v>
      </c>
    </row>
    <row r="1936" ht="14.25" customHeight="1">
      <c r="A1936" s="5" t="s">
        <v>138</v>
      </c>
      <c r="B1936" s="107">
        <v>14.0</v>
      </c>
      <c r="C1936" s="94" t="s">
        <v>6969</v>
      </c>
      <c r="D1936" s="12" t="s">
        <v>6978</v>
      </c>
      <c r="F1936" s="12" t="s">
        <v>6979</v>
      </c>
      <c r="G1936" s="10" t="str">
        <f t="shared" si="16"/>
        <v>-&gt; 120.60969 W, 51.09851N, Elev. 1430 m</v>
      </c>
      <c r="M1936" s="11">
        <v>-120.60969</v>
      </c>
      <c r="N1936" s="11">
        <v>51.09851</v>
      </c>
      <c r="O1936" s="11">
        <v>1430.0</v>
      </c>
      <c r="P1936" s="11" t="s">
        <v>6980</v>
      </c>
      <c r="Q1936" s="72">
        <v>6.0</v>
      </c>
      <c r="R1936" s="11" t="s">
        <v>6981</v>
      </c>
      <c r="S1936" s="11" t="s">
        <v>6646</v>
      </c>
    </row>
    <row r="1937" ht="14.25" customHeight="1">
      <c r="A1937" s="5" t="s">
        <v>138</v>
      </c>
      <c r="B1937" s="107">
        <v>14.0</v>
      </c>
      <c r="C1937" s="94" t="s">
        <v>6969</v>
      </c>
      <c r="D1937" s="12" t="s">
        <v>6982</v>
      </c>
      <c r="F1937" s="12" t="s">
        <v>6983</v>
      </c>
      <c r="G1937" s="10" t="str">
        <f t="shared" si="16"/>
        <v>-&gt; 120.56057 W, 52.74882N, Elev. 1740 m</v>
      </c>
      <c r="M1937" s="11">
        <v>-120.56057</v>
      </c>
      <c r="N1937" s="11">
        <v>52.74882</v>
      </c>
      <c r="O1937" s="11">
        <v>1740.0</v>
      </c>
      <c r="P1937" s="11" t="s">
        <v>6984</v>
      </c>
      <c r="Q1937" s="72">
        <v>6.0</v>
      </c>
      <c r="R1937" s="11" t="s">
        <v>6985</v>
      </c>
      <c r="S1937" s="11" t="s">
        <v>6646</v>
      </c>
    </row>
    <row r="1938" ht="14.25" customHeight="1">
      <c r="A1938" s="5" t="s">
        <v>138</v>
      </c>
      <c r="B1938" s="107">
        <v>14.0</v>
      </c>
      <c r="C1938" s="94" t="s">
        <v>6969</v>
      </c>
      <c r="D1938" s="12" t="s">
        <v>6986</v>
      </c>
      <c r="F1938" s="12" t="s">
        <v>6987</v>
      </c>
      <c r="G1938" s="10" t="str">
        <f t="shared" si="16"/>
        <v>-&gt; 124.15273 W, 52.109N, Elev. 920 m</v>
      </c>
      <c r="M1938" s="11">
        <v>-124.15273</v>
      </c>
      <c r="N1938" s="11">
        <v>52.109</v>
      </c>
      <c r="O1938" s="11">
        <v>920.0</v>
      </c>
      <c r="P1938" s="11" t="s">
        <v>6988</v>
      </c>
      <c r="Q1938" s="72">
        <v>2.0</v>
      </c>
      <c r="R1938" s="11" t="s">
        <v>6989</v>
      </c>
      <c r="S1938" s="11" t="s">
        <v>6646</v>
      </c>
    </row>
    <row r="1939" ht="14.25" customHeight="1">
      <c r="A1939" s="5" t="s">
        <v>138</v>
      </c>
      <c r="B1939" s="107">
        <v>14.0</v>
      </c>
      <c r="C1939" s="94" t="s">
        <v>6969</v>
      </c>
      <c r="D1939" s="12" t="s">
        <v>6990</v>
      </c>
      <c r="F1939" s="12" t="s">
        <v>6991</v>
      </c>
      <c r="G1939" s="10" t="str">
        <f t="shared" si="16"/>
        <v>-&gt; 121.25604 W, 51.90453N, Elev. 1630 m</v>
      </c>
      <c r="M1939" s="11">
        <v>-121.25604</v>
      </c>
      <c r="N1939" s="11">
        <v>51.90453</v>
      </c>
      <c r="O1939" s="11">
        <v>1630.0</v>
      </c>
      <c r="P1939" s="11" t="s">
        <v>6992</v>
      </c>
      <c r="Q1939" s="72">
        <v>8.0</v>
      </c>
      <c r="R1939" s="11" t="s">
        <v>6993</v>
      </c>
      <c r="S1939" s="11" t="s">
        <v>6646</v>
      </c>
    </row>
    <row r="1940" ht="14.25" customHeight="1">
      <c r="A1940" s="5" t="s">
        <v>138</v>
      </c>
      <c r="B1940" s="107">
        <v>14.0</v>
      </c>
      <c r="C1940" s="94" t="s">
        <v>6969</v>
      </c>
      <c r="D1940" s="12" t="s">
        <v>6994</v>
      </c>
      <c r="F1940" s="12" t="s">
        <v>6995</v>
      </c>
      <c r="G1940" s="10" t="str">
        <f t="shared" si="16"/>
        <v>-&gt; 121.443056 W, 53.95083N, Elev. 1693 m</v>
      </c>
      <c r="M1940" s="11">
        <v>-121.443056</v>
      </c>
      <c r="N1940" s="11">
        <v>53.95083</v>
      </c>
      <c r="O1940" s="11">
        <v>1693.0</v>
      </c>
      <c r="P1940" s="11" t="s">
        <v>6996</v>
      </c>
      <c r="Q1940" s="72">
        <v>8.0</v>
      </c>
      <c r="R1940" s="11" t="s">
        <v>6997</v>
      </c>
      <c r="S1940" s="11" t="s">
        <v>6646</v>
      </c>
    </row>
    <row r="1941" ht="14.25" customHeight="1">
      <c r="A1941" s="5" t="s">
        <v>138</v>
      </c>
      <c r="B1941" s="107">
        <v>14.0</v>
      </c>
      <c r="C1941" s="94" t="s">
        <v>6969</v>
      </c>
      <c r="D1941" s="12" t="s">
        <v>6998</v>
      </c>
      <c r="F1941" s="12" t="s">
        <v>6999</v>
      </c>
      <c r="G1941" s="10" t="str">
        <f t="shared" si="16"/>
        <v>-&gt; 119.940639 W, 51.808369N, Elev. 1880 m</v>
      </c>
      <c r="M1941" s="11">
        <v>-119.940639</v>
      </c>
      <c r="N1941" s="11">
        <v>51.808369</v>
      </c>
      <c r="O1941" s="11">
        <v>1880.0</v>
      </c>
      <c r="P1941" s="11" t="s">
        <v>7000</v>
      </c>
      <c r="Q1941" s="72">
        <v>6.0</v>
      </c>
      <c r="R1941" s="11" t="s">
        <v>7001</v>
      </c>
      <c r="S1941" s="11" t="s">
        <v>6646</v>
      </c>
    </row>
    <row r="1942" ht="14.25" customHeight="1">
      <c r="A1942" s="5" t="s">
        <v>138</v>
      </c>
      <c r="B1942" s="107">
        <v>14.0</v>
      </c>
      <c r="C1942" s="94" t="s">
        <v>6969</v>
      </c>
      <c r="D1942" s="12" t="s">
        <v>7002</v>
      </c>
      <c r="F1942" s="12" t="s">
        <v>7003</v>
      </c>
      <c r="G1942" s="10" t="str">
        <f t="shared" si="16"/>
        <v>-&gt; 118.13016 W, 49.27017N, Elev. 1230 m</v>
      </c>
      <c r="M1942" s="11">
        <v>-118.13016</v>
      </c>
      <c r="N1942" s="11">
        <v>49.27017</v>
      </c>
      <c r="O1942" s="11">
        <v>1230.0</v>
      </c>
      <c r="P1942" s="11" t="s">
        <v>7004</v>
      </c>
      <c r="Q1942" s="72">
        <v>3.0</v>
      </c>
      <c r="R1942" s="11" t="s">
        <v>7005</v>
      </c>
      <c r="S1942" s="11" t="s">
        <v>6646</v>
      </c>
    </row>
    <row r="1943" ht="14.25" customHeight="1">
      <c r="A1943" s="5" t="s">
        <v>138</v>
      </c>
      <c r="B1943" s="107">
        <v>14.0</v>
      </c>
      <c r="C1943" s="94" t="s">
        <v>6969</v>
      </c>
      <c r="D1943" s="12" t="s">
        <v>7006</v>
      </c>
      <c r="F1943" s="12" t="s">
        <v>7007</v>
      </c>
      <c r="G1943" s="10" t="str">
        <f t="shared" si="16"/>
        <v>-&gt; 116.6788 W, 49.61142N, Elev. 1650 m</v>
      </c>
      <c r="M1943" s="11">
        <v>-116.6788</v>
      </c>
      <c r="N1943" s="11">
        <v>49.61142</v>
      </c>
      <c r="O1943" s="11">
        <v>1650.0</v>
      </c>
      <c r="P1943" s="11" t="s">
        <v>7008</v>
      </c>
      <c r="Q1943" s="72">
        <v>5.0</v>
      </c>
      <c r="R1943" s="11" t="s">
        <v>7009</v>
      </c>
      <c r="S1943" s="11" t="s">
        <v>6646</v>
      </c>
    </row>
    <row r="1944" ht="14.25" customHeight="1">
      <c r="A1944" s="5" t="s">
        <v>138</v>
      </c>
      <c r="B1944" s="107">
        <v>14.0</v>
      </c>
      <c r="C1944" s="94" t="s">
        <v>6969</v>
      </c>
      <c r="D1944" s="12" t="s">
        <v>7010</v>
      </c>
      <c r="F1944" s="12" t="s">
        <v>7011</v>
      </c>
      <c r="G1944" s="10" t="str">
        <f t="shared" si="16"/>
        <v>-&gt; 116.6584 W, 49.61656N, Elev. 1930 m</v>
      </c>
      <c r="M1944" s="11">
        <v>-116.6584</v>
      </c>
      <c r="N1944" s="11">
        <v>49.61656</v>
      </c>
      <c r="O1944" s="11">
        <v>1930.0</v>
      </c>
      <c r="P1944" s="11" t="s">
        <v>7012</v>
      </c>
      <c r="Q1944" s="72">
        <v>7.0</v>
      </c>
      <c r="R1944" s="11" t="s">
        <v>7013</v>
      </c>
      <c r="S1944" s="11" t="s">
        <v>6646</v>
      </c>
    </row>
    <row r="1945" ht="14.25" customHeight="1">
      <c r="A1945" s="5" t="s">
        <v>138</v>
      </c>
      <c r="B1945" s="107">
        <v>14.0</v>
      </c>
      <c r="C1945" s="94" t="s">
        <v>6969</v>
      </c>
      <c r="D1945" s="12" t="s">
        <v>7014</v>
      </c>
      <c r="F1945" s="12" t="s">
        <v>7015</v>
      </c>
      <c r="G1945" s="10" t="str">
        <f t="shared" si="16"/>
        <v>-&gt; 119.12403 W, 49.76731N, Elev. 1245 m</v>
      </c>
      <c r="M1945" s="11">
        <v>-119.12403</v>
      </c>
      <c r="N1945" s="11">
        <v>49.76731</v>
      </c>
      <c r="O1945" s="11">
        <v>1245.0</v>
      </c>
      <c r="P1945" s="11" t="s">
        <v>7016</v>
      </c>
      <c r="Q1945" s="72">
        <v>4.0</v>
      </c>
      <c r="R1945" s="11" t="s">
        <v>997</v>
      </c>
      <c r="S1945" s="11" t="s">
        <v>6646</v>
      </c>
    </row>
    <row r="1946" ht="14.25" customHeight="1">
      <c r="A1946" s="5" t="s">
        <v>138</v>
      </c>
      <c r="B1946" s="107">
        <v>14.0</v>
      </c>
      <c r="C1946" s="94" t="s">
        <v>6969</v>
      </c>
      <c r="D1946" s="12" t="s">
        <v>7017</v>
      </c>
      <c r="F1946" s="12" t="s">
        <v>7018</v>
      </c>
      <c r="G1946" s="10" t="str">
        <f t="shared" si="16"/>
        <v>-&gt; 119.279 W, 50.11633N, Elev. 1360 m</v>
      </c>
      <c r="M1946" s="11">
        <v>-119.279</v>
      </c>
      <c r="N1946" s="11">
        <v>50.11633</v>
      </c>
      <c r="O1946" s="11">
        <v>1360.0</v>
      </c>
      <c r="P1946" s="11" t="s">
        <v>7019</v>
      </c>
      <c r="Q1946" s="72">
        <v>5.0</v>
      </c>
      <c r="R1946" s="11" t="s">
        <v>7020</v>
      </c>
      <c r="S1946" s="11" t="s">
        <v>6646</v>
      </c>
    </row>
    <row r="1947" ht="14.25" customHeight="1">
      <c r="A1947" s="5" t="s">
        <v>138</v>
      </c>
      <c r="B1947" s="107">
        <v>14.0</v>
      </c>
      <c r="C1947" s="94" t="s">
        <v>6969</v>
      </c>
      <c r="D1947" s="12" t="s">
        <v>7021</v>
      </c>
      <c r="F1947" s="12" t="s">
        <v>7022</v>
      </c>
      <c r="G1947" s="10" t="str">
        <f t="shared" si="16"/>
        <v>-&gt; 119.7461 W, 50.01691N, Elev. 1795 m</v>
      </c>
      <c r="M1947" s="11">
        <v>-119.7461</v>
      </c>
      <c r="N1947" s="11">
        <v>50.01691</v>
      </c>
      <c r="O1947" s="11">
        <v>1795.0</v>
      </c>
      <c r="P1947" s="10" t="s">
        <v>7023</v>
      </c>
      <c r="Q1947" s="72">
        <v>8.0</v>
      </c>
      <c r="R1947" s="11" t="s">
        <v>7024</v>
      </c>
      <c r="S1947" s="11" t="s">
        <v>6646</v>
      </c>
    </row>
    <row r="1948" ht="14.25" customHeight="1">
      <c r="A1948" s="5" t="s">
        <v>138</v>
      </c>
      <c r="B1948" s="107">
        <v>14.0</v>
      </c>
      <c r="C1948" s="94" t="s">
        <v>6969</v>
      </c>
      <c r="D1948" s="12" t="s">
        <v>7025</v>
      </c>
      <c r="F1948" s="12" t="s">
        <v>7026</v>
      </c>
      <c r="G1948" s="10" t="str">
        <f t="shared" si="16"/>
        <v>-&gt; 120.79439 W, 49.49914N, Elev. 1480 m</v>
      </c>
      <c r="M1948" s="11">
        <v>-120.79439</v>
      </c>
      <c r="N1948" s="11">
        <v>49.49914</v>
      </c>
      <c r="O1948" s="11">
        <v>1480.0</v>
      </c>
      <c r="P1948" s="11" t="s">
        <v>7027</v>
      </c>
      <c r="Q1948" s="72">
        <v>6.0</v>
      </c>
      <c r="R1948" s="11" t="s">
        <v>7028</v>
      </c>
      <c r="S1948" s="11" t="s">
        <v>6646</v>
      </c>
    </row>
    <row r="1949" ht="14.25" customHeight="1">
      <c r="A1949" s="5" t="s">
        <v>138</v>
      </c>
      <c r="B1949" s="107">
        <v>14.0</v>
      </c>
      <c r="C1949" s="94" t="s">
        <v>6969</v>
      </c>
      <c r="D1949" s="12" t="s">
        <v>7029</v>
      </c>
      <c r="F1949" s="12" t="s">
        <v>7030</v>
      </c>
      <c r="G1949" s="10" t="str">
        <f t="shared" si="16"/>
        <v>-&gt; 124.567776 W, 49.207376N, Elev. 1460 m</v>
      </c>
      <c r="M1949" s="11">
        <v>-124.567776</v>
      </c>
      <c r="N1949" s="11">
        <v>49.207376</v>
      </c>
      <c r="O1949" s="11">
        <v>1460.0</v>
      </c>
      <c r="P1949" s="11" t="s">
        <v>7031</v>
      </c>
      <c r="Q1949" s="72">
        <v>8.0</v>
      </c>
      <c r="R1949" s="11" t="s">
        <v>7032</v>
      </c>
      <c r="S1949" s="11" t="s">
        <v>6646</v>
      </c>
    </row>
    <row r="1950" ht="14.25" customHeight="1">
      <c r="A1950" s="5" t="s">
        <v>138</v>
      </c>
      <c r="B1950" s="107">
        <v>14.0</v>
      </c>
      <c r="C1950" s="94" t="s">
        <v>6969</v>
      </c>
      <c r="D1950" s="12" t="s">
        <v>7033</v>
      </c>
      <c r="F1950" s="12" t="s">
        <v>7034</v>
      </c>
      <c r="G1950" s="10" t="str">
        <f t="shared" si="16"/>
        <v>-&gt; 123.604999 W, 49.597854N, Elev. 1423 m</v>
      </c>
      <c r="M1950" s="11">
        <v>-123.604999</v>
      </c>
      <c r="N1950" s="11">
        <v>49.597854</v>
      </c>
      <c r="O1950" s="11">
        <v>1423.0</v>
      </c>
      <c r="P1950" s="11" t="s">
        <v>7035</v>
      </c>
      <c r="Q1950" s="72">
        <v>7.0</v>
      </c>
      <c r="R1950" s="11" t="s">
        <v>7036</v>
      </c>
      <c r="S1950" s="11" t="s">
        <v>6646</v>
      </c>
    </row>
    <row r="1951" ht="14.25" customHeight="1">
      <c r="A1951" s="5" t="s">
        <v>138</v>
      </c>
      <c r="B1951" s="107">
        <v>14.0</v>
      </c>
      <c r="C1951" s="94" t="s">
        <v>6969</v>
      </c>
      <c r="D1951" s="12" t="s">
        <v>7037</v>
      </c>
      <c r="F1951" s="12" t="s">
        <v>7038</v>
      </c>
      <c r="G1951" s="10" t="str">
        <f t="shared" si="16"/>
        <v>-&gt; 130.0661 W, 56.24674N, Elev. 790 m</v>
      </c>
      <c r="M1951" s="11">
        <v>-130.0661</v>
      </c>
      <c r="N1951" s="11">
        <v>56.24674</v>
      </c>
      <c r="O1951" s="11">
        <v>790.0</v>
      </c>
      <c r="P1951" s="11" t="s">
        <v>6749</v>
      </c>
      <c r="Q1951" s="72">
        <v>4.0</v>
      </c>
      <c r="R1951" s="11" t="s">
        <v>7039</v>
      </c>
      <c r="S1951" s="11" t="s">
        <v>6646</v>
      </c>
    </row>
    <row r="1952" ht="14.25" customHeight="1">
      <c r="A1952" s="6" t="s">
        <v>138</v>
      </c>
      <c r="C1952" s="12" t="s">
        <v>5977</v>
      </c>
      <c r="D1952" s="12" t="s">
        <v>7040</v>
      </c>
      <c r="F1952" s="12" t="s">
        <v>7041</v>
      </c>
      <c r="G1952" s="12" t="s">
        <v>7042</v>
      </c>
      <c r="M1952" s="11">
        <v>49.38666667</v>
      </c>
      <c r="N1952" s="11">
        <v>-123.1194444</v>
      </c>
      <c r="O1952" s="11" t="s">
        <v>51</v>
      </c>
      <c r="P1952" s="11" t="s">
        <v>7043</v>
      </c>
      <c r="Q1952" s="22">
        <v>2.0</v>
      </c>
      <c r="R1952" s="11" t="s">
        <v>7044</v>
      </c>
      <c r="S1952" s="11" t="s">
        <v>3115</v>
      </c>
      <c r="T1952" s="11">
        <v>250.0</v>
      </c>
      <c r="U1952" s="11"/>
      <c r="V1952" s="11" t="s">
        <v>7045</v>
      </c>
      <c r="W1952" s="11">
        <v>2002.0</v>
      </c>
      <c r="X1952" s="11" t="s">
        <v>3117</v>
      </c>
      <c r="Y1952" s="11" t="s">
        <v>3118</v>
      </c>
      <c r="Z1952" s="11"/>
      <c r="AA1952" s="11"/>
      <c r="AB1952" s="11"/>
      <c r="AC1952" s="11" t="s">
        <v>55</v>
      </c>
      <c r="AD1952" s="11" t="s">
        <v>56</v>
      </c>
      <c r="AE1952" s="11" t="s">
        <v>66</v>
      </c>
      <c r="AF1952" s="11"/>
      <c r="AG1952" s="11"/>
      <c r="AH1952" s="11" t="s">
        <v>3119</v>
      </c>
      <c r="AI1952" s="11"/>
      <c r="AJ1952" s="11" t="s">
        <v>59</v>
      </c>
      <c r="AK1952" s="11"/>
      <c r="AL1952" s="11"/>
      <c r="AM1952" s="11"/>
    </row>
    <row r="1953" ht="14.25" customHeight="1">
      <c r="A1953" s="6" t="s">
        <v>138</v>
      </c>
      <c r="C1953" s="12" t="s">
        <v>5977</v>
      </c>
      <c r="D1953" s="12" t="s">
        <v>7046</v>
      </c>
      <c r="F1953" s="12" t="s">
        <v>7047</v>
      </c>
      <c r="G1953" s="12" t="s">
        <v>7048</v>
      </c>
      <c r="M1953" s="11">
        <v>49.4616</v>
      </c>
      <c r="N1953" s="11">
        <v>-123.1311</v>
      </c>
      <c r="O1953" s="11" t="s">
        <v>51</v>
      </c>
      <c r="P1953" s="11" t="s">
        <v>7049</v>
      </c>
      <c r="Q1953" s="22">
        <v>4.0</v>
      </c>
      <c r="R1953" s="11" t="s">
        <v>7050</v>
      </c>
      <c r="S1953" s="11" t="s">
        <v>3115</v>
      </c>
      <c r="T1953" s="11">
        <v>600.0</v>
      </c>
      <c r="U1953" s="11"/>
      <c r="V1953" s="11" t="s">
        <v>7051</v>
      </c>
      <c r="W1953" s="11">
        <v>2023.0</v>
      </c>
      <c r="X1953" s="11" t="s">
        <v>3117</v>
      </c>
      <c r="Y1953" s="11" t="s">
        <v>3118</v>
      </c>
      <c r="Z1953" s="11"/>
      <c r="AA1953" s="11"/>
      <c r="AB1953" s="11"/>
      <c r="AC1953" s="11" t="s">
        <v>55</v>
      </c>
      <c r="AD1953" s="11" t="s">
        <v>56</v>
      </c>
      <c r="AE1953" s="11" t="s">
        <v>57</v>
      </c>
      <c r="AF1953" s="11" t="s">
        <v>58</v>
      </c>
      <c r="AG1953" s="11"/>
      <c r="AH1953" s="11" t="s">
        <v>3119</v>
      </c>
      <c r="AI1953" s="11"/>
      <c r="AJ1953" s="11"/>
      <c r="AK1953" s="11"/>
      <c r="AL1953" s="11"/>
      <c r="AM1953" s="11"/>
    </row>
    <row r="1954" ht="14.25" customHeight="1">
      <c r="A1954" s="6" t="s">
        <v>138</v>
      </c>
      <c r="C1954" s="12" t="s">
        <v>5977</v>
      </c>
      <c r="D1954" s="12" t="s">
        <v>7052</v>
      </c>
      <c r="F1954" s="12" t="s">
        <v>7053</v>
      </c>
      <c r="G1954" s="12" t="s">
        <v>7054</v>
      </c>
      <c r="M1954" s="11">
        <v>49.48524</v>
      </c>
      <c r="N1954" s="11">
        <v>-123.12674</v>
      </c>
      <c r="O1954" s="11" t="s">
        <v>51</v>
      </c>
      <c r="P1954" s="11" t="s">
        <v>7055</v>
      </c>
      <c r="Q1954" s="22">
        <v>2.0</v>
      </c>
      <c r="R1954" s="11" t="s">
        <v>7056</v>
      </c>
      <c r="S1954" s="11" t="s">
        <v>3115</v>
      </c>
      <c r="T1954" s="11">
        <v>305.0</v>
      </c>
      <c r="U1954" s="11"/>
      <c r="V1954" s="11" t="s">
        <v>7057</v>
      </c>
      <c r="W1954" s="11">
        <v>2016.0</v>
      </c>
      <c r="X1954" s="11" t="s">
        <v>3117</v>
      </c>
      <c r="Y1954" s="11" t="s">
        <v>3118</v>
      </c>
      <c r="Z1954" s="11"/>
      <c r="AA1954" s="11"/>
      <c r="AB1954" s="11"/>
      <c r="AC1954" s="11" t="s">
        <v>55</v>
      </c>
      <c r="AD1954" s="11" t="s">
        <v>56</v>
      </c>
      <c r="AE1954" s="11" t="s">
        <v>66</v>
      </c>
      <c r="AF1954" s="11"/>
      <c r="AG1954" s="11"/>
      <c r="AH1954" s="11"/>
      <c r="AI1954" s="11"/>
      <c r="AJ1954" s="11"/>
      <c r="AK1954" s="11"/>
      <c r="AL1954" s="11"/>
      <c r="AM1954" s="11"/>
    </row>
    <row r="1955" ht="14.25" customHeight="1">
      <c r="A1955" s="6" t="s">
        <v>138</v>
      </c>
      <c r="C1955" s="12" t="s">
        <v>5977</v>
      </c>
      <c r="D1955" s="12" t="s">
        <v>7058</v>
      </c>
      <c r="F1955" s="12" t="s">
        <v>7059</v>
      </c>
      <c r="G1955" s="12" t="s">
        <v>7060</v>
      </c>
      <c r="M1955" s="11">
        <v>49.36611</v>
      </c>
      <c r="N1955" s="11">
        <v>-123.11361</v>
      </c>
      <c r="O1955" s="11" t="s">
        <v>51</v>
      </c>
      <c r="P1955" s="11" t="s">
        <v>7061</v>
      </c>
      <c r="Q1955" s="22">
        <v>2.0</v>
      </c>
      <c r="R1955" s="11" t="s">
        <v>7062</v>
      </c>
      <c r="S1955" s="11" t="s">
        <v>3115</v>
      </c>
      <c r="T1955" s="11">
        <v>145.0</v>
      </c>
      <c r="U1955" s="11"/>
      <c r="V1955" s="11" t="s">
        <v>7063</v>
      </c>
      <c r="W1955" s="11"/>
      <c r="X1955" s="11" t="s">
        <v>3117</v>
      </c>
      <c r="Y1955" s="11" t="s">
        <v>3118</v>
      </c>
      <c r="Z1955" s="11"/>
      <c r="AA1955" s="11"/>
      <c r="AB1955" s="11"/>
      <c r="AC1955" s="11" t="s">
        <v>55</v>
      </c>
      <c r="AD1955" s="11" t="s">
        <v>56</v>
      </c>
      <c r="AE1955" s="11"/>
      <c r="AF1955" s="11"/>
      <c r="AG1955" s="11"/>
      <c r="AH1955" s="11" t="s">
        <v>3119</v>
      </c>
      <c r="AI1955" s="11"/>
      <c r="AJ1955" s="11" t="s">
        <v>7064</v>
      </c>
      <c r="AK1955" s="11"/>
      <c r="AL1955" s="11"/>
      <c r="AM1955" s="11" t="s">
        <v>7065</v>
      </c>
    </row>
    <row r="1956" ht="14.25" customHeight="1">
      <c r="A1956" s="6" t="s">
        <v>138</v>
      </c>
      <c r="C1956" s="12" t="s">
        <v>5977</v>
      </c>
      <c r="D1956" s="12" t="s">
        <v>7066</v>
      </c>
      <c r="F1956" s="12" t="s">
        <v>7067</v>
      </c>
      <c r="G1956" s="12" t="s">
        <v>7068</v>
      </c>
      <c r="M1956" s="11">
        <v>49.37925</v>
      </c>
      <c r="N1956" s="11">
        <v>-122.99552</v>
      </c>
      <c r="O1956" s="11" t="s">
        <v>51</v>
      </c>
      <c r="P1956" s="11" t="s">
        <v>7069</v>
      </c>
      <c r="Q1956" s="22">
        <v>2.0</v>
      </c>
      <c r="R1956" s="11" t="s">
        <v>7070</v>
      </c>
      <c r="S1956" s="11" t="s">
        <v>3115</v>
      </c>
      <c r="T1956" s="11">
        <v>185.0</v>
      </c>
      <c r="U1956" s="11"/>
      <c r="V1956" s="11" t="s">
        <v>7071</v>
      </c>
      <c r="W1956" s="11"/>
      <c r="X1956" s="11" t="s">
        <v>3117</v>
      </c>
      <c r="Y1956" s="11" t="s">
        <v>3118</v>
      </c>
      <c r="Z1956" s="11"/>
      <c r="AA1956" s="11"/>
      <c r="AB1956" s="11"/>
      <c r="AC1956" s="11" t="s">
        <v>55</v>
      </c>
      <c r="AD1956" s="11" t="s">
        <v>56</v>
      </c>
      <c r="AE1956" s="11" t="s">
        <v>66</v>
      </c>
      <c r="AF1956" s="11"/>
      <c r="AG1956" s="11"/>
      <c r="AH1956" s="11" t="s">
        <v>3119</v>
      </c>
      <c r="AI1956" s="11"/>
      <c r="AJ1956" s="11" t="s">
        <v>59</v>
      </c>
      <c r="AK1956" s="11"/>
      <c r="AL1956" s="11"/>
      <c r="AM1956" s="11"/>
    </row>
    <row r="1957" ht="14.25" customHeight="1">
      <c r="A1957" s="6" t="s">
        <v>138</v>
      </c>
      <c r="C1957" s="12" t="s">
        <v>5977</v>
      </c>
      <c r="D1957" s="12" t="s">
        <v>7072</v>
      </c>
      <c r="F1957" s="12" t="s">
        <v>7073</v>
      </c>
      <c r="G1957" s="12" t="s">
        <v>7074</v>
      </c>
      <c r="M1957" s="11">
        <v>49.44935</v>
      </c>
      <c r="N1957" s="11">
        <v>-122.96094</v>
      </c>
      <c r="O1957" s="11" t="s">
        <v>51</v>
      </c>
      <c r="P1957" s="11" t="s">
        <v>7075</v>
      </c>
      <c r="Q1957" s="22">
        <v>2.0</v>
      </c>
      <c r="R1957" s="11" t="s">
        <v>7076</v>
      </c>
      <c r="S1957" s="11" t="s">
        <v>3115</v>
      </c>
      <c r="T1957" s="11">
        <v>214.0</v>
      </c>
      <c r="U1957" s="11"/>
      <c r="V1957" s="11" t="s">
        <v>7077</v>
      </c>
      <c r="W1957" s="11"/>
      <c r="X1957" s="11" t="s">
        <v>3117</v>
      </c>
      <c r="Y1957" s="11" t="s">
        <v>3118</v>
      </c>
      <c r="Z1957" s="11"/>
      <c r="AA1957" s="11"/>
      <c r="AB1957" s="11"/>
      <c r="AC1957" s="11" t="s">
        <v>55</v>
      </c>
      <c r="AD1957" s="11" t="s">
        <v>56</v>
      </c>
      <c r="AE1957" s="11"/>
      <c r="AF1957" s="11"/>
      <c r="AG1957" s="11"/>
      <c r="AH1957" s="11" t="s">
        <v>3119</v>
      </c>
      <c r="AI1957" s="11"/>
      <c r="AJ1957" s="11" t="s">
        <v>7064</v>
      </c>
      <c r="AK1957" s="11"/>
      <c r="AL1957" s="11"/>
      <c r="AM1957" s="11" t="s">
        <v>7065</v>
      </c>
    </row>
    <row r="1958" ht="14.25" customHeight="1">
      <c r="A1958" s="6" t="s">
        <v>138</v>
      </c>
      <c r="C1958" s="12" t="s">
        <v>5977</v>
      </c>
      <c r="D1958" s="12" t="s">
        <v>7078</v>
      </c>
      <c r="F1958" s="12" t="s">
        <v>7079</v>
      </c>
      <c r="G1958" s="12" t="s">
        <v>7080</v>
      </c>
      <c r="M1958" s="11">
        <v>49.35888</v>
      </c>
      <c r="N1958" s="11">
        <v>-122.78667</v>
      </c>
      <c r="O1958" s="11" t="s">
        <v>51</v>
      </c>
      <c r="P1958" s="11" t="s">
        <v>7081</v>
      </c>
      <c r="Q1958" s="22">
        <v>2.0</v>
      </c>
      <c r="R1958" s="11" t="s">
        <v>7082</v>
      </c>
      <c r="S1958" s="11" t="s">
        <v>3115</v>
      </c>
      <c r="T1958" s="11">
        <v>150.0</v>
      </c>
      <c r="U1958" s="11"/>
      <c r="V1958" s="11" t="s">
        <v>7083</v>
      </c>
      <c r="W1958" s="11"/>
      <c r="X1958" s="11" t="s">
        <v>3117</v>
      </c>
      <c r="Y1958" s="11" t="s">
        <v>3118</v>
      </c>
      <c r="Z1958" s="11"/>
      <c r="AA1958" s="11"/>
      <c r="AB1958" s="11"/>
      <c r="AC1958" s="11" t="s">
        <v>55</v>
      </c>
      <c r="AD1958" s="11" t="s">
        <v>56</v>
      </c>
      <c r="AE1958" s="11"/>
      <c r="AF1958" s="11"/>
      <c r="AG1958" s="11"/>
      <c r="AH1958" s="11" t="s">
        <v>3119</v>
      </c>
      <c r="AI1958" s="11"/>
      <c r="AJ1958" s="11" t="s">
        <v>7064</v>
      </c>
      <c r="AK1958" s="11"/>
      <c r="AL1958" s="11"/>
      <c r="AM1958" s="11" t="s">
        <v>7065</v>
      </c>
    </row>
    <row r="1959" ht="14.25" customHeight="1">
      <c r="A1959" s="6" t="s">
        <v>138</v>
      </c>
      <c r="C1959" s="12" t="s">
        <v>5977</v>
      </c>
      <c r="D1959" s="12" t="s">
        <v>7084</v>
      </c>
      <c r="F1959" s="12" t="s">
        <v>7085</v>
      </c>
      <c r="G1959" s="12" t="s">
        <v>7086</v>
      </c>
      <c r="M1959" s="11">
        <v>49.39638889</v>
      </c>
      <c r="N1959" s="11">
        <v>-123.1458333</v>
      </c>
      <c r="O1959" s="11" t="s">
        <v>51</v>
      </c>
      <c r="P1959" s="11" t="s">
        <v>7087</v>
      </c>
      <c r="Q1959" s="22">
        <v>2.0</v>
      </c>
      <c r="R1959" s="11" t="s">
        <v>7088</v>
      </c>
      <c r="S1959" s="11" t="s">
        <v>3115</v>
      </c>
      <c r="T1959" s="11">
        <v>183.0</v>
      </c>
      <c r="U1959" s="11"/>
      <c r="V1959" s="11" t="s">
        <v>7089</v>
      </c>
      <c r="W1959" s="11">
        <v>1993.0</v>
      </c>
      <c r="X1959" s="11" t="s">
        <v>3117</v>
      </c>
      <c r="Y1959" s="11" t="s">
        <v>3118</v>
      </c>
      <c r="Z1959" s="11"/>
      <c r="AA1959" s="11"/>
      <c r="AB1959" s="11"/>
      <c r="AC1959" s="11"/>
      <c r="AD1959" s="11"/>
      <c r="AE1959" s="11" t="s">
        <v>66</v>
      </c>
      <c r="AF1959" s="11"/>
      <c r="AG1959" s="11"/>
      <c r="AH1959" s="11"/>
      <c r="AI1959" s="11"/>
      <c r="AJ1959" s="11"/>
      <c r="AK1959" s="11"/>
      <c r="AL1959" s="11"/>
      <c r="AM1959" s="11" t="s">
        <v>7090</v>
      </c>
    </row>
    <row r="1960" ht="14.25" customHeight="1">
      <c r="A1960" s="6" t="s">
        <v>138</v>
      </c>
      <c r="C1960" s="12" t="s">
        <v>5977</v>
      </c>
      <c r="D1960" s="12" t="s">
        <v>7091</v>
      </c>
      <c r="F1960" s="12" t="s">
        <v>7092</v>
      </c>
      <c r="G1960" s="12" t="s">
        <v>7093</v>
      </c>
      <c r="M1960" s="11">
        <v>49.45388889</v>
      </c>
      <c r="N1960" s="11">
        <v>-123.1097222</v>
      </c>
      <c r="O1960" s="11" t="s">
        <v>51</v>
      </c>
      <c r="P1960" s="11" t="s">
        <v>7094</v>
      </c>
      <c r="Q1960" s="22">
        <v>2.0</v>
      </c>
      <c r="R1960" s="11" t="s">
        <v>7095</v>
      </c>
      <c r="S1960" s="11" t="s">
        <v>3115</v>
      </c>
      <c r="T1960" s="11">
        <v>305.0</v>
      </c>
      <c r="U1960" s="11"/>
      <c r="V1960" s="11" t="s">
        <v>7096</v>
      </c>
      <c r="W1960" s="11">
        <v>1993.0</v>
      </c>
      <c r="X1960" s="11" t="s">
        <v>3117</v>
      </c>
      <c r="Y1960" s="11" t="s">
        <v>3118</v>
      </c>
      <c r="Z1960" s="11"/>
      <c r="AA1960" s="11"/>
      <c r="AB1960" s="11"/>
      <c r="AC1960" s="11" t="s">
        <v>55</v>
      </c>
      <c r="AD1960" s="11" t="s">
        <v>56</v>
      </c>
      <c r="AE1960" s="11" t="s">
        <v>7097</v>
      </c>
      <c r="AF1960" s="11"/>
      <c r="AG1960" s="11"/>
      <c r="AH1960" s="11"/>
      <c r="AI1960" s="11"/>
      <c r="AJ1960" s="11"/>
      <c r="AK1960" s="11" t="s">
        <v>73</v>
      </c>
      <c r="AL1960" s="11"/>
      <c r="AM1960" s="11" t="s">
        <v>7090</v>
      </c>
    </row>
    <row r="1961" ht="14.25" customHeight="1">
      <c r="A1961" s="6" t="s">
        <v>138</v>
      </c>
      <c r="C1961" s="12" t="s">
        <v>5977</v>
      </c>
      <c r="D1961" s="12" t="s">
        <v>7098</v>
      </c>
      <c r="F1961" s="12" t="s">
        <v>7099</v>
      </c>
      <c r="G1961" s="12" t="s">
        <v>7100</v>
      </c>
      <c r="M1961" s="11">
        <v>49.52</v>
      </c>
      <c r="N1961" s="11">
        <v>-123.0038889</v>
      </c>
      <c r="O1961" s="11" t="s">
        <v>51</v>
      </c>
      <c r="P1961" s="11" t="s">
        <v>7101</v>
      </c>
      <c r="Q1961" s="22">
        <v>3.0</v>
      </c>
      <c r="R1961" s="11" t="s">
        <v>7102</v>
      </c>
      <c r="S1961" s="11" t="s">
        <v>3115</v>
      </c>
      <c r="T1961" s="11">
        <v>320.0</v>
      </c>
      <c r="U1961" s="11"/>
      <c r="V1961" s="11" t="s">
        <v>7103</v>
      </c>
      <c r="W1961" s="11"/>
      <c r="X1961" s="11" t="s">
        <v>3117</v>
      </c>
      <c r="Y1961" s="11" t="s">
        <v>3118</v>
      </c>
      <c r="Z1961" s="11"/>
      <c r="AA1961" s="11"/>
      <c r="AB1961" s="11"/>
      <c r="AC1961" s="11"/>
      <c r="AD1961" s="11"/>
      <c r="AE1961" s="11" t="s">
        <v>7097</v>
      </c>
      <c r="AF1961" s="11"/>
      <c r="AG1961" s="11"/>
      <c r="AH1961" s="11"/>
      <c r="AI1961" s="11"/>
      <c r="AJ1961" s="11"/>
      <c r="AK1961" s="11"/>
      <c r="AL1961" s="11"/>
      <c r="AM1961" s="11" t="s">
        <v>7090</v>
      </c>
    </row>
    <row r="1962" ht="14.25" customHeight="1">
      <c r="A1962" s="6" t="s">
        <v>138</v>
      </c>
      <c r="C1962" s="12" t="s">
        <v>5977</v>
      </c>
      <c r="D1962" s="12" t="s">
        <v>7104</v>
      </c>
      <c r="F1962" s="12" t="s">
        <v>7105</v>
      </c>
      <c r="G1962" s="12" t="s">
        <v>7106</v>
      </c>
      <c r="M1962" s="11">
        <v>49.555</v>
      </c>
      <c r="N1962" s="11">
        <v>-122.7591667</v>
      </c>
      <c r="O1962" s="11" t="s">
        <v>51</v>
      </c>
      <c r="P1962" s="11" t="s">
        <v>6707</v>
      </c>
      <c r="Q1962" s="22">
        <v>6.0</v>
      </c>
      <c r="R1962" s="11" t="s">
        <v>6708</v>
      </c>
      <c r="S1962" s="11" t="s">
        <v>3115</v>
      </c>
      <c r="T1962" s="11">
        <v>1050.0</v>
      </c>
      <c r="U1962" s="11"/>
      <c r="V1962" s="11" t="s">
        <v>7107</v>
      </c>
      <c r="W1962" s="11">
        <v>1993.0</v>
      </c>
      <c r="X1962" s="11" t="s">
        <v>3117</v>
      </c>
      <c r="Y1962" s="11" t="s">
        <v>3118</v>
      </c>
      <c r="Z1962" s="11"/>
      <c r="AA1962" s="11"/>
      <c r="AB1962" s="11"/>
      <c r="AC1962" s="11" t="s">
        <v>55</v>
      </c>
      <c r="AD1962" s="11" t="s">
        <v>56</v>
      </c>
      <c r="AE1962" s="11" t="s">
        <v>7097</v>
      </c>
      <c r="AF1962" s="11" t="s">
        <v>58</v>
      </c>
      <c r="AG1962" s="11"/>
      <c r="AH1962" s="11" t="s">
        <v>3119</v>
      </c>
      <c r="AI1962" s="11"/>
      <c r="AJ1962" s="11"/>
      <c r="AK1962" s="11" t="s">
        <v>73</v>
      </c>
      <c r="AL1962" s="11"/>
      <c r="AM1962" s="11"/>
    </row>
    <row r="1963" ht="14.25" customHeight="1">
      <c r="A1963" s="6" t="s">
        <v>138</v>
      </c>
      <c r="C1963" s="12" t="s">
        <v>5977</v>
      </c>
      <c r="D1963" s="12" t="s">
        <v>7108</v>
      </c>
      <c r="F1963" s="12" t="s">
        <v>7109</v>
      </c>
      <c r="G1963" s="12" t="s">
        <v>7110</v>
      </c>
      <c r="M1963" s="11">
        <v>49.45444444</v>
      </c>
      <c r="N1963" s="11">
        <v>-123.0316667</v>
      </c>
      <c r="O1963" s="11" t="s">
        <v>51</v>
      </c>
      <c r="P1963" s="11" t="s">
        <v>7111</v>
      </c>
      <c r="Q1963" s="22">
        <v>5.0</v>
      </c>
      <c r="R1963" s="11" t="s">
        <v>7112</v>
      </c>
      <c r="S1963" s="11" t="s">
        <v>3115</v>
      </c>
      <c r="T1963" s="11">
        <v>900.0</v>
      </c>
      <c r="U1963" s="11"/>
      <c r="V1963" s="11" t="s">
        <v>7113</v>
      </c>
      <c r="W1963" s="11">
        <v>1993.0</v>
      </c>
      <c r="X1963" s="11" t="s">
        <v>3117</v>
      </c>
      <c r="Y1963" s="11" t="s">
        <v>3118</v>
      </c>
      <c r="Z1963" s="11"/>
      <c r="AA1963" s="11"/>
      <c r="AB1963" s="11"/>
      <c r="AC1963" s="11" t="s">
        <v>55</v>
      </c>
      <c r="AD1963" s="11" t="s">
        <v>56</v>
      </c>
      <c r="AE1963" s="11" t="s">
        <v>7114</v>
      </c>
      <c r="AF1963" s="11" t="s">
        <v>58</v>
      </c>
      <c r="AG1963" s="11" t="s">
        <v>7115</v>
      </c>
      <c r="AH1963" s="11" t="s">
        <v>3119</v>
      </c>
      <c r="AI1963" s="11"/>
      <c r="AJ1963" s="11" t="s">
        <v>7116</v>
      </c>
      <c r="AK1963" s="11"/>
      <c r="AL1963" s="11"/>
      <c r="AM1963" s="11"/>
    </row>
    <row r="1964" ht="14.25" customHeight="1">
      <c r="A1964" s="6" t="s">
        <v>138</v>
      </c>
      <c r="C1964" s="12" t="s">
        <v>5977</v>
      </c>
      <c r="D1964" s="12" t="s">
        <v>7117</v>
      </c>
      <c r="F1964" s="12" t="s">
        <v>7118</v>
      </c>
      <c r="G1964" s="12" t="s">
        <v>7119</v>
      </c>
      <c r="M1964" s="11">
        <v>49.53611111</v>
      </c>
      <c r="N1964" s="11">
        <v>-123.05</v>
      </c>
      <c r="O1964" s="11" t="s">
        <v>51</v>
      </c>
      <c r="P1964" s="11" t="s">
        <v>7120</v>
      </c>
      <c r="Q1964" s="22">
        <v>6.0</v>
      </c>
      <c r="R1964" s="11" t="s">
        <v>7121</v>
      </c>
      <c r="S1964" s="11" t="s">
        <v>3115</v>
      </c>
      <c r="T1964" s="11">
        <v>1180.0</v>
      </c>
      <c r="U1964" s="11"/>
      <c r="V1964" s="11" t="s">
        <v>7122</v>
      </c>
      <c r="W1964" s="11">
        <v>1972.0</v>
      </c>
      <c r="X1964" s="11" t="s">
        <v>3117</v>
      </c>
      <c r="Y1964" s="11" t="s">
        <v>3118</v>
      </c>
      <c r="Z1964" s="11"/>
      <c r="AA1964" s="11"/>
      <c r="AB1964" s="11"/>
      <c r="AC1964" s="11" t="s">
        <v>55</v>
      </c>
      <c r="AD1964" s="11" t="s">
        <v>56</v>
      </c>
      <c r="AE1964" s="11" t="s">
        <v>7097</v>
      </c>
      <c r="AF1964" s="11" t="s">
        <v>58</v>
      </c>
      <c r="AG1964" s="11" t="s">
        <v>7115</v>
      </c>
      <c r="AH1964" s="11" t="s">
        <v>3119</v>
      </c>
      <c r="AI1964" s="11"/>
      <c r="AJ1964" s="11" t="s">
        <v>59</v>
      </c>
      <c r="AK1964" s="11" t="s">
        <v>73</v>
      </c>
      <c r="AL1964" s="11"/>
      <c r="AM1964" s="11"/>
    </row>
    <row r="1965" ht="14.25" customHeight="1">
      <c r="A1965" s="6" t="s">
        <v>138</v>
      </c>
      <c r="C1965" s="12" t="s">
        <v>5977</v>
      </c>
      <c r="D1965" s="12" t="s">
        <v>7123</v>
      </c>
      <c r="F1965" s="12" t="s">
        <v>7124</v>
      </c>
      <c r="G1965" s="12" t="s">
        <v>7125</v>
      </c>
      <c r="M1965" s="11">
        <v>49.59233</v>
      </c>
      <c r="N1965" s="11">
        <v>-123.04145</v>
      </c>
      <c r="O1965" s="11" t="s">
        <v>51</v>
      </c>
      <c r="P1965" s="11" t="s">
        <v>7126</v>
      </c>
      <c r="Q1965" s="22">
        <v>6.0</v>
      </c>
      <c r="R1965" s="11" t="s">
        <v>7127</v>
      </c>
      <c r="S1965" s="11" t="s">
        <v>3115</v>
      </c>
      <c r="T1965" s="11">
        <v>1065.0</v>
      </c>
      <c r="U1965" s="11"/>
      <c r="V1965" s="11" t="s">
        <v>7128</v>
      </c>
      <c r="W1965" s="11">
        <v>2019.0</v>
      </c>
      <c r="X1965" s="11" t="s">
        <v>3117</v>
      </c>
      <c r="Y1965" s="11" t="s">
        <v>3118</v>
      </c>
      <c r="Z1965" s="11"/>
      <c r="AA1965" s="11"/>
      <c r="AB1965" s="11"/>
      <c r="AC1965" s="11" t="s">
        <v>55</v>
      </c>
      <c r="AD1965" s="11" t="s">
        <v>56</v>
      </c>
      <c r="AE1965" s="11"/>
      <c r="AF1965" s="11" t="s">
        <v>58</v>
      </c>
      <c r="AG1965" s="11"/>
      <c r="AH1965" s="11" t="s">
        <v>3119</v>
      </c>
      <c r="AI1965" s="11"/>
      <c r="AJ1965" s="11" t="s">
        <v>7116</v>
      </c>
      <c r="AK1965" s="11"/>
      <c r="AL1965" s="11"/>
      <c r="AM1965" s="11"/>
    </row>
    <row r="1966" ht="14.25" customHeight="1">
      <c r="A1966" s="6" t="s">
        <v>138</v>
      </c>
      <c r="C1966" s="12" t="s">
        <v>5977</v>
      </c>
      <c r="D1966" s="12" t="s">
        <v>7129</v>
      </c>
      <c r="F1966" s="12" t="s">
        <v>7130</v>
      </c>
      <c r="G1966" s="12" t="s">
        <v>7131</v>
      </c>
      <c r="M1966" s="11">
        <v>49.38083333</v>
      </c>
      <c r="N1966" s="11">
        <v>-122.7766667</v>
      </c>
      <c r="O1966" s="11" t="s">
        <v>51</v>
      </c>
      <c r="P1966" s="11" t="s">
        <v>7132</v>
      </c>
      <c r="Q1966" s="22">
        <v>2.0</v>
      </c>
      <c r="R1966" s="11" t="s">
        <v>7133</v>
      </c>
      <c r="S1966" s="11" t="s">
        <v>3115</v>
      </c>
      <c r="T1966" s="11">
        <v>150.0</v>
      </c>
      <c r="U1966" s="11"/>
      <c r="V1966" s="11" t="s">
        <v>7134</v>
      </c>
      <c r="W1966" s="11">
        <v>2000.0</v>
      </c>
      <c r="X1966" s="11" t="s">
        <v>3117</v>
      </c>
      <c r="Y1966" s="11" t="s">
        <v>3118</v>
      </c>
      <c r="Z1966" s="11"/>
      <c r="AA1966" s="11"/>
      <c r="AB1966" s="11"/>
      <c r="AC1966" s="11"/>
      <c r="AD1966" s="11"/>
      <c r="AE1966" s="11" t="s">
        <v>7097</v>
      </c>
      <c r="AF1966" s="11"/>
      <c r="AG1966" s="11"/>
      <c r="AH1966" s="11"/>
      <c r="AI1966" s="11"/>
      <c r="AJ1966" s="11"/>
      <c r="AK1966" s="11"/>
      <c r="AL1966" s="11"/>
      <c r="AM1966" s="11" t="s">
        <v>7090</v>
      </c>
    </row>
    <row r="1967" ht="14.25" customHeight="1">
      <c r="A1967" s="5" t="s">
        <v>7135</v>
      </c>
      <c r="C1967" s="12" t="s">
        <v>7136</v>
      </c>
      <c r="D1967" s="10" t="str">
        <f t="shared" ref="D1967:D1969" si="17">CONCATENATE("'-&gt; ",P1967)</f>
        <v>'-&gt; AtlSch</v>
      </c>
      <c r="F1967" s="10" t="str">
        <f t="shared" ref="F1967:F1969" si="18">CONCATENATE("'-&gt; ",R1967)</f>
        <v>'-&gt; Atlin School</v>
      </c>
      <c r="G1967" s="10" t="str">
        <f t="shared" ref="G1967:G1969" si="19">CONCATENATE("'-&gt; ",-1*N1967," W, ",M1967," N, Elev. ",U1967," m")</f>
        <v>'-&gt; 133.687 W, 59.574 N, Elev. 705 m</v>
      </c>
      <c r="M1967" s="11">
        <v>59.574</v>
      </c>
      <c r="N1967" s="11">
        <v>-133.687</v>
      </c>
      <c r="O1967" s="11" t="s">
        <v>1577</v>
      </c>
      <c r="P1967" s="16" t="s">
        <v>7137</v>
      </c>
      <c r="Q1967" s="22">
        <v>1.0</v>
      </c>
      <c r="R1967" s="11" t="s">
        <v>7138</v>
      </c>
      <c r="S1967" s="13" t="str">
        <f t="shared" ref="S1967:S1994" si="20">UPPER(R1967)</f>
        <v>ATLIN SCHOOL</v>
      </c>
      <c r="T1967" s="11" t="s">
        <v>4344</v>
      </c>
      <c r="U1967" s="11">
        <v>705.0</v>
      </c>
      <c r="V1967" s="11"/>
      <c r="W1967" s="11"/>
      <c r="X1967" s="60" t="s">
        <v>7139</v>
      </c>
      <c r="Y1967" s="11" t="s">
        <v>7140</v>
      </c>
    </row>
    <row r="1968" ht="14.25" customHeight="1">
      <c r="A1968" s="5" t="s">
        <v>7135</v>
      </c>
      <c r="C1968" s="12" t="s">
        <v>7136</v>
      </c>
      <c r="D1968" s="10" t="str">
        <f t="shared" si="17"/>
        <v>'-&gt; CasWx</v>
      </c>
      <c r="F1968" s="10" t="str">
        <f t="shared" si="18"/>
        <v>'-&gt; Cassiar</v>
      </c>
      <c r="G1968" s="10" t="str">
        <f t="shared" si="19"/>
        <v>'-&gt; 129.86 W, 59.251 N, Elev. 1577 m</v>
      </c>
      <c r="M1968" s="11">
        <v>59.251</v>
      </c>
      <c r="N1968" s="11">
        <v>-129.86</v>
      </c>
      <c r="O1968" s="11" t="s">
        <v>1577</v>
      </c>
      <c r="P1968" s="11" t="s">
        <v>7141</v>
      </c>
      <c r="Q1968" s="22">
        <v>7.0</v>
      </c>
      <c r="R1968" s="11" t="s">
        <v>7142</v>
      </c>
      <c r="S1968" s="13" t="str">
        <f t="shared" si="20"/>
        <v>CASSIAR</v>
      </c>
      <c r="T1968" s="11" t="s">
        <v>4344</v>
      </c>
      <c r="U1968" s="11">
        <v>1577.0</v>
      </c>
      <c r="V1968" s="11"/>
      <c r="W1968" s="11" t="s">
        <v>7143</v>
      </c>
      <c r="X1968" s="60" t="s">
        <v>7144</v>
      </c>
      <c r="Y1968" s="11" t="s">
        <v>7140</v>
      </c>
    </row>
    <row r="1969" ht="14.25" customHeight="1">
      <c r="A1969" s="5" t="s">
        <v>7135</v>
      </c>
      <c r="C1969" s="12" t="s">
        <v>7136</v>
      </c>
      <c r="D1969" s="10" t="str">
        <f t="shared" si="17"/>
        <v>'-&gt; Mon1</v>
      </c>
      <c r="F1969" s="10" t="str">
        <f t="shared" si="18"/>
        <v>'-&gt; Monarch-1</v>
      </c>
      <c r="G1969" s="10" t="str">
        <f t="shared" si="19"/>
        <v>'-&gt; 133.617 W, 59.544 N, Elev. 1410 m</v>
      </c>
      <c r="M1969" s="11">
        <v>59.544</v>
      </c>
      <c r="N1969" s="11">
        <v>-133.617</v>
      </c>
      <c r="O1969" s="11" t="s">
        <v>1577</v>
      </c>
      <c r="P1969" s="11" t="s">
        <v>7145</v>
      </c>
      <c r="Q1969" s="22">
        <v>5.0</v>
      </c>
      <c r="R1969" s="11" t="s">
        <v>7146</v>
      </c>
      <c r="S1969" s="13" t="str">
        <f t="shared" si="20"/>
        <v>MONARCH-1</v>
      </c>
      <c r="T1969" s="11" t="s">
        <v>4344</v>
      </c>
      <c r="U1969" s="11">
        <v>1410.0</v>
      </c>
      <c r="V1969" s="11"/>
      <c r="W1969" s="11" t="s">
        <v>7147</v>
      </c>
      <c r="X1969" s="60" t="s">
        <v>7139</v>
      </c>
      <c r="Y1969" s="11" t="s">
        <v>7140</v>
      </c>
    </row>
    <row r="1970" ht="14.25" customHeight="1">
      <c r="C1970" s="11"/>
      <c r="M1970" s="108">
        <v>57.68605</v>
      </c>
      <c r="N1970" s="108">
        <v>-130.48871</v>
      </c>
      <c r="O1970" s="108" t="s">
        <v>1577</v>
      </c>
      <c r="P1970" s="108" t="s">
        <v>7148</v>
      </c>
      <c r="Q1970" s="109">
        <v>7.0</v>
      </c>
      <c r="R1970" s="108" t="s">
        <v>7149</v>
      </c>
      <c r="S1970" s="108" t="str">
        <f t="shared" si="20"/>
        <v>MT. EDZIZA</v>
      </c>
      <c r="T1970" s="108" t="s">
        <v>4344</v>
      </c>
      <c r="U1970" s="108">
        <v>1661.0</v>
      </c>
      <c r="V1970" s="108"/>
      <c r="W1970" s="108" t="s">
        <v>7150</v>
      </c>
      <c r="X1970" s="110" t="s">
        <v>7151</v>
      </c>
      <c r="Y1970" s="108" t="s">
        <v>7140</v>
      </c>
    </row>
    <row r="1971" ht="14.25" customHeight="1">
      <c r="A1971" s="5" t="s">
        <v>7135</v>
      </c>
      <c r="C1971" s="12" t="s">
        <v>7136</v>
      </c>
      <c r="D1971" s="10" t="str">
        <f>CONCATENATE("'-&gt; ",P1971)</f>
        <v>'-&gt; NDWx</v>
      </c>
      <c r="F1971" s="10" t="str">
        <f>CONCATENATE("'-&gt; ",R1971)</f>
        <v>'-&gt; Northern Dancer</v>
      </c>
      <c r="G1971" s="10" t="str">
        <f>CONCATENATE("'-&gt; ",-1*N1971," W, ",M1971," N, Elev. ",U1971," m")</f>
        <v>'-&gt; 131.6 W, 60.008 N, Elev. 1628 m</v>
      </c>
      <c r="M1971" s="11">
        <v>60.008</v>
      </c>
      <c r="N1971" s="11">
        <v>-131.6</v>
      </c>
      <c r="O1971" s="11" t="s">
        <v>1577</v>
      </c>
      <c r="P1971" s="11" t="s">
        <v>7152</v>
      </c>
      <c r="Q1971" s="22">
        <v>7.0</v>
      </c>
      <c r="R1971" s="11" t="s">
        <v>7153</v>
      </c>
      <c r="S1971" s="13" t="str">
        <f t="shared" si="20"/>
        <v>NORTHERN DANCER</v>
      </c>
      <c r="T1971" s="11" t="s">
        <v>4344</v>
      </c>
      <c r="U1971" s="11">
        <v>1628.0</v>
      </c>
      <c r="V1971" s="11"/>
      <c r="W1971" s="11" t="s">
        <v>7154</v>
      </c>
      <c r="X1971" s="60" t="s">
        <v>7155</v>
      </c>
      <c r="Y1971" s="11" t="s">
        <v>7140</v>
      </c>
    </row>
    <row r="1972" ht="14.25" customHeight="1">
      <c r="C1972" s="11"/>
      <c r="M1972" s="108">
        <v>50.5936</v>
      </c>
      <c r="N1972" s="108">
        <v>-119.9211</v>
      </c>
      <c r="O1972" s="108" t="s">
        <v>142</v>
      </c>
      <c r="P1972" s="108" t="s">
        <v>7156</v>
      </c>
      <c r="Q1972" s="109">
        <v>2.0</v>
      </c>
      <c r="R1972" s="108" t="s">
        <v>7157</v>
      </c>
      <c r="S1972" s="108" t="str">
        <f t="shared" si="20"/>
        <v>DUCK HILL RANCH (IDFXH2)</v>
      </c>
      <c r="T1972" s="108" t="s">
        <v>4344</v>
      </c>
      <c r="U1972" s="108">
        <v>700.0</v>
      </c>
      <c r="V1972" s="108"/>
      <c r="W1972" s="108" t="s">
        <v>7158</v>
      </c>
      <c r="X1972" s="110" t="s">
        <v>7159</v>
      </c>
      <c r="Y1972" s="108" t="s">
        <v>7160</v>
      </c>
    </row>
    <row r="1973" ht="14.25" customHeight="1">
      <c r="A1973" s="5" t="s">
        <v>7135</v>
      </c>
      <c r="C1973" s="12" t="s">
        <v>7136</v>
      </c>
      <c r="D1973" s="10" t="str">
        <f t="shared" ref="D1973:D1979" si="21">CONCATENATE("'-&gt; ",P1973)</f>
        <v>'-&gt; Goose</v>
      </c>
      <c r="F1973" s="10" t="str">
        <f t="shared" ref="F1973:F1979" si="22">CONCATENATE("'-&gt; ",R1973)</f>
        <v>'-&gt; Goose Lake Rd</v>
      </c>
      <c r="G1973" s="10" t="str">
        <f t="shared" ref="G1973:G1979" si="23">CONCATENATE("'-&gt; ",-1*N1973," W, ",M1973," N, Elev. ",U1973," m")</f>
        <v>'-&gt; 120.43 W, 50.5626 N, Elev. 1147 m</v>
      </c>
      <c r="M1973" s="11">
        <v>50.5626</v>
      </c>
      <c r="N1973" s="11">
        <v>-120.43</v>
      </c>
      <c r="O1973" s="11" t="s">
        <v>142</v>
      </c>
      <c r="P1973" s="11" t="s">
        <v>7161</v>
      </c>
      <c r="Q1973" s="22">
        <v>3.0</v>
      </c>
      <c r="R1973" s="11" t="s">
        <v>7162</v>
      </c>
      <c r="S1973" s="13" t="str">
        <f t="shared" si="20"/>
        <v>GOOSE LAKE RD</v>
      </c>
      <c r="T1973" s="11" t="s">
        <v>4344</v>
      </c>
      <c r="U1973" s="11">
        <v>1147.0</v>
      </c>
      <c r="V1973" s="11"/>
      <c r="W1973" s="11" t="s">
        <v>7163</v>
      </c>
      <c r="X1973" s="60" t="s">
        <v>7164</v>
      </c>
      <c r="Y1973" s="11" t="s">
        <v>7160</v>
      </c>
    </row>
    <row r="1974" ht="14.25" customHeight="1">
      <c r="A1974" s="5" t="s">
        <v>7135</v>
      </c>
      <c r="C1974" s="12" t="s">
        <v>7136</v>
      </c>
      <c r="D1974" s="10" t="str">
        <f t="shared" si="21"/>
        <v>'-&gt; Isobel</v>
      </c>
      <c r="F1974" s="10" t="str">
        <f t="shared" si="22"/>
        <v>'-&gt; Isobel Lake (IDFxh2)</v>
      </c>
      <c r="G1974" s="10" t="str">
        <f t="shared" si="23"/>
        <v>'-&gt; 120.4231 W, 50.8406 N, Elev. 1030 m</v>
      </c>
      <c r="M1974" s="11">
        <v>50.8406</v>
      </c>
      <c r="N1974" s="11">
        <v>-120.4231</v>
      </c>
      <c r="O1974" s="11" t="s">
        <v>142</v>
      </c>
      <c r="P1974" s="11" t="s">
        <v>7165</v>
      </c>
      <c r="Q1974" s="22">
        <v>3.0</v>
      </c>
      <c r="R1974" s="11" t="s">
        <v>7166</v>
      </c>
      <c r="S1974" s="13" t="str">
        <f t="shared" si="20"/>
        <v>ISOBEL LAKE (IDFXH2)</v>
      </c>
      <c r="T1974" s="11" t="s">
        <v>4344</v>
      </c>
      <c r="U1974" s="11">
        <v>1030.0</v>
      </c>
      <c r="V1974" s="11"/>
      <c r="W1974" s="11" t="s">
        <v>7163</v>
      </c>
      <c r="X1974" s="60"/>
      <c r="Y1974" s="11" t="s">
        <v>7160</v>
      </c>
    </row>
    <row r="1975" ht="14.25" customHeight="1">
      <c r="A1975" s="5" t="s">
        <v>7135</v>
      </c>
      <c r="C1975" s="12" t="s">
        <v>7136</v>
      </c>
      <c r="D1975" s="10" t="str">
        <f t="shared" si="21"/>
        <v>'-&gt; LDBLG</v>
      </c>
      <c r="F1975" s="10" t="str">
        <f t="shared" si="22"/>
        <v>'-&gt; LDB - Lower grassland</v>
      </c>
      <c r="G1975" s="10" t="str">
        <f t="shared" si="23"/>
        <v>'-&gt; 120.4383 W, 50.7285 N, Elev. 572 m</v>
      </c>
      <c r="M1975" s="11">
        <v>50.7285</v>
      </c>
      <c r="N1975" s="11">
        <v>-120.4383</v>
      </c>
      <c r="O1975" s="11" t="s">
        <v>142</v>
      </c>
      <c r="P1975" s="11" t="s">
        <v>7167</v>
      </c>
      <c r="Q1975" s="22">
        <v>1.0</v>
      </c>
      <c r="R1975" s="11" t="s">
        <v>7168</v>
      </c>
      <c r="S1975" s="13" t="str">
        <f t="shared" si="20"/>
        <v>LDB - LOWER GRASSLAND</v>
      </c>
      <c r="T1975" s="11" t="s">
        <v>4344</v>
      </c>
      <c r="U1975" s="11">
        <v>572.0</v>
      </c>
      <c r="V1975" s="11"/>
      <c r="W1975" s="11" t="s">
        <v>7169</v>
      </c>
      <c r="X1975" s="60" t="s">
        <v>7170</v>
      </c>
      <c r="Y1975" s="11" t="s">
        <v>7160</v>
      </c>
    </row>
    <row r="1976" ht="14.25" customHeight="1">
      <c r="A1976" s="5" t="s">
        <v>7135</v>
      </c>
      <c r="C1976" s="12" t="s">
        <v>7136</v>
      </c>
      <c r="D1976" s="10" t="str">
        <f t="shared" si="21"/>
        <v>'-&gt; LDBG1</v>
      </c>
      <c r="F1976" s="10" t="str">
        <f t="shared" si="22"/>
        <v>'-&gt; LDB - LowerUpper grassland</v>
      </c>
      <c r="G1976" s="10" t="str">
        <f t="shared" si="23"/>
        <v>'-&gt; 120.4483 W, 50.7868 N, Elev. 919 m</v>
      </c>
      <c r="M1976" s="11">
        <v>50.7868</v>
      </c>
      <c r="N1976" s="11">
        <v>-120.4483</v>
      </c>
      <c r="O1976" s="11" t="s">
        <v>142</v>
      </c>
      <c r="P1976" s="11" t="s">
        <v>7171</v>
      </c>
      <c r="Q1976" s="22">
        <v>2.0</v>
      </c>
      <c r="R1976" s="11" t="s">
        <v>7172</v>
      </c>
      <c r="S1976" s="13" t="str">
        <f t="shared" si="20"/>
        <v>LDB - LOWERUPPER GRASSLAND</v>
      </c>
      <c r="T1976" s="11" t="s">
        <v>4344</v>
      </c>
      <c r="U1976" s="11">
        <v>919.0</v>
      </c>
      <c r="V1976" s="11"/>
      <c r="W1976" s="11" t="s">
        <v>7169</v>
      </c>
      <c r="X1976" s="60" t="s">
        <v>7170</v>
      </c>
      <c r="Y1976" s="11" t="s">
        <v>7160</v>
      </c>
    </row>
    <row r="1977" ht="14.25" customHeight="1">
      <c r="A1977" s="5" t="s">
        <v>7135</v>
      </c>
      <c r="C1977" s="12" t="s">
        <v>7136</v>
      </c>
      <c r="D1977" s="10" t="str">
        <f t="shared" si="21"/>
        <v>'-&gt; LDBMG</v>
      </c>
      <c r="F1977" s="10" t="str">
        <f t="shared" si="22"/>
        <v>'-&gt; LDB - Middle grassland</v>
      </c>
      <c r="G1977" s="10" t="str">
        <f t="shared" si="23"/>
        <v>'-&gt; 120.4158 W, 50.7533 N, Elev. 693 m</v>
      </c>
      <c r="M1977" s="11">
        <v>50.7533</v>
      </c>
      <c r="N1977" s="11">
        <v>-120.4158</v>
      </c>
      <c r="O1977" s="11" t="s">
        <v>142</v>
      </c>
      <c r="P1977" s="11" t="s">
        <v>7173</v>
      </c>
      <c r="Q1977" s="22">
        <v>2.0</v>
      </c>
      <c r="R1977" s="11" t="s">
        <v>7174</v>
      </c>
      <c r="S1977" s="13" t="str">
        <f t="shared" si="20"/>
        <v>LDB - MIDDLE GRASSLAND</v>
      </c>
      <c r="T1977" s="11" t="s">
        <v>4344</v>
      </c>
      <c r="U1977" s="11">
        <v>693.0</v>
      </c>
      <c r="V1977" s="11"/>
      <c r="W1977" s="11" t="s">
        <v>7169</v>
      </c>
      <c r="X1977" s="60" t="s">
        <v>7170</v>
      </c>
      <c r="Y1977" s="11" t="s">
        <v>7160</v>
      </c>
    </row>
    <row r="1978" ht="14.25" customHeight="1">
      <c r="A1978" s="5" t="s">
        <v>7135</v>
      </c>
      <c r="C1978" s="12" t="s">
        <v>7136</v>
      </c>
      <c r="D1978" s="10" t="str">
        <f t="shared" si="21"/>
        <v>'-&gt; LDBUG</v>
      </c>
      <c r="F1978" s="10" t="str">
        <f t="shared" si="22"/>
        <v>'-&gt; LDB - Upper grassland</v>
      </c>
      <c r="G1978" s="10" t="str">
        <f t="shared" si="23"/>
        <v>'-&gt; 120.4383 W, 50.7285 N, Elev. 978 m</v>
      </c>
      <c r="M1978" s="11">
        <v>50.7285</v>
      </c>
      <c r="N1978" s="11">
        <v>-120.4383</v>
      </c>
      <c r="O1978" s="11" t="s">
        <v>142</v>
      </c>
      <c r="P1978" s="11" t="s">
        <v>7175</v>
      </c>
      <c r="Q1978" s="22">
        <v>2.0</v>
      </c>
      <c r="R1978" s="11" t="s">
        <v>7176</v>
      </c>
      <c r="S1978" s="13" t="str">
        <f t="shared" si="20"/>
        <v>LDB - UPPER GRASSLAND</v>
      </c>
      <c r="T1978" s="11" t="s">
        <v>4344</v>
      </c>
      <c r="U1978" s="11">
        <v>978.0</v>
      </c>
      <c r="V1978" s="11"/>
      <c r="W1978" s="11" t="s">
        <v>7169</v>
      </c>
      <c r="X1978" s="60" t="s">
        <v>7170</v>
      </c>
      <c r="Y1978" s="11" t="s">
        <v>7160</v>
      </c>
    </row>
    <row r="1979" ht="14.25" customHeight="1">
      <c r="A1979" s="5" t="s">
        <v>7135</v>
      </c>
      <c r="C1979" s="12" t="s">
        <v>7136</v>
      </c>
      <c r="D1979" s="10" t="str">
        <f t="shared" si="21"/>
        <v>'-&gt; LDBG2</v>
      </c>
      <c r="F1979" s="10" t="str">
        <f t="shared" si="22"/>
        <v>'-&gt; LDB - UpperMiddle grassland</v>
      </c>
      <c r="G1979" s="10" t="str">
        <f t="shared" si="23"/>
        <v>'-&gt; 120.435 W, 50.7613 N, Elev. 767 m</v>
      </c>
      <c r="M1979" s="11">
        <v>50.7613</v>
      </c>
      <c r="N1979" s="11">
        <v>-120.435</v>
      </c>
      <c r="O1979" s="11" t="s">
        <v>142</v>
      </c>
      <c r="P1979" s="11" t="s">
        <v>7177</v>
      </c>
      <c r="Q1979" s="22">
        <v>2.0</v>
      </c>
      <c r="R1979" s="11" t="s">
        <v>7178</v>
      </c>
      <c r="S1979" s="13" t="str">
        <f t="shared" si="20"/>
        <v>LDB - UPPERMIDDLE GRASSLAND</v>
      </c>
      <c r="T1979" s="11" t="s">
        <v>4344</v>
      </c>
      <c r="U1979" s="11">
        <v>767.0</v>
      </c>
      <c r="V1979" s="11"/>
      <c r="W1979" s="11" t="s">
        <v>7169</v>
      </c>
      <c r="X1979" s="60" t="s">
        <v>7170</v>
      </c>
      <c r="Y1979" s="11" t="s">
        <v>7160</v>
      </c>
    </row>
    <row r="1980" ht="14.25" customHeight="1">
      <c r="A1980" s="5" t="s">
        <v>4338</v>
      </c>
      <c r="B1980" s="5">
        <v>11.0</v>
      </c>
      <c r="C1980" s="7" t="s">
        <v>7179</v>
      </c>
      <c r="D1980" s="5" t="s">
        <v>7180</v>
      </c>
      <c r="E1980" s="5">
        <v>13043.0</v>
      </c>
      <c r="F1980" s="5" t="s">
        <v>7180</v>
      </c>
      <c r="G1980" s="10" t="s">
        <v>7181</v>
      </c>
      <c r="H1980" s="5" t="s">
        <v>84</v>
      </c>
      <c r="I1980" s="5" t="s">
        <v>49</v>
      </c>
      <c r="K1980" s="5">
        <v>1.0</v>
      </c>
      <c r="L1980" s="5">
        <v>14975.0</v>
      </c>
      <c r="M1980" s="11">
        <v>49.6233</v>
      </c>
      <c r="N1980" s="11">
        <v>-117.0436</v>
      </c>
      <c r="O1980" s="11" t="s">
        <v>170</v>
      </c>
      <c r="P1980" s="11" t="s">
        <v>7182</v>
      </c>
      <c r="Q1980" s="22">
        <v>1.0</v>
      </c>
      <c r="R1980" s="11" t="s">
        <v>7180</v>
      </c>
      <c r="S1980" s="13" t="str">
        <f t="shared" si="20"/>
        <v>WADF1 SEEDTREE</v>
      </c>
      <c r="T1980" s="11" t="s">
        <v>4344</v>
      </c>
      <c r="U1980" s="11">
        <v>815.0</v>
      </c>
      <c r="V1980" s="11" t="s">
        <v>645</v>
      </c>
      <c r="W1980" s="11" t="s">
        <v>7183</v>
      </c>
      <c r="X1980" s="60" t="s">
        <v>7184</v>
      </c>
      <c r="Y1980" s="11" t="s">
        <v>7185</v>
      </c>
    </row>
    <row r="1981" ht="14.25" customHeight="1">
      <c r="A1981" s="5" t="s">
        <v>4338</v>
      </c>
      <c r="B1981" s="5">
        <v>11.0</v>
      </c>
      <c r="C1981" s="7" t="s">
        <v>7179</v>
      </c>
      <c r="D1981" s="5" t="s">
        <v>7186</v>
      </c>
      <c r="E1981" s="5">
        <v>13044.0</v>
      </c>
      <c r="F1981" s="5" t="s">
        <v>7186</v>
      </c>
      <c r="G1981" s="10" t="s">
        <v>7187</v>
      </c>
      <c r="H1981" s="5" t="s">
        <v>7188</v>
      </c>
      <c r="I1981" s="5" t="s">
        <v>49</v>
      </c>
      <c r="J1981" s="5" t="s">
        <v>726</v>
      </c>
      <c r="K1981" s="5">
        <v>1.0</v>
      </c>
      <c r="L1981" s="5">
        <v>14976.0</v>
      </c>
      <c r="M1981" s="11">
        <v>49.6445</v>
      </c>
      <c r="N1981" s="11">
        <v>-117.0626</v>
      </c>
      <c r="O1981" s="11" t="s">
        <v>170</v>
      </c>
      <c r="P1981" s="11" t="s">
        <v>7189</v>
      </c>
      <c r="Q1981" s="22">
        <v>3.0</v>
      </c>
      <c r="R1981" s="11" t="s">
        <v>7186</v>
      </c>
      <c r="S1981" s="13" t="str">
        <f t="shared" si="20"/>
        <v>WADF2 BURN</v>
      </c>
      <c r="T1981" s="11" t="s">
        <v>4344</v>
      </c>
      <c r="U1981" s="11">
        <v>1270.0</v>
      </c>
      <c r="V1981" s="11" t="s">
        <v>645</v>
      </c>
      <c r="W1981" s="11" t="s">
        <v>7190</v>
      </c>
      <c r="X1981" s="60" t="s">
        <v>7184</v>
      </c>
      <c r="Y1981" s="11" t="s">
        <v>7185</v>
      </c>
    </row>
    <row r="1982" ht="14.25" customHeight="1">
      <c r="A1982" s="5" t="s">
        <v>4338</v>
      </c>
      <c r="B1982" s="5">
        <v>11.0</v>
      </c>
      <c r="C1982" s="7" t="s">
        <v>7179</v>
      </c>
      <c r="D1982" s="5" t="s">
        <v>7191</v>
      </c>
      <c r="E1982" s="5">
        <v>13045.0</v>
      </c>
      <c r="F1982" s="5" t="s">
        <v>7191</v>
      </c>
      <c r="G1982" s="10" t="s">
        <v>7192</v>
      </c>
      <c r="H1982" s="5" t="s">
        <v>84</v>
      </c>
      <c r="I1982" s="5" t="s">
        <v>49</v>
      </c>
      <c r="K1982" s="5">
        <v>1.0</v>
      </c>
      <c r="L1982" s="5">
        <v>14977.0</v>
      </c>
      <c r="M1982" s="11">
        <v>49.6693</v>
      </c>
      <c r="N1982" s="11">
        <v>-117.0643</v>
      </c>
      <c r="O1982" s="11" t="s">
        <v>170</v>
      </c>
      <c r="P1982" s="11" t="s">
        <v>7193</v>
      </c>
      <c r="Q1982" s="22">
        <v>5.0</v>
      </c>
      <c r="R1982" s="11" t="s">
        <v>7191</v>
      </c>
      <c r="S1982" s="13" t="str">
        <f t="shared" si="20"/>
        <v>WADF4 CABIN</v>
      </c>
      <c r="T1982" s="11" t="s">
        <v>4344</v>
      </c>
      <c r="U1982" s="11">
        <v>1715.0</v>
      </c>
      <c r="V1982" s="11" t="s">
        <v>645</v>
      </c>
      <c r="W1982" s="11" t="s">
        <v>7194</v>
      </c>
      <c r="X1982" s="60" t="s">
        <v>7184</v>
      </c>
      <c r="Y1982" s="11" t="s">
        <v>7185</v>
      </c>
    </row>
    <row r="1983" ht="14.25" customHeight="1">
      <c r="A1983" s="5" t="s">
        <v>4338</v>
      </c>
      <c r="B1983" s="5">
        <v>11.0</v>
      </c>
      <c r="C1983" s="7" t="s">
        <v>7179</v>
      </c>
      <c r="D1983" s="5" t="s">
        <v>7195</v>
      </c>
      <c r="E1983" s="5">
        <v>13046.0</v>
      </c>
      <c r="F1983" s="5" t="s">
        <v>7195</v>
      </c>
      <c r="G1983" s="10" t="s">
        <v>7196</v>
      </c>
      <c r="H1983" s="5" t="s">
        <v>84</v>
      </c>
      <c r="I1983" s="5" t="s">
        <v>49</v>
      </c>
      <c r="K1983" s="5">
        <v>1.0</v>
      </c>
      <c r="L1983" s="5">
        <v>14978.0</v>
      </c>
      <c r="M1983" s="11">
        <v>49.69</v>
      </c>
      <c r="N1983" s="11">
        <v>-117.0865</v>
      </c>
      <c r="O1983" s="11" t="s">
        <v>170</v>
      </c>
      <c r="P1983" s="11" t="s">
        <v>7197</v>
      </c>
      <c r="Q1983" s="22">
        <v>7.0</v>
      </c>
      <c r="R1983" s="11" t="s">
        <v>7195</v>
      </c>
      <c r="S1983" s="13" t="str">
        <f t="shared" si="20"/>
        <v>WADF5 ALPINE</v>
      </c>
      <c r="T1983" s="11" t="s">
        <v>4344</v>
      </c>
      <c r="U1983" s="11">
        <v>2085.0</v>
      </c>
      <c r="V1983" s="11" t="s">
        <v>645</v>
      </c>
      <c r="W1983" s="11" t="s">
        <v>7198</v>
      </c>
      <c r="X1983" s="60" t="s">
        <v>7184</v>
      </c>
      <c r="Y1983" s="11" t="s">
        <v>7185</v>
      </c>
    </row>
    <row r="1984" ht="14.25" customHeight="1">
      <c r="B1984" s="5">
        <v>11.0</v>
      </c>
      <c r="C1984" s="7" t="s">
        <v>7179</v>
      </c>
      <c r="D1984" s="5" t="s">
        <v>7199</v>
      </c>
      <c r="E1984" s="5">
        <v>13047.0</v>
      </c>
      <c r="F1984" s="5" t="s">
        <v>7199</v>
      </c>
      <c r="G1984" s="5" t="s">
        <v>7200</v>
      </c>
      <c r="H1984" s="5" t="s">
        <v>84</v>
      </c>
      <c r="I1984" s="5" t="s">
        <v>49</v>
      </c>
      <c r="K1984" s="5">
        <v>1.0</v>
      </c>
      <c r="L1984" s="5">
        <v>14979.0</v>
      </c>
      <c r="M1984" s="11">
        <v>49.7716</v>
      </c>
      <c r="N1984" s="11">
        <v>-117.1949</v>
      </c>
      <c r="O1984" s="11" t="s">
        <v>170</v>
      </c>
      <c r="P1984" s="11" t="s">
        <v>7201</v>
      </c>
      <c r="Q1984" s="22">
        <v>7.0</v>
      </c>
      <c r="R1984" s="11" t="s">
        <v>7199</v>
      </c>
      <c r="S1984" s="13" t="str">
        <f t="shared" si="20"/>
        <v>WADF7 KOKANEE</v>
      </c>
      <c r="T1984" s="11" t="s">
        <v>4344</v>
      </c>
      <c r="U1984" s="11">
        <v>1970.0</v>
      </c>
      <c r="V1984" s="11" t="s">
        <v>645</v>
      </c>
      <c r="W1984" s="11" t="s">
        <v>7202</v>
      </c>
      <c r="X1984" s="60" t="s">
        <v>7184</v>
      </c>
      <c r="Y1984" s="11" t="s">
        <v>7185</v>
      </c>
    </row>
    <row r="1985" ht="14.25" customHeight="1">
      <c r="A1985" s="5" t="s">
        <v>7135</v>
      </c>
      <c r="C1985" s="12" t="s">
        <v>7136</v>
      </c>
      <c r="D1985" s="10" t="str">
        <f t="shared" ref="D1985:D1994" si="24">CONCATENATE("'-&gt; ",P1985)</f>
        <v>'-&gt; Arrow</v>
      </c>
      <c r="F1985" s="10" t="str">
        <f t="shared" ref="F1985:F1994" si="25">CONCATENATE("'-&gt; ",R1985)</f>
        <v>'-&gt; Arrowstone</v>
      </c>
      <c r="G1985" s="10" t="str">
        <f t="shared" ref="G1985:G1994" si="26">CONCATENATE("'-&gt; ",-1*N1985," W, ",M1985," N, Elev. ",U1985," m")</f>
        <v>'-&gt; 120.301383 W, 50.906011 N, Elev. 1575 m</v>
      </c>
      <c r="M1985" s="11">
        <v>50.906011</v>
      </c>
      <c r="N1985" s="11">
        <v>-120.301383</v>
      </c>
      <c r="O1985" s="11" t="s">
        <v>142</v>
      </c>
      <c r="P1985" s="16" t="s">
        <v>7203</v>
      </c>
      <c r="Q1985" s="22">
        <v>7.0</v>
      </c>
      <c r="R1985" s="11" t="s">
        <v>7204</v>
      </c>
      <c r="S1985" s="13" t="str">
        <f t="shared" si="20"/>
        <v>ARROWSTONE</v>
      </c>
      <c r="T1985" s="11" t="s">
        <v>4344</v>
      </c>
      <c r="U1985" s="11">
        <v>1575.0</v>
      </c>
      <c r="V1985" s="11"/>
      <c r="W1985" s="11" t="s">
        <v>7205</v>
      </c>
      <c r="X1985" s="60" t="s">
        <v>7159</v>
      </c>
      <c r="Y1985" s="11" t="s">
        <v>7206</v>
      </c>
    </row>
    <row r="1986" ht="14.25" customHeight="1">
      <c r="A1986" s="5" t="s">
        <v>7135</v>
      </c>
      <c r="C1986" s="12" t="s">
        <v>7136</v>
      </c>
      <c r="D1986" s="10" t="str">
        <f t="shared" si="24"/>
        <v>'-&gt; Chase Creek</v>
      </c>
      <c r="F1986" s="10" t="str">
        <f t="shared" si="25"/>
        <v>'-&gt; Chase Creek</v>
      </c>
      <c r="G1986" s="10" t="str">
        <f t="shared" si="26"/>
        <v>'-&gt; 119.533333 W, 50.758333 N, Elev. 700 m</v>
      </c>
      <c r="M1986" s="11">
        <v>50.758333</v>
      </c>
      <c r="N1986" s="11">
        <v>-119.533333</v>
      </c>
      <c r="O1986" s="11" t="s">
        <v>142</v>
      </c>
      <c r="P1986" s="11" t="s">
        <v>7207</v>
      </c>
      <c r="Q1986" s="22">
        <v>2.0</v>
      </c>
      <c r="R1986" s="11" t="s">
        <v>7207</v>
      </c>
      <c r="S1986" s="13" t="str">
        <f t="shared" si="20"/>
        <v>CHASE CREEK</v>
      </c>
      <c r="T1986" s="11" t="s">
        <v>4344</v>
      </c>
      <c r="U1986" s="11">
        <v>700.0</v>
      </c>
      <c r="V1986" s="11"/>
      <c r="W1986" s="11" t="s">
        <v>7208</v>
      </c>
      <c r="X1986" s="60" t="s">
        <v>7209</v>
      </c>
      <c r="Y1986" s="11" t="s">
        <v>7206</v>
      </c>
    </row>
    <row r="1987" ht="14.25" customHeight="1">
      <c r="A1987" s="5" t="s">
        <v>7135</v>
      </c>
      <c r="C1987" s="12" t="s">
        <v>7136</v>
      </c>
      <c r="D1987" s="10" t="str">
        <f t="shared" si="24"/>
        <v>'-&gt; WV1</v>
      </c>
      <c r="F1987" s="10" t="str">
        <f t="shared" si="25"/>
        <v>'-&gt; Sicamouse Creek - WV1</v>
      </c>
      <c r="G1987" s="10" t="str">
        <f t="shared" si="26"/>
        <v>'-&gt; 122.718656 W, 53.772719 N, Elev. 1530 m</v>
      </c>
      <c r="M1987" s="11">
        <v>53.772719</v>
      </c>
      <c r="N1987" s="11">
        <v>-122.718656</v>
      </c>
      <c r="O1987" s="11" t="s">
        <v>1290</v>
      </c>
      <c r="P1987" s="11" t="s">
        <v>7210</v>
      </c>
      <c r="Q1987" s="22">
        <v>7.0</v>
      </c>
      <c r="R1987" s="11" t="s">
        <v>7211</v>
      </c>
      <c r="S1987" s="13" t="str">
        <f t="shared" si="20"/>
        <v>SICAMOUSE CREEK - WV1</v>
      </c>
      <c r="T1987" s="11" t="s">
        <v>4344</v>
      </c>
      <c r="U1987" s="11">
        <v>1530.0</v>
      </c>
      <c r="V1987" s="11"/>
      <c r="W1987" s="11" t="s">
        <v>7208</v>
      </c>
      <c r="X1987" s="60" t="s">
        <v>7212</v>
      </c>
      <c r="Y1987" s="11" t="s">
        <v>7206</v>
      </c>
    </row>
    <row r="1988" ht="14.25" customHeight="1">
      <c r="A1988" s="5" t="s">
        <v>7135</v>
      </c>
      <c r="C1988" s="12" t="s">
        <v>7136</v>
      </c>
      <c r="D1988" s="10" t="str">
        <f t="shared" si="24"/>
        <v>'-&gt; PK</v>
      </c>
      <c r="F1988" s="10" t="str">
        <f t="shared" si="25"/>
        <v>'-&gt; Upper Penticton - PK</v>
      </c>
      <c r="G1988" s="10" t="str">
        <f t="shared" si="26"/>
        <v>'-&gt; 119.23359 W, 49.3917 N, Elev. 1628 m</v>
      </c>
      <c r="M1988" s="11">
        <v>49.3917</v>
      </c>
      <c r="N1988" s="11">
        <v>-119.23359</v>
      </c>
      <c r="O1988" s="11" t="s">
        <v>142</v>
      </c>
      <c r="P1988" s="11" t="s">
        <v>7213</v>
      </c>
      <c r="Q1988" s="22">
        <v>7.0</v>
      </c>
      <c r="R1988" s="11" t="s">
        <v>7214</v>
      </c>
      <c r="S1988" s="13" t="str">
        <f t="shared" si="20"/>
        <v>UPPER PENTICTON - PK</v>
      </c>
      <c r="T1988" s="11" t="s">
        <v>4344</v>
      </c>
      <c r="U1988" s="11">
        <v>1628.0</v>
      </c>
      <c r="V1988" s="11"/>
      <c r="W1988" s="11" t="s">
        <v>7215</v>
      </c>
      <c r="X1988" s="60" t="s">
        <v>7216</v>
      </c>
      <c r="Y1988" s="11" t="s">
        <v>7206</v>
      </c>
    </row>
    <row r="1989" ht="14.25" customHeight="1">
      <c r="A1989" s="5" t="s">
        <v>7135</v>
      </c>
      <c r="C1989" s="12" t="s">
        <v>7136</v>
      </c>
      <c r="D1989" s="10" t="str">
        <f t="shared" si="24"/>
        <v>'-&gt; P1</v>
      </c>
      <c r="F1989" s="10" t="str">
        <f t="shared" si="25"/>
        <v>'-&gt; Upper Penticton Creek - P1</v>
      </c>
      <c r="G1989" s="10" t="str">
        <f t="shared" si="26"/>
        <v>'-&gt; 119.398655 W, 49.651744 N, Elev. 1619 m</v>
      </c>
      <c r="M1989" s="11">
        <v>49.651744</v>
      </c>
      <c r="N1989" s="11">
        <v>-119.398655</v>
      </c>
      <c r="O1989" s="11" t="s">
        <v>142</v>
      </c>
      <c r="P1989" s="11" t="s">
        <v>7217</v>
      </c>
      <c r="Q1989" s="22">
        <v>7.0</v>
      </c>
      <c r="R1989" s="11" t="s">
        <v>7218</v>
      </c>
      <c r="S1989" s="13" t="str">
        <f t="shared" si="20"/>
        <v>UPPER PENTICTON CREEK - P1</v>
      </c>
      <c r="T1989" s="11" t="s">
        <v>4344</v>
      </c>
      <c r="U1989" s="11">
        <v>1619.0</v>
      </c>
      <c r="V1989" s="11" t="s">
        <v>645</v>
      </c>
      <c r="W1989" s="11" t="s">
        <v>7219</v>
      </c>
      <c r="X1989" s="60" t="s">
        <v>7220</v>
      </c>
      <c r="Y1989" s="11" t="s">
        <v>7206</v>
      </c>
    </row>
    <row r="1990" ht="14.25" customHeight="1">
      <c r="A1990" s="5" t="s">
        <v>7135</v>
      </c>
      <c r="C1990" s="12" t="s">
        <v>7136</v>
      </c>
      <c r="D1990" s="10" t="str">
        <f t="shared" si="24"/>
        <v>'-&gt; P5</v>
      </c>
      <c r="F1990" s="10" t="str">
        <f t="shared" si="25"/>
        <v>'-&gt; Upper Penticton Creek - P5</v>
      </c>
      <c r="G1990" s="10" t="str">
        <f t="shared" si="26"/>
        <v>'-&gt; 119.403066 W, 49.658049 N, Elev. 1673 m</v>
      </c>
      <c r="M1990" s="11">
        <v>49.658049</v>
      </c>
      <c r="N1990" s="11">
        <v>-119.403066</v>
      </c>
      <c r="O1990" s="11" t="s">
        <v>142</v>
      </c>
      <c r="P1990" s="11" t="s">
        <v>7221</v>
      </c>
      <c r="Q1990" s="22">
        <v>7.0</v>
      </c>
      <c r="R1990" s="11" t="s">
        <v>7222</v>
      </c>
      <c r="S1990" s="13" t="str">
        <f t="shared" si="20"/>
        <v>UPPER PENTICTON CREEK - P5</v>
      </c>
      <c r="T1990" s="11" t="s">
        <v>4344</v>
      </c>
      <c r="U1990" s="11">
        <v>1673.0</v>
      </c>
      <c r="V1990" s="11"/>
      <c r="W1990" s="11" t="s">
        <v>7223</v>
      </c>
      <c r="X1990" s="60" t="s">
        <v>7224</v>
      </c>
      <c r="Y1990" s="11" t="s">
        <v>7206</v>
      </c>
    </row>
    <row r="1991" ht="14.25" customHeight="1">
      <c r="A1991" s="5" t="s">
        <v>7135</v>
      </c>
      <c r="C1991" s="12" t="s">
        <v>7136</v>
      </c>
      <c r="D1991" s="10" t="str">
        <f t="shared" si="24"/>
        <v>'-&gt; PB</v>
      </c>
      <c r="F1991" s="10" t="str">
        <f t="shared" si="25"/>
        <v>'-&gt; Upper Penticton Creek - PB</v>
      </c>
      <c r="G1991" s="10" t="str">
        <f t="shared" si="26"/>
        <v>'-&gt; 119.378929 W, 49.673323 N, Elev. 1885 m</v>
      </c>
      <c r="M1991" s="11">
        <v>49.673323</v>
      </c>
      <c r="N1991" s="11">
        <v>-119.378929</v>
      </c>
      <c r="O1991" s="11" t="s">
        <v>142</v>
      </c>
      <c r="P1991" s="11" t="s">
        <v>7225</v>
      </c>
      <c r="Q1991" s="22">
        <v>8.0</v>
      </c>
      <c r="R1991" s="11" t="s">
        <v>7226</v>
      </c>
      <c r="S1991" s="13" t="str">
        <f t="shared" si="20"/>
        <v>UPPER PENTICTON CREEK - PB</v>
      </c>
      <c r="T1991" s="11" t="s">
        <v>4344</v>
      </c>
      <c r="U1991" s="11">
        <v>1885.0</v>
      </c>
      <c r="V1991" s="11" t="s">
        <v>645</v>
      </c>
      <c r="W1991" s="11" t="s">
        <v>7227</v>
      </c>
      <c r="X1991" s="60" t="s">
        <v>7228</v>
      </c>
      <c r="Y1991" s="11" t="s">
        <v>7206</v>
      </c>
    </row>
    <row r="1992" ht="14.25" customHeight="1">
      <c r="A1992" s="5" t="s">
        <v>7135</v>
      </c>
      <c r="C1992" s="12" t="s">
        <v>7136</v>
      </c>
      <c r="D1992" s="10" t="str">
        <f t="shared" si="24"/>
        <v>'-&gt; PC</v>
      </c>
      <c r="F1992" s="10" t="str">
        <f t="shared" si="25"/>
        <v>'-&gt; Upper Penticton Creek - PC</v>
      </c>
      <c r="G1992" s="10" t="str">
        <f t="shared" si="26"/>
        <v>'-&gt; 119.377021 W, 49.674375 N, Elev. 1917 m</v>
      </c>
      <c r="M1992" s="11">
        <v>49.674375</v>
      </c>
      <c r="N1992" s="11">
        <v>-119.377021</v>
      </c>
      <c r="O1992" s="11" t="s">
        <v>142</v>
      </c>
      <c r="P1992" s="11" t="s">
        <v>7229</v>
      </c>
      <c r="Q1992" s="22">
        <v>8.0</v>
      </c>
      <c r="R1992" s="11" t="s">
        <v>7230</v>
      </c>
      <c r="S1992" s="13" t="str">
        <f t="shared" si="20"/>
        <v>UPPER PENTICTON CREEK - PC</v>
      </c>
      <c r="T1992" s="11" t="s">
        <v>4344</v>
      </c>
      <c r="U1992" s="11">
        <v>1917.0</v>
      </c>
      <c r="V1992" s="11"/>
      <c r="W1992" s="11" t="s">
        <v>7231</v>
      </c>
      <c r="X1992" s="60" t="s">
        <v>7232</v>
      </c>
      <c r="Y1992" s="11" t="s">
        <v>7206</v>
      </c>
    </row>
    <row r="1993" ht="14.25" customHeight="1">
      <c r="A1993" s="5" t="s">
        <v>7135</v>
      </c>
      <c r="C1993" s="12" t="s">
        <v>7136</v>
      </c>
      <c r="D1993" s="10" t="str">
        <f t="shared" si="24"/>
        <v>'-&gt; PJ</v>
      </c>
      <c r="F1993" s="10" t="str">
        <f t="shared" si="25"/>
        <v>'-&gt; Upper Penticton Creek - PJ</v>
      </c>
      <c r="G1993" s="10" t="str">
        <f t="shared" si="26"/>
        <v>'-&gt; 119.392864 W, 49.659806 N, Elev. 1677 m</v>
      </c>
      <c r="M1993" s="11">
        <v>49.659806</v>
      </c>
      <c r="N1993" s="11">
        <v>-119.392864</v>
      </c>
      <c r="O1993" s="11" t="s">
        <v>142</v>
      </c>
      <c r="P1993" s="11" t="s">
        <v>7233</v>
      </c>
      <c r="Q1993" s="22">
        <v>7.0</v>
      </c>
      <c r="R1993" s="11" t="s">
        <v>7234</v>
      </c>
      <c r="S1993" s="13" t="str">
        <f t="shared" si="20"/>
        <v>UPPER PENTICTON CREEK - PJ</v>
      </c>
      <c r="T1993" s="11" t="s">
        <v>4344</v>
      </c>
      <c r="U1993" s="11">
        <v>1677.0</v>
      </c>
      <c r="V1993" s="11"/>
      <c r="W1993" s="11" t="s">
        <v>7235</v>
      </c>
      <c r="X1993" s="60" t="s">
        <v>7236</v>
      </c>
      <c r="Y1993" s="11" t="s">
        <v>7206</v>
      </c>
    </row>
    <row r="1994" ht="14.25" customHeight="1">
      <c r="A1994" s="5" t="s">
        <v>7135</v>
      </c>
      <c r="C1994" s="12" t="s">
        <v>7136</v>
      </c>
      <c r="D1994" s="10" t="str">
        <f t="shared" si="24"/>
        <v>'-&gt; PL</v>
      </c>
      <c r="F1994" s="10" t="str">
        <f t="shared" si="25"/>
        <v>'-&gt; Upper Penticton Creek - PL</v>
      </c>
      <c r="G1994" s="10" t="str">
        <f t="shared" si="26"/>
        <v>'-&gt; 119.376919 W, 49.670023 N, Elev. 1853 m</v>
      </c>
      <c r="M1994" s="11">
        <v>49.670023</v>
      </c>
      <c r="N1994" s="11">
        <v>-119.376919</v>
      </c>
      <c r="O1994" s="11" t="s">
        <v>142</v>
      </c>
      <c r="P1994" s="11" t="s">
        <v>7237</v>
      </c>
      <c r="Q1994" s="22">
        <v>8.0</v>
      </c>
      <c r="R1994" s="11" t="s">
        <v>7238</v>
      </c>
      <c r="S1994" s="13" t="str">
        <f t="shared" si="20"/>
        <v>UPPER PENTICTON CREEK - PL</v>
      </c>
      <c r="T1994" s="11" t="s">
        <v>4344</v>
      </c>
      <c r="U1994" s="11">
        <v>1853.0</v>
      </c>
      <c r="V1994" s="11"/>
      <c r="W1994" s="11" t="s">
        <v>7227</v>
      </c>
      <c r="X1994" s="60" t="s">
        <v>7239</v>
      </c>
      <c r="Y1994" s="11" t="s">
        <v>7206</v>
      </c>
    </row>
    <row r="1995" ht="14.25" customHeight="1">
      <c r="B1995" s="5">
        <v>11.0</v>
      </c>
      <c r="C1995" s="7" t="s">
        <v>7179</v>
      </c>
      <c r="D1995" s="5" t="s">
        <v>7240</v>
      </c>
      <c r="E1995" s="5">
        <v>13048.0</v>
      </c>
      <c r="F1995" s="5" t="s">
        <v>7240</v>
      </c>
      <c r="G1995" s="5" t="s">
        <v>7241</v>
      </c>
      <c r="H1995" s="5" t="s">
        <v>84</v>
      </c>
      <c r="I1995" s="5" t="s">
        <v>49</v>
      </c>
      <c r="K1995" s="5">
        <v>1.0</v>
      </c>
      <c r="L1995" s="5">
        <v>14980.0</v>
      </c>
      <c r="M1995" s="11"/>
      <c r="N1995" s="11"/>
      <c r="O1995" s="11"/>
      <c r="P1995" s="11"/>
      <c r="Q1995" s="22"/>
      <c r="R1995" s="11"/>
      <c r="S1995" s="13"/>
      <c r="T1995" s="11"/>
      <c r="U1995" s="11"/>
      <c r="V1995" s="11"/>
      <c r="W1995" s="11"/>
      <c r="X1995" s="60"/>
      <c r="Y1995" s="11" t="s">
        <v>7185</v>
      </c>
    </row>
    <row r="1996" ht="14.25" customHeight="1">
      <c r="B1996" s="5">
        <v>11.0</v>
      </c>
      <c r="C1996" s="7" t="s">
        <v>7179</v>
      </c>
      <c r="D1996" s="5" t="s">
        <v>7242</v>
      </c>
      <c r="E1996" s="5">
        <v>13049.0</v>
      </c>
      <c r="F1996" s="5" t="s">
        <v>7242</v>
      </c>
      <c r="G1996" s="5" t="s">
        <v>7243</v>
      </c>
      <c r="H1996" s="5" t="s">
        <v>84</v>
      </c>
      <c r="I1996" s="5" t="s">
        <v>49</v>
      </c>
      <c r="K1996" s="5">
        <v>1.0</v>
      </c>
      <c r="L1996" s="5">
        <v>14981.0</v>
      </c>
      <c r="M1996" s="11"/>
      <c r="N1996" s="11"/>
      <c r="O1996" s="11"/>
      <c r="P1996" s="11"/>
      <c r="Q1996" s="22"/>
      <c r="R1996" s="11"/>
      <c r="S1996" s="13"/>
      <c r="T1996" s="11"/>
      <c r="U1996" s="11"/>
      <c r="V1996" s="11"/>
      <c r="W1996" s="11"/>
      <c r="X1996" s="60"/>
      <c r="Y1996" s="11" t="s">
        <v>7185</v>
      </c>
    </row>
    <row r="1997" ht="14.25" customHeight="1">
      <c r="B1997" s="5">
        <v>11.0</v>
      </c>
      <c r="C1997" s="7" t="s">
        <v>7179</v>
      </c>
      <c r="D1997" s="5" t="s">
        <v>7244</v>
      </c>
      <c r="E1997" s="5">
        <v>13050.0</v>
      </c>
      <c r="F1997" s="5" t="s">
        <v>7244</v>
      </c>
      <c r="G1997" s="5" t="s">
        <v>7245</v>
      </c>
      <c r="H1997" s="5" t="s">
        <v>84</v>
      </c>
      <c r="I1997" s="5" t="s">
        <v>49</v>
      </c>
      <c r="K1997" s="5">
        <v>1.0</v>
      </c>
      <c r="L1997" s="5">
        <v>14982.0</v>
      </c>
      <c r="M1997" s="11"/>
      <c r="N1997" s="11"/>
      <c r="O1997" s="11"/>
      <c r="P1997" s="11"/>
      <c r="Q1997" s="22"/>
      <c r="R1997" s="11"/>
      <c r="S1997" s="13"/>
      <c r="T1997" s="11"/>
      <c r="U1997" s="11"/>
      <c r="V1997" s="11"/>
      <c r="W1997" s="11"/>
      <c r="X1997" s="60"/>
      <c r="Y1997" s="11" t="s">
        <v>7185</v>
      </c>
    </row>
    <row r="1998" ht="14.25" customHeight="1">
      <c r="B1998" s="5">
        <v>11.0</v>
      </c>
      <c r="C1998" s="7" t="s">
        <v>7179</v>
      </c>
      <c r="D1998" s="5" t="s">
        <v>7246</v>
      </c>
      <c r="E1998" s="5">
        <v>13182.0</v>
      </c>
      <c r="F1998" s="7" t="s">
        <v>7247</v>
      </c>
      <c r="G1998" s="5" t="s">
        <v>7248</v>
      </c>
      <c r="H1998" s="5" t="s">
        <v>7249</v>
      </c>
      <c r="I1998" s="5" t="s">
        <v>49</v>
      </c>
      <c r="J1998" s="7" t="s">
        <v>7250</v>
      </c>
      <c r="K1998" s="5">
        <v>1.0</v>
      </c>
      <c r="L1998" s="5">
        <v>15104.0</v>
      </c>
      <c r="M1998" s="11">
        <v>54.510444</v>
      </c>
      <c r="N1998" s="11">
        <v>-126.614341</v>
      </c>
      <c r="O1998" s="11" t="s">
        <v>148</v>
      </c>
      <c r="P1998" s="11" t="s">
        <v>7246</v>
      </c>
      <c r="Q1998" s="22">
        <v>4.0</v>
      </c>
      <c r="R1998" s="11" t="s">
        <v>7247</v>
      </c>
      <c r="S1998" s="13" t="str">
        <f t="shared" ref="S1998:S2067" si="27">UPPER(R1998)</f>
        <v>BARRENWX</v>
      </c>
      <c r="T1998" s="11" t="s">
        <v>4344</v>
      </c>
      <c r="U1998" s="11">
        <v>1051.0</v>
      </c>
      <c r="V1998" s="11"/>
      <c r="W1998" s="11"/>
      <c r="X1998" s="60" t="s">
        <v>7251</v>
      </c>
      <c r="Y1998" s="11" t="s">
        <v>7252</v>
      </c>
    </row>
    <row r="1999" ht="14.25" customHeight="1">
      <c r="A1999" s="5" t="s">
        <v>1908</v>
      </c>
      <c r="B1999" s="5">
        <v>11.0</v>
      </c>
      <c r="C1999" s="7" t="s">
        <v>7179</v>
      </c>
      <c r="D1999" s="7" t="s">
        <v>7253</v>
      </c>
      <c r="E1999" s="5">
        <v>12055.0</v>
      </c>
      <c r="F1999" s="10" t="s">
        <v>7254</v>
      </c>
      <c r="G1999" s="10" t="s">
        <v>7255</v>
      </c>
      <c r="H1999" s="5" t="s">
        <v>7256</v>
      </c>
      <c r="I1999" s="5" t="s">
        <v>641</v>
      </c>
      <c r="J1999" s="5" t="s">
        <v>7257</v>
      </c>
      <c r="K1999" s="5">
        <v>1.0</v>
      </c>
      <c r="L1999" s="5">
        <v>14111.0</v>
      </c>
      <c r="M1999" s="11">
        <v>55.078885</v>
      </c>
      <c r="N1999" s="11">
        <v>-120.352171</v>
      </c>
      <c r="O1999" s="11" t="s">
        <v>153</v>
      </c>
      <c r="P1999" s="11" t="s">
        <v>7253</v>
      </c>
      <c r="Q1999" s="22">
        <v>8.0</v>
      </c>
      <c r="R1999" s="11" t="s">
        <v>7258</v>
      </c>
      <c r="S1999" s="13" t="str">
        <f t="shared" si="27"/>
        <v>BLACKHAWKWX</v>
      </c>
      <c r="T1999" s="11" t="s">
        <v>4344</v>
      </c>
      <c r="U1999" s="11">
        <v>962.0</v>
      </c>
      <c r="V1999" s="11"/>
      <c r="W1999" s="11" t="s">
        <v>7259</v>
      </c>
      <c r="X1999" s="60" t="s">
        <v>7260</v>
      </c>
      <c r="Y1999" s="11" t="s">
        <v>7252</v>
      </c>
    </row>
    <row r="2000" ht="14.25" customHeight="1">
      <c r="A2000" s="5" t="s">
        <v>88</v>
      </c>
      <c r="B2000" s="8">
        <v>11.0</v>
      </c>
      <c r="C2000" s="7" t="s">
        <v>7179</v>
      </c>
      <c r="D2000" s="5" t="s">
        <v>7261</v>
      </c>
      <c r="E2000" s="5">
        <v>12056.0</v>
      </c>
      <c r="F2000" s="5" t="s">
        <v>7262</v>
      </c>
      <c r="G2000" s="10" t="s">
        <v>7263</v>
      </c>
      <c r="H2000" s="5" t="s">
        <v>7264</v>
      </c>
      <c r="I2000" s="5" t="s">
        <v>641</v>
      </c>
      <c r="J2000" s="5" t="s">
        <v>7265</v>
      </c>
      <c r="K2000" s="5">
        <v>1.0</v>
      </c>
      <c r="L2000" s="5">
        <v>14112.0</v>
      </c>
      <c r="M2000" s="11">
        <v>55.108173</v>
      </c>
      <c r="N2000" s="11">
        <v>-127.37474</v>
      </c>
      <c r="O2000" s="11" t="s">
        <v>51</v>
      </c>
      <c r="P2000" s="11" t="s">
        <v>7266</v>
      </c>
      <c r="Q2000" s="22">
        <v>3.0</v>
      </c>
      <c r="R2000" s="11" t="s">
        <v>7267</v>
      </c>
      <c r="S2000" s="13" t="str">
        <f t="shared" si="27"/>
        <v>BOULDERWX</v>
      </c>
      <c r="T2000" s="11" t="s">
        <v>4344</v>
      </c>
      <c r="U2000" s="11">
        <v>385.0</v>
      </c>
      <c r="V2000" s="11"/>
      <c r="W2000" s="11" t="s">
        <v>7268</v>
      </c>
      <c r="X2000" s="60" t="s">
        <v>7269</v>
      </c>
      <c r="Y2000" s="9" t="s">
        <v>7252</v>
      </c>
    </row>
    <row r="2001" ht="14.25" customHeight="1">
      <c r="A2001" s="5" t="s">
        <v>2037</v>
      </c>
      <c r="B2001" s="8">
        <v>11.0</v>
      </c>
      <c r="C2001" s="7" t="s">
        <v>7179</v>
      </c>
      <c r="D2001" s="7" t="s">
        <v>7270</v>
      </c>
      <c r="E2001" s="5">
        <v>12438.0</v>
      </c>
      <c r="F2001" s="10" t="s">
        <v>7271</v>
      </c>
      <c r="G2001" s="5" t="s">
        <v>7272</v>
      </c>
      <c r="H2001" s="5" t="s">
        <v>7273</v>
      </c>
      <c r="I2001" s="5" t="s">
        <v>49</v>
      </c>
      <c r="J2001" s="5" t="s">
        <v>7257</v>
      </c>
      <c r="K2001" s="5">
        <v>1.0</v>
      </c>
      <c r="L2001" s="5">
        <v>14460.0</v>
      </c>
      <c r="M2001" s="11">
        <v>53.902111</v>
      </c>
      <c r="N2001" s="11">
        <v>-122.015389</v>
      </c>
      <c r="O2001" s="11" t="s">
        <v>1290</v>
      </c>
      <c r="P2001" s="11" t="s">
        <v>7270</v>
      </c>
      <c r="Q2001" s="22">
        <v>1.0</v>
      </c>
      <c r="R2001" s="11" t="s">
        <v>7270</v>
      </c>
      <c r="S2001" s="13" t="str">
        <f t="shared" si="27"/>
        <v>BOWRONPIT</v>
      </c>
      <c r="T2001" s="11" t="s">
        <v>4344</v>
      </c>
      <c r="U2001" s="11">
        <v>722.0</v>
      </c>
      <c r="V2001" s="11"/>
      <c r="W2001" s="11" t="s">
        <v>7274</v>
      </c>
      <c r="X2001" s="60" t="s">
        <v>7275</v>
      </c>
      <c r="Y2001" s="9" t="s">
        <v>7252</v>
      </c>
    </row>
    <row r="2002" ht="14.25" customHeight="1">
      <c r="A2002" s="5" t="s">
        <v>88</v>
      </c>
      <c r="B2002" s="8">
        <v>11.0</v>
      </c>
      <c r="C2002" s="7" t="s">
        <v>7179</v>
      </c>
      <c r="D2002" s="5">
        <v>1113694.0</v>
      </c>
      <c r="E2002" s="5">
        <v>1604.0</v>
      </c>
      <c r="F2002" s="7" t="s">
        <v>7276</v>
      </c>
      <c r="G2002" s="10" t="s">
        <v>7277</v>
      </c>
      <c r="H2002" s="5" t="s">
        <v>7278</v>
      </c>
      <c r="I2002" s="5" t="s">
        <v>641</v>
      </c>
      <c r="J2002" s="5" t="s">
        <v>7279</v>
      </c>
      <c r="K2002" s="5">
        <v>1.0</v>
      </c>
      <c r="L2002" s="5">
        <v>2007.0</v>
      </c>
      <c r="M2002" s="11">
        <v>53.772183</v>
      </c>
      <c r="N2002" s="11">
        <v>-122.720729</v>
      </c>
      <c r="O2002" s="11" t="s">
        <v>1290</v>
      </c>
      <c r="P2002" s="11" t="s">
        <v>7280</v>
      </c>
      <c r="Q2002" s="22">
        <v>1.0</v>
      </c>
      <c r="R2002" s="11" t="s">
        <v>7276</v>
      </c>
      <c r="S2002" s="13" t="str">
        <f t="shared" si="27"/>
        <v>BULKLEYWX</v>
      </c>
      <c r="T2002" s="11" t="s">
        <v>4344</v>
      </c>
      <c r="U2002" s="11">
        <v>594.0</v>
      </c>
      <c r="V2002" s="11"/>
      <c r="W2002" s="11" t="s">
        <v>7281</v>
      </c>
      <c r="X2002" s="60" t="s">
        <v>7282</v>
      </c>
      <c r="Y2002" s="9" t="s">
        <v>7252</v>
      </c>
    </row>
    <row r="2003" ht="14.25" customHeight="1">
      <c r="B2003" s="8">
        <v>11.0</v>
      </c>
      <c r="C2003" s="7" t="s">
        <v>7179</v>
      </c>
      <c r="D2003" s="5" t="s">
        <v>7283</v>
      </c>
      <c r="E2003" s="5">
        <v>12057.0</v>
      </c>
      <c r="F2003" s="5" t="s">
        <v>7284</v>
      </c>
      <c r="G2003" s="5" t="s">
        <v>7285</v>
      </c>
      <c r="H2003" s="5" t="s">
        <v>7286</v>
      </c>
      <c r="I2003" s="5" t="s">
        <v>641</v>
      </c>
      <c r="J2003" s="5" t="s">
        <v>7287</v>
      </c>
      <c r="K2003" s="5">
        <v>1.0</v>
      </c>
      <c r="L2003" s="5">
        <v>14113.0</v>
      </c>
      <c r="M2003" s="11">
        <v>52.70982</v>
      </c>
      <c r="N2003" s="11">
        <v>-119.19126</v>
      </c>
      <c r="O2003" s="11" t="s">
        <v>170</v>
      </c>
      <c r="P2003" s="11" t="s">
        <v>7284</v>
      </c>
      <c r="Q2003" s="22">
        <v>8.0</v>
      </c>
      <c r="R2003" s="11" t="s">
        <v>7284</v>
      </c>
      <c r="S2003" s="13" t="str">
        <f t="shared" si="27"/>
        <v>CANOE MOUNTAIN STN</v>
      </c>
      <c r="T2003" s="11" t="s">
        <v>4344</v>
      </c>
      <c r="U2003" s="11">
        <v>2210.0</v>
      </c>
      <c r="V2003" s="11"/>
      <c r="W2003" s="11" t="s">
        <v>7288</v>
      </c>
      <c r="X2003" s="60" t="s">
        <v>7289</v>
      </c>
      <c r="Y2003" s="9" t="s">
        <v>7252</v>
      </c>
    </row>
    <row r="2004" ht="14.25" customHeight="1">
      <c r="B2004" s="8">
        <v>11.0</v>
      </c>
      <c r="C2004" s="7" t="s">
        <v>7179</v>
      </c>
      <c r="D2004" s="5" t="s">
        <v>7290</v>
      </c>
      <c r="E2004" s="5">
        <v>13220.0</v>
      </c>
      <c r="F2004" s="5" t="s">
        <v>7290</v>
      </c>
      <c r="G2004" s="5" t="s">
        <v>7291</v>
      </c>
      <c r="H2004" s="5" t="s">
        <v>7292</v>
      </c>
      <c r="I2004" s="5" t="s">
        <v>49</v>
      </c>
      <c r="J2004" s="5" t="s">
        <v>7287</v>
      </c>
      <c r="K2004" s="5">
        <v>1.0</v>
      </c>
      <c r="L2004" s="5">
        <v>15136.0</v>
      </c>
      <c r="M2004" s="11">
        <v>58.35718</v>
      </c>
      <c r="N2004" s="11">
        <v>-129.54637</v>
      </c>
      <c r="O2004" s="11" t="s">
        <v>1577</v>
      </c>
      <c r="P2004" s="11" t="s">
        <v>7293</v>
      </c>
      <c r="Q2004" s="22">
        <v>8.0</v>
      </c>
      <c r="R2004" s="11" t="s">
        <v>7290</v>
      </c>
      <c r="S2004" s="13" t="str">
        <f t="shared" si="27"/>
        <v>CARIBOU PASS</v>
      </c>
      <c r="T2004" s="11" t="s">
        <v>4344</v>
      </c>
      <c r="U2004" s="11">
        <v>1744.0</v>
      </c>
      <c r="V2004" s="11"/>
      <c r="W2004" s="11" t="s">
        <v>7294</v>
      </c>
      <c r="X2004" s="60" t="s">
        <v>7295</v>
      </c>
      <c r="Y2004" s="9" t="s">
        <v>7252</v>
      </c>
    </row>
    <row r="2005" ht="14.25" customHeight="1">
      <c r="B2005" s="8">
        <v>11.0</v>
      </c>
      <c r="C2005" s="7" t="s">
        <v>7179</v>
      </c>
      <c r="D2005" s="5" t="s">
        <v>7296</v>
      </c>
      <c r="E2005" s="5">
        <v>13184.0</v>
      </c>
      <c r="F2005" s="5" t="s">
        <v>7297</v>
      </c>
      <c r="G2005" s="5" t="s">
        <v>7298</v>
      </c>
      <c r="H2005" s="5" t="s">
        <v>7299</v>
      </c>
      <c r="I2005" s="5" t="s">
        <v>49</v>
      </c>
      <c r="J2005" s="5" t="s">
        <v>7250</v>
      </c>
      <c r="K2005" s="5">
        <v>1.0</v>
      </c>
      <c r="L2005" s="5">
        <v>15106.0</v>
      </c>
      <c r="M2005" s="11">
        <v>54.883903</v>
      </c>
      <c r="N2005" s="11">
        <v>-126.623533</v>
      </c>
      <c r="O2005" s="11" t="s">
        <v>1290</v>
      </c>
      <c r="P2005" s="6" t="s">
        <v>7296</v>
      </c>
      <c r="Q2005" s="22">
        <v>2.0</v>
      </c>
      <c r="R2005" s="11" t="s">
        <v>7297</v>
      </c>
      <c r="S2005" s="13" t="str">
        <f t="shared" si="27"/>
        <v>CHAPMANWX</v>
      </c>
      <c r="T2005" s="11" t="s">
        <v>4344</v>
      </c>
      <c r="U2005" s="11">
        <v>848.0</v>
      </c>
      <c r="V2005" s="11"/>
      <c r="W2005" s="11"/>
      <c r="X2005" s="60" t="s">
        <v>7300</v>
      </c>
      <c r="Y2005" s="9" t="s">
        <v>7252</v>
      </c>
    </row>
    <row r="2006" ht="14.25" customHeight="1">
      <c r="A2006" s="5" t="s">
        <v>88</v>
      </c>
      <c r="B2006" s="8">
        <v>11.0</v>
      </c>
      <c r="C2006" s="7" t="s">
        <v>7179</v>
      </c>
      <c r="D2006" s="5" t="s">
        <v>7301</v>
      </c>
      <c r="E2006" s="5">
        <v>13070.0</v>
      </c>
      <c r="F2006" s="7" t="s">
        <v>7302</v>
      </c>
      <c r="G2006" s="10" t="s">
        <v>7303</v>
      </c>
      <c r="H2006" s="5" t="s">
        <v>7304</v>
      </c>
      <c r="I2006" s="5" t="s">
        <v>49</v>
      </c>
      <c r="J2006" s="5" t="s">
        <v>7265</v>
      </c>
      <c r="K2006" s="5">
        <v>1.0</v>
      </c>
      <c r="L2006" s="5">
        <v>14994.0</v>
      </c>
      <c r="M2006" s="11">
        <v>54.238028</v>
      </c>
      <c r="N2006" s="11">
        <v>-122.877306</v>
      </c>
      <c r="O2006" s="11" t="s">
        <v>1290</v>
      </c>
      <c r="P2006" s="11" t="s">
        <v>7305</v>
      </c>
      <c r="Q2006" s="22">
        <v>1.0</v>
      </c>
      <c r="R2006" s="11" t="s">
        <v>7306</v>
      </c>
      <c r="S2006" s="13" t="str">
        <f t="shared" si="27"/>
        <v>CHIEFLAKEWX</v>
      </c>
      <c r="T2006" s="11" t="s">
        <v>4344</v>
      </c>
      <c r="U2006" s="11">
        <v>720.0</v>
      </c>
      <c r="V2006" s="11"/>
      <c r="W2006" s="11" t="s">
        <v>7307</v>
      </c>
      <c r="X2006" s="60" t="s">
        <v>7308</v>
      </c>
      <c r="Y2006" s="9" t="s">
        <v>7252</v>
      </c>
    </row>
    <row r="2007" ht="14.25" customHeight="1">
      <c r="B2007" s="8">
        <v>11.0</v>
      </c>
      <c r="C2007" s="7" t="s">
        <v>7179</v>
      </c>
      <c r="D2007" s="5" t="s">
        <v>7309</v>
      </c>
      <c r="E2007" s="5">
        <v>12439.0</v>
      </c>
      <c r="F2007" s="5" t="s">
        <v>7310</v>
      </c>
      <c r="G2007" s="5" t="s">
        <v>7311</v>
      </c>
      <c r="H2007" s="5" t="s">
        <v>7312</v>
      </c>
      <c r="I2007" s="5" t="s">
        <v>49</v>
      </c>
      <c r="J2007" s="5" t="s">
        <v>7313</v>
      </c>
      <c r="K2007" s="5">
        <v>1.0</v>
      </c>
      <c r="L2007" s="5">
        <v>14461.0</v>
      </c>
      <c r="M2007" s="11">
        <v>53.741139</v>
      </c>
      <c r="N2007" s="11">
        <v>-121.784639</v>
      </c>
      <c r="O2007" s="11" t="s">
        <v>170</v>
      </c>
      <c r="P2007" s="11" t="s">
        <v>7309</v>
      </c>
      <c r="Q2007" s="22">
        <v>1.0</v>
      </c>
      <c r="R2007" s="11" t="s">
        <v>7309</v>
      </c>
      <c r="S2007" s="13" t="str">
        <f t="shared" si="27"/>
        <v>COALMINEWX</v>
      </c>
      <c r="T2007" s="11" t="s">
        <v>4344</v>
      </c>
      <c r="U2007" s="11">
        <v>840.0</v>
      </c>
      <c r="V2007" s="11"/>
      <c r="W2007" s="11" t="s">
        <v>7314</v>
      </c>
      <c r="X2007" s="60" t="s">
        <v>7315</v>
      </c>
      <c r="Y2007" s="9" t="s">
        <v>7252</v>
      </c>
    </row>
    <row r="2008" ht="14.25" customHeight="1">
      <c r="A2008" s="5" t="s">
        <v>88</v>
      </c>
      <c r="B2008" s="8">
        <v>11.0</v>
      </c>
      <c r="C2008" s="7" t="s">
        <v>7179</v>
      </c>
      <c r="D2008" s="5">
        <v>1113682.0</v>
      </c>
      <c r="E2008" s="5">
        <v>1606.0</v>
      </c>
      <c r="F2008" s="5" t="s">
        <v>7316</v>
      </c>
      <c r="G2008" s="5" t="s">
        <v>7317</v>
      </c>
      <c r="H2008" s="5" t="s">
        <v>7318</v>
      </c>
      <c r="I2008" s="5" t="s">
        <v>641</v>
      </c>
      <c r="J2008" s="5" t="s">
        <v>7279</v>
      </c>
      <c r="K2008" s="5">
        <v>1.0</v>
      </c>
      <c r="L2008" s="5">
        <v>2009.0</v>
      </c>
      <c r="M2008" s="11">
        <v>53.753775</v>
      </c>
      <c r="N2008" s="11">
        <v>-122.718864</v>
      </c>
      <c r="O2008" s="11" t="s">
        <v>1290</v>
      </c>
      <c r="P2008" s="11" t="s">
        <v>7319</v>
      </c>
      <c r="Q2008" s="22">
        <v>1.0</v>
      </c>
      <c r="R2008" s="11" t="s">
        <v>7316</v>
      </c>
      <c r="S2008" s="13" t="str">
        <f t="shared" si="27"/>
        <v>CPFWX</v>
      </c>
      <c r="T2008" s="11" t="s">
        <v>4344</v>
      </c>
      <c r="U2008" s="11">
        <v>593.0</v>
      </c>
      <c r="V2008" s="11"/>
      <c r="W2008" s="11" t="s">
        <v>7320</v>
      </c>
      <c r="X2008" s="60" t="s">
        <v>7321</v>
      </c>
      <c r="Y2008" s="9" t="s">
        <v>7252</v>
      </c>
    </row>
    <row r="2009" ht="14.25" customHeight="1">
      <c r="A2009" s="5" t="s">
        <v>7135</v>
      </c>
      <c r="B2009" s="8"/>
      <c r="C2009" s="12" t="s">
        <v>7136</v>
      </c>
      <c r="D2009" s="10" t="str">
        <f>CONCATENATE("'-&gt; ",P2009)</f>
        <v>'-&gt; CrookedLk</v>
      </c>
      <c r="F2009" s="10" t="str">
        <f>CONCATENATE("'-&gt; ",R2009)</f>
        <v>'-&gt; CrookedLk</v>
      </c>
      <c r="G2009" s="10" t="str">
        <f>CONCATENATE("'-&gt; ",-1*N2009," W, ",M2009," N, Elev. ",U2009," m")</f>
        <v>'-&gt; 126.42886 W, 59.88626 N, Elev. 669 m</v>
      </c>
      <c r="M2009" s="11">
        <v>59.88626</v>
      </c>
      <c r="N2009" s="11">
        <v>-126.42886</v>
      </c>
      <c r="O2009" s="11" t="s">
        <v>1577</v>
      </c>
      <c r="P2009" s="11" t="s">
        <v>7322</v>
      </c>
      <c r="Q2009" s="22">
        <v>1.0</v>
      </c>
      <c r="R2009" s="11" t="s">
        <v>7322</v>
      </c>
      <c r="S2009" s="13" t="str">
        <f t="shared" si="27"/>
        <v>CROOKEDLK</v>
      </c>
      <c r="T2009" s="11" t="s">
        <v>4344</v>
      </c>
      <c r="U2009" s="11">
        <v>669.0</v>
      </c>
      <c r="V2009" s="11"/>
      <c r="W2009" s="11" t="s">
        <v>7323</v>
      </c>
      <c r="X2009" s="60" t="s">
        <v>7324</v>
      </c>
      <c r="Y2009" s="9" t="s">
        <v>7252</v>
      </c>
    </row>
    <row r="2010" ht="14.25" customHeight="1">
      <c r="A2010" s="5" t="s">
        <v>88</v>
      </c>
      <c r="B2010" s="8">
        <v>11.0</v>
      </c>
      <c r="C2010" s="7" t="s">
        <v>7179</v>
      </c>
      <c r="D2010" s="5" t="s">
        <v>7325</v>
      </c>
      <c r="E2010" s="5">
        <v>12058.0</v>
      </c>
      <c r="F2010" s="5" t="s">
        <v>7326</v>
      </c>
      <c r="G2010" s="40" t="s">
        <v>7327</v>
      </c>
      <c r="H2010" s="5" t="s">
        <v>7328</v>
      </c>
      <c r="I2010" s="5" t="s">
        <v>641</v>
      </c>
      <c r="J2010" s="5" t="s">
        <v>7265</v>
      </c>
      <c r="K2010" s="5">
        <v>1.0</v>
      </c>
      <c r="L2010" s="5">
        <v>14114.0</v>
      </c>
      <c r="M2010" s="11">
        <v>54.423494</v>
      </c>
      <c r="N2010" s="11">
        <v>-122.627844</v>
      </c>
      <c r="O2010" s="11" t="s">
        <v>1290</v>
      </c>
      <c r="P2010" s="11" t="s">
        <v>7329</v>
      </c>
      <c r="Q2010" s="22">
        <v>1.0</v>
      </c>
      <c r="R2010" s="11" t="s">
        <v>7330</v>
      </c>
      <c r="S2010" s="13" t="str">
        <f t="shared" si="27"/>
        <v>CRYSTALWX</v>
      </c>
      <c r="T2010" s="11" t="s">
        <v>4344</v>
      </c>
      <c r="U2010" s="11">
        <v>744.0</v>
      </c>
      <c r="V2010" s="11"/>
      <c r="W2010" s="11" t="s">
        <v>7331</v>
      </c>
      <c r="X2010" s="60" t="s">
        <v>7332</v>
      </c>
      <c r="Y2010" s="9" t="s">
        <v>7252</v>
      </c>
    </row>
    <row r="2011" ht="14.25" customHeight="1">
      <c r="A2011" s="5" t="s">
        <v>7135</v>
      </c>
      <c r="B2011" s="8"/>
      <c r="C2011" s="12" t="s">
        <v>7136</v>
      </c>
      <c r="D2011" s="10" t="str">
        <f>CONCATENATE("'-&gt; ",P2011)</f>
        <v>'-&gt; PGTISDavis</v>
      </c>
      <c r="F2011" s="10" t="str">
        <f>CONCATENATE("'-&gt; ",R2011)</f>
        <v>'-&gt; DavisPGTIS</v>
      </c>
      <c r="G2011" s="10" t="str">
        <f>CONCATENATE("'-&gt; ",-1*N2011," W, ",M2011," N, Elev. ",U2011," m")</f>
        <v>'-&gt; 122.7229 W, 53.77202 N, Elev. 613 m</v>
      </c>
      <c r="M2011" s="47">
        <v>53.77202</v>
      </c>
      <c r="N2011" s="47">
        <v>-122.7229</v>
      </c>
      <c r="O2011" s="11" t="s">
        <v>1290</v>
      </c>
      <c r="P2011" s="11" t="s">
        <v>7333</v>
      </c>
      <c r="Q2011" s="22">
        <v>1.0</v>
      </c>
      <c r="R2011" s="11" t="s">
        <v>7334</v>
      </c>
      <c r="S2011" s="13" t="str">
        <f t="shared" si="27"/>
        <v>DAVISPGTIS</v>
      </c>
      <c r="T2011" s="11" t="s">
        <v>4344</v>
      </c>
      <c r="U2011" s="11">
        <v>613.0</v>
      </c>
      <c r="V2011" s="11"/>
      <c r="W2011" s="11" t="s">
        <v>7335</v>
      </c>
      <c r="X2011" s="60" t="s">
        <v>7336</v>
      </c>
      <c r="Y2011" s="9" t="s">
        <v>7252</v>
      </c>
    </row>
    <row r="2012" ht="14.25" customHeight="1">
      <c r="A2012" s="5" t="s">
        <v>88</v>
      </c>
      <c r="B2012" s="8">
        <v>11.0</v>
      </c>
      <c r="C2012" s="7" t="s">
        <v>7179</v>
      </c>
      <c r="D2012" s="5" t="s">
        <v>7337</v>
      </c>
      <c r="E2012" s="5">
        <v>13256.0</v>
      </c>
      <c r="F2012" s="5" t="s">
        <v>7337</v>
      </c>
      <c r="G2012" s="10" t="s">
        <v>7338</v>
      </c>
      <c r="H2012" s="5" t="s">
        <v>7339</v>
      </c>
      <c r="I2012" s="5" t="s">
        <v>49</v>
      </c>
      <c r="J2012" s="5" t="s">
        <v>7250</v>
      </c>
      <c r="K2012" s="5">
        <v>1.0</v>
      </c>
      <c r="L2012" s="5">
        <v>15172.0</v>
      </c>
      <c r="M2012" s="11">
        <v>54.78217</v>
      </c>
      <c r="N2012" s="11">
        <v>-127.514341</v>
      </c>
      <c r="O2012" s="11" t="s">
        <v>148</v>
      </c>
      <c r="P2012" s="11" t="s">
        <v>7340</v>
      </c>
      <c r="Q2012" s="22">
        <v>3.0</v>
      </c>
      <c r="R2012" s="11" t="s">
        <v>7337</v>
      </c>
      <c r="S2012" s="13" t="str">
        <f t="shared" si="27"/>
        <v>DENNIS</v>
      </c>
      <c r="T2012" s="11" t="s">
        <v>4344</v>
      </c>
      <c r="U2012" s="11">
        <v>980.0</v>
      </c>
      <c r="V2012" s="11"/>
      <c r="W2012" s="11"/>
      <c r="X2012" s="60" t="s">
        <v>7341</v>
      </c>
      <c r="Y2012" s="9" t="s">
        <v>7252</v>
      </c>
    </row>
    <row r="2013" ht="14.25" customHeight="1">
      <c r="A2013" s="5" t="s">
        <v>1908</v>
      </c>
      <c r="B2013" s="8">
        <v>11.0</v>
      </c>
      <c r="C2013" s="7" t="s">
        <v>7179</v>
      </c>
      <c r="D2013" s="5" t="s">
        <v>7342</v>
      </c>
      <c r="E2013" s="5">
        <v>12059.0</v>
      </c>
      <c r="F2013" s="10" t="s">
        <v>7343</v>
      </c>
      <c r="G2013" s="10" t="s">
        <v>7344</v>
      </c>
      <c r="H2013" s="5" t="s">
        <v>7345</v>
      </c>
      <c r="I2013" s="5" t="s">
        <v>641</v>
      </c>
      <c r="J2013" s="5" t="s">
        <v>7257</v>
      </c>
      <c r="K2013" s="5">
        <v>1.0</v>
      </c>
      <c r="L2013" s="5">
        <v>14115.0</v>
      </c>
      <c r="M2013" s="11">
        <v>53.114909</v>
      </c>
      <c r="N2013" s="11">
        <v>-119.835293</v>
      </c>
      <c r="O2013" s="11" t="s">
        <v>170</v>
      </c>
      <c r="P2013" s="16" t="s">
        <v>7342</v>
      </c>
      <c r="Q2013" s="22">
        <v>1.0</v>
      </c>
      <c r="R2013" s="11" t="s">
        <v>7346</v>
      </c>
      <c r="S2013" s="13" t="str">
        <f t="shared" si="27"/>
        <v>DUNSTERWX</v>
      </c>
      <c r="T2013" s="11" t="s">
        <v>4344</v>
      </c>
      <c r="U2013" s="11">
        <v>890.0</v>
      </c>
      <c r="V2013" s="11"/>
      <c r="W2013" s="11" t="s">
        <v>7347</v>
      </c>
      <c r="X2013" s="60" t="s">
        <v>7348</v>
      </c>
      <c r="Y2013" s="9" t="s">
        <v>7252</v>
      </c>
    </row>
    <row r="2014" ht="14.25" customHeight="1">
      <c r="A2014" s="5" t="s">
        <v>88</v>
      </c>
      <c r="B2014" s="8">
        <v>11.0</v>
      </c>
      <c r="C2014" s="7" t="s">
        <v>7179</v>
      </c>
      <c r="D2014" s="5">
        <v>1159701.0</v>
      </c>
      <c r="E2014" s="5">
        <v>1600.0</v>
      </c>
      <c r="F2014" s="5" t="s">
        <v>7349</v>
      </c>
      <c r="G2014" s="10" t="s">
        <v>7350</v>
      </c>
      <c r="H2014" s="5" t="s">
        <v>7351</v>
      </c>
      <c r="I2014" s="5" t="s">
        <v>641</v>
      </c>
      <c r="J2014" s="5" t="s">
        <v>7265</v>
      </c>
      <c r="K2014" s="5">
        <v>1.0</v>
      </c>
      <c r="L2014" s="5">
        <v>2003.0</v>
      </c>
      <c r="M2014" s="11">
        <v>54.422392</v>
      </c>
      <c r="N2014" s="11">
        <v>-125.991293</v>
      </c>
      <c r="O2014" s="11" t="s">
        <v>148</v>
      </c>
      <c r="P2014" s="11" t="s">
        <v>7352</v>
      </c>
      <c r="Q2014" s="22">
        <v>1.0</v>
      </c>
      <c r="R2014" s="11" t="s">
        <v>7349</v>
      </c>
      <c r="S2014" s="13" t="str">
        <f t="shared" si="27"/>
        <v>ENDAKOWX</v>
      </c>
      <c r="T2014" s="11" t="s">
        <v>4344</v>
      </c>
      <c r="U2014" s="11">
        <v>851.0</v>
      </c>
      <c r="V2014" s="11"/>
      <c r="W2014" s="11" t="s">
        <v>7353</v>
      </c>
      <c r="X2014" s="60" t="s">
        <v>7354</v>
      </c>
      <c r="Y2014" s="9" t="s">
        <v>7252</v>
      </c>
    </row>
    <row r="2015" ht="14.25" customHeight="1">
      <c r="A2015" s="5" t="s">
        <v>88</v>
      </c>
      <c r="B2015" s="8">
        <v>11.0</v>
      </c>
      <c r="C2015" s="7" t="s">
        <v>7179</v>
      </c>
      <c r="D2015" s="5">
        <v>1177893.0</v>
      </c>
      <c r="E2015" s="5">
        <v>1602.0</v>
      </c>
      <c r="F2015" s="5" t="s">
        <v>7355</v>
      </c>
      <c r="G2015" s="10" t="s">
        <v>7356</v>
      </c>
      <c r="H2015" s="5" t="s">
        <v>7357</v>
      </c>
      <c r="I2015" s="5" t="s">
        <v>641</v>
      </c>
      <c r="J2015" s="7" t="s">
        <v>7358</v>
      </c>
      <c r="K2015" s="5">
        <v>1.0</v>
      </c>
      <c r="L2015" s="5">
        <v>2005.0</v>
      </c>
      <c r="M2015" s="11">
        <v>53.883555</v>
      </c>
      <c r="N2015" s="11">
        <v>-124.710668</v>
      </c>
      <c r="O2015" s="11" t="s">
        <v>148</v>
      </c>
      <c r="P2015" s="11" t="s">
        <v>7359</v>
      </c>
      <c r="Q2015" s="22">
        <v>2.0</v>
      </c>
      <c r="R2015" s="11" t="s">
        <v>7355</v>
      </c>
      <c r="S2015" s="13" t="str">
        <f t="shared" si="27"/>
        <v>GEORGEWX</v>
      </c>
      <c r="T2015" s="11" t="s">
        <v>4344</v>
      </c>
      <c r="U2015" s="11">
        <v>859.0</v>
      </c>
      <c r="V2015" s="11"/>
      <c r="W2015" s="11" t="s">
        <v>7360</v>
      </c>
      <c r="X2015" s="60" t="s">
        <v>7361</v>
      </c>
      <c r="Y2015" s="9" t="s">
        <v>7252</v>
      </c>
    </row>
    <row r="2016" ht="14.25" customHeight="1">
      <c r="B2016" s="8">
        <v>11.0</v>
      </c>
      <c r="C2016" s="7" t="s">
        <v>7179</v>
      </c>
      <c r="D2016" s="5" t="s">
        <v>7362</v>
      </c>
      <c r="E2016" s="5">
        <v>12433.0</v>
      </c>
      <c r="F2016" s="5" t="s">
        <v>7363</v>
      </c>
      <c r="G2016" s="5" t="s">
        <v>7364</v>
      </c>
      <c r="H2016" s="5" t="s">
        <v>7365</v>
      </c>
      <c r="I2016" s="5" t="s">
        <v>641</v>
      </c>
      <c r="J2016" s="5" t="s">
        <v>7287</v>
      </c>
      <c r="K2016" s="5">
        <v>1.0</v>
      </c>
      <c r="L2016" s="5">
        <v>14455.0</v>
      </c>
      <c r="M2016" s="11">
        <v>58.18275</v>
      </c>
      <c r="N2016" s="11">
        <v>-129.89044</v>
      </c>
      <c r="O2016" s="11" t="s">
        <v>1577</v>
      </c>
      <c r="P2016" s="11" t="s">
        <v>7362</v>
      </c>
      <c r="Q2016" s="22">
        <v>7.0</v>
      </c>
      <c r="R2016" s="11" t="s">
        <v>7362</v>
      </c>
      <c r="S2016" s="13" t="str">
        <f t="shared" si="27"/>
        <v>GNAT PASS STN</v>
      </c>
      <c r="T2016" s="11" t="s">
        <v>4344</v>
      </c>
      <c r="U2016" s="11">
        <v>1656.0</v>
      </c>
      <c r="V2016" s="11" t="s">
        <v>645</v>
      </c>
      <c r="W2016" s="11" t="s">
        <v>7366</v>
      </c>
      <c r="X2016" s="60" t="s">
        <v>7367</v>
      </c>
      <c r="Y2016" s="9" t="s">
        <v>7252</v>
      </c>
    </row>
    <row r="2017" ht="14.25" customHeight="1">
      <c r="B2017" s="8">
        <v>11.0</v>
      </c>
      <c r="C2017" s="7" t="s">
        <v>7179</v>
      </c>
      <c r="D2017" s="5" t="s">
        <v>7368</v>
      </c>
      <c r="E2017" s="5">
        <v>12435.0</v>
      </c>
      <c r="F2017" s="5" t="s">
        <v>7369</v>
      </c>
      <c r="G2017" s="5" t="s">
        <v>7370</v>
      </c>
      <c r="H2017" s="5" t="s">
        <v>7371</v>
      </c>
      <c r="I2017" s="5" t="s">
        <v>49</v>
      </c>
      <c r="J2017" s="5" t="s">
        <v>7287</v>
      </c>
      <c r="K2017" s="5">
        <v>1.0</v>
      </c>
      <c r="L2017" s="5">
        <v>14457.0</v>
      </c>
      <c r="M2017" s="11">
        <v>58.745694</v>
      </c>
      <c r="N2017" s="11">
        <v>-123.977778</v>
      </c>
      <c r="O2017" s="11" t="s">
        <v>2008</v>
      </c>
      <c r="P2017" s="11" t="s">
        <v>7368</v>
      </c>
      <c r="Q2017" s="22">
        <v>8.0</v>
      </c>
      <c r="R2017" s="11" t="s">
        <v>7369</v>
      </c>
      <c r="S2017" s="13" t="str">
        <f t="shared" si="27"/>
        <v>GUNNEL3</v>
      </c>
      <c r="T2017" s="11" t="s">
        <v>4344</v>
      </c>
      <c r="U2017" s="11">
        <v>1486.0</v>
      </c>
      <c r="V2017" s="11"/>
      <c r="W2017" s="11" t="s">
        <v>7372</v>
      </c>
      <c r="X2017" s="60" t="s">
        <v>7373</v>
      </c>
      <c r="Y2017" s="9" t="s">
        <v>7252</v>
      </c>
    </row>
    <row r="2018" ht="14.25" customHeight="1">
      <c r="A2018" s="5" t="s">
        <v>88</v>
      </c>
      <c r="B2018" s="8">
        <v>11.0</v>
      </c>
      <c r="C2018" s="7" t="s">
        <v>7179</v>
      </c>
      <c r="D2018" s="5">
        <v>1113693.0</v>
      </c>
      <c r="E2018" s="5">
        <v>1595.0</v>
      </c>
      <c r="F2018" s="5" t="s">
        <v>7374</v>
      </c>
      <c r="G2018" s="10" t="s">
        <v>7375</v>
      </c>
      <c r="H2018" s="5" t="s">
        <v>7376</v>
      </c>
      <c r="I2018" s="5" t="s">
        <v>641</v>
      </c>
      <c r="J2018" s="5" t="s">
        <v>7377</v>
      </c>
      <c r="K2018" s="5">
        <v>1.0</v>
      </c>
      <c r="L2018" s="5">
        <v>1998.0</v>
      </c>
      <c r="M2018" s="11">
        <v>58.75475</v>
      </c>
      <c r="N2018" s="11">
        <v>-123.977683</v>
      </c>
      <c r="O2018" s="11" t="s">
        <v>2008</v>
      </c>
      <c r="P2018" s="11" t="s">
        <v>7378</v>
      </c>
      <c r="Q2018" s="22">
        <v>8.0</v>
      </c>
      <c r="R2018" s="11" t="s">
        <v>7374</v>
      </c>
      <c r="S2018" s="13" t="str">
        <f t="shared" si="27"/>
        <v>GUNNELWX</v>
      </c>
      <c r="T2018" s="11" t="s">
        <v>4344</v>
      </c>
      <c r="U2018" s="11">
        <v>1460.0</v>
      </c>
      <c r="V2018" s="11" t="s">
        <v>645</v>
      </c>
      <c r="W2018" s="11" t="s">
        <v>7379</v>
      </c>
      <c r="X2018" s="60" t="s">
        <v>7380</v>
      </c>
      <c r="Y2018" s="9" t="s">
        <v>7252</v>
      </c>
    </row>
    <row r="2019" ht="14.25" customHeight="1">
      <c r="A2019" s="5" t="s">
        <v>88</v>
      </c>
      <c r="B2019" s="8">
        <v>11.0</v>
      </c>
      <c r="C2019" s="7" t="s">
        <v>7179</v>
      </c>
      <c r="D2019" s="5" t="s">
        <v>7381</v>
      </c>
      <c r="E2019" s="5">
        <v>12060.0</v>
      </c>
      <c r="F2019" s="5" t="s">
        <v>7382</v>
      </c>
      <c r="G2019" s="10" t="s">
        <v>7383</v>
      </c>
      <c r="H2019" s="5" t="s">
        <v>7384</v>
      </c>
      <c r="I2019" s="5" t="s">
        <v>641</v>
      </c>
      <c r="J2019" s="5" t="s">
        <v>7257</v>
      </c>
      <c r="K2019" s="5">
        <v>1.0</v>
      </c>
      <c r="L2019" s="5">
        <v>14116.0</v>
      </c>
      <c r="M2019" s="11">
        <v>55.21275</v>
      </c>
      <c r="N2019" s="11">
        <v>-120.771635</v>
      </c>
      <c r="O2019" s="11" t="s">
        <v>153</v>
      </c>
      <c r="P2019" s="11" t="s">
        <v>7385</v>
      </c>
      <c r="Q2019" s="22">
        <v>8.0</v>
      </c>
      <c r="R2019" s="11" t="s">
        <v>7386</v>
      </c>
      <c r="S2019" s="13" t="str">
        <f t="shared" si="27"/>
        <v>HOURGLASSWX</v>
      </c>
      <c r="T2019" s="11" t="s">
        <v>4344</v>
      </c>
      <c r="U2019" s="11">
        <v>1131.0</v>
      </c>
      <c r="V2019" s="11"/>
      <c r="W2019" s="11" t="s">
        <v>7387</v>
      </c>
      <c r="X2019" s="60" t="s">
        <v>7388</v>
      </c>
      <c r="Y2019" s="9" t="s">
        <v>7252</v>
      </c>
    </row>
    <row r="2020" ht="14.25" customHeight="1">
      <c r="A2020" s="5" t="s">
        <v>88</v>
      </c>
      <c r="B2020" s="8">
        <v>11.0</v>
      </c>
      <c r="C2020" s="7" t="s">
        <v>7179</v>
      </c>
      <c r="D2020" s="5" t="s">
        <v>7389</v>
      </c>
      <c r="E2020" s="5">
        <v>12434.0</v>
      </c>
      <c r="F2020" s="5" t="s">
        <v>7390</v>
      </c>
      <c r="G2020" s="10" t="s">
        <v>7391</v>
      </c>
      <c r="H2020" s="5" t="s">
        <v>7392</v>
      </c>
      <c r="I2020" s="5" t="s">
        <v>641</v>
      </c>
      <c r="J2020" s="5" t="s">
        <v>7287</v>
      </c>
      <c r="K2020" s="5">
        <v>1.0</v>
      </c>
      <c r="L2020" s="5">
        <v>14456.0</v>
      </c>
      <c r="M2020" s="11">
        <v>54.77375</v>
      </c>
      <c r="N2020" s="11">
        <v>-127.27216</v>
      </c>
      <c r="O2020" s="11" t="s">
        <v>148</v>
      </c>
      <c r="P2020" s="11" t="s">
        <v>7389</v>
      </c>
      <c r="Q2020" s="22">
        <v>8.0</v>
      </c>
      <c r="R2020" s="11" t="s">
        <v>7390</v>
      </c>
      <c r="S2020" s="13" t="str">
        <f t="shared" si="27"/>
        <v>HUDSON BAY MTN2</v>
      </c>
      <c r="T2020" s="11" t="s">
        <v>4344</v>
      </c>
      <c r="U2020" s="11">
        <v>1670.0</v>
      </c>
      <c r="V2020" s="11"/>
      <c r="W2020" s="11" t="s">
        <v>7393</v>
      </c>
      <c r="X2020" s="60" t="s">
        <v>7394</v>
      </c>
      <c r="Y2020" s="9" t="s">
        <v>7252</v>
      </c>
    </row>
    <row r="2021" ht="14.25" customHeight="1">
      <c r="A2021" s="5" t="s">
        <v>7135</v>
      </c>
      <c r="B2021" s="8"/>
      <c r="C2021" s="12" t="s">
        <v>7136</v>
      </c>
      <c r="D2021" s="10" t="str">
        <f t="shared" ref="D2021:D2027" si="28">CONCATENATE("'-&gt; ",P2021)</f>
        <v>'-&gt; Hudson Bay Stn</v>
      </c>
      <c r="F2021" s="10" t="str">
        <f t="shared" ref="F2021:F2027" si="29">CONCATENATE("'-&gt; ",R2021)</f>
        <v>'-&gt; Hudson Bay Stn</v>
      </c>
      <c r="G2021" s="10" t="str">
        <f t="shared" ref="G2021:G2027" si="30">CONCATENATE("'-&gt; ",-1*N2021," W, ",M2021," N, Elev. ",U2021," m")</f>
        <v>'-&gt; 127.29603 W, 54.77684 N, Elev. 1669 m</v>
      </c>
      <c r="M2021" s="11">
        <v>54.77684</v>
      </c>
      <c r="N2021" s="11">
        <v>-127.29603</v>
      </c>
      <c r="O2021" s="11" t="s">
        <v>148</v>
      </c>
      <c r="P2021" s="11" t="s">
        <v>7395</v>
      </c>
      <c r="Q2021" s="22">
        <v>8.0</v>
      </c>
      <c r="R2021" s="11" t="s">
        <v>7395</v>
      </c>
      <c r="S2021" s="13" t="str">
        <f t="shared" si="27"/>
        <v>HUDSON BAY STN</v>
      </c>
      <c r="T2021" s="11" t="s">
        <v>4344</v>
      </c>
      <c r="U2021" s="11">
        <v>1669.0</v>
      </c>
      <c r="V2021" s="11"/>
      <c r="W2021" s="11" t="s">
        <v>7396</v>
      </c>
      <c r="X2021" s="60" t="s">
        <v>7397</v>
      </c>
      <c r="Y2021" s="9" t="s">
        <v>7252</v>
      </c>
    </row>
    <row r="2022" ht="14.25" customHeight="1">
      <c r="A2022" s="5" t="s">
        <v>7135</v>
      </c>
      <c r="B2022" s="8"/>
      <c r="C2022" s="12" t="s">
        <v>7136</v>
      </c>
      <c r="D2022" s="10" t="str">
        <f t="shared" si="28"/>
        <v>'-&gt; IBB1</v>
      </c>
      <c r="F2022" s="10" t="str">
        <f t="shared" si="29"/>
        <v>'-&gt; IBB1Wx</v>
      </c>
      <c r="G2022" s="10" t="str">
        <f t="shared" si="30"/>
        <v>'-&gt; 127.25169 W, 53.72029 N, Elev. 1146 m</v>
      </c>
      <c r="M2022" s="11">
        <v>53.72029</v>
      </c>
      <c r="N2022" s="11">
        <v>-127.25169</v>
      </c>
      <c r="O2022" s="11" t="s">
        <v>148</v>
      </c>
      <c r="P2022" s="11" t="s">
        <v>7398</v>
      </c>
      <c r="Q2022" s="22">
        <v>5.0</v>
      </c>
      <c r="R2022" s="11" t="s">
        <v>7399</v>
      </c>
      <c r="S2022" s="13" t="str">
        <f t="shared" si="27"/>
        <v>IBB1WX</v>
      </c>
      <c r="T2022" s="11" t="s">
        <v>4344</v>
      </c>
      <c r="U2022" s="11">
        <v>1146.0</v>
      </c>
      <c r="V2022" s="11"/>
      <c r="W2022" s="11" t="s">
        <v>7400</v>
      </c>
      <c r="X2022" s="60" t="s">
        <v>7401</v>
      </c>
      <c r="Y2022" s="9" t="s">
        <v>7252</v>
      </c>
    </row>
    <row r="2023" ht="14.25" customHeight="1">
      <c r="A2023" s="5" t="s">
        <v>7135</v>
      </c>
      <c r="B2023" s="8"/>
      <c r="C2023" s="12" t="s">
        <v>7136</v>
      </c>
      <c r="D2023" s="10" t="str">
        <f t="shared" si="28"/>
        <v>'-&gt; IBB2</v>
      </c>
      <c r="F2023" s="10" t="str">
        <f t="shared" si="29"/>
        <v>'-&gt; IBB2Wx</v>
      </c>
      <c r="G2023" s="10" t="str">
        <f t="shared" si="30"/>
        <v>'-&gt; 126.92067 W, 54.81127 N, Elev. 967 m</v>
      </c>
      <c r="M2023" s="47">
        <v>54.81127</v>
      </c>
      <c r="N2023" s="47">
        <v>-126.92067</v>
      </c>
      <c r="O2023" s="11" t="s">
        <v>148</v>
      </c>
      <c r="P2023" s="11" t="s">
        <v>7402</v>
      </c>
      <c r="Q2023" s="22">
        <v>3.0</v>
      </c>
      <c r="R2023" s="11" t="s">
        <v>7403</v>
      </c>
      <c r="S2023" s="13" t="str">
        <f t="shared" si="27"/>
        <v>IBB2WX</v>
      </c>
      <c r="T2023" s="11" t="s">
        <v>4344</v>
      </c>
      <c r="U2023" s="11">
        <v>967.0</v>
      </c>
      <c r="V2023" s="11"/>
      <c r="W2023" s="11" t="s">
        <v>7404</v>
      </c>
      <c r="X2023" s="60" t="s">
        <v>7405</v>
      </c>
      <c r="Y2023" s="9" t="s">
        <v>7252</v>
      </c>
    </row>
    <row r="2024" ht="14.25" customHeight="1">
      <c r="A2024" s="5" t="s">
        <v>7135</v>
      </c>
      <c r="B2024" s="8"/>
      <c r="C2024" s="12" t="s">
        <v>7136</v>
      </c>
      <c r="D2024" s="10" t="str">
        <f t="shared" si="28"/>
        <v>'-&gt; IBB3</v>
      </c>
      <c r="F2024" s="10" t="str">
        <f t="shared" si="29"/>
        <v>'-&gt; IBB3Wx</v>
      </c>
      <c r="G2024" s="10" t="str">
        <f t="shared" si="30"/>
        <v>'-&gt; 127.30577 W, 54.71172 N, Elev. 960 m</v>
      </c>
      <c r="M2024" s="47">
        <v>54.71172</v>
      </c>
      <c r="N2024" s="47">
        <v>-127.30577</v>
      </c>
      <c r="O2024" s="11" t="s">
        <v>148</v>
      </c>
      <c r="P2024" s="11" t="s">
        <v>7406</v>
      </c>
      <c r="Q2024" s="22">
        <v>3.0</v>
      </c>
      <c r="R2024" s="11" t="s">
        <v>7407</v>
      </c>
      <c r="S2024" s="13" t="str">
        <f t="shared" si="27"/>
        <v>IBB3WX</v>
      </c>
      <c r="T2024" s="11" t="s">
        <v>4344</v>
      </c>
      <c r="U2024" s="11">
        <v>960.0</v>
      </c>
      <c r="V2024" s="11"/>
      <c r="W2024" s="11" t="s">
        <v>7408</v>
      </c>
      <c r="X2024" s="60" t="s">
        <v>7409</v>
      </c>
      <c r="Y2024" s="9" t="s">
        <v>7252</v>
      </c>
    </row>
    <row r="2025" ht="14.25" customHeight="1">
      <c r="A2025" s="5" t="s">
        <v>7135</v>
      </c>
      <c r="B2025" s="8"/>
      <c r="C2025" s="12" t="s">
        <v>7136</v>
      </c>
      <c r="D2025" s="10" t="str">
        <f t="shared" si="28"/>
        <v>'-&gt; Inklin</v>
      </c>
      <c r="F2025" s="10" t="str">
        <f t="shared" si="29"/>
        <v>'-&gt; Inklin</v>
      </c>
      <c r="G2025" s="10" t="str">
        <f t="shared" si="30"/>
        <v>'-&gt; 133.140416 W, 58.900859 N, Elev. 101 m</v>
      </c>
      <c r="M2025" s="11">
        <v>58.900859</v>
      </c>
      <c r="N2025" s="11">
        <v>-133.140416</v>
      </c>
      <c r="O2025" s="11" t="s">
        <v>1577</v>
      </c>
      <c r="P2025" s="11" t="s">
        <v>7410</v>
      </c>
      <c r="Q2025" s="22">
        <v>1.0</v>
      </c>
      <c r="R2025" s="11" t="s">
        <v>7410</v>
      </c>
      <c r="S2025" s="13" t="str">
        <f t="shared" si="27"/>
        <v>INKLIN</v>
      </c>
      <c r="T2025" s="11" t="s">
        <v>4344</v>
      </c>
      <c r="U2025" s="11">
        <v>101.0</v>
      </c>
      <c r="V2025" s="11"/>
      <c r="W2025" s="11" t="s">
        <v>7411</v>
      </c>
      <c r="X2025" s="60" t="s">
        <v>7412</v>
      </c>
      <c r="Y2025" s="9" t="s">
        <v>7252</v>
      </c>
    </row>
    <row r="2026" ht="14.25" customHeight="1">
      <c r="A2026" s="5" t="s">
        <v>7135</v>
      </c>
      <c r="B2026" s="8"/>
      <c r="C2026" s="12" t="s">
        <v>7136</v>
      </c>
      <c r="D2026" s="10" t="str">
        <f t="shared" si="28"/>
        <v>'-&gt; KennedySidingCC</v>
      </c>
      <c r="F2026" s="10" t="str">
        <f t="shared" si="29"/>
        <v>'-&gt; KennedySidingCC</v>
      </c>
      <c r="G2026" s="10" t="str">
        <f t="shared" si="30"/>
        <v>'-&gt; 122.818003 W, 55.112303 N, Elev. 737 m</v>
      </c>
      <c r="M2026" s="11">
        <v>55.112303</v>
      </c>
      <c r="N2026" s="11">
        <v>-122.818003</v>
      </c>
      <c r="O2026" s="11" t="s">
        <v>1290</v>
      </c>
      <c r="P2026" s="11" t="s">
        <v>7413</v>
      </c>
      <c r="Q2026" s="22">
        <v>1.0</v>
      </c>
      <c r="R2026" s="11" t="s">
        <v>7413</v>
      </c>
      <c r="S2026" s="13" t="str">
        <f t="shared" si="27"/>
        <v>KENNEDYSIDINGCC</v>
      </c>
      <c r="T2026" s="11" t="s">
        <v>4344</v>
      </c>
      <c r="U2026" s="11">
        <v>737.0</v>
      </c>
      <c r="V2026" s="11"/>
      <c r="W2026" s="11" t="s">
        <v>7414</v>
      </c>
      <c r="X2026" s="60" t="s">
        <v>7415</v>
      </c>
      <c r="Y2026" s="9" t="s">
        <v>7252</v>
      </c>
    </row>
    <row r="2027" ht="14.25" customHeight="1">
      <c r="A2027" s="5" t="s">
        <v>7135</v>
      </c>
      <c r="B2027" s="8"/>
      <c r="C2027" s="12" t="s">
        <v>7136</v>
      </c>
      <c r="D2027" s="10" t="str">
        <f t="shared" si="28"/>
        <v>'-&gt; KennedySidingFor</v>
      </c>
      <c r="F2027" s="10" t="str">
        <f t="shared" si="29"/>
        <v>'-&gt; KennedySidingFor</v>
      </c>
      <c r="G2027" s="10" t="str">
        <f t="shared" si="30"/>
        <v>'-&gt; 122.841542 W, 55.111059 N, Elev. 745 m</v>
      </c>
      <c r="M2027" s="11">
        <v>55.111059</v>
      </c>
      <c r="N2027" s="11">
        <v>-122.841542</v>
      </c>
      <c r="O2027" s="11" t="s">
        <v>1290</v>
      </c>
      <c r="P2027" s="11" t="s">
        <v>7416</v>
      </c>
      <c r="Q2027" s="22">
        <v>1.0</v>
      </c>
      <c r="R2027" s="11" t="s">
        <v>7416</v>
      </c>
      <c r="S2027" s="13" t="str">
        <f t="shared" si="27"/>
        <v>KENNEDYSIDINGFOR</v>
      </c>
      <c r="T2027" s="11" t="s">
        <v>4344</v>
      </c>
      <c r="U2027" s="11">
        <v>745.0</v>
      </c>
      <c r="V2027" s="11"/>
      <c r="W2027" s="11" t="s">
        <v>7417</v>
      </c>
      <c r="X2027" s="60" t="s">
        <v>7418</v>
      </c>
      <c r="Y2027" s="9" t="s">
        <v>7252</v>
      </c>
    </row>
    <row r="2028" ht="14.25" customHeight="1">
      <c r="A2028" s="5" t="s">
        <v>88</v>
      </c>
      <c r="B2028" s="8">
        <v>11.0</v>
      </c>
      <c r="C2028" s="7" t="s">
        <v>7179</v>
      </c>
      <c r="D2028" s="5" t="s">
        <v>7419</v>
      </c>
      <c r="E2028" s="5">
        <v>12061.0</v>
      </c>
      <c r="F2028" s="5" t="s">
        <v>7419</v>
      </c>
      <c r="G2028" s="10" t="s">
        <v>7420</v>
      </c>
      <c r="H2028" s="5" t="s">
        <v>7421</v>
      </c>
      <c r="I2028" s="5" t="s">
        <v>641</v>
      </c>
      <c r="J2028" s="5" t="s">
        <v>7313</v>
      </c>
      <c r="K2028" s="5">
        <v>1.0</v>
      </c>
      <c r="L2028" s="5">
        <v>14117.0</v>
      </c>
      <c r="M2028" s="11">
        <v>53.397852</v>
      </c>
      <c r="N2028" s="11">
        <v>-124.513069</v>
      </c>
      <c r="O2028" s="11" t="s">
        <v>148</v>
      </c>
      <c r="P2028" s="111" t="s">
        <v>7422</v>
      </c>
      <c r="Q2028" s="22">
        <v>4.0</v>
      </c>
      <c r="R2028" s="11" t="s">
        <v>7419</v>
      </c>
      <c r="S2028" s="13" t="str">
        <f t="shared" si="27"/>
        <v>KLUSKUS</v>
      </c>
      <c r="T2028" s="11" t="s">
        <v>4344</v>
      </c>
      <c r="U2028" s="11">
        <v>1110.0</v>
      </c>
      <c r="V2028" s="11"/>
      <c r="W2028" s="11" t="s">
        <v>7423</v>
      </c>
      <c r="X2028" s="60" t="s">
        <v>7424</v>
      </c>
      <c r="Y2028" s="9" t="s">
        <v>7252</v>
      </c>
    </row>
    <row r="2029" ht="14.25" customHeight="1">
      <c r="A2029" s="5" t="s">
        <v>1908</v>
      </c>
      <c r="B2029" s="8">
        <v>11.0</v>
      </c>
      <c r="C2029" s="7" t="s">
        <v>7179</v>
      </c>
      <c r="D2029" s="5" t="s">
        <v>7425</v>
      </c>
      <c r="E2029" s="5">
        <v>12062.0</v>
      </c>
      <c r="F2029" s="10" t="s">
        <v>7426</v>
      </c>
      <c r="G2029" s="10" t="s">
        <v>7427</v>
      </c>
      <c r="H2029" s="5" t="s">
        <v>7428</v>
      </c>
      <c r="I2029" s="5" t="s">
        <v>641</v>
      </c>
      <c r="J2029" s="5" t="s">
        <v>7265</v>
      </c>
      <c r="K2029" s="5">
        <v>1.0</v>
      </c>
      <c r="L2029" s="5">
        <v>14118.0</v>
      </c>
      <c r="M2029" s="11">
        <v>55.137858</v>
      </c>
      <c r="N2029" s="11">
        <v>-122.977243</v>
      </c>
      <c r="O2029" s="11" t="s">
        <v>1290</v>
      </c>
      <c r="P2029" s="11" t="s">
        <v>7429</v>
      </c>
      <c r="Q2029" s="22">
        <v>1.0</v>
      </c>
      <c r="R2029" s="11" t="s">
        <v>7430</v>
      </c>
      <c r="S2029" s="13" t="str">
        <f t="shared" si="27"/>
        <v>MACJXNWX</v>
      </c>
      <c r="T2029" s="11" t="s">
        <v>4344</v>
      </c>
      <c r="U2029" s="11">
        <v>719.0</v>
      </c>
      <c r="V2029" s="11"/>
      <c r="W2029" s="11" t="s">
        <v>7431</v>
      </c>
      <c r="X2029" s="60" t="s">
        <v>7432</v>
      </c>
      <c r="Y2029" s="9" t="s">
        <v>7252</v>
      </c>
    </row>
    <row r="2030" ht="14.25" customHeight="1">
      <c r="B2030" s="8">
        <v>11.0</v>
      </c>
      <c r="C2030" s="7" t="s">
        <v>7179</v>
      </c>
      <c r="D2030" s="10" t="str">
        <f t="shared" ref="D2030:D2031" si="31">CONCATENATE("'-&gt; ",P2030)</f>
        <v>'-&gt; MF1</v>
      </c>
      <c r="E2030" s="5">
        <v>1596.0</v>
      </c>
      <c r="F2030" s="5" t="s">
        <v>7433</v>
      </c>
      <c r="G2030" s="5" t="s">
        <v>7434</v>
      </c>
      <c r="H2030" s="5" t="s">
        <v>7435</v>
      </c>
      <c r="I2030" s="5" t="s">
        <v>641</v>
      </c>
      <c r="J2030" s="5" t="s">
        <v>7313</v>
      </c>
      <c r="K2030" s="5">
        <v>1.0</v>
      </c>
      <c r="L2030" s="5">
        <v>1999.0</v>
      </c>
      <c r="M2030" s="11">
        <v>57.550917</v>
      </c>
      <c r="N2030" s="11">
        <v>-122.7963</v>
      </c>
      <c r="O2030" s="11" t="s">
        <v>2008</v>
      </c>
      <c r="P2030" s="11" t="s">
        <v>7436</v>
      </c>
      <c r="Q2030" s="22">
        <v>8.0</v>
      </c>
      <c r="R2030" s="11" t="s">
        <v>7433</v>
      </c>
      <c r="S2030" s="13" t="str">
        <f t="shared" si="27"/>
        <v>MIDDLEFORKWX</v>
      </c>
      <c r="T2030" s="11" t="s">
        <v>4344</v>
      </c>
      <c r="U2030" s="11">
        <v>972.0</v>
      </c>
      <c r="V2030" s="11"/>
      <c r="W2030" s="11" t="s">
        <v>7437</v>
      </c>
      <c r="X2030" s="60" t="s">
        <v>7438</v>
      </c>
      <c r="Y2030" s="9" t="s">
        <v>7252</v>
      </c>
    </row>
    <row r="2031" ht="14.25" customHeight="1">
      <c r="B2031" s="8">
        <v>11.0</v>
      </c>
      <c r="C2031" s="7" t="s">
        <v>7179</v>
      </c>
      <c r="D2031" s="10" t="str">
        <f t="shared" si="31"/>
        <v>'-&gt; Nonda1</v>
      </c>
      <c r="E2031" s="5">
        <v>1594.0</v>
      </c>
      <c r="F2031" s="5" t="s">
        <v>7439</v>
      </c>
      <c r="G2031" s="5" t="s">
        <v>7440</v>
      </c>
      <c r="H2031" s="5" t="s">
        <v>7441</v>
      </c>
      <c r="I2031" s="5" t="s">
        <v>641</v>
      </c>
      <c r="J2031" s="5" t="s">
        <v>7287</v>
      </c>
      <c r="K2031" s="5">
        <v>1.0</v>
      </c>
      <c r="L2031" s="5">
        <v>1997.0</v>
      </c>
      <c r="M2031" s="11">
        <v>59.002111</v>
      </c>
      <c r="N2031" s="11">
        <v>-125.509361</v>
      </c>
      <c r="O2031" s="11" t="s">
        <v>1577</v>
      </c>
      <c r="P2031" s="11" t="s">
        <v>7442</v>
      </c>
      <c r="Q2031" s="22">
        <v>7.0</v>
      </c>
      <c r="R2031" s="11" t="s">
        <v>7439</v>
      </c>
      <c r="S2031" s="13" t="str">
        <f t="shared" si="27"/>
        <v>NONDAWX</v>
      </c>
      <c r="T2031" s="11" t="s">
        <v>4344</v>
      </c>
      <c r="U2031" s="11">
        <v>1683.0</v>
      </c>
      <c r="V2031" s="11" t="s">
        <v>645</v>
      </c>
      <c r="W2031" s="11" t="s">
        <v>7443</v>
      </c>
      <c r="X2031" s="60" t="s">
        <v>7444</v>
      </c>
      <c r="Y2031" s="9" t="s">
        <v>7252</v>
      </c>
    </row>
    <row r="2032" ht="14.25" customHeight="1">
      <c r="B2032" s="8">
        <v>11.0</v>
      </c>
      <c r="C2032" s="7" t="s">
        <v>7179</v>
      </c>
      <c r="D2032" s="5" t="s">
        <v>7445</v>
      </c>
      <c r="E2032" s="5">
        <v>12436.0</v>
      </c>
      <c r="F2032" s="5" t="s">
        <v>7445</v>
      </c>
      <c r="G2032" s="5" t="s">
        <v>7446</v>
      </c>
      <c r="H2032" s="5" t="s">
        <v>7447</v>
      </c>
      <c r="I2032" s="5" t="s">
        <v>49</v>
      </c>
      <c r="J2032" s="5" t="s">
        <v>7287</v>
      </c>
      <c r="K2032" s="5">
        <v>1.0</v>
      </c>
      <c r="L2032" s="5">
        <v>14458.0</v>
      </c>
      <c r="M2032" s="56">
        <v>51.81296</v>
      </c>
      <c r="N2032" s="56">
        <v>-125.03981</v>
      </c>
      <c r="O2032" s="56" t="s">
        <v>142</v>
      </c>
      <c r="P2032" s="56" t="s">
        <v>7445</v>
      </c>
      <c r="Q2032" s="57">
        <v>8.0</v>
      </c>
      <c r="R2032" s="56" t="s">
        <v>7445</v>
      </c>
      <c r="S2032" s="56" t="str">
        <f t="shared" si="27"/>
        <v>PERKINS PEAK STN</v>
      </c>
      <c r="T2032" s="56" t="s">
        <v>4344</v>
      </c>
      <c r="U2032" s="56">
        <v>2092.0</v>
      </c>
      <c r="V2032" s="56"/>
      <c r="W2032" s="56" t="s">
        <v>7448</v>
      </c>
      <c r="X2032" s="112" t="s">
        <v>7449</v>
      </c>
      <c r="Y2032" s="59" t="s">
        <v>7252</v>
      </c>
      <c r="Z2032" s="56"/>
      <c r="AA2032" s="56"/>
    </row>
    <row r="2033" ht="14.25" customHeight="1">
      <c r="A2033" s="5" t="s">
        <v>88</v>
      </c>
      <c r="B2033" s="8">
        <v>11.0</v>
      </c>
      <c r="C2033" s="7" t="s">
        <v>7179</v>
      </c>
      <c r="D2033" s="5">
        <v>1113696.0</v>
      </c>
      <c r="E2033" s="5">
        <v>1597.0</v>
      </c>
      <c r="F2033" s="5" t="s">
        <v>7450</v>
      </c>
      <c r="G2033" s="10" t="s">
        <v>7451</v>
      </c>
      <c r="H2033" s="5" t="s">
        <v>7452</v>
      </c>
      <c r="I2033" s="5" t="s">
        <v>641</v>
      </c>
      <c r="J2033" s="5" t="s">
        <v>7287</v>
      </c>
      <c r="K2033" s="5">
        <v>1.0</v>
      </c>
      <c r="L2033" s="5">
        <v>2000.0</v>
      </c>
      <c r="M2033" s="11">
        <v>57.06163</v>
      </c>
      <c r="N2033" s="11">
        <v>-122.86491</v>
      </c>
      <c r="O2033" s="11" t="s">
        <v>1577</v>
      </c>
      <c r="P2033" s="11" t="s">
        <v>7453</v>
      </c>
      <c r="Q2033" s="22">
        <v>8.0</v>
      </c>
      <c r="R2033" s="11" t="s">
        <v>7450</v>
      </c>
      <c r="S2033" s="13" t="str">
        <f t="shared" si="27"/>
        <v>PINKWX</v>
      </c>
      <c r="T2033" s="11" t="s">
        <v>4344</v>
      </c>
      <c r="U2033" s="11">
        <v>1756.0</v>
      </c>
      <c r="V2033" s="11" t="s">
        <v>645</v>
      </c>
      <c r="W2033" s="11" t="s">
        <v>7454</v>
      </c>
      <c r="X2033" s="60" t="s">
        <v>7455</v>
      </c>
      <c r="Y2033" s="9" t="s">
        <v>7252</v>
      </c>
    </row>
    <row r="2034" ht="14.25" customHeight="1">
      <c r="A2034" s="5" t="s">
        <v>88</v>
      </c>
      <c r="B2034" s="8">
        <v>11.0</v>
      </c>
      <c r="C2034" s="7" t="s">
        <v>7179</v>
      </c>
      <c r="D2034" s="5">
        <v>1113683.0</v>
      </c>
      <c r="E2034" s="5">
        <v>1598.0</v>
      </c>
      <c r="F2034" s="5" t="s">
        <v>7456</v>
      </c>
      <c r="G2034" s="10" t="s">
        <v>7457</v>
      </c>
      <c r="H2034" s="5" t="s">
        <v>7458</v>
      </c>
      <c r="I2034" s="5" t="s">
        <v>641</v>
      </c>
      <c r="J2034" s="5" t="s">
        <v>7459</v>
      </c>
      <c r="K2034" s="5">
        <v>1.0</v>
      </c>
      <c r="L2034" s="5">
        <v>2001.0</v>
      </c>
      <c r="M2034" s="11">
        <v>54.027523</v>
      </c>
      <c r="N2034" s="11">
        <v>-123.300774</v>
      </c>
      <c r="O2034" s="11" t="s">
        <v>1290</v>
      </c>
      <c r="P2034" s="11" t="s">
        <v>7460</v>
      </c>
      <c r="Q2034" s="22">
        <v>1.0</v>
      </c>
      <c r="R2034" s="11" t="s">
        <v>7456</v>
      </c>
      <c r="S2034" s="13" t="str">
        <f t="shared" si="27"/>
        <v>SAXTONWX</v>
      </c>
      <c r="T2034" s="11" t="s">
        <v>4344</v>
      </c>
      <c r="U2034" s="11">
        <v>718.0</v>
      </c>
      <c r="V2034" s="11"/>
      <c r="W2034" s="11" t="s">
        <v>7461</v>
      </c>
      <c r="X2034" s="60" t="s">
        <v>7462</v>
      </c>
      <c r="Y2034" s="9" t="s">
        <v>7252</v>
      </c>
    </row>
    <row r="2035" ht="14.25" customHeight="1">
      <c r="A2035" s="5" t="s">
        <v>138</v>
      </c>
      <c r="B2035" s="8"/>
      <c r="C2035" s="12" t="s">
        <v>7136</v>
      </c>
      <c r="D2035" s="10" t="str">
        <f>CONCATENATE("'-&gt; ",P2035)</f>
        <v>'-&gt; Seebach</v>
      </c>
      <c r="F2035" s="10" t="str">
        <f>CONCATENATE("'-&gt; ",R2035)</f>
        <v>'-&gt; SeebachWx</v>
      </c>
      <c r="G2035" s="10" t="str">
        <f>CONCATENATE("'-&gt; ",-1*N2035," W, ",M2035," N, Elev. ",U2035," m")</f>
        <v>'-&gt; -122.058 W, 54.355 N, Elev. 780 m</v>
      </c>
      <c r="M2035" s="11">
        <v>54.355</v>
      </c>
      <c r="N2035" s="11">
        <v>122.058</v>
      </c>
      <c r="O2035" s="11" t="s">
        <v>1290</v>
      </c>
      <c r="P2035" s="11" t="s">
        <v>7463</v>
      </c>
      <c r="Q2035" s="22">
        <v>2.0</v>
      </c>
      <c r="R2035" s="11" t="s">
        <v>7464</v>
      </c>
      <c r="S2035" s="13" t="str">
        <f t="shared" si="27"/>
        <v>SEEBACHWX</v>
      </c>
      <c r="T2035" s="11" t="s">
        <v>4344</v>
      </c>
      <c r="U2035" s="11">
        <v>780.0</v>
      </c>
      <c r="V2035" s="11"/>
      <c r="W2035" s="11" t="s">
        <v>7465</v>
      </c>
      <c r="X2035" s="60" t="s">
        <v>7466</v>
      </c>
      <c r="Y2035" s="9" t="s">
        <v>7252</v>
      </c>
    </row>
    <row r="2036" ht="14.25" customHeight="1">
      <c r="B2036" s="8">
        <v>11.0</v>
      </c>
      <c r="C2036" s="7" t="s">
        <v>7179</v>
      </c>
      <c r="D2036" s="5">
        <v>1113697.0</v>
      </c>
      <c r="E2036" s="5">
        <v>1599.0</v>
      </c>
      <c r="F2036" s="5" t="s">
        <v>7467</v>
      </c>
      <c r="G2036" s="5" t="s">
        <v>7468</v>
      </c>
      <c r="H2036" s="5" t="s">
        <v>7469</v>
      </c>
      <c r="I2036" s="5" t="s">
        <v>641</v>
      </c>
      <c r="J2036" s="5" t="s">
        <v>7287</v>
      </c>
      <c r="K2036" s="5">
        <v>1.0</v>
      </c>
      <c r="L2036" s="5">
        <v>2002.0</v>
      </c>
      <c r="M2036" s="11">
        <v>54.773403</v>
      </c>
      <c r="N2036" s="11">
        <v>-127.139994</v>
      </c>
      <c r="O2036" s="11" t="s">
        <v>148</v>
      </c>
      <c r="P2036" s="11" t="s">
        <v>7467</v>
      </c>
      <c r="Q2036" s="22">
        <v>1.0</v>
      </c>
      <c r="R2036" s="11" t="s">
        <v>7470</v>
      </c>
      <c r="S2036" s="13" t="str">
        <f t="shared" si="27"/>
        <v>SMITHERCMPD</v>
      </c>
      <c r="T2036" s="11" t="s">
        <v>4344</v>
      </c>
      <c r="U2036" s="11">
        <v>484.0</v>
      </c>
      <c r="V2036" s="11"/>
      <c r="W2036" s="11" t="s">
        <v>7471</v>
      </c>
      <c r="X2036" s="60" t="s">
        <v>7472</v>
      </c>
      <c r="Y2036" s="9" t="s">
        <v>7252</v>
      </c>
    </row>
    <row r="2037" ht="14.25" customHeight="1">
      <c r="A2037" s="5" t="s">
        <v>7135</v>
      </c>
      <c r="B2037" s="8"/>
      <c r="C2037" s="12" t="s">
        <v>7136</v>
      </c>
      <c r="D2037" s="10" t="str">
        <f>CONCATENATE("'-&gt; ",P2037)</f>
        <v>'-&gt; SummitLk</v>
      </c>
      <c r="F2037" s="10" t="str">
        <f>CONCATENATE("'-&gt; ",R2037)</f>
        <v>'-&gt; SumWxCC</v>
      </c>
      <c r="G2037" s="10" t="str">
        <f>CONCATENATE("'-&gt; ",-1*N2037," W, ",M2037," N, Elev. ",U2037," m")</f>
        <v>'-&gt; 122.615111 W, 54.22704 N, Elev. 690 m</v>
      </c>
      <c r="M2037" s="11">
        <v>54.22704</v>
      </c>
      <c r="N2037" s="11">
        <v>-122.615111</v>
      </c>
      <c r="O2037" s="11" t="s">
        <v>1290</v>
      </c>
      <c r="P2037" s="11" t="s">
        <v>7473</v>
      </c>
      <c r="Q2037" s="22">
        <v>1.0</v>
      </c>
      <c r="R2037" s="11" t="s">
        <v>7474</v>
      </c>
      <c r="S2037" s="13" t="str">
        <f t="shared" si="27"/>
        <v>SUMWXCC</v>
      </c>
      <c r="T2037" s="11" t="s">
        <v>4344</v>
      </c>
      <c r="U2037" s="11">
        <v>690.0</v>
      </c>
      <c r="V2037" s="11"/>
      <c r="W2037" s="11" t="s">
        <v>7475</v>
      </c>
      <c r="X2037" s="60" t="s">
        <v>7415</v>
      </c>
      <c r="Y2037" s="9" t="s">
        <v>7252</v>
      </c>
    </row>
    <row r="2038" ht="14.25" customHeight="1">
      <c r="A2038" s="5" t="s">
        <v>7476</v>
      </c>
      <c r="B2038" s="8">
        <v>11.0</v>
      </c>
      <c r="C2038" s="7" t="s">
        <v>7179</v>
      </c>
      <c r="D2038" s="5" t="s">
        <v>7477</v>
      </c>
      <c r="E2038" s="5">
        <v>13069.0</v>
      </c>
      <c r="F2038" s="5" t="s">
        <v>7477</v>
      </c>
      <c r="G2038" s="5" t="s">
        <v>7478</v>
      </c>
      <c r="H2038" s="5" t="s">
        <v>7479</v>
      </c>
      <c r="I2038" s="5" t="s">
        <v>49</v>
      </c>
      <c r="J2038" s="5" t="s">
        <v>7287</v>
      </c>
      <c r="K2038" s="5">
        <v>1.0</v>
      </c>
      <c r="L2038" s="5">
        <v>14993.0</v>
      </c>
      <c r="M2038" s="11">
        <v>53.33869</v>
      </c>
      <c r="N2038" s="11">
        <v>-120.12108</v>
      </c>
      <c r="O2038" s="11" t="s">
        <v>170</v>
      </c>
      <c r="P2038" s="11" t="s">
        <v>7480</v>
      </c>
      <c r="Q2038" s="22">
        <v>7.0</v>
      </c>
      <c r="R2038" s="11" t="s">
        <v>7477</v>
      </c>
      <c r="S2038" s="13" t="str">
        <f t="shared" si="27"/>
        <v>SUNBEAM</v>
      </c>
      <c r="T2038" s="11" t="s">
        <v>4344</v>
      </c>
      <c r="U2038" s="11">
        <v>2000.0</v>
      </c>
      <c r="V2038" s="11"/>
      <c r="W2038" s="11" t="s">
        <v>7481</v>
      </c>
      <c r="X2038" s="60" t="s">
        <v>7482</v>
      </c>
      <c r="Y2038" s="9" t="s">
        <v>7252</v>
      </c>
    </row>
    <row r="2039" ht="14.25" customHeight="1">
      <c r="A2039" s="5" t="s">
        <v>7135</v>
      </c>
      <c r="B2039" s="8"/>
      <c r="C2039" s="12" t="s">
        <v>7136</v>
      </c>
      <c r="D2039" s="10" t="str">
        <f>CONCATENATE("'-&gt; ",P2039)</f>
        <v>'-&gt; Bednesti</v>
      </c>
      <c r="F2039" s="10" t="str">
        <f>CONCATENATE("'-&gt; ",R2039)</f>
        <v>'-&gt; Tamarac</v>
      </c>
      <c r="G2039" s="10" t="str">
        <f>CONCATENATE("'-&gt; ",-1*N2039," W, ",M2039," N, Elev. ",U2039," m")</f>
        <v>'-&gt; 123.370441 W, 53.871334 N, Elev. 865 m</v>
      </c>
      <c r="M2039" s="11">
        <v>53.871334</v>
      </c>
      <c r="N2039" s="11">
        <v>-123.370441</v>
      </c>
      <c r="O2039" s="11" t="s">
        <v>148</v>
      </c>
      <c r="P2039" s="11" t="s">
        <v>7483</v>
      </c>
      <c r="Q2039" s="22">
        <v>2.0</v>
      </c>
      <c r="R2039" s="11" t="s">
        <v>1301</v>
      </c>
      <c r="S2039" s="13" t="str">
        <f t="shared" si="27"/>
        <v>TAMARAC</v>
      </c>
      <c r="T2039" s="11" t="s">
        <v>4344</v>
      </c>
      <c r="U2039" s="11">
        <v>865.0</v>
      </c>
      <c r="V2039" s="11"/>
      <c r="W2039" s="11"/>
      <c r="X2039" s="60" t="s">
        <v>7484</v>
      </c>
      <c r="Y2039" s="9" t="s">
        <v>7252</v>
      </c>
    </row>
    <row r="2040" ht="14.25" customHeight="1">
      <c r="A2040" s="5" t="s">
        <v>7485</v>
      </c>
      <c r="B2040" s="8">
        <v>11.0</v>
      </c>
      <c r="C2040" s="7" t="s">
        <v>7179</v>
      </c>
      <c r="D2040" s="5">
        <v>1163628.0</v>
      </c>
      <c r="E2040" s="5">
        <v>1601.0</v>
      </c>
      <c r="F2040" s="5" t="s">
        <v>7486</v>
      </c>
      <c r="G2040" s="10" t="s">
        <v>7487</v>
      </c>
      <c r="H2040" s="5" t="s">
        <v>7488</v>
      </c>
      <c r="I2040" s="5" t="s">
        <v>641</v>
      </c>
      <c r="J2040" s="5" t="s">
        <v>7358</v>
      </c>
      <c r="K2040" s="5">
        <v>1.0</v>
      </c>
      <c r="L2040" s="5">
        <v>2004.0</v>
      </c>
      <c r="M2040" s="11">
        <v>54.333115</v>
      </c>
      <c r="N2040" s="11">
        <v>-126.099445</v>
      </c>
      <c r="O2040" s="11" t="s">
        <v>148</v>
      </c>
      <c r="P2040" s="11" t="s">
        <v>7489</v>
      </c>
      <c r="Q2040" s="22">
        <v>2.0</v>
      </c>
      <c r="R2040" s="11" t="s">
        <v>7486</v>
      </c>
      <c r="S2040" s="13" t="str">
        <f t="shared" si="27"/>
        <v>THOMPSONWX</v>
      </c>
      <c r="T2040" s="11" t="s">
        <v>4344</v>
      </c>
      <c r="U2040" s="11">
        <v>869.0</v>
      </c>
      <c r="V2040" s="11"/>
      <c r="W2040" s="11" t="s">
        <v>7490</v>
      </c>
      <c r="X2040" s="60" t="s">
        <v>7491</v>
      </c>
      <c r="Y2040" s="9" t="s">
        <v>7252</v>
      </c>
    </row>
    <row r="2041" ht="14.25" customHeight="1">
      <c r="A2041" s="5" t="s">
        <v>88</v>
      </c>
      <c r="B2041" s="8">
        <v>11.0</v>
      </c>
      <c r="C2041" s="7" t="s">
        <v>7179</v>
      </c>
      <c r="D2041" s="5">
        <v>1095439.0</v>
      </c>
      <c r="E2041" s="5">
        <v>1605.0</v>
      </c>
      <c r="F2041" s="5" t="s">
        <v>7492</v>
      </c>
      <c r="G2041" s="10" t="s">
        <v>7493</v>
      </c>
      <c r="H2041" s="5" t="s">
        <v>7278</v>
      </c>
      <c r="I2041" s="5" t="s">
        <v>49</v>
      </c>
      <c r="J2041" s="5" t="s">
        <v>7279</v>
      </c>
      <c r="K2041" s="5">
        <v>1.0</v>
      </c>
      <c r="L2041" s="5">
        <v>2008.0</v>
      </c>
      <c r="M2041" s="11">
        <v>53.772577</v>
      </c>
      <c r="N2041" s="11">
        <v>-122.724634</v>
      </c>
      <c r="O2041" s="11" t="s">
        <v>1290</v>
      </c>
      <c r="P2041" s="11" t="s">
        <v>7494</v>
      </c>
      <c r="Q2041" s="22">
        <v>1.0</v>
      </c>
      <c r="R2041" s="11" t="s">
        <v>7492</v>
      </c>
      <c r="S2041" s="13" t="str">
        <f t="shared" si="27"/>
        <v>WILLOW-BOWRONWX</v>
      </c>
      <c r="T2041" s="11" t="s">
        <v>4344</v>
      </c>
      <c r="U2041" s="11">
        <v>596.0</v>
      </c>
      <c r="V2041" s="11"/>
      <c r="W2041" s="11" t="s">
        <v>7495</v>
      </c>
      <c r="X2041" s="60" t="s">
        <v>7282</v>
      </c>
      <c r="Y2041" s="9" t="s">
        <v>7252</v>
      </c>
    </row>
    <row r="2042" ht="14.25" customHeight="1">
      <c r="A2042" s="5" t="s">
        <v>7135</v>
      </c>
      <c r="B2042" s="8"/>
      <c r="C2042" s="12" t="s">
        <v>7136</v>
      </c>
      <c r="D2042" s="10" t="str">
        <f t="shared" ref="D2042:D2067" si="32">CONCATENATE("'-&gt; ",P2042)</f>
        <v>'-&gt; 3C09P</v>
      </c>
      <c r="F2042" s="10" t="str">
        <f t="shared" ref="F2042:F2067" si="33">CONCATENATE("'-&gt; ",R2042)</f>
        <v>'-&gt; Ape Lake</v>
      </c>
      <c r="G2042" s="10" t="str">
        <f t="shared" ref="G2042:G2067" si="34">CONCATENATE("'-&gt; ",-1*N2042," W, ",M2042," N, Elev. ",U2042," m")</f>
        <v>'-&gt; 126.2626806 W, 52.1345694 N, Elev. 1423 m</v>
      </c>
      <c r="M2042" s="11">
        <v>52.1345694</v>
      </c>
      <c r="N2042" s="11">
        <v>-126.2626806</v>
      </c>
      <c r="O2042" s="11" t="s">
        <v>51</v>
      </c>
      <c r="P2042" s="16" t="s">
        <v>4519</v>
      </c>
      <c r="Q2042" s="72">
        <v>7.0</v>
      </c>
      <c r="R2042" s="11" t="s">
        <v>4520</v>
      </c>
      <c r="S2042" s="13" t="str">
        <f t="shared" si="27"/>
        <v>APE LAKE</v>
      </c>
      <c r="T2042" s="11" t="s">
        <v>4344</v>
      </c>
      <c r="U2042" s="11">
        <v>1423.0</v>
      </c>
      <c r="V2042" s="11"/>
      <c r="W2042" s="11" t="s">
        <v>4345</v>
      </c>
      <c r="X2042" s="60" t="s">
        <v>4521</v>
      </c>
      <c r="Y2042" s="9" t="s">
        <v>4347</v>
      </c>
    </row>
    <row r="2043" ht="14.25" customHeight="1">
      <c r="A2043" s="5" t="s">
        <v>7135</v>
      </c>
      <c r="B2043" s="8"/>
      <c r="C2043" s="12" t="s">
        <v>7136</v>
      </c>
      <c r="D2043" s="10" t="str">
        <f t="shared" si="32"/>
        <v>'-&gt; 3B28P</v>
      </c>
      <c r="F2043" s="10" t="str">
        <f t="shared" si="33"/>
        <v>'-&gt; Cain Ridge_Run</v>
      </c>
      <c r="G2043" s="10" t="str">
        <f t="shared" si="34"/>
        <v>'-&gt; 126.3515 W, 50.2265 N, Elev. 1330 m</v>
      </c>
      <c r="M2043" s="11">
        <v>50.2265</v>
      </c>
      <c r="N2043" s="11">
        <v>-126.3515</v>
      </c>
      <c r="O2043" s="11" t="s">
        <v>51</v>
      </c>
      <c r="P2043" s="11" t="s">
        <v>7496</v>
      </c>
      <c r="Q2043" s="72">
        <v>7.0</v>
      </c>
      <c r="R2043" s="11" t="s">
        <v>7497</v>
      </c>
      <c r="S2043" s="13" t="str">
        <f t="shared" si="27"/>
        <v>CAIN RIDGE_RUN</v>
      </c>
      <c r="T2043" s="11" t="s">
        <v>4344</v>
      </c>
      <c r="U2043" s="11">
        <v>1330.0</v>
      </c>
      <c r="V2043" s="11" t="s">
        <v>645</v>
      </c>
      <c r="W2043" s="11" t="s">
        <v>7498</v>
      </c>
      <c r="X2043" s="60" t="s">
        <v>7499</v>
      </c>
      <c r="Y2043" s="9" t="s">
        <v>4347</v>
      </c>
    </row>
    <row r="2044" ht="14.25" customHeight="1">
      <c r="A2044" s="5" t="s">
        <v>7135</v>
      </c>
      <c r="B2044" s="8"/>
      <c r="C2044" s="12" t="s">
        <v>7136</v>
      </c>
      <c r="D2044" s="10" t="str">
        <f t="shared" si="32"/>
        <v>'-&gt; 3C10P</v>
      </c>
      <c r="F2044" s="10" t="str">
        <f t="shared" si="33"/>
        <v>'-&gt; CLAYTON FALLS</v>
      </c>
      <c r="G2044" s="10" t="str">
        <f t="shared" si="34"/>
        <v>'-&gt; 126.890543 W, 52.279579 N, Elev. 1260 m</v>
      </c>
      <c r="M2044" s="11">
        <v>52.279579</v>
      </c>
      <c r="N2044" s="11">
        <v>-126.890543</v>
      </c>
      <c r="O2044" s="11" t="s">
        <v>51</v>
      </c>
      <c r="P2044" s="11" t="s">
        <v>4343</v>
      </c>
      <c r="Q2044" s="72">
        <v>6.0</v>
      </c>
      <c r="R2044" s="11" t="s">
        <v>4340</v>
      </c>
      <c r="S2044" s="13" t="str">
        <f t="shared" si="27"/>
        <v>CLAYTON FALLS</v>
      </c>
      <c r="T2044" s="11" t="s">
        <v>4344</v>
      </c>
      <c r="U2044" s="11">
        <v>1260.0</v>
      </c>
      <c r="V2044" s="11"/>
      <c r="W2044" s="11" t="s">
        <v>4345</v>
      </c>
      <c r="X2044" s="60" t="s">
        <v>4346</v>
      </c>
      <c r="Y2044" s="9" t="s">
        <v>4347</v>
      </c>
    </row>
    <row r="2045" ht="14.25" customHeight="1">
      <c r="A2045" s="5" t="s">
        <v>7135</v>
      </c>
      <c r="B2045" s="8"/>
      <c r="C2045" s="12" t="s">
        <v>7136</v>
      </c>
      <c r="D2045" s="10" t="str">
        <f t="shared" si="32"/>
        <v>'-&gt; Datla</v>
      </c>
      <c r="F2045" s="10" t="str">
        <f t="shared" si="33"/>
        <v>'-&gt; Datlaman Pass</v>
      </c>
      <c r="G2045" s="10" t="str">
        <f t="shared" si="34"/>
        <v>'-&gt; 132.584234 W, 53.545561 N, Elev. 287 m</v>
      </c>
      <c r="M2045" s="11">
        <v>53.545561</v>
      </c>
      <c r="N2045" s="11">
        <v>-132.584234</v>
      </c>
      <c r="O2045" s="11" t="s">
        <v>51</v>
      </c>
      <c r="P2045" s="11" t="s">
        <v>7500</v>
      </c>
      <c r="Q2045" s="72">
        <v>2.0</v>
      </c>
      <c r="R2045" s="11" t="s">
        <v>7501</v>
      </c>
      <c r="S2045" s="13" t="str">
        <f t="shared" si="27"/>
        <v>DATLAMAN PASS</v>
      </c>
      <c r="T2045" s="11" t="s">
        <v>4344</v>
      </c>
      <c r="U2045" s="11">
        <v>287.0</v>
      </c>
      <c r="V2045" s="11"/>
      <c r="W2045" s="11" t="s">
        <v>7502</v>
      </c>
      <c r="X2045" s="60" t="s">
        <v>7503</v>
      </c>
      <c r="Y2045" s="9" t="s">
        <v>4347</v>
      </c>
    </row>
    <row r="2046" ht="14.25" customHeight="1">
      <c r="A2046" s="5" t="s">
        <v>7135</v>
      </c>
      <c r="B2046" s="8"/>
      <c r="C2046" s="12" t="s">
        <v>7136</v>
      </c>
      <c r="D2046" s="10" t="str">
        <f t="shared" si="32"/>
        <v>'-&gt; 3A30P</v>
      </c>
      <c r="F2046" s="10" t="str">
        <f t="shared" si="33"/>
        <v>'-&gt; Homathko</v>
      </c>
      <c r="G2046" s="10" t="str">
        <f t="shared" si="34"/>
        <v>'-&gt; 124.950181 W, 51.10187 N, Elev. 1481 m</v>
      </c>
      <c r="M2046" s="113">
        <v>51.10187</v>
      </c>
      <c r="N2046" s="113">
        <v>-124.950181</v>
      </c>
      <c r="O2046" s="11" t="s">
        <v>51</v>
      </c>
      <c r="P2046" s="11" t="s">
        <v>7504</v>
      </c>
      <c r="Q2046" s="72">
        <v>7.0</v>
      </c>
      <c r="R2046" s="11" t="s">
        <v>7505</v>
      </c>
      <c r="S2046" s="13" t="str">
        <f t="shared" si="27"/>
        <v>HOMATHKO</v>
      </c>
      <c r="T2046" s="11" t="s">
        <v>4344</v>
      </c>
      <c r="U2046" s="11">
        <v>1481.0</v>
      </c>
      <c r="V2046" s="11"/>
      <c r="W2046" s="11" t="s">
        <v>7506</v>
      </c>
      <c r="X2046" s="60" t="s">
        <v>7507</v>
      </c>
      <c r="Y2046" s="9" t="s">
        <v>4347</v>
      </c>
    </row>
    <row r="2047" ht="14.25" customHeight="1">
      <c r="A2047" s="5" t="s">
        <v>7135</v>
      </c>
      <c r="B2047" s="8"/>
      <c r="C2047" s="12" t="s">
        <v>7136</v>
      </c>
      <c r="D2047" s="10" t="str">
        <f t="shared" si="32"/>
        <v>'-&gt; 3C11P</v>
      </c>
      <c r="F2047" s="10" t="str">
        <f t="shared" si="33"/>
        <v>'-&gt; Klinakllini</v>
      </c>
      <c r="G2047" s="10" t="str">
        <f t="shared" si="34"/>
        <v>'-&gt; 125.76953 W, 51.38002 N, Elev. 1532 m</v>
      </c>
      <c r="M2047" s="114">
        <v>51.38002</v>
      </c>
      <c r="N2047" s="115">
        <v>-125.76953</v>
      </c>
      <c r="O2047" s="11" t="s">
        <v>51</v>
      </c>
      <c r="P2047" s="11" t="s">
        <v>7508</v>
      </c>
      <c r="Q2047" s="72">
        <v>7.0</v>
      </c>
      <c r="R2047" s="11" t="s">
        <v>7509</v>
      </c>
      <c r="S2047" s="13" t="str">
        <f t="shared" si="27"/>
        <v>KLINAKLLINI</v>
      </c>
      <c r="T2047" s="11" t="s">
        <v>4344</v>
      </c>
      <c r="U2047" s="11">
        <v>1532.0</v>
      </c>
      <c r="V2047" s="11"/>
      <c r="W2047" s="11" t="s">
        <v>7506</v>
      </c>
      <c r="X2047" s="60" t="s">
        <v>7510</v>
      </c>
      <c r="Y2047" s="9" t="s">
        <v>4347</v>
      </c>
    </row>
    <row r="2048" ht="14.25" customHeight="1">
      <c r="A2048" s="5" t="s">
        <v>7135</v>
      </c>
      <c r="B2048" s="8"/>
      <c r="C2048" s="12" t="s">
        <v>7136</v>
      </c>
      <c r="D2048" s="10" t="str">
        <f t="shared" si="32"/>
        <v>'-&gt; 3B29P</v>
      </c>
      <c r="F2048" s="10" t="str">
        <f t="shared" si="33"/>
        <v>'-&gt; Lower Cain</v>
      </c>
      <c r="G2048" s="10" t="str">
        <f t="shared" si="34"/>
        <v>'-&gt; 126.3563 W, 50.22575 N, Elev. 1260 m</v>
      </c>
      <c r="M2048" s="114">
        <v>50.22575</v>
      </c>
      <c r="N2048" s="116">
        <v>-126.3563</v>
      </c>
      <c r="O2048" s="11" t="s">
        <v>51</v>
      </c>
      <c r="P2048" s="11" t="s">
        <v>7511</v>
      </c>
      <c r="Q2048" s="72">
        <v>6.0</v>
      </c>
      <c r="R2048" s="11" t="s">
        <v>7512</v>
      </c>
      <c r="S2048" s="13" t="str">
        <f t="shared" si="27"/>
        <v>LOWER CAIN</v>
      </c>
      <c r="T2048" s="11" t="s">
        <v>4344</v>
      </c>
      <c r="U2048" s="11">
        <v>1260.0</v>
      </c>
      <c r="V2048" s="11"/>
      <c r="W2048" s="11" t="s">
        <v>7513</v>
      </c>
      <c r="X2048" s="60" t="s">
        <v>7514</v>
      </c>
      <c r="Y2048" s="9" t="s">
        <v>4347</v>
      </c>
    </row>
    <row r="2049" ht="14.25" customHeight="1">
      <c r="A2049" s="5" t="s">
        <v>7135</v>
      </c>
      <c r="B2049" s="8"/>
      <c r="C2049" s="12" t="s">
        <v>7136</v>
      </c>
      <c r="D2049" s="10" t="str">
        <f t="shared" si="32"/>
        <v>'-&gt; 3C12P</v>
      </c>
      <c r="F2049" s="10" t="str">
        <f t="shared" si="33"/>
        <v>'-&gt; Machmell Kliniklini</v>
      </c>
      <c r="G2049" s="10" t="str">
        <f t="shared" si="34"/>
        <v>'-&gt; 126.140744 W, 51.6555806 N, Elev. 1601 m</v>
      </c>
      <c r="M2049" s="11">
        <v>51.6555806</v>
      </c>
      <c r="N2049" s="11">
        <v>-126.140744</v>
      </c>
      <c r="O2049" s="11" t="s">
        <v>51</v>
      </c>
      <c r="P2049" s="11" t="s">
        <v>7515</v>
      </c>
      <c r="Q2049" s="72">
        <v>7.0</v>
      </c>
      <c r="R2049" s="11" t="s">
        <v>7516</v>
      </c>
      <c r="S2049" s="13" t="str">
        <f t="shared" si="27"/>
        <v>MACHMELL KLINIKLINI</v>
      </c>
      <c r="T2049" s="11" t="s">
        <v>4344</v>
      </c>
      <c r="U2049" s="11">
        <v>1601.0</v>
      </c>
      <c r="V2049" s="11"/>
      <c r="W2049" s="11" t="s">
        <v>7517</v>
      </c>
      <c r="X2049" s="60" t="s">
        <v>4521</v>
      </c>
      <c r="Y2049" s="9" t="s">
        <v>4347</v>
      </c>
    </row>
    <row r="2050" ht="14.25" customHeight="1">
      <c r="A2050" s="5" t="s">
        <v>7135</v>
      </c>
      <c r="B2050" s="8"/>
      <c r="C2050" s="12" t="s">
        <v>7136</v>
      </c>
      <c r="D2050" s="10" t="str">
        <f t="shared" si="32"/>
        <v>'-&gt; Mount Buxton</v>
      </c>
      <c r="F2050" s="10" t="str">
        <f t="shared" si="33"/>
        <v>'-&gt; Mount Buxton</v>
      </c>
      <c r="G2050" s="10" t="str">
        <f t="shared" si="34"/>
        <v>'-&gt; 127.975 W, 51.5899 N, Elev. 738 m</v>
      </c>
      <c r="M2050" s="11">
        <v>51.5899</v>
      </c>
      <c r="N2050" s="11">
        <v>-127.975</v>
      </c>
      <c r="O2050" s="11" t="s">
        <v>51</v>
      </c>
      <c r="P2050" s="11" t="s">
        <v>7518</v>
      </c>
      <c r="Q2050" s="72">
        <v>4.0</v>
      </c>
      <c r="R2050" s="11" t="s">
        <v>7518</v>
      </c>
      <c r="S2050" s="13" t="str">
        <f t="shared" si="27"/>
        <v>MOUNT BUXTON</v>
      </c>
      <c r="T2050" s="11" t="s">
        <v>4344</v>
      </c>
      <c r="U2050" s="11">
        <v>738.0</v>
      </c>
      <c r="V2050" s="11" t="s">
        <v>645</v>
      </c>
      <c r="W2050" s="11" t="s">
        <v>7519</v>
      </c>
      <c r="X2050" s="60" t="s">
        <v>7348</v>
      </c>
      <c r="Y2050" s="9" t="s">
        <v>4347</v>
      </c>
    </row>
    <row r="2051" ht="14.25" customHeight="1">
      <c r="A2051" s="5" t="s">
        <v>7135</v>
      </c>
      <c r="B2051" s="8"/>
      <c r="C2051" s="12" t="s">
        <v>7136</v>
      </c>
      <c r="D2051" s="10" t="str">
        <f t="shared" si="32"/>
        <v>'-&gt; 3A31P</v>
      </c>
      <c r="F2051" s="10" t="str">
        <f t="shared" si="33"/>
        <v>'-&gt; Mount Cayley</v>
      </c>
      <c r="G2051" s="10" t="str">
        <f t="shared" si="34"/>
        <v>'-&gt; 123.27747 W, 50.070953 N, Elev. 1588 m</v>
      </c>
      <c r="M2051" s="11">
        <v>50.070953</v>
      </c>
      <c r="N2051" s="11">
        <v>-123.27747</v>
      </c>
      <c r="O2051" s="11" t="s">
        <v>51</v>
      </c>
      <c r="P2051" s="117" t="s">
        <v>7520</v>
      </c>
      <c r="Q2051" s="72">
        <v>7.0</v>
      </c>
      <c r="R2051" s="11" t="s">
        <v>7521</v>
      </c>
      <c r="S2051" s="13" t="str">
        <f t="shared" si="27"/>
        <v>MOUNT CAYLEY</v>
      </c>
      <c r="T2051" s="11" t="s">
        <v>4344</v>
      </c>
      <c r="U2051" s="11">
        <v>1588.0</v>
      </c>
      <c r="V2051" s="11"/>
      <c r="W2051" s="11" t="s">
        <v>7522</v>
      </c>
      <c r="X2051" s="60" t="s">
        <v>7523</v>
      </c>
      <c r="Y2051" s="9" t="s">
        <v>4347</v>
      </c>
    </row>
    <row r="2052" ht="14.25" customHeight="1">
      <c r="A2052" s="5" t="s">
        <v>7135</v>
      </c>
      <c r="B2052" s="8"/>
      <c r="C2052" s="12" t="s">
        <v>7136</v>
      </c>
      <c r="D2052" s="10" t="str">
        <f t="shared" si="32"/>
        <v>'-&gt; 3C13P</v>
      </c>
      <c r="F2052" s="10" t="str">
        <f t="shared" si="33"/>
        <v>'-&gt; Mount Maya</v>
      </c>
      <c r="G2052" s="10" t="str">
        <f t="shared" si="34"/>
        <v>'-&gt; 126.073 W, 52.287 N, Elev. 1692 m</v>
      </c>
      <c r="M2052" s="11">
        <v>52.287</v>
      </c>
      <c r="N2052" s="11">
        <v>-126.073</v>
      </c>
      <c r="O2052" s="11" t="s">
        <v>51</v>
      </c>
      <c r="P2052" s="11" t="s">
        <v>7524</v>
      </c>
      <c r="Q2052" s="72">
        <v>8.0</v>
      </c>
      <c r="R2052" s="11" t="s">
        <v>7525</v>
      </c>
      <c r="S2052" s="13" t="str">
        <f t="shared" si="27"/>
        <v>MOUNT MAYA</v>
      </c>
      <c r="T2052" s="11" t="s">
        <v>4344</v>
      </c>
      <c r="U2052" s="11">
        <v>1692.0</v>
      </c>
      <c r="V2052" s="11" t="s">
        <v>645</v>
      </c>
      <c r="W2052" s="11" t="s">
        <v>7526</v>
      </c>
      <c r="X2052" s="60" t="s">
        <v>7527</v>
      </c>
      <c r="Y2052" s="9" t="s">
        <v>4347</v>
      </c>
    </row>
    <row r="2053" ht="14.25" customHeight="1">
      <c r="A2053" s="5" t="s">
        <v>7135</v>
      </c>
      <c r="B2053" s="8"/>
      <c r="C2053" s="12" t="s">
        <v>7136</v>
      </c>
      <c r="D2053" s="10" t="str">
        <f t="shared" si="32"/>
        <v>'-&gt; 3a29P</v>
      </c>
      <c r="F2053" s="10" t="str">
        <f t="shared" si="33"/>
        <v>'-&gt; Perseverence Creek</v>
      </c>
      <c r="G2053" s="10" t="str">
        <f t="shared" si="34"/>
        <v>'-&gt; 125.131 W, 49.594 N, Elev. 970 m</v>
      </c>
      <c r="M2053" s="118">
        <v>49.594</v>
      </c>
      <c r="N2053" s="119">
        <v>-125.131</v>
      </c>
      <c r="O2053" s="11" t="s">
        <v>51</v>
      </c>
      <c r="P2053" s="11" t="s">
        <v>7528</v>
      </c>
      <c r="Q2053" s="72">
        <v>5.0</v>
      </c>
      <c r="R2053" s="11" t="s">
        <v>7529</v>
      </c>
      <c r="S2053" s="13" t="str">
        <f t="shared" si="27"/>
        <v>PERSEVERENCE CREEK</v>
      </c>
      <c r="T2053" s="11" t="s">
        <v>4344</v>
      </c>
      <c r="U2053" s="11">
        <v>970.0</v>
      </c>
      <c r="V2053" s="11"/>
      <c r="W2053" s="11" t="s">
        <v>7530</v>
      </c>
      <c r="X2053" s="60" t="s">
        <v>7510</v>
      </c>
      <c r="Y2053" s="9" t="s">
        <v>4347</v>
      </c>
    </row>
    <row r="2054" ht="14.25" customHeight="1">
      <c r="A2054" s="5" t="s">
        <v>7135</v>
      </c>
      <c r="B2054" s="8"/>
      <c r="C2054" s="12" t="s">
        <v>7136</v>
      </c>
      <c r="D2054" s="10" t="str">
        <f t="shared" si="32"/>
        <v>'-&gt; 1D20P</v>
      </c>
      <c r="F2054" s="10" t="str">
        <f t="shared" si="33"/>
        <v>'-&gt; Place Glacier</v>
      </c>
      <c r="G2054" s="10" t="str">
        <f t="shared" si="34"/>
        <v>'-&gt; 122.61442 W, 50.420312 N, Elev. 2300 m</v>
      </c>
      <c r="M2054" s="11">
        <v>50.420312</v>
      </c>
      <c r="N2054" s="11">
        <v>-122.61442</v>
      </c>
      <c r="O2054" s="11" t="s">
        <v>142</v>
      </c>
      <c r="P2054" s="11" t="s">
        <v>7531</v>
      </c>
      <c r="Q2054" s="22">
        <v>8.0</v>
      </c>
      <c r="R2054" s="11" t="s">
        <v>7532</v>
      </c>
      <c r="S2054" s="13" t="str">
        <f t="shared" si="27"/>
        <v>PLACE GLACIER</v>
      </c>
      <c r="T2054" s="11" t="s">
        <v>4344</v>
      </c>
      <c r="U2054" s="11">
        <v>2300.0</v>
      </c>
      <c r="V2054" s="11"/>
      <c r="W2054" s="11"/>
      <c r="X2054" s="60"/>
      <c r="Y2054" s="9" t="s">
        <v>4347</v>
      </c>
    </row>
    <row r="2055" ht="14.25" customHeight="1">
      <c r="A2055" s="5" t="s">
        <v>7135</v>
      </c>
      <c r="B2055" s="8"/>
      <c r="C2055" s="12" t="s">
        <v>7136</v>
      </c>
      <c r="D2055" s="10" t="str">
        <f t="shared" si="32"/>
        <v>'-&gt; 3A32P</v>
      </c>
      <c r="F2055" s="10" t="str">
        <f t="shared" si="33"/>
        <v>'-&gt; Plummer Hut</v>
      </c>
      <c r="G2055" s="10" t="str">
        <f t="shared" si="34"/>
        <v>'-&gt; 125.1645 W, 51.3735 N, Elev. 2680 m</v>
      </c>
      <c r="M2055" s="120">
        <v>51.3735</v>
      </c>
      <c r="N2055" s="120">
        <v>-125.1645</v>
      </c>
      <c r="O2055" s="11" t="s">
        <v>51</v>
      </c>
      <c r="P2055" s="11" t="s">
        <v>7533</v>
      </c>
      <c r="Q2055" s="72">
        <v>8.0</v>
      </c>
      <c r="R2055" s="11" t="s">
        <v>7534</v>
      </c>
      <c r="S2055" s="13" t="str">
        <f t="shared" si="27"/>
        <v>PLUMMER HUT</v>
      </c>
      <c r="T2055" s="11" t="s">
        <v>4344</v>
      </c>
      <c r="U2055" s="11">
        <v>2680.0</v>
      </c>
      <c r="V2055" s="11"/>
      <c r="W2055" s="11" t="s">
        <v>7535</v>
      </c>
      <c r="X2055" s="60" t="s">
        <v>7536</v>
      </c>
      <c r="Y2055" s="9" t="s">
        <v>4347</v>
      </c>
    </row>
    <row r="2056" ht="14.25" customHeight="1">
      <c r="A2056" s="5" t="s">
        <v>7135</v>
      </c>
      <c r="B2056" s="8"/>
      <c r="C2056" s="12" t="s">
        <v>7136</v>
      </c>
      <c r="D2056" s="10" t="str">
        <f t="shared" si="32"/>
        <v>'-&gt; RennellP</v>
      </c>
      <c r="F2056" s="10" t="str">
        <f t="shared" si="33"/>
        <v>'-&gt; Rennell Pass</v>
      </c>
      <c r="G2056" s="10" t="str">
        <f t="shared" si="34"/>
        <v>'-&gt; 132.3655 W, 53.3434 N, Elev. 316 m</v>
      </c>
      <c r="M2056" s="11">
        <v>53.3434</v>
      </c>
      <c r="N2056" s="11">
        <v>-132.3655</v>
      </c>
      <c r="O2056" s="11" t="s">
        <v>51</v>
      </c>
      <c r="P2056" s="11" t="s">
        <v>7537</v>
      </c>
      <c r="Q2056" s="72">
        <v>3.0</v>
      </c>
      <c r="R2056" s="11" t="s">
        <v>7538</v>
      </c>
      <c r="S2056" s="13" t="str">
        <f t="shared" si="27"/>
        <v>RENNELL PASS</v>
      </c>
      <c r="T2056" s="11" t="s">
        <v>4344</v>
      </c>
      <c r="U2056" s="11">
        <v>316.0</v>
      </c>
      <c r="V2056" s="11" t="s">
        <v>645</v>
      </c>
      <c r="W2056" s="11" t="s">
        <v>7539</v>
      </c>
      <c r="X2056" s="60" t="s">
        <v>7540</v>
      </c>
      <c r="Y2056" s="9" t="s">
        <v>4347</v>
      </c>
    </row>
    <row r="2057" ht="14.25" customHeight="1">
      <c r="A2057" s="5" t="s">
        <v>7135</v>
      </c>
      <c r="B2057" s="8"/>
      <c r="C2057" s="12" t="s">
        <v>7136</v>
      </c>
      <c r="D2057" s="10" t="str">
        <f t="shared" si="32"/>
        <v>'-&gt; Russell_Main</v>
      </c>
      <c r="F2057" s="10" t="str">
        <f t="shared" si="33"/>
        <v>'-&gt; Russell at mouth</v>
      </c>
      <c r="G2057" s="10" t="str">
        <f t="shared" si="34"/>
        <v>'-&gt; 126.41 W, 50.3251 N, Elev. 280 m</v>
      </c>
      <c r="M2057" s="11">
        <v>50.3251</v>
      </c>
      <c r="N2057" s="11">
        <v>-126.41</v>
      </c>
      <c r="O2057" s="11" t="s">
        <v>51</v>
      </c>
      <c r="P2057" s="11" t="s">
        <v>7541</v>
      </c>
      <c r="Q2057" s="72">
        <v>2.0</v>
      </c>
      <c r="R2057" s="11" t="s">
        <v>7542</v>
      </c>
      <c r="S2057" s="13" t="str">
        <f t="shared" si="27"/>
        <v>RUSSELL AT MOUTH</v>
      </c>
      <c r="T2057" s="11" t="s">
        <v>4344</v>
      </c>
      <c r="U2057" s="11">
        <v>280.0</v>
      </c>
      <c r="V2057" s="11"/>
      <c r="W2057" s="11" t="s">
        <v>7543</v>
      </c>
      <c r="X2057" s="60" t="s">
        <v>7544</v>
      </c>
      <c r="Y2057" s="9" t="s">
        <v>4347</v>
      </c>
    </row>
    <row r="2058" ht="14.25" customHeight="1">
      <c r="A2058" s="5" t="s">
        <v>7135</v>
      </c>
      <c r="B2058" s="8"/>
      <c r="C2058" s="12" t="s">
        <v>7136</v>
      </c>
      <c r="D2058" s="10" t="str">
        <f t="shared" si="32"/>
        <v>'-&gt; STEPH_1</v>
      </c>
      <c r="F2058" s="10" t="str">
        <f t="shared" si="33"/>
        <v>'-&gt; Stephanie 1</v>
      </c>
      <c r="G2058" s="10" t="str">
        <f t="shared" si="34"/>
        <v>'-&gt; 126.35681 W, 50.306645 N, Elev. 1516 m</v>
      </c>
      <c r="M2058" s="11">
        <v>50.306645</v>
      </c>
      <c r="N2058" s="11">
        <v>-126.35681</v>
      </c>
      <c r="O2058" s="11" t="s">
        <v>51</v>
      </c>
      <c r="P2058" s="11" t="s">
        <v>7545</v>
      </c>
      <c r="Q2058" s="72">
        <v>7.0</v>
      </c>
      <c r="R2058" s="11" t="s">
        <v>7546</v>
      </c>
      <c r="S2058" s="13" t="str">
        <f t="shared" si="27"/>
        <v>STEPHANIE 1</v>
      </c>
      <c r="T2058" s="11" t="s">
        <v>4344</v>
      </c>
      <c r="U2058" s="11">
        <v>1516.0</v>
      </c>
      <c r="V2058" s="11" t="s">
        <v>645</v>
      </c>
      <c r="W2058" s="11" t="s">
        <v>7547</v>
      </c>
      <c r="X2058" s="60" t="s">
        <v>7548</v>
      </c>
      <c r="Y2058" s="9" t="s">
        <v>4347</v>
      </c>
    </row>
    <row r="2059" ht="14.25" customHeight="1">
      <c r="A2059" s="5" t="s">
        <v>7135</v>
      </c>
      <c r="B2059" s="8"/>
      <c r="C2059" s="12" t="s">
        <v>7136</v>
      </c>
      <c r="D2059" s="10" t="str">
        <f t="shared" si="32"/>
        <v>'-&gt; STEPH_2</v>
      </c>
      <c r="F2059" s="10" t="str">
        <f t="shared" si="33"/>
        <v>'-&gt; Stephanie 2</v>
      </c>
      <c r="G2059" s="10" t="str">
        <f t="shared" si="34"/>
        <v>'-&gt; 126.3627 W, 50.3124 N, Elev. 1164 m</v>
      </c>
      <c r="M2059" s="11">
        <v>50.3124</v>
      </c>
      <c r="N2059" s="11">
        <v>-126.3627</v>
      </c>
      <c r="O2059" s="11" t="s">
        <v>51</v>
      </c>
      <c r="P2059" s="11" t="s">
        <v>7549</v>
      </c>
      <c r="Q2059" s="72">
        <v>6.0</v>
      </c>
      <c r="R2059" s="11" t="s">
        <v>7550</v>
      </c>
      <c r="S2059" s="13" t="str">
        <f t="shared" si="27"/>
        <v>STEPHANIE 2</v>
      </c>
      <c r="T2059" s="11" t="s">
        <v>4344</v>
      </c>
      <c r="U2059" s="11">
        <v>1164.0</v>
      </c>
      <c r="V2059" s="11"/>
      <c r="W2059" s="11" t="s">
        <v>7551</v>
      </c>
      <c r="X2059" s="60" t="s">
        <v>7552</v>
      </c>
      <c r="Y2059" s="9" t="s">
        <v>4347</v>
      </c>
    </row>
    <row r="2060" ht="14.25" customHeight="1">
      <c r="A2060" s="5" t="s">
        <v>7135</v>
      </c>
      <c r="B2060" s="8"/>
      <c r="C2060" s="12" t="s">
        <v>7136</v>
      </c>
      <c r="D2060" s="10" t="str">
        <f t="shared" si="32"/>
        <v>'-&gt; STEPH_3</v>
      </c>
      <c r="F2060" s="10" t="str">
        <f t="shared" si="33"/>
        <v>'-&gt; Stephanie 3</v>
      </c>
      <c r="G2060" s="10" t="str">
        <f t="shared" si="34"/>
        <v>'-&gt; 126.3631 W, 50.3181 N, Elev. 1030 m</v>
      </c>
      <c r="M2060" s="11">
        <v>50.3181</v>
      </c>
      <c r="N2060" s="11">
        <v>-126.3631</v>
      </c>
      <c r="O2060" s="11" t="s">
        <v>51</v>
      </c>
      <c r="P2060" s="11" t="s">
        <v>7553</v>
      </c>
      <c r="Q2060" s="72">
        <v>5.0</v>
      </c>
      <c r="R2060" s="11" t="s">
        <v>7554</v>
      </c>
      <c r="S2060" s="13" t="str">
        <f t="shared" si="27"/>
        <v>STEPHANIE 3</v>
      </c>
      <c r="T2060" s="11" t="s">
        <v>4344</v>
      </c>
      <c r="U2060" s="11">
        <v>1030.0</v>
      </c>
      <c r="V2060" s="11"/>
      <c r="W2060" s="11" t="s">
        <v>7555</v>
      </c>
      <c r="X2060" s="60" t="s">
        <v>7552</v>
      </c>
      <c r="Y2060" s="9" t="s">
        <v>4347</v>
      </c>
    </row>
    <row r="2061" ht="14.25" customHeight="1">
      <c r="A2061" s="5" t="s">
        <v>7135</v>
      </c>
      <c r="B2061" s="8"/>
      <c r="C2061" s="12" t="s">
        <v>7136</v>
      </c>
      <c r="D2061" s="10" t="str">
        <f t="shared" si="32"/>
        <v>'-&gt; STEPH_4</v>
      </c>
      <c r="F2061" s="10" t="str">
        <f t="shared" si="33"/>
        <v>'-&gt; Stephanie 4</v>
      </c>
      <c r="G2061" s="10" t="str">
        <f t="shared" si="34"/>
        <v>'-&gt; 126.355 W, 50.3171 N, Elev. 950 m</v>
      </c>
      <c r="M2061" s="11">
        <v>50.3171</v>
      </c>
      <c r="N2061" s="11">
        <v>-126.355</v>
      </c>
      <c r="O2061" s="11" t="s">
        <v>51</v>
      </c>
      <c r="P2061" s="11" t="s">
        <v>7556</v>
      </c>
      <c r="Q2061" s="72">
        <v>5.0</v>
      </c>
      <c r="R2061" s="11" t="s">
        <v>7557</v>
      </c>
      <c r="S2061" s="13" t="str">
        <f t="shared" si="27"/>
        <v>STEPHANIE 4</v>
      </c>
      <c r="T2061" s="11" t="s">
        <v>4344</v>
      </c>
      <c r="U2061" s="11">
        <v>950.0</v>
      </c>
      <c r="V2061" s="11"/>
      <c r="W2061" s="11" t="s">
        <v>7558</v>
      </c>
      <c r="X2061" s="60" t="s">
        <v>7552</v>
      </c>
      <c r="Y2061" s="9" t="s">
        <v>4347</v>
      </c>
    </row>
    <row r="2062" ht="14.25" customHeight="1">
      <c r="A2062" s="5" t="s">
        <v>7135</v>
      </c>
      <c r="B2062" s="8"/>
      <c r="C2062" s="12" t="s">
        <v>7136</v>
      </c>
      <c r="D2062" s="10" t="str">
        <f t="shared" si="32"/>
        <v>'-&gt; STEPH_6</v>
      </c>
      <c r="F2062" s="10" t="str">
        <f t="shared" si="33"/>
        <v>'-&gt; Stephanie 6</v>
      </c>
      <c r="G2062" s="10" t="str">
        <f t="shared" si="34"/>
        <v>'-&gt; 126.35 W, 50.3186 N, Elev. 820 m</v>
      </c>
      <c r="M2062" s="11">
        <v>50.3186</v>
      </c>
      <c r="N2062" s="11">
        <v>-126.35</v>
      </c>
      <c r="O2062" s="11" t="s">
        <v>51</v>
      </c>
      <c r="P2062" s="11" t="s">
        <v>7559</v>
      </c>
      <c r="Q2062" s="72">
        <v>5.0</v>
      </c>
      <c r="R2062" s="11" t="s">
        <v>7560</v>
      </c>
      <c r="S2062" s="13" t="str">
        <f t="shared" si="27"/>
        <v>STEPHANIE 6</v>
      </c>
      <c r="T2062" s="11" t="s">
        <v>4344</v>
      </c>
      <c r="U2062" s="11">
        <v>820.0</v>
      </c>
      <c r="V2062" s="11" t="s">
        <v>645</v>
      </c>
      <c r="W2062" s="11" t="s">
        <v>7561</v>
      </c>
      <c r="X2062" s="60" t="s">
        <v>7562</v>
      </c>
      <c r="Y2062" s="9" t="s">
        <v>4347</v>
      </c>
    </row>
    <row r="2063" ht="14.25" customHeight="1">
      <c r="A2063" s="5" t="s">
        <v>7135</v>
      </c>
      <c r="B2063" s="8"/>
      <c r="C2063" s="12" t="s">
        <v>7136</v>
      </c>
      <c r="D2063" s="10" t="str">
        <f t="shared" si="32"/>
        <v>'-&gt; STEPH_7</v>
      </c>
      <c r="F2063" s="10" t="str">
        <f t="shared" si="33"/>
        <v>'-&gt; Stephanie 7</v>
      </c>
      <c r="G2063" s="10" t="str">
        <f t="shared" si="34"/>
        <v>'-&gt; 126.3574 W, 50.3257 N, Elev. 718 m</v>
      </c>
      <c r="M2063" s="11">
        <v>50.3257</v>
      </c>
      <c r="N2063" s="11">
        <v>-126.3574</v>
      </c>
      <c r="O2063" s="11" t="s">
        <v>51</v>
      </c>
      <c r="P2063" s="11" t="s">
        <v>7563</v>
      </c>
      <c r="Q2063" s="72">
        <v>4.0</v>
      </c>
      <c r="R2063" s="11" t="s">
        <v>7564</v>
      </c>
      <c r="S2063" s="13" t="str">
        <f t="shared" si="27"/>
        <v>STEPHANIE 7</v>
      </c>
      <c r="T2063" s="11" t="s">
        <v>4344</v>
      </c>
      <c r="U2063" s="11">
        <v>718.0</v>
      </c>
      <c r="V2063" s="11"/>
      <c r="W2063" s="11" t="s">
        <v>7565</v>
      </c>
      <c r="X2063" s="60" t="s">
        <v>7566</v>
      </c>
      <c r="Y2063" s="9" t="s">
        <v>4347</v>
      </c>
    </row>
    <row r="2064" ht="14.25" customHeight="1">
      <c r="A2064" s="5" t="s">
        <v>7135</v>
      </c>
      <c r="B2064" s="8"/>
      <c r="C2064" s="12" t="s">
        <v>7136</v>
      </c>
      <c r="D2064" s="10" t="str">
        <f t="shared" si="32"/>
        <v>'-&gt; STEPH_8</v>
      </c>
      <c r="F2064" s="10" t="str">
        <f t="shared" si="33"/>
        <v>'-&gt; Stephanie 8</v>
      </c>
      <c r="G2064" s="10" t="str">
        <f t="shared" si="34"/>
        <v>'-&gt; 126.3652 W, 50.3329 N, Elev. 593 m</v>
      </c>
      <c r="M2064" s="11">
        <v>50.3329</v>
      </c>
      <c r="N2064" s="11">
        <v>-126.3652</v>
      </c>
      <c r="O2064" s="11" t="s">
        <v>51</v>
      </c>
      <c r="P2064" s="11" t="s">
        <v>7567</v>
      </c>
      <c r="Q2064" s="72">
        <v>4.0</v>
      </c>
      <c r="R2064" s="11" t="s">
        <v>7568</v>
      </c>
      <c r="S2064" s="13" t="str">
        <f t="shared" si="27"/>
        <v>STEPHANIE 8</v>
      </c>
      <c r="T2064" s="11" t="s">
        <v>4344</v>
      </c>
      <c r="U2064" s="11">
        <v>593.0</v>
      </c>
      <c r="V2064" s="11"/>
      <c r="W2064" s="11" t="s">
        <v>7565</v>
      </c>
      <c r="X2064" s="60" t="s">
        <v>7569</v>
      </c>
      <c r="Y2064" s="9" t="s">
        <v>4347</v>
      </c>
    </row>
    <row r="2065" ht="14.25" customHeight="1">
      <c r="A2065" s="5" t="s">
        <v>7135</v>
      </c>
      <c r="B2065" s="8"/>
      <c r="C2065" s="12" t="s">
        <v>7136</v>
      </c>
      <c r="D2065" s="10" t="str">
        <f t="shared" si="32"/>
        <v>'-&gt; 3B27P</v>
      </c>
      <c r="F2065" s="10" t="str">
        <f t="shared" si="33"/>
        <v>'-&gt; Upper Cruickshank</v>
      </c>
      <c r="G2065" s="10" t="str">
        <f t="shared" si="34"/>
        <v>'-&gt; 125.361 W, 49.669 N, Elev. 1348 m</v>
      </c>
      <c r="M2065" s="118">
        <v>49.669</v>
      </c>
      <c r="N2065" s="119">
        <v>-125.361</v>
      </c>
      <c r="O2065" s="11" t="s">
        <v>51</v>
      </c>
      <c r="P2065" s="11" t="s">
        <v>7570</v>
      </c>
      <c r="Q2065" s="72">
        <v>7.0</v>
      </c>
      <c r="R2065" s="11" t="s">
        <v>7571</v>
      </c>
      <c r="S2065" s="13" t="str">
        <f t="shared" si="27"/>
        <v>UPPER CRUICKSHANK</v>
      </c>
      <c r="T2065" s="11" t="s">
        <v>4344</v>
      </c>
      <c r="U2065" s="11">
        <v>1348.0</v>
      </c>
      <c r="V2065" s="11"/>
      <c r="W2065" s="11" t="s">
        <v>7572</v>
      </c>
      <c r="X2065" s="60" t="s">
        <v>7573</v>
      </c>
      <c r="Y2065" s="9" t="s">
        <v>4347</v>
      </c>
    </row>
    <row r="2066" ht="14.25" customHeight="1">
      <c r="A2066" s="5" t="s">
        <v>7135</v>
      </c>
      <c r="B2066" s="8"/>
      <c r="C2066" s="12" t="s">
        <v>7136</v>
      </c>
      <c r="D2066" s="10" t="str">
        <f t="shared" si="32"/>
        <v>'-&gt; Upper_Russell</v>
      </c>
      <c r="F2066" s="10" t="str">
        <f t="shared" si="33"/>
        <v>'-&gt; Upper Russell</v>
      </c>
      <c r="G2066" s="10" t="str">
        <f t="shared" si="34"/>
        <v>'-&gt; 126.3616 W, 50.3447 N, Elev. 493 m</v>
      </c>
      <c r="M2066" s="11">
        <v>50.3447</v>
      </c>
      <c r="N2066" s="11">
        <v>-126.3616</v>
      </c>
      <c r="O2066" s="11" t="s">
        <v>51</v>
      </c>
      <c r="P2066" s="11" t="s">
        <v>7574</v>
      </c>
      <c r="Q2066" s="72">
        <v>3.0</v>
      </c>
      <c r="R2066" s="11" t="s">
        <v>7575</v>
      </c>
      <c r="S2066" s="13" t="str">
        <f t="shared" si="27"/>
        <v>UPPER RUSSELL</v>
      </c>
      <c r="T2066" s="11" t="s">
        <v>4344</v>
      </c>
      <c r="U2066" s="11">
        <v>493.0</v>
      </c>
      <c r="V2066" s="11"/>
      <c r="W2066" s="11" t="s">
        <v>7576</v>
      </c>
      <c r="X2066" s="60" t="s">
        <v>7562</v>
      </c>
      <c r="Y2066" s="9" t="s">
        <v>4347</v>
      </c>
    </row>
    <row r="2067" ht="14.25" customHeight="1">
      <c r="A2067" s="5" t="s">
        <v>7135</v>
      </c>
      <c r="B2067" s="8"/>
      <c r="C2067" s="12" t="s">
        <v>7136</v>
      </c>
      <c r="D2067" s="10" t="str">
        <f t="shared" si="32"/>
        <v>'-&gt; 4B19P</v>
      </c>
      <c r="F2067" s="10" t="str">
        <f t="shared" si="33"/>
        <v>'-&gt; Upper Skeena</v>
      </c>
      <c r="G2067" s="5" t="str">
        <f t="shared" si="34"/>
        <v>'-&gt; 127.655889 W, 56.539786 N, Elev. 1571 m</v>
      </c>
      <c r="M2067" s="11">
        <v>56.539786</v>
      </c>
      <c r="N2067" s="11">
        <v>-127.655889</v>
      </c>
      <c r="O2067" s="11" t="s">
        <v>1290</v>
      </c>
      <c r="P2067" s="11" t="s">
        <v>7577</v>
      </c>
      <c r="Q2067" s="72">
        <v>7.0</v>
      </c>
      <c r="R2067" s="11" t="s">
        <v>7578</v>
      </c>
      <c r="S2067" s="13" t="str">
        <f t="shared" si="27"/>
        <v>UPPER SKEENA</v>
      </c>
      <c r="T2067" s="11" t="s">
        <v>4344</v>
      </c>
      <c r="U2067" s="11">
        <v>1571.0</v>
      </c>
      <c r="V2067" s="11"/>
      <c r="W2067" s="11" t="s">
        <v>7579</v>
      </c>
      <c r="X2067" s="60" t="s">
        <v>7580</v>
      </c>
      <c r="Y2067" s="9" t="s">
        <v>4347</v>
      </c>
    </row>
    <row r="2068" ht="14.25" customHeight="1">
      <c r="B2068" s="8">
        <v>11.0</v>
      </c>
      <c r="C2068" s="7" t="s">
        <v>7179</v>
      </c>
      <c r="D2068" s="5" t="s">
        <v>7581</v>
      </c>
      <c r="E2068" s="5">
        <v>13183.0</v>
      </c>
      <c r="F2068" s="5" t="s">
        <v>7422</v>
      </c>
      <c r="G2068" s="5" t="s">
        <v>7582</v>
      </c>
      <c r="H2068" s="5" t="s">
        <v>7583</v>
      </c>
      <c r="I2068" s="5" t="s">
        <v>49</v>
      </c>
      <c r="J2068" s="5" t="s">
        <v>7584</v>
      </c>
      <c r="K2068" s="5">
        <v>1.0</v>
      </c>
      <c r="L2068" s="5">
        <v>15105.0</v>
      </c>
      <c r="Y2068" s="9"/>
    </row>
    <row r="2069" ht="14.25" customHeight="1">
      <c r="B2069" s="8">
        <v>11.0</v>
      </c>
      <c r="C2069" s="7" t="s">
        <v>7179</v>
      </c>
      <c r="D2069" s="5" t="s">
        <v>7585</v>
      </c>
      <c r="E2069" s="5">
        <v>3352.0</v>
      </c>
      <c r="F2069" s="5" t="s">
        <v>7586</v>
      </c>
      <c r="G2069" s="5" t="s">
        <v>7587</v>
      </c>
      <c r="H2069" s="5" t="s">
        <v>7588</v>
      </c>
      <c r="I2069" s="5" t="s">
        <v>49</v>
      </c>
      <c r="J2069" s="5" t="s">
        <v>7589</v>
      </c>
      <c r="K2069" s="5">
        <v>1.0</v>
      </c>
      <c r="L2069" s="5">
        <v>4192.0</v>
      </c>
      <c r="Y2069" s="9"/>
    </row>
    <row r="2070" ht="14.25" customHeight="1">
      <c r="B2070" s="8">
        <v>11.0</v>
      </c>
      <c r="C2070" s="7" t="s">
        <v>7179</v>
      </c>
      <c r="D2070" s="5" t="s">
        <v>7590</v>
      </c>
      <c r="E2070" s="5">
        <v>3354.0</v>
      </c>
      <c r="F2070" s="5" t="s">
        <v>7591</v>
      </c>
      <c r="G2070" s="5" t="s">
        <v>7592</v>
      </c>
      <c r="H2070" s="5" t="s">
        <v>7593</v>
      </c>
      <c r="I2070" s="5" t="s">
        <v>49</v>
      </c>
      <c r="J2070" s="5" t="s">
        <v>7594</v>
      </c>
      <c r="K2070" s="5">
        <v>1.0</v>
      </c>
      <c r="L2070" s="5">
        <v>4194.0</v>
      </c>
      <c r="Y2070" s="9"/>
    </row>
    <row r="2071" ht="14.25" customHeight="1">
      <c r="B2071" s="8">
        <v>11.0</v>
      </c>
      <c r="C2071" s="7" t="s">
        <v>7179</v>
      </c>
      <c r="D2071" s="5" t="s">
        <v>7595</v>
      </c>
      <c r="E2071" s="5">
        <v>3353.0</v>
      </c>
      <c r="F2071" s="5" t="s">
        <v>7596</v>
      </c>
      <c r="G2071" s="5" t="s">
        <v>7597</v>
      </c>
      <c r="H2071" s="5" t="s">
        <v>7598</v>
      </c>
      <c r="I2071" s="5" t="s">
        <v>49</v>
      </c>
      <c r="J2071" s="5" t="s">
        <v>7599</v>
      </c>
      <c r="K2071" s="5">
        <v>1.0</v>
      </c>
      <c r="L2071" s="5">
        <v>4193.0</v>
      </c>
      <c r="M2071" s="11"/>
      <c r="N2071" s="11"/>
      <c r="O2071" s="11"/>
      <c r="P2071" s="11"/>
      <c r="Q2071" s="22"/>
      <c r="R2071" s="11"/>
      <c r="S2071" s="13"/>
      <c r="T2071" s="11"/>
      <c r="U2071" s="11"/>
      <c r="V2071" s="11"/>
      <c r="W2071" s="11"/>
      <c r="X2071" s="60"/>
      <c r="Y2071" s="9"/>
    </row>
    <row r="2072" ht="14.25" customHeight="1">
      <c r="B2072" s="8">
        <v>11.0</v>
      </c>
      <c r="C2072" s="7" t="s">
        <v>7179</v>
      </c>
      <c r="D2072" s="5" t="s">
        <v>7600</v>
      </c>
      <c r="E2072" s="5">
        <v>3355.0</v>
      </c>
      <c r="F2072" s="5" t="s">
        <v>7601</v>
      </c>
      <c r="G2072" s="5" t="s">
        <v>7602</v>
      </c>
      <c r="H2072" s="5" t="s">
        <v>7603</v>
      </c>
      <c r="I2072" s="5" t="s">
        <v>49</v>
      </c>
      <c r="J2072" s="5" t="s">
        <v>7604</v>
      </c>
      <c r="K2072" s="5">
        <v>2.0</v>
      </c>
      <c r="L2072" s="5" t="s">
        <v>7605</v>
      </c>
      <c r="Y2072" s="9"/>
    </row>
    <row r="2073" ht="14.25" customHeight="1">
      <c r="B2073" s="8">
        <v>11.0</v>
      </c>
      <c r="C2073" s="7" t="s">
        <v>7179</v>
      </c>
      <c r="D2073" s="5" t="s">
        <v>7606</v>
      </c>
      <c r="E2073" s="5">
        <v>3356.0</v>
      </c>
      <c r="F2073" s="5" t="s">
        <v>7601</v>
      </c>
      <c r="G2073" s="5" t="s">
        <v>7607</v>
      </c>
      <c r="H2073" s="5" t="s">
        <v>7608</v>
      </c>
      <c r="I2073" s="5" t="s">
        <v>49</v>
      </c>
      <c r="J2073" s="5" t="s">
        <v>7589</v>
      </c>
      <c r="K2073" s="5">
        <v>1.0</v>
      </c>
      <c r="L2073" s="5">
        <v>4196.0</v>
      </c>
      <c r="Y2073" s="9"/>
    </row>
    <row r="2074" ht="14.25" customHeight="1">
      <c r="B2074" s="8">
        <v>11.0</v>
      </c>
      <c r="C2074" s="7" t="s">
        <v>7179</v>
      </c>
      <c r="D2074" s="5" t="s">
        <v>7609</v>
      </c>
      <c r="E2074" s="5">
        <v>3357.0</v>
      </c>
      <c r="F2074" s="5" t="s">
        <v>7601</v>
      </c>
      <c r="G2074" s="5" t="s">
        <v>7610</v>
      </c>
      <c r="H2074" s="5" t="s">
        <v>7611</v>
      </c>
      <c r="I2074" s="5" t="s">
        <v>49</v>
      </c>
      <c r="J2074" s="5" t="s">
        <v>7589</v>
      </c>
      <c r="K2074" s="5">
        <v>1.0</v>
      </c>
      <c r="L2074" s="5">
        <v>4197.0</v>
      </c>
      <c r="Y2074" s="9"/>
    </row>
    <row r="2075" ht="14.25" customHeight="1">
      <c r="B2075" s="8">
        <v>11.0</v>
      </c>
      <c r="C2075" s="7" t="s">
        <v>7179</v>
      </c>
      <c r="D2075" s="5" t="s">
        <v>7612</v>
      </c>
      <c r="E2075" s="5">
        <v>3358.0</v>
      </c>
      <c r="F2075" s="5" t="s">
        <v>7613</v>
      </c>
      <c r="G2075" s="5" t="s">
        <v>7614</v>
      </c>
      <c r="H2075" s="5" t="s">
        <v>7615</v>
      </c>
      <c r="I2075" s="5" t="s">
        <v>49</v>
      </c>
      <c r="J2075" s="5" t="s">
        <v>7594</v>
      </c>
      <c r="K2075" s="5">
        <v>1.0</v>
      </c>
      <c r="L2075" s="5">
        <v>4198.0</v>
      </c>
      <c r="Y2075" s="9"/>
    </row>
    <row r="2076" ht="14.25" customHeight="1">
      <c r="A2076" s="5" t="s">
        <v>7616</v>
      </c>
      <c r="B2076" s="8">
        <v>11.0</v>
      </c>
      <c r="C2076" s="7" t="s">
        <v>7179</v>
      </c>
      <c r="D2076" s="5" t="s">
        <v>7617</v>
      </c>
      <c r="E2076" s="5">
        <v>12063.0</v>
      </c>
      <c r="F2076" s="5" t="s">
        <v>7480</v>
      </c>
      <c r="G2076" s="5" t="s">
        <v>7618</v>
      </c>
      <c r="H2076" s="5" t="s">
        <v>7619</v>
      </c>
      <c r="I2076" s="5" t="s">
        <v>641</v>
      </c>
      <c r="J2076" s="5" t="s">
        <v>7287</v>
      </c>
      <c r="K2076" s="5">
        <v>1.0</v>
      </c>
      <c r="L2076" s="5">
        <v>14119.0</v>
      </c>
      <c r="M2076" s="11"/>
      <c r="N2076" s="11"/>
      <c r="O2076" s="11"/>
      <c r="P2076" s="11"/>
      <c r="Q2076" s="22"/>
      <c r="R2076" s="11"/>
      <c r="S2076" s="13"/>
      <c r="T2076" s="11"/>
      <c r="U2076" s="11"/>
      <c r="V2076" s="11"/>
      <c r="W2076" s="11"/>
      <c r="X2076" s="60"/>
      <c r="Y2076" s="9"/>
    </row>
    <row r="2077" ht="14.25" customHeight="1">
      <c r="B2077" s="8">
        <v>11.0</v>
      </c>
      <c r="C2077" s="7" t="s">
        <v>7179</v>
      </c>
      <c r="D2077" s="5" t="s">
        <v>7340</v>
      </c>
      <c r="E2077" s="5">
        <v>13185.0</v>
      </c>
      <c r="F2077" s="5" t="s">
        <v>7620</v>
      </c>
      <c r="G2077" s="5" t="s">
        <v>7621</v>
      </c>
      <c r="H2077" s="5" t="s">
        <v>7622</v>
      </c>
      <c r="I2077" s="5" t="s">
        <v>49</v>
      </c>
      <c r="J2077" s="5" t="s">
        <v>7250</v>
      </c>
      <c r="K2077" s="5">
        <v>1.0</v>
      </c>
      <c r="L2077" s="5">
        <v>15107.0</v>
      </c>
      <c r="M2077" s="11"/>
      <c r="N2077" s="11"/>
      <c r="O2077" s="11"/>
      <c r="P2077" s="11"/>
      <c r="Q2077" s="22"/>
      <c r="R2077" s="11"/>
      <c r="S2077" s="13"/>
      <c r="T2077" s="11"/>
      <c r="U2077" s="11"/>
      <c r="V2077" s="11"/>
      <c r="W2077" s="11"/>
      <c r="X2077" s="60"/>
      <c r="Y2077" s="9"/>
    </row>
    <row r="2078" ht="14.25" customHeight="1">
      <c r="B2078" s="8">
        <v>11.0</v>
      </c>
      <c r="C2078" s="7" t="s">
        <v>7179</v>
      </c>
      <c r="D2078" s="5" t="s">
        <v>7623</v>
      </c>
      <c r="E2078" s="5">
        <v>13186.0</v>
      </c>
      <c r="F2078" s="5" t="s">
        <v>7623</v>
      </c>
      <c r="G2078" s="5" t="s">
        <v>7624</v>
      </c>
      <c r="H2078" s="5" t="s">
        <v>7625</v>
      </c>
      <c r="I2078" s="5" t="s">
        <v>49</v>
      </c>
      <c r="J2078" s="5" t="s">
        <v>7626</v>
      </c>
      <c r="K2078" s="5">
        <v>1.0</v>
      </c>
      <c r="L2078" s="5">
        <v>15108.0</v>
      </c>
      <c r="M2078" s="11"/>
      <c r="N2078" s="11"/>
      <c r="O2078" s="11"/>
      <c r="P2078" s="11"/>
      <c r="Q2078" s="22"/>
      <c r="R2078" s="11"/>
      <c r="S2078" s="13"/>
      <c r="T2078" s="11"/>
      <c r="U2078" s="11"/>
      <c r="V2078" s="11"/>
      <c r="W2078" s="11"/>
      <c r="X2078" s="60"/>
      <c r="Y2078" s="9"/>
    </row>
    <row r="2079" ht="14.25" customHeight="1">
      <c r="B2079" s="8">
        <v>11.0</v>
      </c>
      <c r="C2079" s="7" t="s">
        <v>7179</v>
      </c>
      <c r="D2079" s="5" t="s">
        <v>7627</v>
      </c>
      <c r="E2079" s="5">
        <v>13187.0</v>
      </c>
      <c r="F2079" s="5" t="s">
        <v>7627</v>
      </c>
      <c r="G2079" s="5" t="s">
        <v>7628</v>
      </c>
      <c r="H2079" s="5" t="s">
        <v>7629</v>
      </c>
      <c r="I2079" s="5" t="s">
        <v>49</v>
      </c>
      <c r="J2079" s="5" t="s">
        <v>7630</v>
      </c>
      <c r="K2079" s="5">
        <v>1.0</v>
      </c>
      <c r="L2079" s="5">
        <v>15109.0</v>
      </c>
      <c r="M2079" s="11"/>
      <c r="N2079" s="11"/>
      <c r="O2079" s="11"/>
      <c r="P2079" s="11"/>
      <c r="Q2079" s="22"/>
      <c r="R2079" s="11"/>
      <c r="S2079" s="13"/>
      <c r="T2079" s="11"/>
      <c r="U2079" s="11"/>
      <c r="V2079" s="11"/>
      <c r="W2079" s="11"/>
      <c r="X2079" s="60"/>
      <c r="Y2079" s="9"/>
    </row>
    <row r="2080" ht="14.25" customHeight="1">
      <c r="A2080" s="5" t="s">
        <v>7135</v>
      </c>
      <c r="B2080" s="8"/>
      <c r="C2080" s="12" t="s">
        <v>7136</v>
      </c>
      <c r="D2080" s="10" t="str">
        <f t="shared" ref="D2080:D2084" si="35">CONCATENATE("'-&gt; ",P2080)</f>
        <v>'-&gt; M2</v>
      </c>
      <c r="F2080" s="10" t="str">
        <f t="shared" ref="F2080:F2084" si="36">CONCATENATE("'-&gt; ",R2080)</f>
        <v>'-&gt; Mayson Lake - M2</v>
      </c>
      <c r="G2080" s="10" t="str">
        <f t="shared" ref="G2080:G2084" si="37">CONCATENATE("'-&gt; ",-1*N2080," W, ",M2080," N, Elev. ",U2080," m")</f>
        <v>'-&gt; 120.388667 W, 51.216528 N, Elev. 1277 m</v>
      </c>
      <c r="M2080" s="5">
        <v>51.216528</v>
      </c>
      <c r="N2080" s="5">
        <v>-120.388667</v>
      </c>
      <c r="O2080" s="5" t="s">
        <v>7631</v>
      </c>
      <c r="P2080" s="5" t="s">
        <v>7632</v>
      </c>
      <c r="R2080" s="5" t="s">
        <v>7633</v>
      </c>
      <c r="S2080" s="5" t="s">
        <v>7634</v>
      </c>
      <c r="U2080" s="5">
        <v>1277.0</v>
      </c>
      <c r="V2080" s="5" t="s">
        <v>7635</v>
      </c>
      <c r="W2080" s="5" t="s">
        <v>7636</v>
      </c>
      <c r="X2080" s="5" t="s">
        <v>7637</v>
      </c>
      <c r="Z2080" s="9" t="s">
        <v>7638</v>
      </c>
    </row>
    <row r="2081" ht="14.25" customHeight="1">
      <c r="A2081" s="5" t="s">
        <v>7135</v>
      </c>
      <c r="B2081" s="8"/>
      <c r="C2081" s="12" t="s">
        <v>7136</v>
      </c>
      <c r="D2081" s="10" t="str">
        <f t="shared" si="35"/>
        <v>'-&gt; M3</v>
      </c>
      <c r="F2081" s="10" t="str">
        <f t="shared" si="36"/>
        <v>'-&gt; Mayson Lake - M3</v>
      </c>
      <c r="G2081" s="10" t="str">
        <f t="shared" si="37"/>
        <v>'-&gt; 120.401694 W, 51.217611 N, Elev. 1290 m</v>
      </c>
      <c r="M2081" s="5">
        <v>51.217611</v>
      </c>
      <c r="N2081" s="5">
        <v>-120.401694</v>
      </c>
      <c r="O2081" s="5" t="s">
        <v>7631</v>
      </c>
      <c r="P2081" s="5" t="s">
        <v>7639</v>
      </c>
      <c r="R2081" s="5" t="s">
        <v>7640</v>
      </c>
      <c r="S2081" s="5" t="s">
        <v>7641</v>
      </c>
      <c r="U2081" s="5">
        <v>1290.0</v>
      </c>
      <c r="V2081" s="5" t="s">
        <v>7635</v>
      </c>
      <c r="W2081" s="5" t="s">
        <v>7636</v>
      </c>
      <c r="X2081" s="5" t="s">
        <v>7637</v>
      </c>
      <c r="Z2081" s="9" t="s">
        <v>7638</v>
      </c>
    </row>
    <row r="2082" ht="14.25" customHeight="1">
      <c r="A2082" s="5" t="s">
        <v>7135</v>
      </c>
      <c r="B2082" s="8"/>
      <c r="C2082" s="12" t="s">
        <v>7136</v>
      </c>
      <c r="D2082" s="10" t="str">
        <f t="shared" si="35"/>
        <v>'-&gt; M4</v>
      </c>
      <c r="F2082" s="10" t="str">
        <f t="shared" si="36"/>
        <v>'-&gt; Mayson Lake - M4</v>
      </c>
      <c r="G2082" s="10" t="str">
        <f t="shared" si="37"/>
        <v>'-&gt; 120.403278 W, 51.219111 N, Elev.   m</v>
      </c>
      <c r="M2082" s="5">
        <v>51.219111</v>
      </c>
      <c r="N2082" s="5">
        <v>-120.403278</v>
      </c>
      <c r="O2082" s="5" t="s">
        <v>7631</v>
      </c>
      <c r="P2082" s="5" t="s">
        <v>7642</v>
      </c>
      <c r="R2082" s="5" t="s">
        <v>7643</v>
      </c>
      <c r="S2082" s="5" t="s">
        <v>7644</v>
      </c>
      <c r="U2082" s="5" t="s">
        <v>7645</v>
      </c>
      <c r="V2082" s="5" t="s">
        <v>7635</v>
      </c>
      <c r="W2082" s="5" t="s">
        <v>7636</v>
      </c>
      <c r="X2082" s="5" t="s">
        <v>7637</v>
      </c>
      <c r="Z2082" s="9" t="s">
        <v>7638</v>
      </c>
    </row>
    <row r="2083" ht="14.25" customHeight="1">
      <c r="A2083" s="5" t="s">
        <v>7135</v>
      </c>
      <c r="B2083" s="8"/>
      <c r="C2083" s="12" t="s">
        <v>7136</v>
      </c>
      <c r="D2083" s="10" t="str">
        <f t="shared" si="35"/>
        <v>'-&gt; M5</v>
      </c>
      <c r="F2083" s="10" t="str">
        <f t="shared" si="36"/>
        <v>'-&gt; Mayson Lake - M5</v>
      </c>
      <c r="G2083" s="10" t="str">
        <f t="shared" si="37"/>
        <v>'-&gt; 120.412222 W, 51.212361 N, Elev. 1314 m</v>
      </c>
      <c r="M2083" s="5">
        <v>51.212361</v>
      </c>
      <c r="N2083" s="5">
        <v>-120.412222</v>
      </c>
      <c r="O2083" s="5" t="s">
        <v>7631</v>
      </c>
      <c r="P2083" s="5" t="s">
        <v>7646</v>
      </c>
      <c r="R2083" s="5" t="s">
        <v>7647</v>
      </c>
      <c r="S2083" s="5" t="s">
        <v>7648</v>
      </c>
      <c r="U2083" s="5">
        <v>1314.0</v>
      </c>
      <c r="V2083" s="5" t="s">
        <v>7649</v>
      </c>
      <c r="W2083" s="5" t="s">
        <v>7636</v>
      </c>
      <c r="X2083" s="5" t="s">
        <v>7637</v>
      </c>
      <c r="Z2083" s="9" t="s">
        <v>7638</v>
      </c>
    </row>
    <row r="2084" ht="14.25" customHeight="1">
      <c r="A2084" s="5" t="s">
        <v>7135</v>
      </c>
      <c r="B2084" s="8"/>
      <c r="C2084" s="12" t="s">
        <v>7136</v>
      </c>
      <c r="D2084" s="10" t="str">
        <f t="shared" si="35"/>
        <v>'-&gt; M8</v>
      </c>
      <c r="F2084" s="10" t="str">
        <f t="shared" si="36"/>
        <v>'-&gt; Mayson Lake - M8</v>
      </c>
      <c r="G2084" s="10" t="str">
        <f t="shared" si="37"/>
        <v>'-&gt; 120.384583 W, 51.022475 N, Elev. 1270 m</v>
      </c>
      <c r="M2084" s="5">
        <v>51.022475</v>
      </c>
      <c r="N2084" s="5">
        <v>-120.384583</v>
      </c>
      <c r="O2084" s="5" t="s">
        <v>7631</v>
      </c>
      <c r="P2084" s="5" t="s">
        <v>7650</v>
      </c>
      <c r="R2084" s="5" t="s">
        <v>7651</v>
      </c>
      <c r="S2084" s="5" t="s">
        <v>7652</v>
      </c>
      <c r="U2084" s="5">
        <v>1270.0</v>
      </c>
      <c r="V2084" s="5" t="s">
        <v>7653</v>
      </c>
      <c r="W2084" s="5" t="s">
        <v>7636</v>
      </c>
      <c r="X2084" s="5" t="s">
        <v>7637</v>
      </c>
      <c r="Z2084" s="9" t="s">
        <v>7638</v>
      </c>
    </row>
    <row r="2085" ht="14.25" customHeight="1">
      <c r="A2085" s="6" t="s">
        <v>328</v>
      </c>
      <c r="B2085" s="8"/>
      <c r="C2085" s="12" t="s">
        <v>7654</v>
      </c>
      <c r="D2085" s="12" t="s">
        <v>7655</v>
      </c>
      <c r="F2085" s="12" t="s">
        <v>7656</v>
      </c>
      <c r="G2085" s="12" t="s">
        <v>7657</v>
      </c>
      <c r="Y2085" s="9"/>
    </row>
  </sheetData>
  <autoFilter ref="$A$2:$BT$2085"/>
  <mergeCells count="1">
    <mergeCell ref="A1:L1"/>
  </mergeCells>
  <conditionalFormatting sqref="S225:S226 S287 S327:S328 S330 S332:S333 S343 S348:S349 S351 S353 S355 S357 S361:S363 S365:S368 S371:S372">
    <cfRule type="endsWith" dxfId="0" priority="1" operator="endsWith" text=" ">
      <formula>RIGHT((S225),LEN(" "))=(" ")</formula>
    </cfRule>
  </conditionalFormatting>
  <conditionalFormatting sqref="S225:S226 S287 S327:S328 S330 S332:S333 S343 S348:S349 S351 S353 S355 S357 S361:S363 S365:S368 S371:S372">
    <cfRule type="beginsWith" dxfId="0" priority="2" operator="beginsWith" text=" ">
      <formula>LEFT((S225),LEN(" "))=(" ")</formula>
    </cfRule>
  </conditionalFormatting>
  <conditionalFormatting sqref="S322 S324 S337:S338 S340:S341">
    <cfRule type="endsWith" dxfId="0" priority="3" operator="endsWith" text=" ">
      <formula>RIGHT((S322),LEN(" "))=(" ")</formula>
    </cfRule>
  </conditionalFormatting>
  <conditionalFormatting sqref="S322 S324 S337:S338 S340:S341">
    <cfRule type="beginsWith" dxfId="0" priority="4" operator="beginsWith" text=" ">
      <formula>LEFT((S322),LEN(" "))=(" ")</formula>
    </cfRule>
  </conditionalFormatting>
  <conditionalFormatting sqref="S375 S379 S386 S390 S405 S408 S412 S432 S437 S449:S450">
    <cfRule type="endsWith" dxfId="0" priority="5" operator="endsWith" text=" ">
      <formula>RIGHT((S375),LEN(" "))=(" ")</formula>
    </cfRule>
  </conditionalFormatting>
  <conditionalFormatting sqref="S375 S379 S386 S390 S405 S408 S412 S432 S437 S449:S450">
    <cfRule type="beginsWith" dxfId="0" priority="6" operator="beginsWith" text=" ">
      <formula>LEFT((S375),LEN(" "))=(" ")</formula>
    </cfRule>
  </conditionalFormatting>
  <conditionalFormatting sqref="S453">
    <cfRule type="endsWith" dxfId="0" priority="7" operator="endsWith" text=" ">
      <formula>RIGHT((S453),LEN(" "))=(" ")</formula>
    </cfRule>
  </conditionalFormatting>
  <conditionalFormatting sqref="S453">
    <cfRule type="beginsWith" dxfId="0" priority="8" operator="beginsWith" text=" ">
      <formula>LEFT((S453),LEN(" "))=(" ")</formula>
    </cfRule>
  </conditionalFormatting>
  <conditionalFormatting sqref="S455:S462">
    <cfRule type="endsWith" dxfId="0" priority="9" operator="endsWith" text=" ">
      <formula>RIGHT((S455),LEN(" "))=(" ")</formula>
    </cfRule>
  </conditionalFormatting>
  <conditionalFormatting sqref="S455:S462">
    <cfRule type="beginsWith" dxfId="0" priority="10" operator="beginsWith" text=" ">
      <formula>LEFT((S455),LEN(" "))=(" ")</formula>
    </cfRule>
  </conditionalFormatting>
  <conditionalFormatting sqref="S983 S1246:S1251 S1253:S1288">
    <cfRule type="endsWith" dxfId="0" priority="11" operator="endsWith" text=" ">
      <formula>RIGHT((S983),LEN(" "))=(" ")</formula>
    </cfRule>
  </conditionalFormatting>
  <conditionalFormatting sqref="S983 S1246:S1251 S1253:S1288">
    <cfRule type="beginsWith" dxfId="0" priority="12" operator="beginsWith" text=" ">
      <formula>LEFT((S983),LEN(" "))=(" ")</formula>
    </cfRule>
  </conditionalFormatting>
  <conditionalFormatting sqref="S986">
    <cfRule type="endsWith" dxfId="0" priority="13" operator="endsWith" text=" ">
      <formula>RIGHT((S986),LEN(" "))=(" ")</formula>
    </cfRule>
  </conditionalFormatting>
  <conditionalFormatting sqref="S986">
    <cfRule type="beginsWith" dxfId="0" priority="14" operator="beginsWith" text=" ">
      <formula>LEFT((S986),LEN(" "))=(" ")</formula>
    </cfRule>
  </conditionalFormatting>
  <conditionalFormatting sqref="S995">
    <cfRule type="endsWith" dxfId="0" priority="15" operator="endsWith" text=" ">
      <formula>RIGHT((S995),LEN(" "))=(" ")</formula>
    </cfRule>
  </conditionalFormatting>
  <conditionalFormatting sqref="S995">
    <cfRule type="beginsWith" dxfId="0" priority="16" operator="beginsWith" text=" ">
      <formula>LEFT((S995),LEN(" "))=(" ")</formula>
    </cfRule>
  </conditionalFormatting>
  <conditionalFormatting sqref="S998">
    <cfRule type="endsWith" dxfId="0" priority="17" operator="endsWith" text=" ">
      <formula>RIGHT((S998),LEN(" "))=(" ")</formula>
    </cfRule>
  </conditionalFormatting>
  <conditionalFormatting sqref="S998">
    <cfRule type="beginsWith" dxfId="0" priority="18" operator="beginsWith" text=" ">
      <formula>LEFT((S998),LEN(" "))=(" ")</formula>
    </cfRule>
  </conditionalFormatting>
  <conditionalFormatting sqref="S1135:S1163 S1876 S1976:S1980 T2004:T2017 T2023:T2085">
    <cfRule type="endsWith" dxfId="0" priority="19" operator="endsWith" text=" ">
      <formula>RIGHT((S1135),LEN(" "))=(" ")</formula>
    </cfRule>
  </conditionalFormatting>
  <conditionalFormatting sqref="S1135:S1163 S1876 S1976:S1980 T2004:T2017 T2023:T2085">
    <cfRule type="beginsWith" dxfId="0" priority="20" operator="beginsWith" text=" ">
      <formula>LEFT((S1135),LEN(" "))=(" ")</formula>
    </cfRule>
  </conditionalFormatting>
  <conditionalFormatting sqref="S1207:S1208">
    <cfRule type="endsWith" dxfId="0" priority="21" operator="endsWith" text=" ">
      <formula>RIGHT((S1207),LEN(" "))=(" ")</formula>
    </cfRule>
  </conditionalFormatting>
  <conditionalFormatting sqref="S1207:S1208">
    <cfRule type="beginsWith" dxfId="0" priority="22" operator="beginsWith" text=" ">
      <formula>LEFT((S1207),LEN(" "))=(" ")</formula>
    </cfRule>
  </conditionalFormatting>
  <conditionalFormatting sqref="S1212:S1213">
    <cfRule type="endsWith" dxfId="0" priority="23" operator="endsWith" text=" ">
      <formula>RIGHT((S1212),LEN(" "))=(" ")</formula>
    </cfRule>
  </conditionalFormatting>
  <conditionalFormatting sqref="S1212:S1213">
    <cfRule type="beginsWith" dxfId="0" priority="24" operator="beginsWith" text=" ">
      <formula>LEFT((S1212),LEN(" "))=(" ")</formula>
    </cfRule>
  </conditionalFormatting>
  <conditionalFormatting sqref="S1242:S1244">
    <cfRule type="endsWith" dxfId="0" priority="25" operator="endsWith" text=" ">
      <formula>RIGHT((S1242),LEN(" "))=(" ")</formula>
    </cfRule>
  </conditionalFormatting>
  <conditionalFormatting sqref="S1242:S1244">
    <cfRule type="beginsWith" dxfId="0" priority="26" operator="beginsWith" text=" ">
      <formula>LEFT((S1242),LEN(" "))=(" ")</formula>
    </cfRule>
  </conditionalFormatting>
  <conditionalFormatting sqref="S1820 S1853 S1873 S1883 S1888:S1889 S1891 S1893 S1895 S1897 S1901:S1903 S1905:S1908 S1911:S1912">
    <cfRule type="endsWith" dxfId="0" priority="27" operator="endsWith" text=" ">
      <formula>RIGHT((S1820),LEN(" "))=(" ")</formula>
    </cfRule>
  </conditionalFormatting>
  <conditionalFormatting sqref="S1820 S1853 S1873 S1883 S1888:S1889 S1891 S1893 S1895 S1897 S1901:S1903 S1905:S1908 S1911:S1912">
    <cfRule type="beginsWith" dxfId="0" priority="28" operator="beginsWith" text=" ">
      <formula>LEFT((S1820),LEN(" "))=(" ")</formula>
    </cfRule>
  </conditionalFormatting>
  <conditionalFormatting sqref="S1878 S1880:S1881">
    <cfRule type="endsWith" dxfId="0" priority="29" operator="endsWith" text=" ">
      <formula>RIGHT((S1878),LEN(" "))=(" ")</formula>
    </cfRule>
  </conditionalFormatting>
  <conditionalFormatting sqref="S1878 S1880:S1881">
    <cfRule type="beginsWith" dxfId="0" priority="30" operator="beginsWith" text=" ">
      <formula>LEFT((S1878),LEN(" "))=(" ")</formula>
    </cfRule>
  </conditionalFormatting>
  <conditionalFormatting sqref="S1915 S1919 S1926 S1930 S1940 S1943 S1947 S1966 S1972">
    <cfRule type="endsWith" dxfId="0" priority="31" operator="endsWith" text=" ">
      <formula>RIGHT((S1915),LEN(" "))=(" ")</formula>
    </cfRule>
  </conditionalFormatting>
  <conditionalFormatting sqref="S1915 S1919 S1926 S1930 S1940 S1943 S1947 S1966 S1972">
    <cfRule type="beginsWith" dxfId="0" priority="32" operator="beginsWith" text=" ">
      <formula>LEFT((S1915),LEN(" "))=(" ")</formula>
    </cfRule>
  </conditionalFormatting>
  <conditionalFormatting sqref="S1974">
    <cfRule type="endsWith" dxfId="0" priority="33" operator="endsWith" text=" ">
      <formula>RIGHT((S1974),LEN(" "))=(" ")</formula>
    </cfRule>
  </conditionalFormatting>
  <conditionalFormatting sqref="S1974">
    <cfRule type="beginsWith" dxfId="0" priority="34" operator="beginsWith" text=" ">
      <formula>LEFT((S1974),LEN(" "))=(" ")</formula>
    </cfRule>
  </conditionalFormatting>
  <conditionalFormatting sqref="S987:T987 S1090:S1091 S1093:S1103 S1105:S1133 S1165:S1179 S1181:S1202 S1204:S1205 S1219">
    <cfRule type="endsWith" dxfId="0" priority="35" operator="endsWith" text=" ">
      <formula>RIGHT((S987),LEN(" "))=(" ")</formula>
    </cfRule>
  </conditionalFormatting>
  <conditionalFormatting sqref="S987:T987 S1090:S1091 S1093:S1103 S1105:S1133 S1165:S1179 S1181:S1202 S1204:S1205 S1219">
    <cfRule type="beginsWith" dxfId="0" priority="36" operator="beginsWith" text=" ">
      <formula>LEFT((S987),LEN(" "))=(" ")</formula>
    </cfRule>
  </conditionalFormatting>
  <conditionalFormatting sqref="T489:T492 T494:T515 T518 T523:T601">
    <cfRule type="endsWith" dxfId="0" priority="37" operator="endsWith" text=" ">
      <formula>RIGHT((T489),LEN(" "))=(" ")</formula>
    </cfRule>
  </conditionalFormatting>
  <conditionalFormatting sqref="T489:T492 T494:T515 T518 T523:T601">
    <cfRule type="beginsWith" dxfId="0" priority="38" operator="beginsWith" text=" ">
      <formula>LEFT((T489),LEN("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endsWith" dxfId="0" priority="39" operator="endsWith" text=" ">
      <formula>RIGHT((T770),LEN("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beginsWith" dxfId="0" priority="40" operator="beginsWith" text=" ">
      <formula>LEFT((T770),LEN(" "))=(" ")</formula>
    </cfRule>
  </conditionalFormatting>
  <conditionalFormatting sqref="T2000:T2002">
    <cfRule type="endsWith" dxfId="0" priority="41" operator="endsWith" text=" ">
      <formula>RIGHT((T2000),LEN(" "))=(" ")</formula>
    </cfRule>
  </conditionalFormatting>
  <conditionalFormatting sqref="T2000:T2002">
    <cfRule type="beginsWith" dxfId="0" priority="42" operator="beginsWith" text=" ">
      <formula>LEFT((T2000),LEN(" "))=(" ")</formula>
    </cfRule>
  </conditionalFormatting>
  <conditionalFormatting sqref="U2080:U2084">
    <cfRule type="endsWith" dxfId="0" priority="43" operator="endsWith" text=" ">
      <formula>RIGHT((U2080),LEN(" "))=(" ")</formula>
    </cfRule>
  </conditionalFormatting>
  <conditionalFormatting sqref="U2080:U2084">
    <cfRule type="beginsWith" dxfId="0" priority="44" operator="beginsWith" text=" ">
      <formula>LEFT((U2080),LEN(" "))=(" ")</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13"/>
    <col customWidth="1" min="2" max="2" width="8.63"/>
    <col customWidth="1" min="3" max="3" width="46.63"/>
    <col customWidth="1" min="4" max="4" width="32.25"/>
    <col customWidth="1" min="5" max="5" width="8.63"/>
    <col customWidth="1" min="6" max="6" width="30.25"/>
    <col customWidth="1" min="7" max="7" width="81.25"/>
    <col customWidth="1" min="8" max="8" width="26.13"/>
    <col customWidth="1" min="9" max="9" width="14.63"/>
    <col customWidth="1" min="10" max="10" width="75.13"/>
    <col customWidth="1" min="11" max="11" width="10.0"/>
    <col customWidth="1" min="12" max="12" width="11.75"/>
    <col customWidth="1" min="13" max="14" width="15.38"/>
    <col customWidth="1" min="15" max="15" width="8.63"/>
    <col customWidth="1" min="16" max="16" width="16.13"/>
    <col customWidth="1" min="17" max="17" width="8.88"/>
    <col customWidth="1" min="18" max="18" width="30.88"/>
    <col customWidth="1" min="19" max="19" width="8.63"/>
    <col customWidth="1" min="20" max="20" width="8.88"/>
    <col customWidth="1" min="21" max="21" width="10.63"/>
    <col customWidth="1" min="22" max="22" width="8.63"/>
    <col customWidth="1" min="23" max="23" width="11.25"/>
    <col customWidth="1" min="24" max="40" width="8.63"/>
    <col customWidth="1" min="41" max="41" width="18.75"/>
    <col customWidth="1" min="42" max="72" width="8.63"/>
  </cols>
  <sheetData>
    <row r="1" ht="14.25" customHeight="1">
      <c r="A1" s="1" t="s">
        <v>0</v>
      </c>
      <c r="M1" s="2" t="s">
        <v>1</v>
      </c>
      <c r="N1" s="3"/>
      <c r="O1" s="3"/>
      <c r="P1" s="3"/>
      <c r="Q1" s="3"/>
      <c r="R1" s="3"/>
      <c r="S1" s="3"/>
      <c r="T1" s="3"/>
      <c r="U1" s="3"/>
      <c r="V1" s="3"/>
      <c r="W1" s="3"/>
      <c r="X1" s="3"/>
      <c r="Y1" s="3"/>
      <c r="Z1" s="3"/>
      <c r="AA1" s="3"/>
      <c r="AB1" s="3"/>
      <c r="AC1" s="3"/>
      <c r="AD1" s="3"/>
      <c r="AE1" s="3"/>
      <c r="AF1" s="3"/>
      <c r="AG1" s="3"/>
      <c r="AH1" s="3"/>
      <c r="AI1" s="3"/>
      <c r="AJ1" s="3"/>
      <c r="AK1" s="4"/>
      <c r="AL1" s="5" t="s">
        <v>2</v>
      </c>
      <c r="AM1" s="5" t="s">
        <v>3</v>
      </c>
      <c r="AN1" s="5" t="s">
        <v>4</v>
      </c>
    </row>
    <row r="2" ht="14.25" customHeight="1">
      <c r="A2" s="6" t="s">
        <v>5</v>
      </c>
      <c r="B2" s="5" t="s">
        <v>6</v>
      </c>
      <c r="C2" s="5" t="s">
        <v>7</v>
      </c>
      <c r="D2" s="5" t="s">
        <v>8</v>
      </c>
      <c r="E2" s="5" t="s">
        <v>9</v>
      </c>
      <c r="F2" s="5" t="s">
        <v>10</v>
      </c>
      <c r="G2" s="5" t="s">
        <v>11</v>
      </c>
      <c r="H2" s="5" t="s">
        <v>12</v>
      </c>
      <c r="I2" s="5" t="s">
        <v>13</v>
      </c>
      <c r="J2" s="5" t="s">
        <v>14</v>
      </c>
      <c r="K2" s="5" t="s">
        <v>15</v>
      </c>
      <c r="L2" s="5" t="s">
        <v>16</v>
      </c>
      <c r="M2" s="8" t="s">
        <v>17</v>
      </c>
      <c r="N2" s="5" t="s">
        <v>18</v>
      </c>
      <c r="O2" s="5" t="s">
        <v>19</v>
      </c>
      <c r="P2" s="5" t="s">
        <v>20</v>
      </c>
      <c r="Q2" s="5" t="s">
        <v>21</v>
      </c>
      <c r="R2" s="5" t="s">
        <v>22</v>
      </c>
      <c r="S2" s="5" t="s">
        <v>23</v>
      </c>
      <c r="U2" s="5" t="s">
        <v>24</v>
      </c>
      <c r="V2" s="5" t="s">
        <v>25</v>
      </c>
      <c r="W2" s="5" t="s">
        <v>26</v>
      </c>
      <c r="X2" s="5" t="s">
        <v>27</v>
      </c>
      <c r="Y2" s="5" t="s">
        <v>28</v>
      </c>
      <c r="AE2" s="5" t="s">
        <v>29</v>
      </c>
      <c r="AF2" s="5" t="s">
        <v>30</v>
      </c>
      <c r="AG2" s="5" t="s">
        <v>24</v>
      </c>
      <c r="AK2" s="9"/>
      <c r="AL2" s="5" t="s">
        <v>31</v>
      </c>
      <c r="AM2" s="5" t="s">
        <v>32</v>
      </c>
      <c r="AN2" s="5" t="s">
        <v>33</v>
      </c>
      <c r="AO2" s="5" t="s">
        <v>34</v>
      </c>
      <c r="AP2" s="5" t="s">
        <v>35</v>
      </c>
      <c r="AQ2" s="5" t="s">
        <v>36</v>
      </c>
      <c r="AR2" s="5" t="s">
        <v>37</v>
      </c>
      <c r="AS2" s="5" t="s">
        <v>38</v>
      </c>
      <c r="AT2" s="5" t="s">
        <v>39</v>
      </c>
      <c r="AU2" s="5" t="s">
        <v>40</v>
      </c>
      <c r="AV2" s="5" t="s">
        <v>41</v>
      </c>
      <c r="AW2" s="5" t="s">
        <v>42</v>
      </c>
      <c r="AX2" s="5" t="s">
        <v>43</v>
      </c>
    </row>
    <row r="3" ht="14.25" customHeight="1">
      <c r="A3" s="6"/>
      <c r="B3" s="5">
        <v>36.0</v>
      </c>
      <c r="C3" s="5" t="s">
        <v>7658</v>
      </c>
      <c r="D3" s="5" t="s">
        <v>45</v>
      </c>
      <c r="E3" s="5">
        <v>12613.0</v>
      </c>
      <c r="F3" s="5" t="s">
        <v>46</v>
      </c>
      <c r="G3" s="5" t="s">
        <v>47</v>
      </c>
      <c r="H3" s="5" t="s">
        <v>48</v>
      </c>
      <c r="I3" s="5" t="s">
        <v>49</v>
      </c>
      <c r="J3" s="5" t="s">
        <v>50</v>
      </c>
      <c r="K3" s="5">
        <v>1.0</v>
      </c>
      <c r="L3" s="5">
        <v>14635.0</v>
      </c>
      <c r="M3" s="8">
        <v>48.494167</v>
      </c>
      <c r="N3" s="5">
        <v>-123.614722</v>
      </c>
      <c r="O3" s="5" t="s">
        <v>51</v>
      </c>
      <c r="P3" s="5" t="s">
        <v>45</v>
      </c>
      <c r="Q3" s="5">
        <v>3.0</v>
      </c>
      <c r="R3" s="5" t="s">
        <v>46</v>
      </c>
      <c r="S3" s="5" t="s">
        <v>44</v>
      </c>
      <c r="T3" s="5">
        <v>493.0</v>
      </c>
      <c r="V3" s="5" t="s">
        <v>52</v>
      </c>
      <c r="W3" s="5">
        <v>35886.0</v>
      </c>
      <c r="X3" s="5" t="s">
        <v>53</v>
      </c>
      <c r="Y3" s="5" t="s">
        <v>54</v>
      </c>
      <c r="AA3" s="5" t="s">
        <v>55</v>
      </c>
      <c r="AB3" s="5" t="s">
        <v>56</v>
      </c>
      <c r="AC3" s="5" t="s">
        <v>57</v>
      </c>
      <c r="AD3" s="5" t="s">
        <v>58</v>
      </c>
      <c r="AH3" s="5" t="s">
        <v>59</v>
      </c>
      <c r="AK3" s="9"/>
    </row>
    <row r="4" ht="14.25" customHeight="1">
      <c r="A4" s="6"/>
      <c r="B4" s="5">
        <v>36.0</v>
      </c>
      <c r="C4" s="5" t="s">
        <v>7658</v>
      </c>
      <c r="D4" s="5" t="s">
        <v>60</v>
      </c>
      <c r="E4" s="5">
        <v>12614.0</v>
      </c>
      <c r="F4" s="5" t="s">
        <v>61</v>
      </c>
      <c r="G4" s="5" t="s">
        <v>62</v>
      </c>
      <c r="H4" s="5" t="s">
        <v>63</v>
      </c>
      <c r="I4" s="5" t="s">
        <v>49</v>
      </c>
      <c r="J4" s="5" t="s">
        <v>64</v>
      </c>
      <c r="K4" s="5">
        <v>1.0</v>
      </c>
      <c r="L4" s="5">
        <v>14636.0</v>
      </c>
      <c r="M4" s="8">
        <v>48.52944</v>
      </c>
      <c r="N4" s="5">
        <v>-123.638611</v>
      </c>
      <c r="O4" s="5" t="s">
        <v>51</v>
      </c>
      <c r="P4" s="5" t="s">
        <v>60</v>
      </c>
      <c r="Q4" s="5">
        <v>4.0</v>
      </c>
      <c r="R4" s="5" t="s">
        <v>61</v>
      </c>
      <c r="S4" s="5" t="s">
        <v>44</v>
      </c>
      <c r="T4" s="5">
        <v>606.0</v>
      </c>
      <c r="V4" s="5" t="s">
        <v>65</v>
      </c>
      <c r="W4" s="5">
        <v>35065.0</v>
      </c>
      <c r="X4" s="5" t="s">
        <v>53</v>
      </c>
      <c r="Y4" s="5" t="s">
        <v>54</v>
      </c>
      <c r="AA4" s="5" t="s">
        <v>55</v>
      </c>
      <c r="AB4" s="5" t="s">
        <v>56</v>
      </c>
      <c r="AC4" s="5" t="s">
        <v>66</v>
      </c>
      <c r="AK4" s="9"/>
    </row>
    <row r="5" ht="14.25" customHeight="1">
      <c r="A5" s="6"/>
      <c r="B5" s="5">
        <v>36.0</v>
      </c>
      <c r="C5" s="5" t="s">
        <v>7658</v>
      </c>
      <c r="D5" s="5" t="s">
        <v>67</v>
      </c>
      <c r="E5" s="5">
        <v>12615.0</v>
      </c>
      <c r="F5" s="5" t="s">
        <v>68</v>
      </c>
      <c r="G5" s="5" t="s">
        <v>69</v>
      </c>
      <c r="H5" s="5" t="s">
        <v>70</v>
      </c>
      <c r="I5" s="5" t="s">
        <v>49</v>
      </c>
      <c r="J5" s="5" t="s">
        <v>71</v>
      </c>
      <c r="K5" s="5">
        <v>1.0</v>
      </c>
      <c r="L5" s="5">
        <v>14637.0</v>
      </c>
      <c r="M5" s="8">
        <v>48.585833</v>
      </c>
      <c r="N5" s="5">
        <v>-123.751111</v>
      </c>
      <c r="O5" s="5" t="s">
        <v>51</v>
      </c>
      <c r="P5" s="5" t="s">
        <v>67</v>
      </c>
      <c r="Q5" s="5">
        <v>4.0</v>
      </c>
      <c r="R5" s="5" t="s">
        <v>68</v>
      </c>
      <c r="S5" s="5" t="s">
        <v>44</v>
      </c>
      <c r="T5" s="5">
        <v>675.0</v>
      </c>
      <c r="V5" s="5" t="s">
        <v>72</v>
      </c>
      <c r="W5" s="5">
        <v>35125.0</v>
      </c>
      <c r="X5" s="5" t="s">
        <v>53</v>
      </c>
      <c r="Y5" s="5" t="s">
        <v>54</v>
      </c>
      <c r="AA5" s="5" t="s">
        <v>55</v>
      </c>
      <c r="AB5" s="5" t="s">
        <v>56</v>
      </c>
      <c r="AC5" s="5" t="s">
        <v>57</v>
      </c>
      <c r="AD5" s="5" t="s">
        <v>58</v>
      </c>
      <c r="AI5" s="5" t="s">
        <v>73</v>
      </c>
      <c r="AK5" s="9"/>
    </row>
    <row r="6" ht="14.25" customHeight="1">
      <c r="A6" s="6"/>
      <c r="B6" s="5">
        <v>36.0</v>
      </c>
      <c r="C6" s="5" t="s">
        <v>7658</v>
      </c>
      <c r="D6" s="5" t="s">
        <v>74</v>
      </c>
      <c r="E6" s="5">
        <v>12616.0</v>
      </c>
      <c r="F6" s="5" t="s">
        <v>75</v>
      </c>
      <c r="G6" s="5" t="s">
        <v>76</v>
      </c>
      <c r="H6" s="5" t="s">
        <v>77</v>
      </c>
      <c r="I6" s="5" t="s">
        <v>49</v>
      </c>
      <c r="J6" s="5" t="s">
        <v>78</v>
      </c>
      <c r="K6" s="5">
        <v>1.0</v>
      </c>
      <c r="L6" s="5">
        <v>14638.0</v>
      </c>
      <c r="M6" s="5">
        <v>48.580278</v>
      </c>
      <c r="N6" s="5">
        <v>-123.840556</v>
      </c>
      <c r="O6" s="5" t="s">
        <v>51</v>
      </c>
      <c r="P6" s="5" t="s">
        <v>74</v>
      </c>
      <c r="Q6" s="5">
        <v>4.0</v>
      </c>
      <c r="R6" s="5" t="s">
        <v>75</v>
      </c>
      <c r="S6" s="5" t="s">
        <v>44</v>
      </c>
      <c r="T6" s="5">
        <v>561.0</v>
      </c>
      <c r="V6" s="5" t="s">
        <v>79</v>
      </c>
      <c r="W6" s="5">
        <v>42750.0</v>
      </c>
      <c r="X6" s="5" t="s">
        <v>53</v>
      </c>
      <c r="Y6" s="5" t="s">
        <v>54</v>
      </c>
      <c r="AA6" s="5" t="s">
        <v>55</v>
      </c>
      <c r="AB6" s="5" t="s">
        <v>56</v>
      </c>
      <c r="AC6" s="5" t="s">
        <v>57</v>
      </c>
      <c r="AD6" s="5" t="s">
        <v>58</v>
      </c>
    </row>
    <row r="7" ht="14.25" customHeight="1">
      <c r="A7" s="6" t="s">
        <v>80</v>
      </c>
      <c r="B7" s="5">
        <v>36.0</v>
      </c>
      <c r="C7" s="5" t="s">
        <v>7658</v>
      </c>
      <c r="D7" s="5" t="s">
        <v>81</v>
      </c>
      <c r="E7" s="5">
        <v>12626.0</v>
      </c>
      <c r="F7" s="5" t="s">
        <v>82</v>
      </c>
      <c r="G7" s="5" t="s">
        <v>83</v>
      </c>
      <c r="H7" s="5" t="s">
        <v>84</v>
      </c>
      <c r="I7" s="5" t="s">
        <v>49</v>
      </c>
      <c r="K7" s="5">
        <v>1.0</v>
      </c>
      <c r="L7" s="5">
        <v>14648.0</v>
      </c>
      <c r="M7" s="5">
        <v>48.585278</v>
      </c>
      <c r="N7" s="5">
        <v>-123.673611</v>
      </c>
      <c r="O7" s="5" t="s">
        <v>51</v>
      </c>
      <c r="P7" s="5" t="s">
        <v>81</v>
      </c>
      <c r="Q7" s="5">
        <v>2.0</v>
      </c>
      <c r="R7" s="5" t="s">
        <v>82</v>
      </c>
      <c r="S7" s="5" t="s">
        <v>44</v>
      </c>
      <c r="T7" s="5">
        <v>200.0</v>
      </c>
      <c r="V7" s="5" t="s">
        <v>85</v>
      </c>
      <c r="W7" s="5">
        <v>34608.0</v>
      </c>
      <c r="X7" s="5" t="s">
        <v>53</v>
      </c>
      <c r="Y7" s="5" t="s">
        <v>54</v>
      </c>
      <c r="AA7" s="5" t="s">
        <v>55</v>
      </c>
      <c r="AB7" s="5" t="s">
        <v>56</v>
      </c>
      <c r="AC7" s="5" t="s">
        <v>86</v>
      </c>
      <c r="AK7" s="5" t="s">
        <v>87</v>
      </c>
    </row>
    <row r="8" ht="14.25" customHeight="1">
      <c r="A8" s="6" t="s">
        <v>88</v>
      </c>
      <c r="B8" s="5">
        <v>36.0</v>
      </c>
      <c r="C8" s="5" t="s">
        <v>7658</v>
      </c>
      <c r="D8" s="5" t="s">
        <v>89</v>
      </c>
      <c r="E8" s="5">
        <v>12617.0</v>
      </c>
      <c r="F8" s="5" t="s">
        <v>90</v>
      </c>
      <c r="G8" s="10" t="s">
        <v>91</v>
      </c>
      <c r="H8" s="5" t="s">
        <v>92</v>
      </c>
      <c r="I8" s="5" t="s">
        <v>49</v>
      </c>
      <c r="J8" s="5" t="s">
        <v>78</v>
      </c>
      <c r="K8" s="5">
        <v>1.0</v>
      </c>
      <c r="L8" s="5">
        <v>14639.0</v>
      </c>
      <c r="M8" s="5">
        <v>48.51616</v>
      </c>
      <c r="N8" s="5">
        <v>-123.764438</v>
      </c>
      <c r="O8" s="5" t="s">
        <v>51</v>
      </c>
      <c r="P8" s="5" t="s">
        <v>89</v>
      </c>
      <c r="Q8" s="5">
        <v>3.0</v>
      </c>
      <c r="R8" s="5" t="s">
        <v>90</v>
      </c>
      <c r="S8" s="5" t="s">
        <v>44</v>
      </c>
      <c r="T8" s="5">
        <v>512.0</v>
      </c>
      <c r="V8" s="5" t="s">
        <v>93</v>
      </c>
      <c r="W8" s="5">
        <v>43048.0</v>
      </c>
      <c r="X8" s="5" t="s">
        <v>53</v>
      </c>
      <c r="Y8" s="5" t="s">
        <v>54</v>
      </c>
      <c r="AA8" s="5" t="s">
        <v>55</v>
      </c>
      <c r="AB8" s="5" t="s">
        <v>56</v>
      </c>
      <c r="AC8" s="5" t="s">
        <v>94</v>
      </c>
      <c r="AD8" s="5" t="s">
        <v>58</v>
      </c>
      <c r="AH8" s="5" t="s">
        <v>59</v>
      </c>
    </row>
    <row r="9" ht="14.25" customHeight="1">
      <c r="A9" s="6"/>
      <c r="B9" s="5">
        <v>36.0</v>
      </c>
      <c r="C9" s="5" t="s">
        <v>7658</v>
      </c>
      <c r="D9" s="5" t="s">
        <v>95</v>
      </c>
      <c r="E9" s="5">
        <v>12618.0</v>
      </c>
      <c r="F9" s="5" t="s">
        <v>96</v>
      </c>
      <c r="G9" s="5" t="s">
        <v>97</v>
      </c>
      <c r="H9" s="5" t="s">
        <v>98</v>
      </c>
      <c r="I9" s="5" t="s">
        <v>49</v>
      </c>
      <c r="J9" s="5" t="s">
        <v>99</v>
      </c>
      <c r="K9" s="5">
        <v>1.0</v>
      </c>
      <c r="L9" s="5">
        <v>14640.0</v>
      </c>
      <c r="M9" s="5">
        <v>48.441944</v>
      </c>
      <c r="N9" s="5">
        <v>-123.568889</v>
      </c>
      <c r="O9" s="5" t="s">
        <v>51</v>
      </c>
      <c r="P9" s="5" t="s">
        <v>95</v>
      </c>
      <c r="Q9" s="5">
        <v>3.0</v>
      </c>
      <c r="R9" s="5" t="s">
        <v>96</v>
      </c>
      <c r="S9" s="5" t="s">
        <v>44</v>
      </c>
      <c r="T9" s="5">
        <v>436.0</v>
      </c>
      <c r="V9" s="5" t="s">
        <v>100</v>
      </c>
      <c r="W9" s="5">
        <v>35217.0</v>
      </c>
      <c r="X9" s="5" t="s">
        <v>53</v>
      </c>
      <c r="Y9" s="5" t="s">
        <v>54</v>
      </c>
      <c r="AA9" s="5" t="s">
        <v>55</v>
      </c>
      <c r="AB9" s="5" t="s">
        <v>56</v>
      </c>
      <c r="AC9" s="5" t="s">
        <v>66</v>
      </c>
    </row>
    <row r="10" ht="14.25" customHeight="1">
      <c r="A10" s="6"/>
      <c r="B10" s="5">
        <v>36.0</v>
      </c>
      <c r="C10" s="5" t="s">
        <v>7658</v>
      </c>
      <c r="D10" s="5" t="s">
        <v>101</v>
      </c>
      <c r="E10" s="5">
        <v>12619.0</v>
      </c>
      <c r="F10" s="5" t="s">
        <v>102</v>
      </c>
      <c r="G10" s="5" t="s">
        <v>103</v>
      </c>
      <c r="H10" s="5" t="s">
        <v>104</v>
      </c>
      <c r="I10" s="5" t="s">
        <v>49</v>
      </c>
      <c r="J10" s="5" t="s">
        <v>105</v>
      </c>
      <c r="K10" s="5">
        <v>1.0</v>
      </c>
      <c r="L10" s="5">
        <v>14641.0</v>
      </c>
      <c r="M10" s="5">
        <v>48.5725</v>
      </c>
      <c r="N10" s="5">
        <v>-123.7075</v>
      </c>
      <c r="O10" s="5" t="s">
        <v>51</v>
      </c>
      <c r="P10" s="5" t="s">
        <v>101</v>
      </c>
      <c r="Q10" s="5">
        <v>2.0</v>
      </c>
      <c r="R10" s="5" t="s">
        <v>102</v>
      </c>
      <c r="S10" s="5" t="s">
        <v>44</v>
      </c>
      <c r="T10" s="5">
        <v>280.0</v>
      </c>
      <c r="V10" s="5" t="s">
        <v>106</v>
      </c>
      <c r="W10" s="5">
        <v>41495.0</v>
      </c>
      <c r="X10" s="5" t="s">
        <v>53</v>
      </c>
      <c r="Y10" s="5" t="s">
        <v>54</v>
      </c>
      <c r="AA10" s="5" t="s">
        <v>55</v>
      </c>
      <c r="AB10" s="5" t="s">
        <v>56</v>
      </c>
      <c r="AC10" s="5" t="s">
        <v>57</v>
      </c>
      <c r="AD10" s="5" t="s">
        <v>58</v>
      </c>
      <c r="AH10" s="5" t="s">
        <v>59</v>
      </c>
      <c r="AI10" s="5" t="s">
        <v>107</v>
      </c>
    </row>
    <row r="11" ht="14.25" customHeight="1">
      <c r="A11" s="6" t="s">
        <v>80</v>
      </c>
      <c r="B11" s="5">
        <v>36.0</v>
      </c>
      <c r="C11" s="5" t="s">
        <v>7658</v>
      </c>
      <c r="D11" s="5" t="s">
        <v>108</v>
      </c>
      <c r="E11" s="5">
        <v>12625.0</v>
      </c>
      <c r="F11" s="5" t="s">
        <v>109</v>
      </c>
      <c r="G11" s="5" t="s">
        <v>110</v>
      </c>
      <c r="H11" s="5" t="s">
        <v>84</v>
      </c>
      <c r="I11" s="5" t="s">
        <v>49</v>
      </c>
      <c r="K11" s="5">
        <v>1.0</v>
      </c>
      <c r="L11" s="5">
        <v>14647.0</v>
      </c>
      <c r="M11" s="5">
        <v>48.5675</v>
      </c>
      <c r="N11" s="5">
        <v>-123.714167</v>
      </c>
      <c r="O11" s="5" t="s">
        <v>51</v>
      </c>
      <c r="P11" s="5" t="s">
        <v>108</v>
      </c>
      <c r="Q11" s="5">
        <v>2.0</v>
      </c>
      <c r="R11" s="5" t="s">
        <v>109</v>
      </c>
      <c r="S11" s="5" t="s">
        <v>44</v>
      </c>
      <c r="T11" s="5">
        <v>223.0</v>
      </c>
      <c r="V11" s="5" t="s">
        <v>85</v>
      </c>
      <c r="W11" s="5">
        <v>34608.0</v>
      </c>
      <c r="X11" s="5" t="s">
        <v>53</v>
      </c>
      <c r="Y11" s="5" t="s">
        <v>54</v>
      </c>
      <c r="AK11" s="5" t="s">
        <v>87</v>
      </c>
    </row>
    <row r="12" ht="14.25" customHeight="1">
      <c r="A12" s="6"/>
      <c r="B12" s="5">
        <v>36.0</v>
      </c>
      <c r="C12" s="5" t="s">
        <v>7658</v>
      </c>
      <c r="D12" s="5" t="s">
        <v>111</v>
      </c>
      <c r="E12" s="5">
        <v>12621.0</v>
      </c>
      <c r="F12" s="5" t="s">
        <v>112</v>
      </c>
      <c r="G12" s="5" t="s">
        <v>113</v>
      </c>
      <c r="H12" s="5" t="s">
        <v>114</v>
      </c>
      <c r="I12" s="5" t="s">
        <v>49</v>
      </c>
      <c r="J12" s="5" t="s">
        <v>71</v>
      </c>
      <c r="K12" s="5">
        <v>1.0</v>
      </c>
      <c r="L12" s="5">
        <v>14643.0</v>
      </c>
      <c r="M12" s="5">
        <v>48.516111</v>
      </c>
      <c r="N12" s="5">
        <v>-123.700556</v>
      </c>
      <c r="O12" s="5" t="s">
        <v>51</v>
      </c>
      <c r="P12" s="5" t="s">
        <v>111</v>
      </c>
      <c r="Q12" s="5">
        <v>2.0</v>
      </c>
      <c r="R12" s="5" t="s">
        <v>112</v>
      </c>
      <c r="S12" s="5" t="s">
        <v>44</v>
      </c>
      <c r="T12" s="5">
        <v>180.0</v>
      </c>
      <c r="V12" s="5" t="s">
        <v>115</v>
      </c>
      <c r="W12" s="5">
        <v>35004.0</v>
      </c>
      <c r="X12" s="5" t="s">
        <v>53</v>
      </c>
      <c r="Y12" s="5" t="s">
        <v>54</v>
      </c>
      <c r="AA12" s="5" t="s">
        <v>55</v>
      </c>
      <c r="AB12" s="5" t="s">
        <v>56</v>
      </c>
      <c r="AC12" s="5" t="s">
        <v>116</v>
      </c>
      <c r="AD12" s="5" t="s">
        <v>58</v>
      </c>
      <c r="AH12" s="5" t="s">
        <v>117</v>
      </c>
      <c r="AK12" s="5" t="s">
        <v>118</v>
      </c>
    </row>
    <row r="13" ht="14.25" customHeight="1">
      <c r="A13" s="6"/>
      <c r="B13" s="5">
        <v>36.0</v>
      </c>
      <c r="C13" s="5" t="s">
        <v>7658</v>
      </c>
      <c r="D13" s="5" t="s">
        <v>119</v>
      </c>
      <c r="E13" s="5">
        <v>12620.0</v>
      </c>
      <c r="F13" s="5" t="s">
        <v>120</v>
      </c>
      <c r="G13" s="5" t="s">
        <v>121</v>
      </c>
      <c r="H13" s="5" t="s">
        <v>122</v>
      </c>
      <c r="I13" s="5" t="s">
        <v>49</v>
      </c>
      <c r="J13" s="5" t="s">
        <v>123</v>
      </c>
      <c r="K13" s="5">
        <v>1.0</v>
      </c>
      <c r="L13" s="5">
        <v>14642.0</v>
      </c>
      <c r="M13" s="5">
        <v>48.56028</v>
      </c>
      <c r="N13" s="5">
        <v>-123.79913</v>
      </c>
      <c r="O13" s="5" t="s">
        <v>51</v>
      </c>
      <c r="P13" s="5" t="s">
        <v>119</v>
      </c>
      <c r="Q13" s="5">
        <v>5.0</v>
      </c>
      <c r="R13" s="5" t="s">
        <v>120</v>
      </c>
      <c r="S13" s="5" t="s">
        <v>44</v>
      </c>
      <c r="T13" s="5">
        <v>941.0</v>
      </c>
      <c r="V13" s="5" t="s">
        <v>124</v>
      </c>
      <c r="W13" s="5">
        <v>43669.0</v>
      </c>
      <c r="X13" s="5" t="s">
        <v>53</v>
      </c>
      <c r="Y13" s="5" t="s">
        <v>54</v>
      </c>
      <c r="AA13" s="5" t="s">
        <v>55</v>
      </c>
      <c r="AB13" s="5" t="s">
        <v>56</v>
      </c>
      <c r="AC13" s="5" t="s">
        <v>57</v>
      </c>
      <c r="AD13" s="5" t="s">
        <v>58</v>
      </c>
      <c r="AH13" s="5" t="s">
        <v>59</v>
      </c>
    </row>
    <row r="14" ht="14.25" customHeight="1">
      <c r="A14" s="6" t="s">
        <v>125</v>
      </c>
      <c r="B14" s="5">
        <v>36.0</v>
      </c>
      <c r="C14" s="5" t="s">
        <v>7658</v>
      </c>
      <c r="D14" s="10" t="s">
        <v>126</v>
      </c>
      <c r="E14" s="5">
        <v>12627.0</v>
      </c>
      <c r="F14" s="11"/>
      <c r="G14" s="5" t="s">
        <v>127</v>
      </c>
      <c r="H14" s="5" t="s">
        <v>128</v>
      </c>
      <c r="I14" s="5" t="s">
        <v>49</v>
      </c>
      <c r="J14" s="5" t="s">
        <v>78</v>
      </c>
      <c r="K14" s="5">
        <v>1.0</v>
      </c>
      <c r="L14" s="5">
        <v>14649.0</v>
      </c>
    </row>
    <row r="15" ht="14.25" customHeight="1">
      <c r="A15" s="6" t="s">
        <v>125</v>
      </c>
      <c r="B15" s="5">
        <v>36.0</v>
      </c>
      <c r="C15" s="5" t="s">
        <v>7658</v>
      </c>
      <c r="D15" s="10" t="s">
        <v>129</v>
      </c>
      <c r="E15" s="5">
        <v>12628.0</v>
      </c>
      <c r="F15" s="11"/>
      <c r="G15" s="5" t="s">
        <v>127</v>
      </c>
      <c r="H15" s="5" t="s">
        <v>128</v>
      </c>
      <c r="I15" s="5" t="s">
        <v>49</v>
      </c>
      <c r="J15" s="5" t="s">
        <v>64</v>
      </c>
      <c r="K15" s="5">
        <v>1.0</v>
      </c>
      <c r="L15" s="5">
        <v>14650.0</v>
      </c>
    </row>
    <row r="16" ht="14.25" customHeight="1">
      <c r="A16" s="6" t="s">
        <v>125</v>
      </c>
      <c r="B16" s="5">
        <v>36.0</v>
      </c>
      <c r="C16" s="5" t="s">
        <v>7658</v>
      </c>
      <c r="D16" s="10" t="s">
        <v>130</v>
      </c>
      <c r="E16" s="5">
        <v>12629.0</v>
      </c>
      <c r="F16" s="11"/>
      <c r="G16" s="5" t="s">
        <v>127</v>
      </c>
      <c r="H16" s="5" t="s">
        <v>128</v>
      </c>
      <c r="I16" s="5" t="s">
        <v>49</v>
      </c>
      <c r="J16" s="5" t="s">
        <v>71</v>
      </c>
      <c r="K16" s="5">
        <v>1.0</v>
      </c>
      <c r="L16" s="5">
        <v>14651.0</v>
      </c>
    </row>
    <row r="17" ht="14.25" customHeight="1">
      <c r="A17" s="6" t="s">
        <v>125</v>
      </c>
      <c r="B17" s="5">
        <v>36.0</v>
      </c>
      <c r="C17" s="5" t="s">
        <v>7658</v>
      </c>
      <c r="D17" s="10" t="s">
        <v>131</v>
      </c>
      <c r="E17" s="5">
        <v>12630.0</v>
      </c>
      <c r="F17" s="11"/>
      <c r="G17" s="5" t="s">
        <v>127</v>
      </c>
      <c r="H17" s="5" t="s">
        <v>128</v>
      </c>
      <c r="I17" s="5" t="s">
        <v>49</v>
      </c>
      <c r="J17" s="5" t="s">
        <v>78</v>
      </c>
      <c r="K17" s="5">
        <v>1.0</v>
      </c>
      <c r="L17" s="5">
        <v>14652.0</v>
      </c>
    </row>
    <row r="18" ht="14.25" customHeight="1">
      <c r="A18" s="6" t="s">
        <v>125</v>
      </c>
      <c r="B18" s="5">
        <v>36.0</v>
      </c>
      <c r="C18" s="5" t="s">
        <v>7658</v>
      </c>
      <c r="D18" s="10" t="s">
        <v>132</v>
      </c>
      <c r="E18" s="5">
        <v>12631.0</v>
      </c>
      <c r="F18" s="11"/>
      <c r="G18" s="5" t="s">
        <v>127</v>
      </c>
      <c r="H18" s="5" t="s">
        <v>128</v>
      </c>
      <c r="I18" s="5" t="s">
        <v>49</v>
      </c>
      <c r="J18" s="5" t="s">
        <v>78</v>
      </c>
      <c r="K18" s="5">
        <v>1.0</v>
      </c>
      <c r="L18" s="5">
        <v>14653.0</v>
      </c>
    </row>
    <row r="19" ht="14.25" customHeight="1">
      <c r="A19" s="6" t="s">
        <v>125</v>
      </c>
      <c r="B19" s="5">
        <v>36.0</v>
      </c>
      <c r="C19" s="5" t="s">
        <v>7658</v>
      </c>
      <c r="D19" s="10" t="s">
        <v>133</v>
      </c>
      <c r="E19" s="5">
        <v>12632.0</v>
      </c>
      <c r="F19" s="11"/>
      <c r="G19" s="5" t="s">
        <v>127</v>
      </c>
      <c r="H19" s="5" t="s">
        <v>128</v>
      </c>
      <c r="I19" s="5" t="s">
        <v>49</v>
      </c>
      <c r="J19" s="5" t="s">
        <v>64</v>
      </c>
      <c r="K19" s="5">
        <v>1.0</v>
      </c>
      <c r="L19" s="5">
        <v>14654.0</v>
      </c>
    </row>
    <row r="20" ht="14.25" customHeight="1">
      <c r="A20" s="6" t="s">
        <v>125</v>
      </c>
      <c r="B20" s="5">
        <v>36.0</v>
      </c>
      <c r="C20" s="5" t="s">
        <v>7658</v>
      </c>
      <c r="D20" s="10" t="s">
        <v>134</v>
      </c>
      <c r="E20" s="5">
        <v>12633.0</v>
      </c>
      <c r="F20" s="11"/>
      <c r="G20" s="5" t="s">
        <v>127</v>
      </c>
      <c r="H20" s="5" t="s">
        <v>128</v>
      </c>
      <c r="I20" s="5" t="s">
        <v>49</v>
      </c>
      <c r="J20" s="5" t="s">
        <v>105</v>
      </c>
      <c r="K20" s="5">
        <v>1.0</v>
      </c>
      <c r="L20" s="5">
        <v>14655.0</v>
      </c>
    </row>
    <row r="21" ht="14.25" customHeight="1">
      <c r="A21" s="6" t="s">
        <v>125</v>
      </c>
      <c r="B21" s="5">
        <v>36.0</v>
      </c>
      <c r="C21" s="5" t="s">
        <v>7658</v>
      </c>
      <c r="D21" s="10" t="s">
        <v>135</v>
      </c>
      <c r="E21" s="5">
        <v>12634.0</v>
      </c>
      <c r="F21" s="11"/>
      <c r="G21" s="5" t="s">
        <v>127</v>
      </c>
      <c r="H21" s="5" t="s">
        <v>128</v>
      </c>
      <c r="I21" s="5" t="s">
        <v>49</v>
      </c>
      <c r="J21" s="5" t="s">
        <v>136</v>
      </c>
      <c r="K21" s="5">
        <v>1.0</v>
      </c>
      <c r="L21" s="5">
        <v>14656.0</v>
      </c>
    </row>
    <row r="22" ht="14.25" customHeight="1">
      <c r="A22" s="6" t="s">
        <v>125</v>
      </c>
      <c r="B22" s="5">
        <v>36.0</v>
      </c>
      <c r="C22" s="5" t="s">
        <v>7658</v>
      </c>
      <c r="D22" s="10" t="s">
        <v>137</v>
      </c>
      <c r="E22" s="5">
        <v>12635.0</v>
      </c>
      <c r="F22" s="11"/>
      <c r="G22" s="5" t="s">
        <v>127</v>
      </c>
      <c r="H22" s="5" t="s">
        <v>128</v>
      </c>
      <c r="I22" s="5" t="s">
        <v>49</v>
      </c>
      <c r="J22" s="5" t="s">
        <v>71</v>
      </c>
      <c r="K22" s="5">
        <v>1.0</v>
      </c>
      <c r="L22" s="5">
        <v>14657.0</v>
      </c>
    </row>
    <row r="23" ht="14.25" customHeight="1">
      <c r="A23" s="6" t="s">
        <v>138</v>
      </c>
      <c r="B23" s="5">
        <v>10.0</v>
      </c>
      <c r="C23" s="12" t="s">
        <v>139</v>
      </c>
      <c r="D23" s="12" t="s">
        <v>140</v>
      </c>
      <c r="E23" s="10"/>
      <c r="F23" s="10" t="s">
        <v>141</v>
      </c>
      <c r="G23" s="10" t="str">
        <f t="shared" ref="G23:G90" si="1">CONCATENATE("-&gt; ",-1*AF23," W, ",AE23," N, Elev. ",AG23," m")</f>
        <v>-&gt; 119.651 W, 49.5794 N, Elev. 426 m</v>
      </c>
      <c r="H23" s="11"/>
      <c r="I23" s="11"/>
      <c r="J23" s="11"/>
      <c r="M23" s="13">
        <v>49.5794</v>
      </c>
      <c r="N23" s="13">
        <v>-119.651</v>
      </c>
      <c r="O23" s="13" t="s">
        <v>142</v>
      </c>
      <c r="P23" s="13" t="s">
        <v>143</v>
      </c>
      <c r="Q23" s="14">
        <v>1.0</v>
      </c>
      <c r="R23" s="13" t="s">
        <v>144</v>
      </c>
      <c r="S23" s="13" t="s">
        <v>145</v>
      </c>
      <c r="T23" s="13">
        <v>426.0</v>
      </c>
      <c r="AE23" s="10">
        <v>49.5794</v>
      </c>
      <c r="AF23" s="10">
        <v>-119.651</v>
      </c>
      <c r="AG23" s="10">
        <v>426.0</v>
      </c>
    </row>
    <row r="24" ht="14.25" customHeight="1">
      <c r="A24" s="6" t="s">
        <v>138</v>
      </c>
      <c r="B24" s="5">
        <v>10.0</v>
      </c>
      <c r="C24" s="12" t="s">
        <v>139</v>
      </c>
      <c r="D24" s="10" t="s">
        <v>146</v>
      </c>
      <c r="E24" s="10"/>
      <c r="F24" s="12" t="s">
        <v>147</v>
      </c>
      <c r="G24" s="10" t="str">
        <f t="shared" si="1"/>
        <v>-&gt; 121.2511111 W, 51.79027778 N, Elev. 677 m</v>
      </c>
      <c r="M24" s="13">
        <v>51.79027778</v>
      </c>
      <c r="N24" s="13">
        <v>-121.2511111</v>
      </c>
      <c r="O24" s="13" t="s">
        <v>148</v>
      </c>
      <c r="P24" s="13" t="s">
        <v>149</v>
      </c>
      <c r="Q24" s="14">
        <v>1.0</v>
      </c>
      <c r="R24" s="13" t="s">
        <v>150</v>
      </c>
      <c r="S24" s="13" t="s">
        <v>145</v>
      </c>
      <c r="T24" s="13">
        <v>677.0</v>
      </c>
      <c r="AE24" s="10">
        <v>51.79027778</v>
      </c>
      <c r="AF24" s="10">
        <v>-121.2511111</v>
      </c>
      <c r="AG24" s="10">
        <v>677.0</v>
      </c>
    </row>
    <row r="25" ht="14.25" customHeight="1">
      <c r="A25" s="6" t="s">
        <v>138</v>
      </c>
      <c r="B25" s="5">
        <v>10.0</v>
      </c>
      <c r="C25" s="12" t="s">
        <v>139</v>
      </c>
      <c r="D25" s="10" t="s">
        <v>151</v>
      </c>
      <c r="E25" s="10"/>
      <c r="F25" s="12" t="s">
        <v>152</v>
      </c>
      <c r="G25" s="10" t="str">
        <f t="shared" si="1"/>
        <v>-&gt; 120.143 W, 55.7721 N, Elev. 673 m</v>
      </c>
      <c r="M25" s="13">
        <v>55.7721</v>
      </c>
      <c r="N25" s="13">
        <v>-120.143</v>
      </c>
      <c r="O25" s="13" t="s">
        <v>153</v>
      </c>
      <c r="P25" s="13" t="s">
        <v>154</v>
      </c>
      <c r="Q25" s="14">
        <v>2.0</v>
      </c>
      <c r="R25" s="13" t="s">
        <v>155</v>
      </c>
      <c r="S25" s="13" t="s">
        <v>145</v>
      </c>
      <c r="T25" s="13">
        <v>673.0</v>
      </c>
      <c r="AE25" s="10">
        <v>55.7721</v>
      </c>
      <c r="AF25" s="10">
        <v>-120.143</v>
      </c>
      <c r="AG25" s="10">
        <v>673.0</v>
      </c>
    </row>
    <row r="26" ht="14.25" customHeight="1">
      <c r="A26" s="6" t="s">
        <v>138</v>
      </c>
      <c r="B26" s="5">
        <v>10.0</v>
      </c>
      <c r="C26" s="12" t="s">
        <v>139</v>
      </c>
      <c r="D26" s="10" t="s">
        <v>156</v>
      </c>
      <c r="E26" s="10"/>
      <c r="F26" s="12" t="s">
        <v>157</v>
      </c>
      <c r="G26" s="10" t="str">
        <f t="shared" si="1"/>
        <v>-&gt; 121.308 W, 56.2461 N, Elev. 504 m</v>
      </c>
      <c r="M26" s="13">
        <v>56.2461</v>
      </c>
      <c r="N26" s="13">
        <v>-121.308</v>
      </c>
      <c r="O26" s="13" t="s">
        <v>148</v>
      </c>
      <c r="P26" s="13" t="s">
        <v>158</v>
      </c>
      <c r="Q26" s="14">
        <v>1.0</v>
      </c>
      <c r="R26" s="13" t="s">
        <v>159</v>
      </c>
      <c r="S26" s="13" t="s">
        <v>145</v>
      </c>
      <c r="T26" s="13">
        <v>504.0</v>
      </c>
      <c r="AE26" s="10">
        <v>56.2461</v>
      </c>
      <c r="AF26" s="10">
        <v>-121.308</v>
      </c>
      <c r="AG26" s="10">
        <v>504.0</v>
      </c>
    </row>
    <row r="27" ht="14.25" customHeight="1">
      <c r="A27" s="6" t="s">
        <v>138</v>
      </c>
      <c r="B27" s="5">
        <v>10.0</v>
      </c>
      <c r="C27" s="12" t="s">
        <v>139</v>
      </c>
      <c r="D27" s="10" t="s">
        <v>160</v>
      </c>
      <c r="E27" s="10"/>
      <c r="F27" s="12" t="s">
        <v>161</v>
      </c>
      <c r="G27" s="10" t="str">
        <f t="shared" si="1"/>
        <v>-&gt; 119.3413 W, 50.2551 N, Elev. 437 m</v>
      </c>
      <c r="M27" s="13">
        <v>50.2551</v>
      </c>
      <c r="N27" s="13">
        <v>-119.3413</v>
      </c>
      <c r="O27" s="13" t="s">
        <v>142</v>
      </c>
      <c r="P27" s="13" t="s">
        <v>162</v>
      </c>
      <c r="Q27" s="14">
        <v>1.0</v>
      </c>
      <c r="R27" s="13" t="s">
        <v>163</v>
      </c>
      <c r="S27" s="13" t="s">
        <v>145</v>
      </c>
      <c r="T27" s="13">
        <v>437.0</v>
      </c>
      <c r="Z27" s="13"/>
      <c r="AA27" s="13"/>
      <c r="AB27" s="13"/>
      <c r="AC27" s="13"/>
      <c r="AE27" s="10">
        <v>50.2551</v>
      </c>
      <c r="AF27" s="10">
        <v>-119.3413</v>
      </c>
      <c r="AG27" s="10">
        <v>437.0</v>
      </c>
    </row>
    <row r="28" ht="14.25" customHeight="1">
      <c r="A28" s="6" t="s">
        <v>138</v>
      </c>
      <c r="B28" s="5">
        <v>10.0</v>
      </c>
      <c r="C28" s="12" t="s">
        <v>139</v>
      </c>
      <c r="D28" s="10" t="s">
        <v>164</v>
      </c>
      <c r="E28" s="10"/>
      <c r="F28" s="12" t="s">
        <v>165</v>
      </c>
      <c r="G28" s="10" t="str">
        <f t="shared" si="1"/>
        <v>-&gt; 121.085 W, 56.7637 N, Elev. 757 m</v>
      </c>
      <c r="M28" s="13">
        <v>56.7637</v>
      </c>
      <c r="N28" s="13">
        <v>-121.085</v>
      </c>
      <c r="O28" s="13" t="s">
        <v>153</v>
      </c>
      <c r="P28" s="13" t="s">
        <v>166</v>
      </c>
      <c r="Q28" s="14">
        <v>4.0</v>
      </c>
      <c r="R28" s="13" t="s">
        <v>167</v>
      </c>
      <c r="S28" s="13" t="s">
        <v>145</v>
      </c>
      <c r="T28" s="13">
        <v>757.0</v>
      </c>
      <c r="AE28" s="10">
        <v>56.7637</v>
      </c>
      <c r="AF28" s="10">
        <v>-121.085</v>
      </c>
      <c r="AG28" s="10">
        <v>757.0</v>
      </c>
    </row>
    <row r="29" ht="14.25" customHeight="1">
      <c r="A29" s="6" t="s">
        <v>138</v>
      </c>
      <c r="B29" s="5">
        <v>10.0</v>
      </c>
      <c r="C29" s="12" t="s">
        <v>139</v>
      </c>
      <c r="D29" s="10" t="s">
        <v>168</v>
      </c>
      <c r="E29" s="10"/>
      <c r="F29" s="12" t="s">
        <v>169</v>
      </c>
      <c r="G29" s="10" t="str">
        <f t="shared" si="1"/>
        <v>-&gt; 116.4475 W, 49.0853 N, Elev. 659 m</v>
      </c>
      <c r="M29" s="13">
        <v>49.0853</v>
      </c>
      <c r="N29" s="13">
        <v>-116.4475</v>
      </c>
      <c r="O29" s="13" t="s">
        <v>170</v>
      </c>
      <c r="P29" s="13" t="s">
        <v>171</v>
      </c>
      <c r="Q29" s="14">
        <v>1.0</v>
      </c>
      <c r="R29" s="13" t="s">
        <v>172</v>
      </c>
      <c r="S29" s="13" t="s">
        <v>145</v>
      </c>
      <c r="T29" s="13">
        <v>659.0</v>
      </c>
      <c r="AE29" s="10">
        <v>49.0853</v>
      </c>
      <c r="AF29" s="10">
        <v>-116.4475</v>
      </c>
      <c r="AG29" s="10">
        <v>659.0</v>
      </c>
    </row>
    <row r="30" ht="14.25" customHeight="1">
      <c r="A30" s="6" t="s">
        <v>138</v>
      </c>
      <c r="B30" s="5">
        <v>10.0</v>
      </c>
      <c r="C30" s="12" t="s">
        <v>139</v>
      </c>
      <c r="D30" s="12" t="s">
        <v>173</v>
      </c>
      <c r="E30" s="10"/>
      <c r="F30" s="12" t="s">
        <v>174</v>
      </c>
      <c r="G30" s="10" t="str">
        <f t="shared" si="1"/>
        <v>-&gt; 120.531 W, 56.3062 N, Elev. 718 m</v>
      </c>
      <c r="M30" s="13">
        <v>56.3062</v>
      </c>
      <c r="N30" s="13">
        <v>-120.531</v>
      </c>
      <c r="O30" s="13" t="s">
        <v>153</v>
      </c>
      <c r="P30" s="13" t="s">
        <v>175</v>
      </c>
      <c r="Q30" s="14">
        <v>3.0</v>
      </c>
      <c r="R30" s="13" t="s">
        <v>176</v>
      </c>
      <c r="S30" s="13" t="s">
        <v>145</v>
      </c>
      <c r="T30" s="13">
        <v>718.0</v>
      </c>
      <c r="AE30" s="10">
        <v>56.3062</v>
      </c>
      <c r="AF30" s="10">
        <v>-120.531</v>
      </c>
      <c r="AG30" s="10">
        <v>718.0</v>
      </c>
    </row>
    <row r="31" ht="14.25" customHeight="1">
      <c r="A31" s="6" t="s">
        <v>138</v>
      </c>
      <c r="B31" s="5">
        <v>10.0</v>
      </c>
      <c r="C31" s="12" t="s">
        <v>139</v>
      </c>
      <c r="D31" s="12" t="s">
        <v>177</v>
      </c>
      <c r="E31" s="10"/>
      <c r="F31" s="12" t="s">
        <v>178</v>
      </c>
      <c r="G31" s="10" t="str">
        <f t="shared" si="1"/>
        <v>-&gt; 116.4851 W, 49.0884 N, Elev. 648 m</v>
      </c>
      <c r="M31" s="13">
        <v>49.0884</v>
      </c>
      <c r="N31" s="13">
        <v>-116.4851</v>
      </c>
      <c r="O31" s="13" t="s">
        <v>170</v>
      </c>
      <c r="P31" s="13" t="s">
        <v>179</v>
      </c>
      <c r="Q31" s="14">
        <v>1.0</v>
      </c>
      <c r="R31" s="13" t="s">
        <v>180</v>
      </c>
      <c r="S31" s="13" t="s">
        <v>145</v>
      </c>
      <c r="T31" s="13">
        <v>648.0</v>
      </c>
      <c r="AE31" s="10">
        <v>49.0884</v>
      </c>
      <c r="AF31" s="10">
        <v>-116.4851</v>
      </c>
      <c r="AG31" s="10">
        <v>648.0</v>
      </c>
    </row>
    <row r="32" ht="14.25" customHeight="1">
      <c r="A32" s="6" t="s">
        <v>138</v>
      </c>
      <c r="B32" s="5">
        <v>10.0</v>
      </c>
      <c r="C32" s="12" t="s">
        <v>139</v>
      </c>
      <c r="D32" s="10" t="s">
        <v>181</v>
      </c>
      <c r="E32" s="10"/>
      <c r="F32" s="12" t="s">
        <v>182</v>
      </c>
      <c r="G32" s="10" t="str">
        <f t="shared" si="1"/>
        <v>-&gt; 123.0348 W, 49.1255 N, Elev. 3 m</v>
      </c>
      <c r="M32" s="13">
        <v>49.1255</v>
      </c>
      <c r="N32" s="13">
        <v>-123.0348</v>
      </c>
      <c r="O32" s="13" t="s">
        <v>183</v>
      </c>
      <c r="P32" s="13" t="s">
        <v>184</v>
      </c>
      <c r="Q32" s="14">
        <v>1.0</v>
      </c>
      <c r="R32" s="13" t="s">
        <v>185</v>
      </c>
      <c r="S32" s="13" t="s">
        <v>145</v>
      </c>
      <c r="T32" s="13">
        <v>3.0</v>
      </c>
      <c r="AE32" s="10">
        <v>49.1255</v>
      </c>
      <c r="AF32" s="10">
        <v>-123.0348</v>
      </c>
      <c r="AG32" s="10">
        <v>3.0</v>
      </c>
    </row>
    <row r="33" ht="14.25" customHeight="1">
      <c r="A33" s="6" t="s">
        <v>138</v>
      </c>
      <c r="B33" s="5">
        <v>10.0</v>
      </c>
      <c r="C33" s="12" t="s">
        <v>139</v>
      </c>
      <c r="D33" s="10" t="s">
        <v>186</v>
      </c>
      <c r="E33" s="10"/>
      <c r="F33" s="12" t="s">
        <v>187</v>
      </c>
      <c r="G33" s="10" t="str">
        <f t="shared" si="1"/>
        <v>-&gt; 120.586 W, 55.9103 N, Elev. 717 m</v>
      </c>
      <c r="M33" s="13">
        <v>55.9103</v>
      </c>
      <c r="N33" s="13">
        <v>-120.586</v>
      </c>
      <c r="O33" s="13" t="s">
        <v>153</v>
      </c>
      <c r="P33" s="13" t="s">
        <v>188</v>
      </c>
      <c r="Q33" s="14">
        <v>3.0</v>
      </c>
      <c r="R33" s="13" t="s">
        <v>189</v>
      </c>
      <c r="S33" s="13" t="s">
        <v>145</v>
      </c>
      <c r="T33" s="13">
        <v>717.0</v>
      </c>
      <c r="AE33" s="10">
        <v>55.9103</v>
      </c>
      <c r="AF33" s="10">
        <v>-120.586</v>
      </c>
      <c r="AG33" s="10">
        <v>717.0</v>
      </c>
    </row>
    <row r="34" ht="14.25" customHeight="1">
      <c r="A34" s="6" t="s">
        <v>138</v>
      </c>
      <c r="B34" s="5">
        <v>10.0</v>
      </c>
      <c r="C34" s="12" t="s">
        <v>139</v>
      </c>
      <c r="D34" s="10" t="s">
        <v>190</v>
      </c>
      <c r="E34" s="10"/>
      <c r="F34" s="12" t="s">
        <v>191</v>
      </c>
      <c r="G34" s="10" t="str">
        <f t="shared" si="1"/>
        <v>-&gt; 120.421 W, 56.2691 N, Elev. 693 m</v>
      </c>
      <c r="M34" s="13">
        <v>56.2691</v>
      </c>
      <c r="N34" s="13">
        <v>-120.421</v>
      </c>
      <c r="O34" s="13" t="s">
        <v>153</v>
      </c>
      <c r="P34" s="13" t="s">
        <v>192</v>
      </c>
      <c r="Q34" s="14">
        <v>2.0</v>
      </c>
      <c r="R34" s="13" t="s">
        <v>193</v>
      </c>
      <c r="S34" s="13" t="s">
        <v>145</v>
      </c>
      <c r="T34" s="13">
        <v>693.0</v>
      </c>
      <c r="AE34" s="10">
        <v>56.2691</v>
      </c>
      <c r="AF34" s="10">
        <v>-120.421</v>
      </c>
      <c r="AG34" s="10">
        <v>693.0</v>
      </c>
    </row>
    <row r="35" ht="14.25" customHeight="1">
      <c r="A35" s="6" t="s">
        <v>138</v>
      </c>
      <c r="B35" s="5">
        <v>10.0</v>
      </c>
      <c r="C35" s="12" t="s">
        <v>139</v>
      </c>
      <c r="D35" s="10" t="s">
        <v>194</v>
      </c>
      <c r="E35" s="10"/>
      <c r="F35" s="12" t="s">
        <v>195</v>
      </c>
      <c r="G35" s="10" t="str">
        <f t="shared" si="1"/>
        <v>-&gt; 119.2963 W, 50.382 N, Elev. 461 m</v>
      </c>
      <c r="M35" s="13">
        <v>50.382</v>
      </c>
      <c r="N35" s="13">
        <v>-119.2963</v>
      </c>
      <c r="O35" s="13" t="s">
        <v>196</v>
      </c>
      <c r="P35" s="13" t="s">
        <v>197</v>
      </c>
      <c r="Q35" s="14">
        <v>1.0</v>
      </c>
      <c r="R35" s="13" t="s">
        <v>198</v>
      </c>
      <c r="S35" s="13" t="s">
        <v>145</v>
      </c>
      <c r="T35" s="13">
        <v>461.0</v>
      </c>
      <c r="AE35" s="10">
        <v>50.382</v>
      </c>
      <c r="AF35" s="10">
        <v>-119.2963</v>
      </c>
      <c r="AG35" s="10">
        <v>461.0</v>
      </c>
    </row>
    <row r="36" ht="14.25" customHeight="1">
      <c r="A36" s="6" t="s">
        <v>138</v>
      </c>
      <c r="B36" s="5">
        <v>10.0</v>
      </c>
      <c r="C36" s="12" t="s">
        <v>139</v>
      </c>
      <c r="D36" s="10" t="s">
        <v>199</v>
      </c>
      <c r="E36" s="10"/>
      <c r="F36" s="12" t="s">
        <v>200</v>
      </c>
      <c r="G36" s="10" t="str">
        <f t="shared" si="1"/>
        <v>-&gt; 120.874 W, 55.7703 N, Elev. 743 m</v>
      </c>
      <c r="M36" s="13">
        <v>55.7703</v>
      </c>
      <c r="N36" s="13">
        <v>-120.874</v>
      </c>
      <c r="O36" s="13" t="s">
        <v>170</v>
      </c>
      <c r="P36" s="13" t="s">
        <v>201</v>
      </c>
      <c r="Q36" s="14">
        <v>1.0</v>
      </c>
      <c r="R36" s="13" t="s">
        <v>202</v>
      </c>
      <c r="S36" s="13" t="s">
        <v>145</v>
      </c>
      <c r="T36" s="13">
        <v>743.0</v>
      </c>
      <c r="AE36" s="10">
        <v>55.7703</v>
      </c>
      <c r="AF36" s="10">
        <v>-120.874</v>
      </c>
      <c r="AG36" s="10">
        <v>743.0</v>
      </c>
    </row>
    <row r="37" ht="14.25" customHeight="1">
      <c r="A37" s="6" t="s">
        <v>138</v>
      </c>
      <c r="B37" s="5">
        <v>10.0</v>
      </c>
      <c r="C37" s="12" t="s">
        <v>139</v>
      </c>
      <c r="D37" s="10" t="s">
        <v>203</v>
      </c>
      <c r="E37" s="10"/>
      <c r="F37" s="12" t="s">
        <v>204</v>
      </c>
      <c r="G37" s="10" t="str">
        <f t="shared" si="1"/>
        <v>-&gt; 119.22888 W, 50.54694 N, Elev. 531 m</v>
      </c>
      <c r="M37" s="13">
        <v>50.54694</v>
      </c>
      <c r="N37" s="13">
        <v>-119.22888</v>
      </c>
      <c r="O37" s="13" t="s">
        <v>142</v>
      </c>
      <c r="P37" s="13" t="s">
        <v>205</v>
      </c>
      <c r="Q37" s="14">
        <v>1.0</v>
      </c>
      <c r="R37" s="13" t="s">
        <v>206</v>
      </c>
      <c r="S37" s="13" t="s">
        <v>145</v>
      </c>
      <c r="T37" s="13">
        <v>531.0</v>
      </c>
      <c r="AE37" s="10">
        <v>50.54694</v>
      </c>
      <c r="AF37" s="10">
        <v>-119.22888</v>
      </c>
      <c r="AG37" s="10">
        <v>531.0</v>
      </c>
    </row>
    <row r="38" ht="14.25" customHeight="1">
      <c r="A38" s="6" t="s">
        <v>138</v>
      </c>
      <c r="B38" s="5">
        <v>10.0</v>
      </c>
      <c r="C38" s="12" t="s">
        <v>139</v>
      </c>
      <c r="D38" s="10" t="s">
        <v>207</v>
      </c>
      <c r="E38" s="10"/>
      <c r="F38" s="12" t="s">
        <v>208</v>
      </c>
      <c r="G38" s="10" t="str">
        <f t="shared" si="1"/>
        <v>-&gt; 119.28027 W, 50.53416 N, Elev. 561 m</v>
      </c>
      <c r="M38" s="13">
        <v>50.53416</v>
      </c>
      <c r="N38" s="13">
        <v>-119.28027</v>
      </c>
      <c r="O38" s="13" t="s">
        <v>142</v>
      </c>
      <c r="P38" s="13" t="s">
        <v>209</v>
      </c>
      <c r="Q38" s="14">
        <v>1.0</v>
      </c>
      <c r="R38" s="13" t="s">
        <v>210</v>
      </c>
      <c r="S38" s="13" t="s">
        <v>145</v>
      </c>
      <c r="T38" s="13">
        <v>561.0</v>
      </c>
      <c r="AE38" s="10">
        <v>50.53416</v>
      </c>
      <c r="AF38" s="10">
        <v>-119.28027</v>
      </c>
      <c r="AG38" s="10">
        <v>561.0</v>
      </c>
    </row>
    <row r="39" ht="14.25" customHeight="1">
      <c r="A39" s="6" t="s">
        <v>138</v>
      </c>
      <c r="B39" s="5">
        <v>10.0</v>
      </c>
      <c r="C39" s="12" t="s">
        <v>139</v>
      </c>
      <c r="D39" s="10" t="s">
        <v>211</v>
      </c>
      <c r="E39" s="10"/>
      <c r="F39" s="12" t="s">
        <v>212</v>
      </c>
      <c r="G39" s="10" t="str">
        <f t="shared" si="1"/>
        <v>-&gt; 119.6045 W, 49.399 N, Elev. 440 m</v>
      </c>
      <c r="M39" s="13">
        <v>49.399</v>
      </c>
      <c r="N39" s="13">
        <v>-119.6045</v>
      </c>
      <c r="O39" s="13" t="s">
        <v>142</v>
      </c>
      <c r="P39" s="13" t="s">
        <v>213</v>
      </c>
      <c r="Q39" s="14">
        <v>1.0</v>
      </c>
      <c r="R39" s="13" t="s">
        <v>214</v>
      </c>
      <c r="S39" s="13" t="s">
        <v>145</v>
      </c>
      <c r="T39" s="13">
        <v>440.0</v>
      </c>
      <c r="AE39" s="10">
        <v>49.399</v>
      </c>
      <c r="AF39" s="10">
        <v>-119.6045</v>
      </c>
      <c r="AG39" s="10">
        <v>440.0</v>
      </c>
    </row>
    <row r="40" ht="14.25" customHeight="1">
      <c r="A40" s="6" t="s">
        <v>138</v>
      </c>
      <c r="B40" s="5">
        <v>10.0</v>
      </c>
      <c r="C40" s="12" t="s">
        <v>139</v>
      </c>
      <c r="D40" s="10" t="s">
        <v>215</v>
      </c>
      <c r="E40" s="10"/>
      <c r="F40" s="12" t="s">
        <v>216</v>
      </c>
      <c r="G40" s="10" t="str">
        <f t="shared" si="1"/>
        <v>-&gt; 120.079 W, 55.2531 N, Elev. 880 m</v>
      </c>
      <c r="M40" s="13">
        <v>55.2531</v>
      </c>
      <c r="N40" s="13">
        <v>-120.079</v>
      </c>
      <c r="O40" s="13" t="s">
        <v>153</v>
      </c>
      <c r="P40" s="13" t="s">
        <v>217</v>
      </c>
      <c r="Q40" s="14">
        <v>7.0</v>
      </c>
      <c r="R40" s="13" t="s">
        <v>218</v>
      </c>
      <c r="S40" s="13" t="s">
        <v>145</v>
      </c>
      <c r="T40" s="13">
        <v>880.0</v>
      </c>
      <c r="AE40" s="10">
        <v>55.2531</v>
      </c>
      <c r="AF40" s="10">
        <v>-120.079</v>
      </c>
      <c r="AG40" s="10">
        <v>880.0</v>
      </c>
    </row>
    <row r="41" ht="14.25" customHeight="1">
      <c r="A41" s="6" t="s">
        <v>138</v>
      </c>
      <c r="B41" s="5">
        <v>10.0</v>
      </c>
      <c r="C41" s="12" t="s">
        <v>139</v>
      </c>
      <c r="D41" s="10" t="s">
        <v>219</v>
      </c>
      <c r="E41" s="10"/>
      <c r="F41" s="12" t="s">
        <v>220</v>
      </c>
      <c r="G41" s="10" t="str">
        <f t="shared" si="1"/>
        <v>-&gt; 119.8242 W, 49.2218 N, Elev. 456 m</v>
      </c>
      <c r="M41" s="13">
        <v>49.2218</v>
      </c>
      <c r="N41" s="13">
        <v>-119.8242</v>
      </c>
      <c r="O41" s="13" t="s">
        <v>221</v>
      </c>
      <c r="P41" s="13" t="s">
        <v>222</v>
      </c>
      <c r="Q41" s="14">
        <v>1.0</v>
      </c>
      <c r="R41" s="13" t="s">
        <v>223</v>
      </c>
      <c r="S41" s="13" t="s">
        <v>145</v>
      </c>
      <c r="T41" s="13">
        <v>456.0</v>
      </c>
      <c r="AE41" s="10">
        <v>49.2218</v>
      </c>
      <c r="AF41" s="10">
        <v>-119.8242</v>
      </c>
      <c r="AG41" s="10">
        <v>456.0</v>
      </c>
    </row>
    <row r="42" ht="14.25" customHeight="1">
      <c r="A42" s="6" t="s">
        <v>138</v>
      </c>
      <c r="B42" s="5">
        <v>10.0</v>
      </c>
      <c r="C42" s="12" t="s">
        <v>139</v>
      </c>
      <c r="D42" s="10" t="s">
        <v>224</v>
      </c>
      <c r="E42" s="10"/>
      <c r="F42" s="12" t="s">
        <v>225</v>
      </c>
      <c r="G42" s="10" t="str">
        <f t="shared" si="1"/>
        <v>-&gt; 119.1002 W, 50.2254 N, Elev. 550 m</v>
      </c>
      <c r="M42" s="13">
        <v>50.2254</v>
      </c>
      <c r="N42" s="13">
        <v>-119.1002</v>
      </c>
      <c r="O42" s="13" t="s">
        <v>221</v>
      </c>
      <c r="P42" s="13" t="s">
        <v>226</v>
      </c>
      <c r="Q42" s="14">
        <v>1.0</v>
      </c>
      <c r="R42" s="13" t="s">
        <v>227</v>
      </c>
      <c r="S42" s="13" t="s">
        <v>145</v>
      </c>
      <c r="T42" s="13">
        <v>550.0</v>
      </c>
      <c r="AE42" s="10">
        <v>50.2254</v>
      </c>
      <c r="AF42" s="10">
        <v>-119.1002</v>
      </c>
      <c r="AG42" s="10">
        <v>550.0</v>
      </c>
    </row>
    <row r="43" ht="14.25" customHeight="1">
      <c r="A43" s="6" t="s">
        <v>138</v>
      </c>
      <c r="B43" s="5">
        <v>10.0</v>
      </c>
      <c r="C43" s="12" t="s">
        <v>139</v>
      </c>
      <c r="D43" s="10" t="s">
        <v>228</v>
      </c>
      <c r="E43" s="10"/>
      <c r="F43" s="12" t="s">
        <v>229</v>
      </c>
      <c r="G43" s="10" t="str">
        <f t="shared" si="1"/>
        <v>-&gt; 125.0485 W, 49.7788 N, Elev. 49 m</v>
      </c>
      <c r="M43" s="13">
        <v>49.7788</v>
      </c>
      <c r="N43" s="13">
        <v>-125.0485</v>
      </c>
      <c r="O43" s="13" t="s">
        <v>183</v>
      </c>
      <c r="P43" s="13" t="s">
        <v>230</v>
      </c>
      <c r="Q43" s="14">
        <v>2.0</v>
      </c>
      <c r="R43" s="13" t="s">
        <v>231</v>
      </c>
      <c r="S43" s="13" t="s">
        <v>145</v>
      </c>
      <c r="T43" s="13">
        <v>49.0</v>
      </c>
      <c r="AE43" s="10">
        <v>49.7788</v>
      </c>
      <c r="AF43" s="10">
        <v>-125.0485</v>
      </c>
      <c r="AG43" s="10">
        <v>49.0</v>
      </c>
    </row>
    <row r="44" ht="14.25" customHeight="1">
      <c r="A44" s="6" t="s">
        <v>138</v>
      </c>
      <c r="B44" s="5">
        <v>10.0</v>
      </c>
      <c r="C44" s="12" t="s">
        <v>139</v>
      </c>
      <c r="D44" s="10" t="s">
        <v>232</v>
      </c>
      <c r="E44" s="10"/>
      <c r="F44" s="12" t="s">
        <v>233</v>
      </c>
      <c r="G44" s="10" t="str">
        <f t="shared" si="1"/>
        <v>-&gt; 119.9330295 W, 50.6436078 N, Elev. 385 m</v>
      </c>
      <c r="M44" s="13">
        <v>50.6436078</v>
      </c>
      <c r="N44" s="13">
        <v>-119.9330295</v>
      </c>
      <c r="O44" s="13" t="s">
        <v>142</v>
      </c>
      <c r="P44" s="13" t="s">
        <v>234</v>
      </c>
      <c r="Q44" s="14">
        <v>1.0</v>
      </c>
      <c r="R44" s="13" t="s">
        <v>235</v>
      </c>
      <c r="S44" s="13" t="s">
        <v>145</v>
      </c>
      <c r="T44" s="13">
        <v>385.0</v>
      </c>
      <c r="AE44" s="10">
        <v>50.6436078</v>
      </c>
      <c r="AF44" s="10">
        <v>-119.9330295</v>
      </c>
      <c r="AG44" s="10">
        <v>385.0</v>
      </c>
    </row>
    <row r="45" ht="14.25" customHeight="1">
      <c r="A45" s="6" t="s">
        <v>138</v>
      </c>
      <c r="B45" s="5">
        <v>10.0</v>
      </c>
      <c r="C45" s="12" t="s">
        <v>139</v>
      </c>
      <c r="D45" s="10" t="s">
        <v>236</v>
      </c>
      <c r="E45" s="10"/>
      <c r="F45" s="12" t="s">
        <v>237</v>
      </c>
      <c r="G45" s="10" t="str">
        <f t="shared" si="1"/>
        <v>-&gt; 120.878 W, 56.3537 N, Elev. 693 m</v>
      </c>
      <c r="M45" s="13">
        <v>56.3537</v>
      </c>
      <c r="N45" s="13">
        <v>-120.878</v>
      </c>
      <c r="O45" s="13" t="s">
        <v>153</v>
      </c>
      <c r="P45" s="13" t="s">
        <v>238</v>
      </c>
      <c r="Q45" s="14">
        <v>2.0</v>
      </c>
      <c r="R45" s="13" t="s">
        <v>239</v>
      </c>
      <c r="S45" s="13" t="s">
        <v>145</v>
      </c>
      <c r="T45" s="13">
        <v>693.0</v>
      </c>
      <c r="AE45" s="10">
        <v>56.3537</v>
      </c>
      <c r="AF45" s="10">
        <v>-120.878</v>
      </c>
      <c r="AG45" s="10">
        <v>693.0</v>
      </c>
    </row>
    <row r="46" ht="14.25" customHeight="1">
      <c r="A46" s="6" t="s">
        <v>138</v>
      </c>
      <c r="B46" s="5">
        <v>10.0</v>
      </c>
      <c r="C46" s="12" t="s">
        <v>139</v>
      </c>
      <c r="D46" s="10" t="s">
        <v>240</v>
      </c>
      <c r="E46" s="10"/>
      <c r="F46" s="12" t="s">
        <v>241</v>
      </c>
      <c r="G46" s="10" t="str">
        <f t="shared" si="1"/>
        <v>-&gt; 119.5672 W, 49.5342 N, Elev. 413 m</v>
      </c>
      <c r="M46" s="13">
        <v>49.5342</v>
      </c>
      <c r="N46" s="13">
        <v>-119.5672</v>
      </c>
      <c r="O46" s="13" t="s">
        <v>221</v>
      </c>
      <c r="P46" s="13" t="s">
        <v>242</v>
      </c>
      <c r="Q46" s="14">
        <v>1.0</v>
      </c>
      <c r="R46" s="13" t="s">
        <v>243</v>
      </c>
      <c r="S46" s="13" t="s">
        <v>145</v>
      </c>
      <c r="T46" s="13">
        <v>413.0</v>
      </c>
      <c r="AE46" s="10">
        <v>49.5342</v>
      </c>
      <c r="AF46" s="10">
        <v>-119.5672</v>
      </c>
      <c r="AG46" s="10">
        <v>413.0</v>
      </c>
    </row>
    <row r="47" ht="14.25" customHeight="1">
      <c r="A47" s="6" t="s">
        <v>138</v>
      </c>
      <c r="B47" s="5">
        <v>10.0</v>
      </c>
      <c r="C47" s="12" t="s">
        <v>139</v>
      </c>
      <c r="D47" s="10" t="s">
        <v>244</v>
      </c>
      <c r="E47" s="10"/>
      <c r="F47" s="12" t="s">
        <v>245</v>
      </c>
      <c r="G47" s="10" t="str">
        <f t="shared" si="1"/>
        <v>-&gt; 119.2424 W, 50.4823 N, Elev. 535 m</v>
      </c>
      <c r="M47" s="13">
        <v>50.4823</v>
      </c>
      <c r="N47" s="13">
        <v>-119.2424</v>
      </c>
      <c r="O47" s="13" t="s">
        <v>142</v>
      </c>
      <c r="P47" s="13" t="s">
        <v>246</v>
      </c>
      <c r="Q47" s="14">
        <v>1.0</v>
      </c>
      <c r="R47" s="13" t="s">
        <v>247</v>
      </c>
      <c r="S47" s="13" t="s">
        <v>145</v>
      </c>
      <c r="T47" s="13">
        <v>535.0</v>
      </c>
      <c r="AE47" s="10">
        <v>50.4823</v>
      </c>
      <c r="AF47" s="10">
        <v>-119.2424</v>
      </c>
      <c r="AG47" s="10">
        <v>535.0</v>
      </c>
    </row>
    <row r="48" ht="14.25" customHeight="1">
      <c r="A48" s="6" t="s">
        <v>138</v>
      </c>
      <c r="B48" s="5">
        <v>10.0</v>
      </c>
      <c r="C48" s="12" t="s">
        <v>139</v>
      </c>
      <c r="D48" s="10" t="s">
        <v>248</v>
      </c>
      <c r="E48" s="10"/>
      <c r="F48" s="12" t="s">
        <v>249</v>
      </c>
      <c r="G48" s="10" t="str">
        <f t="shared" si="1"/>
        <v>-&gt; 116.4653 W, 49.104 N, Elev. 710 m</v>
      </c>
      <c r="M48" s="13">
        <v>49.104</v>
      </c>
      <c r="N48" s="13">
        <v>-116.4653</v>
      </c>
      <c r="O48" s="13" t="s">
        <v>170</v>
      </c>
      <c r="P48" s="13" t="s">
        <v>250</v>
      </c>
      <c r="Q48" s="14">
        <v>1.0</v>
      </c>
      <c r="R48" s="13" t="s">
        <v>251</v>
      </c>
      <c r="S48" s="13" t="s">
        <v>145</v>
      </c>
      <c r="T48" s="13">
        <v>710.0</v>
      </c>
      <c r="AE48" s="10">
        <v>49.104</v>
      </c>
      <c r="AF48" s="10">
        <v>-116.4653</v>
      </c>
      <c r="AG48" s="10">
        <v>710.0</v>
      </c>
    </row>
    <row r="49" ht="14.25" customHeight="1">
      <c r="A49" s="6" t="s">
        <v>138</v>
      </c>
      <c r="B49" s="5">
        <v>10.0</v>
      </c>
      <c r="C49" s="12" t="s">
        <v>139</v>
      </c>
      <c r="D49" s="10" t="s">
        <v>252</v>
      </c>
      <c r="E49" s="10"/>
      <c r="F49" s="12" t="s">
        <v>253</v>
      </c>
      <c r="G49" s="10" t="str">
        <f t="shared" si="1"/>
        <v>-&gt; 118.4845 W, 49.0465 N, Elev. 593 m</v>
      </c>
      <c r="M49" s="13">
        <v>49.0465</v>
      </c>
      <c r="N49" s="13">
        <v>-118.4845</v>
      </c>
      <c r="O49" s="13" t="s">
        <v>142</v>
      </c>
      <c r="P49" s="13" t="s">
        <v>254</v>
      </c>
      <c r="Q49" s="14">
        <v>1.0</v>
      </c>
      <c r="R49" s="13" t="s">
        <v>255</v>
      </c>
      <c r="S49" s="13" t="s">
        <v>145</v>
      </c>
      <c r="T49" s="13">
        <v>593.0</v>
      </c>
      <c r="AE49" s="10">
        <v>49.0465</v>
      </c>
      <c r="AF49" s="10">
        <v>-118.4845</v>
      </c>
      <c r="AG49" s="10">
        <v>593.0</v>
      </c>
    </row>
    <row r="50" ht="14.25" customHeight="1">
      <c r="A50" s="6" t="s">
        <v>138</v>
      </c>
      <c r="B50" s="5">
        <v>10.0</v>
      </c>
      <c r="C50" s="12" t="s">
        <v>139</v>
      </c>
      <c r="D50" s="10" t="s">
        <v>256</v>
      </c>
      <c r="E50" s="10"/>
      <c r="F50" s="12" t="s">
        <v>257</v>
      </c>
      <c r="G50" s="10" t="str">
        <f t="shared" si="1"/>
        <v>-&gt; 116.5081 W, 49.0618 N, Elev. 609 m</v>
      </c>
      <c r="M50" s="13">
        <v>49.0618</v>
      </c>
      <c r="N50" s="13">
        <v>-116.5081</v>
      </c>
      <c r="O50" s="13" t="s">
        <v>170</v>
      </c>
      <c r="P50" s="13" t="s">
        <v>258</v>
      </c>
      <c r="Q50" s="14">
        <v>1.0</v>
      </c>
      <c r="R50" s="13" t="s">
        <v>259</v>
      </c>
      <c r="S50" s="13" t="s">
        <v>145</v>
      </c>
      <c r="T50" s="13">
        <v>609.0</v>
      </c>
      <c r="AE50" s="10">
        <v>49.0618</v>
      </c>
      <c r="AF50" s="10">
        <v>-116.5081</v>
      </c>
      <c r="AG50" s="10">
        <v>609.0</v>
      </c>
    </row>
    <row r="51" ht="14.25" customHeight="1">
      <c r="A51" s="6" t="s">
        <v>138</v>
      </c>
      <c r="B51" s="5">
        <v>10.0</v>
      </c>
      <c r="C51" s="12" t="s">
        <v>139</v>
      </c>
      <c r="D51" s="10" t="s">
        <v>260</v>
      </c>
      <c r="E51" s="10"/>
      <c r="F51" s="12" t="s">
        <v>261</v>
      </c>
      <c r="G51" s="10" t="str">
        <f t="shared" si="1"/>
        <v>-&gt; 119.5088 W, 49.0582 N, Elev. 328 m</v>
      </c>
      <c r="M51" s="13">
        <v>49.0582</v>
      </c>
      <c r="N51" s="13">
        <v>-119.5088</v>
      </c>
      <c r="O51" s="13" t="s">
        <v>142</v>
      </c>
      <c r="P51" s="13" t="s">
        <v>262</v>
      </c>
      <c r="Q51" s="14">
        <v>1.0</v>
      </c>
      <c r="R51" s="13" t="s">
        <v>263</v>
      </c>
      <c r="S51" s="13" t="s">
        <v>145</v>
      </c>
      <c r="T51" s="13">
        <v>328.0</v>
      </c>
      <c r="AE51" s="10">
        <v>49.0582</v>
      </c>
      <c r="AF51" s="10">
        <v>-119.5088</v>
      </c>
      <c r="AG51" s="10">
        <v>328.0</v>
      </c>
    </row>
    <row r="52" ht="14.25" customHeight="1">
      <c r="A52" s="6" t="s">
        <v>138</v>
      </c>
      <c r="B52" s="5">
        <v>10.0</v>
      </c>
      <c r="C52" s="12" t="s">
        <v>139</v>
      </c>
      <c r="D52" s="10" t="s">
        <v>264</v>
      </c>
      <c r="E52" s="10"/>
      <c r="F52" s="12" t="s">
        <v>265</v>
      </c>
      <c r="G52" s="10" t="str">
        <f t="shared" si="1"/>
        <v>-&gt; 119.4227 W, 49.0224 N, Elev. 356 m</v>
      </c>
      <c r="M52" s="13">
        <v>49.0224</v>
      </c>
      <c r="N52" s="13">
        <v>-119.4227</v>
      </c>
      <c r="O52" s="13" t="s">
        <v>142</v>
      </c>
      <c r="P52" s="13" t="s">
        <v>266</v>
      </c>
      <c r="Q52" s="14">
        <v>1.0</v>
      </c>
      <c r="R52" s="13" t="s">
        <v>267</v>
      </c>
      <c r="S52" s="13" t="s">
        <v>145</v>
      </c>
      <c r="T52" s="13">
        <v>356.0</v>
      </c>
      <c r="AE52" s="10">
        <v>49.0224</v>
      </c>
      <c r="AF52" s="10">
        <v>-119.4227</v>
      </c>
      <c r="AG52" s="10">
        <v>356.0</v>
      </c>
    </row>
    <row r="53" ht="14.25" customHeight="1">
      <c r="A53" s="6" t="s">
        <v>138</v>
      </c>
      <c r="B53" s="5">
        <v>10.0</v>
      </c>
      <c r="C53" s="12" t="s">
        <v>139</v>
      </c>
      <c r="D53" s="10" t="s">
        <v>268</v>
      </c>
      <c r="E53" s="10"/>
      <c r="F53" s="12" t="s">
        <v>269</v>
      </c>
      <c r="G53" s="10" t="str">
        <f t="shared" si="1"/>
        <v>-&gt; 122.9662 W, 50.4912 N, Elev. 226 m</v>
      </c>
      <c r="M53" s="13">
        <v>50.4912</v>
      </c>
      <c r="N53" s="13">
        <v>-122.9662</v>
      </c>
      <c r="O53" s="13" t="s">
        <v>51</v>
      </c>
      <c r="P53" s="13" t="s">
        <v>270</v>
      </c>
      <c r="Q53" s="14">
        <v>2.0</v>
      </c>
      <c r="R53" s="13" t="s">
        <v>271</v>
      </c>
      <c r="S53" s="13" t="s">
        <v>145</v>
      </c>
      <c r="T53" s="13">
        <v>226.0</v>
      </c>
      <c r="AE53" s="10">
        <v>50.4912</v>
      </c>
      <c r="AF53" s="10">
        <v>-122.9662</v>
      </c>
      <c r="AG53" s="10">
        <v>226.0</v>
      </c>
    </row>
    <row r="54" ht="14.25" customHeight="1">
      <c r="A54" s="6" t="s">
        <v>138</v>
      </c>
      <c r="B54" s="5">
        <v>10.0</v>
      </c>
      <c r="C54" s="12" t="s">
        <v>139</v>
      </c>
      <c r="D54" s="10" t="s">
        <v>272</v>
      </c>
      <c r="E54" s="10"/>
      <c r="F54" s="12" t="s">
        <v>273</v>
      </c>
      <c r="G54" s="10" t="str">
        <f t="shared" si="1"/>
        <v>-&gt; 121.062 W, 56.9021 N, Elev. 734 m</v>
      </c>
      <c r="M54" s="13">
        <v>56.9021</v>
      </c>
      <c r="N54" s="13">
        <v>-121.062</v>
      </c>
      <c r="O54" s="13" t="s">
        <v>153</v>
      </c>
      <c r="P54" s="13" t="s">
        <v>274</v>
      </c>
      <c r="Q54" s="14">
        <v>4.0</v>
      </c>
      <c r="R54" s="13" t="s">
        <v>275</v>
      </c>
      <c r="S54" s="13" t="s">
        <v>145</v>
      </c>
      <c r="T54" s="13">
        <v>734.0</v>
      </c>
      <c r="AE54" s="10">
        <v>56.9021</v>
      </c>
      <c r="AF54" s="10">
        <v>-121.062</v>
      </c>
      <c r="AG54" s="10">
        <v>734.0</v>
      </c>
    </row>
    <row r="55" ht="14.25" customHeight="1">
      <c r="A55" s="6" t="s">
        <v>138</v>
      </c>
      <c r="B55" s="5">
        <v>10.0</v>
      </c>
      <c r="C55" s="12" t="s">
        <v>139</v>
      </c>
      <c r="D55" s="10" t="s">
        <v>276</v>
      </c>
      <c r="E55" s="10"/>
      <c r="F55" s="12" t="s">
        <v>277</v>
      </c>
      <c r="G55" s="10" t="str">
        <f t="shared" si="1"/>
        <v>-&gt; 120.196 W, 55.8597 N, Elev. 718 m</v>
      </c>
      <c r="M55" s="13">
        <v>55.8597</v>
      </c>
      <c r="N55" s="13">
        <v>-120.196</v>
      </c>
      <c r="O55" s="13" t="s">
        <v>153</v>
      </c>
      <c r="P55" s="13" t="s">
        <v>278</v>
      </c>
      <c r="Q55" s="14">
        <v>3.0</v>
      </c>
      <c r="R55" s="13" t="s">
        <v>279</v>
      </c>
      <c r="S55" s="13" t="s">
        <v>145</v>
      </c>
      <c r="T55" s="13">
        <v>718.0</v>
      </c>
      <c r="AE55" s="10">
        <v>55.8597</v>
      </c>
      <c r="AF55" s="10">
        <v>-120.196</v>
      </c>
      <c r="AG55" s="10">
        <v>718.0</v>
      </c>
    </row>
    <row r="56" ht="14.25" customHeight="1">
      <c r="A56" s="6" t="s">
        <v>138</v>
      </c>
      <c r="B56" s="5">
        <v>10.0</v>
      </c>
      <c r="C56" s="12" t="s">
        <v>139</v>
      </c>
      <c r="D56" s="10" t="s">
        <v>280</v>
      </c>
      <c r="E56" s="10"/>
      <c r="F56" s="10" t="s">
        <v>281</v>
      </c>
      <c r="G56" s="10" t="str">
        <f t="shared" si="1"/>
        <v>-&gt; 123.4153 W, 48.5564 N, Elev. 90 m</v>
      </c>
      <c r="M56" s="13">
        <v>48.5564</v>
      </c>
      <c r="N56" s="13">
        <v>-123.4153</v>
      </c>
      <c r="O56" s="13" t="s">
        <v>183</v>
      </c>
      <c r="P56" s="13" t="s">
        <v>282</v>
      </c>
      <c r="Q56" s="14">
        <v>3.0</v>
      </c>
      <c r="R56" s="13" t="s">
        <v>283</v>
      </c>
      <c r="S56" s="13" t="s">
        <v>145</v>
      </c>
      <c r="T56" s="13">
        <v>90.0</v>
      </c>
      <c r="AE56" s="10">
        <v>48.5564</v>
      </c>
      <c r="AF56" s="10">
        <v>-123.4153</v>
      </c>
      <c r="AG56" s="10">
        <v>90.0</v>
      </c>
    </row>
    <row r="57" ht="14.25" customHeight="1">
      <c r="A57" s="6" t="s">
        <v>138</v>
      </c>
      <c r="B57" s="5">
        <v>10.0</v>
      </c>
      <c r="C57" s="12" t="s">
        <v>139</v>
      </c>
      <c r="D57" s="10" t="s">
        <v>284</v>
      </c>
      <c r="E57" s="10"/>
      <c r="F57" s="12" t="s">
        <v>285</v>
      </c>
      <c r="G57" s="10" t="str">
        <f t="shared" si="1"/>
        <v>-&gt; 116.4931 W, 49.0803 N, Elev. 650 m</v>
      </c>
      <c r="M57" s="13">
        <v>49.0803</v>
      </c>
      <c r="N57" s="13">
        <v>-116.4931</v>
      </c>
      <c r="O57" s="13" t="s">
        <v>170</v>
      </c>
      <c r="P57" s="13" t="s">
        <v>286</v>
      </c>
      <c r="Q57" s="14">
        <v>1.0</v>
      </c>
      <c r="R57" s="13" t="s">
        <v>287</v>
      </c>
      <c r="S57" s="13" t="s">
        <v>145</v>
      </c>
      <c r="T57" s="13">
        <v>650.0</v>
      </c>
      <c r="AE57" s="10">
        <v>49.0803</v>
      </c>
      <c r="AF57" s="10">
        <v>-116.4931</v>
      </c>
      <c r="AG57" s="10">
        <v>650.0</v>
      </c>
    </row>
    <row r="58" ht="14.25" customHeight="1">
      <c r="A58" s="6" t="s">
        <v>138</v>
      </c>
      <c r="B58" s="5">
        <v>10.0</v>
      </c>
      <c r="C58" s="12" t="s">
        <v>139</v>
      </c>
      <c r="D58" s="10" t="s">
        <v>288</v>
      </c>
      <c r="E58" s="10"/>
      <c r="F58" s="10" t="s">
        <v>289</v>
      </c>
      <c r="G58" s="10" t="str">
        <f t="shared" si="1"/>
        <v>-&gt; 119.452 W, 49.8299 N, Elev. 473 m</v>
      </c>
      <c r="M58" s="13">
        <v>49.8299</v>
      </c>
      <c r="N58" s="13">
        <v>-119.452</v>
      </c>
      <c r="O58" s="13" t="s">
        <v>142</v>
      </c>
      <c r="P58" s="13" t="s">
        <v>290</v>
      </c>
      <c r="Q58" s="14">
        <v>1.0</v>
      </c>
      <c r="R58" s="13" t="s">
        <v>291</v>
      </c>
      <c r="S58" s="13" t="s">
        <v>145</v>
      </c>
      <c r="T58" s="13">
        <v>473.0</v>
      </c>
      <c r="AE58" s="10">
        <v>49.8299</v>
      </c>
      <c r="AF58" s="10">
        <v>-119.452</v>
      </c>
      <c r="AG58" s="10">
        <v>473.0</v>
      </c>
    </row>
    <row r="59" ht="14.25" customHeight="1">
      <c r="A59" s="6" t="s">
        <v>138</v>
      </c>
      <c r="B59" s="5">
        <v>10.0</v>
      </c>
      <c r="C59" s="12" t="s">
        <v>139</v>
      </c>
      <c r="D59" s="10" t="s">
        <v>292</v>
      </c>
      <c r="E59" s="10"/>
      <c r="F59" s="12" t="s">
        <v>293</v>
      </c>
      <c r="G59" s="10" t="str">
        <f t="shared" si="1"/>
        <v>-&gt; 120.128 W, 55.569 N, Elev. 744 m</v>
      </c>
      <c r="M59" s="13">
        <v>55.569</v>
      </c>
      <c r="N59" s="13">
        <v>-120.128</v>
      </c>
      <c r="O59" s="13" t="s">
        <v>153</v>
      </c>
      <c r="P59" s="13" t="s">
        <v>294</v>
      </c>
      <c r="Q59" s="14">
        <v>4.0</v>
      </c>
      <c r="R59" s="13" t="s">
        <v>295</v>
      </c>
      <c r="S59" s="13" t="s">
        <v>145</v>
      </c>
      <c r="T59" s="13">
        <v>744.0</v>
      </c>
      <c r="AE59" s="10">
        <v>55.569</v>
      </c>
      <c r="AF59" s="10">
        <v>-120.128</v>
      </c>
      <c r="AG59" s="10">
        <v>744.0</v>
      </c>
    </row>
    <row r="60" ht="14.25" customHeight="1">
      <c r="A60" s="6" t="s">
        <v>138</v>
      </c>
      <c r="B60" s="5">
        <v>10.0</v>
      </c>
      <c r="C60" s="12" t="s">
        <v>139</v>
      </c>
      <c r="D60" s="10" t="s">
        <v>296</v>
      </c>
      <c r="E60" s="10"/>
      <c r="F60" s="12" t="s">
        <v>297</v>
      </c>
      <c r="G60" s="10" t="str">
        <f t="shared" si="1"/>
        <v>-&gt; 120.601 W, 56.0151 N, Elev. 783 m</v>
      </c>
      <c r="M60" s="13">
        <v>56.0151</v>
      </c>
      <c r="N60" s="13">
        <v>-120.601</v>
      </c>
      <c r="O60" s="13" t="s">
        <v>153</v>
      </c>
      <c r="P60" s="13" t="s">
        <v>298</v>
      </c>
      <c r="Q60" s="14">
        <v>7.0</v>
      </c>
      <c r="R60" s="13" t="s">
        <v>299</v>
      </c>
      <c r="S60" s="13" t="s">
        <v>145</v>
      </c>
      <c r="T60" s="13">
        <v>783.0</v>
      </c>
      <c r="AE60" s="10">
        <v>56.0151</v>
      </c>
      <c r="AF60" s="10">
        <v>-120.601</v>
      </c>
      <c r="AG60" s="10">
        <v>783.0</v>
      </c>
    </row>
    <row r="61" ht="14.25" customHeight="1">
      <c r="A61" s="6" t="s">
        <v>138</v>
      </c>
      <c r="B61" s="5">
        <v>10.0</v>
      </c>
      <c r="C61" s="12" t="s">
        <v>139</v>
      </c>
      <c r="D61" s="10" t="s">
        <v>300</v>
      </c>
      <c r="E61" s="10"/>
      <c r="F61" s="12" t="s">
        <v>301</v>
      </c>
      <c r="G61" s="10" t="str">
        <f t="shared" si="1"/>
        <v>-&gt; 123.0639 W, 49.0393 N, Elev. 3 m</v>
      </c>
      <c r="M61" s="13">
        <v>49.0393</v>
      </c>
      <c r="N61" s="13">
        <v>-123.0639</v>
      </c>
      <c r="O61" s="13" t="s">
        <v>183</v>
      </c>
      <c r="P61" s="13" t="s">
        <v>302</v>
      </c>
      <c r="Q61" s="14">
        <v>1.0</v>
      </c>
      <c r="R61" s="13" t="s">
        <v>303</v>
      </c>
      <c r="S61" s="13" t="s">
        <v>145</v>
      </c>
      <c r="T61" s="13">
        <v>3.0</v>
      </c>
      <c r="Z61" s="13"/>
      <c r="AA61" s="13"/>
      <c r="AB61" s="13"/>
      <c r="AC61" s="13"/>
      <c r="AE61" s="10">
        <v>49.0393</v>
      </c>
      <c r="AF61" s="10">
        <v>-123.0639</v>
      </c>
      <c r="AG61" s="10">
        <v>3.0</v>
      </c>
    </row>
    <row r="62" ht="14.25" customHeight="1">
      <c r="A62" s="6" t="s">
        <v>138</v>
      </c>
      <c r="B62" s="5">
        <v>10.0</v>
      </c>
      <c r="C62" s="12" t="s">
        <v>139</v>
      </c>
      <c r="D62" s="10" t="s">
        <v>304</v>
      </c>
      <c r="E62" s="10"/>
      <c r="F62" s="12" t="s">
        <v>305</v>
      </c>
      <c r="G62" s="10" t="str">
        <f t="shared" si="1"/>
        <v>-&gt; 122.313 W, 56.5215 N, Elev. 674 m</v>
      </c>
      <c r="M62" s="13">
        <v>56.5215</v>
      </c>
      <c r="N62" s="13">
        <v>-122.313</v>
      </c>
      <c r="O62" s="13" t="s">
        <v>153</v>
      </c>
      <c r="P62" s="13" t="s">
        <v>306</v>
      </c>
      <c r="Q62" s="14">
        <v>2.0</v>
      </c>
      <c r="R62" s="13" t="s">
        <v>307</v>
      </c>
      <c r="S62" s="13" t="s">
        <v>145</v>
      </c>
      <c r="T62" s="13">
        <v>674.0</v>
      </c>
      <c r="AE62" s="10">
        <v>56.5215</v>
      </c>
      <c r="AF62" s="10">
        <v>-122.313</v>
      </c>
      <c r="AG62" s="10">
        <v>674.0</v>
      </c>
    </row>
    <row r="63" ht="14.25" customHeight="1">
      <c r="A63" s="6" t="s">
        <v>138</v>
      </c>
      <c r="B63" s="5">
        <v>10.0</v>
      </c>
      <c r="C63" s="12" t="s">
        <v>139</v>
      </c>
      <c r="D63" s="10" t="s">
        <v>308</v>
      </c>
      <c r="E63" s="10"/>
      <c r="F63" s="12" t="s">
        <v>309</v>
      </c>
      <c r="G63" s="10" t="str">
        <f t="shared" si="1"/>
        <v>-&gt; 119.5746 W, 49.868 N, Elev. 487 m</v>
      </c>
      <c r="M63" s="13">
        <v>49.868</v>
      </c>
      <c r="N63" s="13">
        <v>-119.5746</v>
      </c>
      <c r="O63" s="13" t="s">
        <v>142</v>
      </c>
      <c r="P63" s="13" t="s">
        <v>310</v>
      </c>
      <c r="Q63" s="14">
        <v>1.0</v>
      </c>
      <c r="R63" s="13" t="s">
        <v>311</v>
      </c>
      <c r="S63" s="13" t="s">
        <v>145</v>
      </c>
      <c r="T63" s="13">
        <v>487.0</v>
      </c>
      <c r="AE63" s="10">
        <v>49.868</v>
      </c>
      <c r="AF63" s="10">
        <v>-119.5746</v>
      </c>
      <c r="AG63" s="10">
        <v>487.0</v>
      </c>
    </row>
    <row r="64" ht="14.25" customHeight="1">
      <c r="A64" s="6" t="s">
        <v>138</v>
      </c>
      <c r="B64" s="5">
        <v>10.0</v>
      </c>
      <c r="C64" s="12" t="s">
        <v>139</v>
      </c>
      <c r="D64" s="10" t="s">
        <v>312</v>
      </c>
      <c r="E64" s="10"/>
      <c r="F64" s="12" t="s">
        <v>313</v>
      </c>
      <c r="G64" s="10" t="str">
        <f t="shared" si="1"/>
        <v>-&gt; 123.158 W, 49.0827 N, Elev. 7 m</v>
      </c>
      <c r="M64" s="13">
        <v>49.0827</v>
      </c>
      <c r="N64" s="13">
        <v>-123.158</v>
      </c>
      <c r="O64" s="13" t="s">
        <v>183</v>
      </c>
      <c r="P64" s="13" t="s">
        <v>314</v>
      </c>
      <c r="Q64" s="14">
        <v>1.0</v>
      </c>
      <c r="R64" s="13" t="s">
        <v>315</v>
      </c>
      <c r="S64" s="13" t="s">
        <v>145</v>
      </c>
      <c r="T64" s="13">
        <v>7.0</v>
      </c>
      <c r="AE64" s="10">
        <v>49.0827</v>
      </c>
      <c r="AF64" s="10">
        <v>-123.158</v>
      </c>
      <c r="AG64" s="10">
        <v>7.0</v>
      </c>
    </row>
    <row r="65" ht="14.25" customHeight="1">
      <c r="A65" s="6" t="s">
        <v>138</v>
      </c>
      <c r="B65" s="5">
        <v>10.0</v>
      </c>
      <c r="C65" s="12" t="s">
        <v>139</v>
      </c>
      <c r="D65" s="10" t="s">
        <v>316</v>
      </c>
      <c r="E65" s="10"/>
      <c r="F65" s="12" t="s">
        <v>317</v>
      </c>
      <c r="G65" s="10" t="str">
        <f t="shared" si="1"/>
        <v>-&gt; 119.4343 W, 50.0596 N, Elev. 455 m</v>
      </c>
      <c r="M65" s="13">
        <v>50.0596</v>
      </c>
      <c r="N65" s="13">
        <v>-119.4343</v>
      </c>
      <c r="O65" s="13" t="s">
        <v>142</v>
      </c>
      <c r="P65" s="13" t="s">
        <v>318</v>
      </c>
      <c r="Q65" s="14">
        <v>1.0</v>
      </c>
      <c r="R65" s="13" t="s">
        <v>319</v>
      </c>
      <c r="S65" s="13" t="s">
        <v>145</v>
      </c>
      <c r="T65" s="13">
        <v>455.0</v>
      </c>
      <c r="AE65" s="10">
        <v>50.0596</v>
      </c>
      <c r="AF65" s="10">
        <v>-119.4343</v>
      </c>
      <c r="AG65" s="10">
        <v>455.0</v>
      </c>
    </row>
    <row r="66" ht="14.25" customHeight="1">
      <c r="A66" s="6" t="s">
        <v>138</v>
      </c>
      <c r="B66" s="5">
        <v>10.0</v>
      </c>
      <c r="C66" s="12" t="s">
        <v>139</v>
      </c>
      <c r="D66" s="10" t="s">
        <v>320</v>
      </c>
      <c r="E66" s="10"/>
      <c r="F66" s="12" t="s">
        <v>321</v>
      </c>
      <c r="G66" s="10" t="str">
        <f t="shared" si="1"/>
        <v>-&gt; 119.4205 W, 50.0471 N, Elev. 506 m</v>
      </c>
      <c r="M66" s="13">
        <v>50.0471</v>
      </c>
      <c r="N66" s="13">
        <v>-119.4205</v>
      </c>
      <c r="O66" s="13" t="s">
        <v>183</v>
      </c>
      <c r="P66" s="13" t="s">
        <v>322</v>
      </c>
      <c r="Q66" s="14">
        <v>6.0</v>
      </c>
      <c r="R66" s="13" t="s">
        <v>323</v>
      </c>
      <c r="S66" s="13" t="s">
        <v>145</v>
      </c>
      <c r="T66" s="13">
        <v>506.0</v>
      </c>
      <c r="AE66" s="10">
        <v>50.0471</v>
      </c>
      <c r="AF66" s="10">
        <v>-119.4205</v>
      </c>
      <c r="AG66" s="10">
        <v>506.0</v>
      </c>
    </row>
    <row r="67" ht="14.25" customHeight="1">
      <c r="A67" s="6" t="s">
        <v>138</v>
      </c>
      <c r="B67" s="5">
        <v>10.0</v>
      </c>
      <c r="C67" s="12" t="s">
        <v>139</v>
      </c>
      <c r="D67" s="10" t="s">
        <v>324</v>
      </c>
      <c r="E67" s="10"/>
      <c r="F67" s="12" t="s">
        <v>325</v>
      </c>
      <c r="G67" s="10" t="str">
        <f t="shared" si="1"/>
        <v>-&gt; 116.5696 W, 49.1678 N, Elev. 533 m</v>
      </c>
      <c r="M67" s="13">
        <v>49.1678</v>
      </c>
      <c r="N67" s="13">
        <v>-116.5696</v>
      </c>
      <c r="O67" s="13" t="s">
        <v>170</v>
      </c>
      <c r="P67" s="13" t="s">
        <v>326</v>
      </c>
      <c r="Q67" s="14">
        <v>1.0</v>
      </c>
      <c r="R67" s="13" t="s">
        <v>327</v>
      </c>
      <c r="S67" s="13" t="s">
        <v>145</v>
      </c>
      <c r="T67" s="13">
        <v>533.0</v>
      </c>
      <c r="AE67" s="10">
        <v>49.1678</v>
      </c>
      <c r="AF67" s="10">
        <v>-116.5696</v>
      </c>
      <c r="AG67" s="10">
        <v>533.0</v>
      </c>
    </row>
    <row r="68" ht="14.25" customHeight="1">
      <c r="A68" s="6" t="s">
        <v>328</v>
      </c>
      <c r="B68" s="5">
        <v>10.0</v>
      </c>
      <c r="C68" s="12" t="s">
        <v>139</v>
      </c>
      <c r="D68" s="10" t="s">
        <v>329</v>
      </c>
      <c r="E68" s="10"/>
      <c r="F68" s="12" t="s">
        <v>330</v>
      </c>
      <c r="G68" s="10" t="str">
        <f t="shared" si="1"/>
        <v>-&gt; 119.384 W, 49.8767 N, Elev. 468 m</v>
      </c>
      <c r="M68" s="13">
        <v>49.8767</v>
      </c>
      <c r="N68" s="13">
        <v>-119.384</v>
      </c>
      <c r="O68" s="13" t="s">
        <v>142</v>
      </c>
      <c r="P68" s="13" t="s">
        <v>331</v>
      </c>
      <c r="Q68" s="14">
        <v>1.0</v>
      </c>
      <c r="R68" s="10" t="s">
        <v>332</v>
      </c>
      <c r="S68" s="13" t="s">
        <v>145</v>
      </c>
      <c r="T68" s="13">
        <v>468.0</v>
      </c>
      <c r="AE68" s="10">
        <v>49.8767</v>
      </c>
      <c r="AF68" s="10">
        <v>-119.384</v>
      </c>
      <c r="AG68" s="10">
        <v>468.0</v>
      </c>
    </row>
    <row r="69" ht="14.25" customHeight="1">
      <c r="A69" s="6" t="s">
        <v>328</v>
      </c>
      <c r="B69" s="5">
        <v>10.0</v>
      </c>
      <c r="C69" s="12" t="s">
        <v>139</v>
      </c>
      <c r="D69" s="10" t="s">
        <v>333</v>
      </c>
      <c r="E69" s="10"/>
      <c r="F69" s="12" t="s">
        <v>334</v>
      </c>
      <c r="G69" s="10" t="str">
        <f t="shared" si="1"/>
        <v>-&gt; 119.4491 W, 49.872 N, Elev. 357 m</v>
      </c>
      <c r="M69" s="13">
        <v>49.872</v>
      </c>
      <c r="N69" s="13">
        <v>-119.4491</v>
      </c>
      <c r="O69" s="13" t="s">
        <v>142</v>
      </c>
      <c r="P69" s="13" t="s">
        <v>335</v>
      </c>
      <c r="Q69" s="14">
        <v>1.0</v>
      </c>
      <c r="R69" s="13" t="s">
        <v>336</v>
      </c>
      <c r="S69" s="13" t="s">
        <v>145</v>
      </c>
      <c r="T69" s="13">
        <v>357.0</v>
      </c>
      <c r="AE69" s="10">
        <v>49.872</v>
      </c>
      <c r="AF69" s="10">
        <v>-119.4491</v>
      </c>
      <c r="AG69" s="10">
        <v>357.0</v>
      </c>
    </row>
    <row r="70" ht="14.25" customHeight="1">
      <c r="A70" s="6" t="s">
        <v>328</v>
      </c>
      <c r="B70" s="5">
        <v>10.0</v>
      </c>
      <c r="C70" s="12" t="s">
        <v>139</v>
      </c>
      <c r="D70" s="12" t="s">
        <v>337</v>
      </c>
      <c r="E70" s="10"/>
      <c r="F70" s="12" t="s">
        <v>338</v>
      </c>
      <c r="G70" s="10" t="str">
        <f t="shared" si="1"/>
        <v>-&gt; 118.869 W, 50.248 N, Elev. 580 m</v>
      </c>
      <c r="M70" s="10">
        <v>50.248</v>
      </c>
      <c r="N70" s="10">
        <v>-118.87</v>
      </c>
      <c r="O70" s="10"/>
      <c r="P70" s="10" t="s">
        <v>339</v>
      </c>
      <c r="Q70" s="15"/>
      <c r="R70" s="10" t="s">
        <v>340</v>
      </c>
      <c r="S70" s="10" t="s">
        <v>145</v>
      </c>
      <c r="T70" s="10">
        <v>580.0</v>
      </c>
      <c r="AE70" s="10">
        <v>50.248</v>
      </c>
      <c r="AF70" s="10">
        <v>-118.869</v>
      </c>
      <c r="AG70" s="10">
        <v>580.0</v>
      </c>
    </row>
    <row r="71" ht="14.25" customHeight="1">
      <c r="A71" s="6" t="s">
        <v>328</v>
      </c>
      <c r="B71" s="5">
        <v>10.0</v>
      </c>
      <c r="C71" s="12" t="s">
        <v>139</v>
      </c>
      <c r="D71" s="10" t="s">
        <v>341</v>
      </c>
      <c r="E71" s="10"/>
      <c r="F71" s="12" t="s">
        <v>342</v>
      </c>
      <c r="G71" s="10" t="str">
        <f t="shared" si="1"/>
        <v>-&gt; 122.986 W, 49.0791 N, Elev. 8 m</v>
      </c>
      <c r="M71" s="13">
        <v>49.0791</v>
      </c>
      <c r="N71" s="13">
        <v>-122.986</v>
      </c>
      <c r="O71" s="13" t="s">
        <v>183</v>
      </c>
      <c r="P71" s="13" t="s">
        <v>343</v>
      </c>
      <c r="Q71" s="14">
        <v>1.0</v>
      </c>
      <c r="R71" s="13" t="s">
        <v>344</v>
      </c>
      <c r="S71" s="13" t="s">
        <v>145</v>
      </c>
      <c r="T71" s="13">
        <v>8.0</v>
      </c>
      <c r="AE71" s="10">
        <v>49.0791</v>
      </c>
      <c r="AF71" s="10">
        <v>-122.986</v>
      </c>
      <c r="AG71" s="10">
        <v>8.0</v>
      </c>
    </row>
    <row r="72" ht="14.25" customHeight="1">
      <c r="A72" s="6" t="s">
        <v>328</v>
      </c>
      <c r="B72" s="5">
        <v>10.0</v>
      </c>
      <c r="C72" s="12" t="s">
        <v>139</v>
      </c>
      <c r="D72" s="10" t="s">
        <v>345</v>
      </c>
      <c r="E72" s="10"/>
      <c r="F72" s="12" t="s">
        <v>346</v>
      </c>
      <c r="G72" s="10" t="str">
        <f t="shared" si="1"/>
        <v>-&gt; 119.7442 W, 49.1851 N, Elev. 421 m</v>
      </c>
      <c r="M72" s="13">
        <v>49.1851</v>
      </c>
      <c r="N72" s="13">
        <v>-119.7442</v>
      </c>
      <c r="O72" s="13" t="s">
        <v>142</v>
      </c>
      <c r="P72" s="13" t="s">
        <v>347</v>
      </c>
      <c r="Q72" s="14">
        <v>1.0</v>
      </c>
      <c r="R72" s="13" t="s">
        <v>348</v>
      </c>
      <c r="S72" s="13" t="s">
        <v>145</v>
      </c>
      <c r="T72" s="13">
        <v>421.0</v>
      </c>
      <c r="AE72" s="10">
        <v>49.1851</v>
      </c>
      <c r="AF72" s="10">
        <v>-119.7442</v>
      </c>
      <c r="AG72" s="10">
        <v>421.0</v>
      </c>
    </row>
    <row r="73" ht="14.25" customHeight="1">
      <c r="A73" s="6" t="s">
        <v>349</v>
      </c>
      <c r="B73" s="5">
        <v>10.0</v>
      </c>
      <c r="C73" s="12" t="s">
        <v>139</v>
      </c>
      <c r="D73" s="10" t="s">
        <v>350</v>
      </c>
      <c r="E73" s="10"/>
      <c r="F73" s="12" t="s">
        <v>351</v>
      </c>
      <c r="G73" s="10" t="str">
        <f t="shared" si="1"/>
        <v>-&gt; 116.5674 W, 49.0418 N, Elev. 536 m</v>
      </c>
      <c r="M73" s="13">
        <v>49.0418</v>
      </c>
      <c r="N73" s="13">
        <v>-116.5674</v>
      </c>
      <c r="O73" s="13" t="s">
        <v>170</v>
      </c>
      <c r="P73" s="13" t="s">
        <v>352</v>
      </c>
      <c r="Q73" s="14">
        <v>1.0</v>
      </c>
      <c r="R73" s="13" t="s">
        <v>353</v>
      </c>
      <c r="S73" s="13" t="s">
        <v>145</v>
      </c>
      <c r="T73" s="13">
        <v>536.0</v>
      </c>
      <c r="AE73" s="10">
        <v>49.0418</v>
      </c>
      <c r="AF73" s="10">
        <v>-116.5674</v>
      </c>
      <c r="AG73" s="10">
        <v>536.0</v>
      </c>
    </row>
    <row r="74" ht="14.25" customHeight="1">
      <c r="A74" s="6" t="s">
        <v>328</v>
      </c>
      <c r="B74" s="5">
        <v>10.0</v>
      </c>
      <c r="C74" s="12" t="s">
        <v>139</v>
      </c>
      <c r="D74" s="10" t="s">
        <v>354</v>
      </c>
      <c r="E74" s="10"/>
      <c r="F74" s="12" t="s">
        <v>355</v>
      </c>
      <c r="G74" s="10" t="str">
        <f t="shared" si="1"/>
        <v>-&gt; 120.038 W, 56.0888 N, Elev. 606 m</v>
      </c>
      <c r="M74" s="13">
        <v>56.0888</v>
      </c>
      <c r="N74" s="13">
        <v>-120.038</v>
      </c>
      <c r="O74" s="13" t="s">
        <v>153</v>
      </c>
      <c r="P74" s="13" t="s">
        <v>356</v>
      </c>
      <c r="Q74" s="14">
        <v>1.0</v>
      </c>
      <c r="R74" s="13" t="s">
        <v>357</v>
      </c>
      <c r="S74" s="13" t="s">
        <v>145</v>
      </c>
      <c r="T74" s="13">
        <v>606.0</v>
      </c>
      <c r="AE74" s="10">
        <v>56.0888</v>
      </c>
      <c r="AF74" s="10">
        <v>-120.038</v>
      </c>
      <c r="AG74" s="10">
        <v>606.0</v>
      </c>
    </row>
    <row r="75" ht="14.25" customHeight="1">
      <c r="A75" s="6" t="s">
        <v>328</v>
      </c>
      <c r="B75" s="5">
        <v>10.0</v>
      </c>
      <c r="C75" s="12" t="s">
        <v>139</v>
      </c>
      <c r="D75" s="10" t="s">
        <v>358</v>
      </c>
      <c r="E75" s="10"/>
      <c r="F75" s="12" t="s">
        <v>359</v>
      </c>
      <c r="G75" s="10" t="str">
        <f t="shared" si="1"/>
        <v>-&gt; 119.4201 W, 49.8654 N, Elev. 434 m</v>
      </c>
      <c r="M75" s="13">
        <v>49.8654</v>
      </c>
      <c r="N75" s="13">
        <v>-119.4201</v>
      </c>
      <c r="O75" s="13" t="s">
        <v>142</v>
      </c>
      <c r="P75" s="16" t="s">
        <v>360</v>
      </c>
      <c r="Q75" s="14">
        <v>1.0</v>
      </c>
      <c r="R75" s="13" t="s">
        <v>361</v>
      </c>
      <c r="S75" s="13" t="s">
        <v>145</v>
      </c>
      <c r="T75" s="13">
        <v>434.0</v>
      </c>
      <c r="AE75" s="10">
        <v>49.8654</v>
      </c>
      <c r="AF75" s="10">
        <v>-119.4201</v>
      </c>
      <c r="AG75" s="10">
        <v>434.0</v>
      </c>
    </row>
    <row r="76" ht="14.25" customHeight="1">
      <c r="A76" s="6" t="s">
        <v>328</v>
      </c>
      <c r="B76" s="5">
        <v>10.0</v>
      </c>
      <c r="C76" s="12" t="s">
        <v>139</v>
      </c>
      <c r="D76" s="10" t="s">
        <v>362</v>
      </c>
      <c r="E76" s="10"/>
      <c r="F76" s="12" t="s">
        <v>363</v>
      </c>
      <c r="G76" s="10" t="str">
        <f t="shared" si="1"/>
        <v>-&gt; 119.3652 W, 49.9508 N, Elev. 436 m</v>
      </c>
      <c r="M76" s="13">
        <v>49.9508</v>
      </c>
      <c r="N76" s="13">
        <v>-119.3652</v>
      </c>
      <c r="O76" s="13" t="s">
        <v>142</v>
      </c>
      <c r="P76" s="13" t="s">
        <v>364</v>
      </c>
      <c r="Q76" s="14">
        <v>1.0</v>
      </c>
      <c r="R76" s="13" t="s">
        <v>365</v>
      </c>
      <c r="S76" s="13" t="s">
        <v>145</v>
      </c>
      <c r="T76" s="13">
        <v>436.0</v>
      </c>
      <c r="AE76" s="10">
        <v>49.9508</v>
      </c>
      <c r="AF76" s="10">
        <v>-119.3652</v>
      </c>
      <c r="AG76" s="10">
        <v>436.0</v>
      </c>
    </row>
    <row r="77" ht="14.25" customHeight="1">
      <c r="A77" s="6" t="s">
        <v>138</v>
      </c>
      <c r="B77" s="5">
        <v>10.0</v>
      </c>
      <c r="C77" s="12" t="s">
        <v>139</v>
      </c>
      <c r="D77" s="10" t="s">
        <v>366</v>
      </c>
      <c r="E77" s="10"/>
      <c r="F77" s="12" t="s">
        <v>367</v>
      </c>
      <c r="G77" s="10" t="str">
        <f t="shared" si="1"/>
        <v>-&gt; 120.513 W, 55.6058 N, Elev. 731 m</v>
      </c>
      <c r="M77" s="13">
        <v>55.6058</v>
      </c>
      <c r="N77" s="13">
        <v>-120.513</v>
      </c>
      <c r="O77" s="13" t="s">
        <v>153</v>
      </c>
      <c r="P77" s="13" t="s">
        <v>368</v>
      </c>
      <c r="Q77" s="14">
        <v>3.0</v>
      </c>
      <c r="R77" s="13" t="s">
        <v>369</v>
      </c>
      <c r="S77" s="13" t="s">
        <v>145</v>
      </c>
      <c r="T77" s="13">
        <v>731.0</v>
      </c>
      <c r="AE77" s="10">
        <v>55.6058</v>
      </c>
      <c r="AF77" s="10">
        <v>-120.513</v>
      </c>
      <c r="AG77" s="10">
        <v>731.0</v>
      </c>
    </row>
    <row r="78" ht="14.25" customHeight="1">
      <c r="A78" s="6" t="s">
        <v>138</v>
      </c>
      <c r="B78" s="5">
        <v>10.0</v>
      </c>
      <c r="C78" s="12" t="s">
        <v>139</v>
      </c>
      <c r="D78" s="10" t="s">
        <v>370</v>
      </c>
      <c r="E78" s="10"/>
      <c r="F78" s="12" t="s">
        <v>371</v>
      </c>
      <c r="G78" s="10" t="str">
        <f t="shared" si="1"/>
        <v>-&gt; 119.4223 W, 49.9154 N, Elev. 447 m</v>
      </c>
      <c r="M78" s="13">
        <v>49.9154</v>
      </c>
      <c r="N78" s="13">
        <v>-119.4223</v>
      </c>
      <c r="O78" s="13" t="s">
        <v>142</v>
      </c>
      <c r="P78" s="13" t="s">
        <v>372</v>
      </c>
      <c r="Q78" s="14">
        <v>1.0</v>
      </c>
      <c r="R78" s="13" t="s">
        <v>373</v>
      </c>
      <c r="S78" s="13" t="s">
        <v>145</v>
      </c>
      <c r="T78" s="13">
        <v>447.0</v>
      </c>
      <c r="AE78" s="10">
        <v>49.9154</v>
      </c>
      <c r="AF78" s="10">
        <v>-119.4223</v>
      </c>
      <c r="AG78" s="10">
        <v>447.0</v>
      </c>
    </row>
    <row r="79" ht="14.25" customHeight="1">
      <c r="A79" s="6" t="s">
        <v>328</v>
      </c>
      <c r="B79" s="5">
        <v>10.0</v>
      </c>
      <c r="C79" s="12" t="s">
        <v>139</v>
      </c>
      <c r="D79" s="10" t="s">
        <v>374</v>
      </c>
      <c r="E79" s="10"/>
      <c r="F79" s="12" t="s">
        <v>375</v>
      </c>
      <c r="G79" s="10" t="str">
        <f t="shared" si="1"/>
        <v>-&gt; 120.183 W, 56.3335 N, Elev. 676 m</v>
      </c>
      <c r="M79" s="13">
        <v>56.3335</v>
      </c>
      <c r="N79" s="13">
        <v>-120.183</v>
      </c>
      <c r="O79" s="13" t="s">
        <v>153</v>
      </c>
      <c r="P79" s="13" t="s">
        <v>376</v>
      </c>
      <c r="Q79" s="14">
        <v>2.0</v>
      </c>
      <c r="R79" s="13" t="s">
        <v>377</v>
      </c>
      <c r="S79" s="13" t="s">
        <v>145</v>
      </c>
      <c r="T79" s="13">
        <v>676.0</v>
      </c>
      <c r="AE79" s="10">
        <v>56.3335</v>
      </c>
      <c r="AF79" s="10">
        <v>-120.183</v>
      </c>
      <c r="AG79" s="10">
        <v>676.0</v>
      </c>
    </row>
    <row r="80" ht="14.25" customHeight="1">
      <c r="A80" s="6" t="s">
        <v>328</v>
      </c>
      <c r="B80" s="5">
        <v>10.0</v>
      </c>
      <c r="C80" s="12" t="s">
        <v>139</v>
      </c>
      <c r="D80" s="10" t="s">
        <v>378</v>
      </c>
      <c r="E80" s="10"/>
      <c r="F80" s="12" t="s">
        <v>379</v>
      </c>
      <c r="G80" s="10" t="str">
        <f t="shared" si="1"/>
        <v>-&gt; 118.485 W, 49.006 N, Elev. 536 m</v>
      </c>
      <c r="M80" s="13">
        <v>49.006</v>
      </c>
      <c r="N80" s="13">
        <v>-118.485</v>
      </c>
      <c r="O80" s="13" t="s">
        <v>142</v>
      </c>
      <c r="P80" s="13" t="s">
        <v>380</v>
      </c>
      <c r="Q80" s="14">
        <v>1.0</v>
      </c>
      <c r="R80" s="13" t="s">
        <v>381</v>
      </c>
      <c r="S80" s="13" t="s">
        <v>145</v>
      </c>
      <c r="T80" s="13">
        <v>536.0</v>
      </c>
      <c r="AE80" s="10">
        <v>49.006</v>
      </c>
      <c r="AF80" s="10">
        <v>-118.485</v>
      </c>
      <c r="AG80" s="10">
        <v>536.0</v>
      </c>
    </row>
    <row r="81" ht="14.25" customHeight="1">
      <c r="A81" s="6" t="s">
        <v>328</v>
      </c>
      <c r="B81" s="5">
        <v>10.0</v>
      </c>
      <c r="C81" s="12" t="s">
        <v>139</v>
      </c>
      <c r="D81" s="10" t="s">
        <v>382</v>
      </c>
      <c r="E81" s="10"/>
      <c r="F81" s="12" t="s">
        <v>383</v>
      </c>
      <c r="G81" s="10" t="str">
        <f t="shared" si="1"/>
        <v>-&gt; 123.6917 W, 48.7319 N, Elev. 40 m</v>
      </c>
      <c r="M81" s="13">
        <v>48.7319</v>
      </c>
      <c r="N81" s="13">
        <v>-123.6917</v>
      </c>
      <c r="O81" s="13" t="s">
        <v>183</v>
      </c>
      <c r="P81" s="13" t="s">
        <v>384</v>
      </c>
      <c r="Q81" s="14">
        <v>2.0</v>
      </c>
      <c r="R81" s="13" t="s">
        <v>385</v>
      </c>
      <c r="S81" s="13" t="s">
        <v>145</v>
      </c>
      <c r="T81" s="13">
        <v>40.0</v>
      </c>
      <c r="AE81" s="10">
        <v>48.7319</v>
      </c>
      <c r="AF81" s="10">
        <v>-123.6917</v>
      </c>
      <c r="AG81" s="10">
        <v>40.0</v>
      </c>
    </row>
    <row r="82" ht="14.25" customHeight="1">
      <c r="A82" s="6" t="s">
        <v>328</v>
      </c>
      <c r="B82" s="5">
        <v>10.0</v>
      </c>
      <c r="C82" s="12" t="s">
        <v>139</v>
      </c>
      <c r="D82" s="10" t="s">
        <v>386</v>
      </c>
      <c r="E82" s="10"/>
      <c r="F82" s="12" t="s">
        <v>387</v>
      </c>
      <c r="G82" s="10" t="str">
        <f t="shared" si="1"/>
        <v>-&gt; 123.0793 W, 49.0637 N, Elev. 0 m</v>
      </c>
      <c r="M82" s="13">
        <v>49.0637</v>
      </c>
      <c r="N82" s="13">
        <v>-123.0793</v>
      </c>
      <c r="O82" s="13" t="s">
        <v>183</v>
      </c>
      <c r="P82" s="13" t="s">
        <v>388</v>
      </c>
      <c r="Q82" s="14">
        <v>1.0</v>
      </c>
      <c r="R82" s="13" t="s">
        <v>389</v>
      </c>
      <c r="S82" s="13" t="s">
        <v>145</v>
      </c>
      <c r="T82" s="13">
        <v>0.0</v>
      </c>
      <c r="AE82" s="10">
        <v>49.0637</v>
      </c>
      <c r="AF82" s="10">
        <v>-123.0793</v>
      </c>
      <c r="AG82" s="10">
        <v>0.0</v>
      </c>
    </row>
    <row r="83" ht="14.25" customHeight="1">
      <c r="A83" s="6" t="s">
        <v>328</v>
      </c>
      <c r="B83" s="5">
        <v>10.0</v>
      </c>
      <c r="C83" s="12" t="s">
        <v>139</v>
      </c>
      <c r="D83" s="10" t="s">
        <v>390</v>
      </c>
      <c r="E83" s="10"/>
      <c r="F83" s="12" t="s">
        <v>391</v>
      </c>
      <c r="G83" s="10" t="str">
        <f t="shared" si="1"/>
        <v>-&gt; 121.26 W, 55.5903 N, Elev. 729 m</v>
      </c>
      <c r="M83" s="13">
        <v>55.5903</v>
      </c>
      <c r="N83" s="13">
        <v>-121.26</v>
      </c>
      <c r="O83" s="13" t="s">
        <v>153</v>
      </c>
      <c r="P83" s="13" t="s">
        <v>392</v>
      </c>
      <c r="Q83" s="14">
        <v>3.0</v>
      </c>
      <c r="R83" s="13" t="s">
        <v>393</v>
      </c>
      <c r="S83" s="13" t="s">
        <v>145</v>
      </c>
      <c r="T83" s="13">
        <v>729.0</v>
      </c>
      <c r="AE83" s="10">
        <v>55.5903</v>
      </c>
      <c r="AF83" s="10">
        <v>-121.26</v>
      </c>
      <c r="AG83" s="10">
        <v>729.0</v>
      </c>
    </row>
    <row r="84" ht="14.25" customHeight="1">
      <c r="A84" s="6" t="s">
        <v>328</v>
      </c>
      <c r="B84" s="5">
        <v>10.0</v>
      </c>
      <c r="C84" s="12" t="s">
        <v>139</v>
      </c>
      <c r="D84" s="10" t="s">
        <v>394</v>
      </c>
      <c r="E84" s="10"/>
      <c r="F84" s="12" t="s">
        <v>395</v>
      </c>
      <c r="G84" s="10" t="str">
        <f t="shared" si="1"/>
        <v>-&gt; 119.575 W, 49.4617 N, Elev. 400 m</v>
      </c>
      <c r="M84" s="13">
        <v>49.4617</v>
      </c>
      <c r="N84" s="13">
        <v>-119.575</v>
      </c>
      <c r="O84" s="13" t="s">
        <v>142</v>
      </c>
      <c r="P84" s="13" t="s">
        <v>396</v>
      </c>
      <c r="Q84" s="14">
        <v>1.0</v>
      </c>
      <c r="R84" s="13" t="s">
        <v>397</v>
      </c>
      <c r="S84" s="13" t="s">
        <v>145</v>
      </c>
      <c r="T84" s="13">
        <v>400.0</v>
      </c>
      <c r="AE84" s="10">
        <v>49.4617</v>
      </c>
      <c r="AF84" s="10">
        <v>-119.575</v>
      </c>
      <c r="AG84" s="10">
        <v>400.0</v>
      </c>
    </row>
    <row r="85" ht="14.25" customHeight="1">
      <c r="A85" s="6" t="s">
        <v>328</v>
      </c>
      <c r="B85" s="5">
        <v>10.0</v>
      </c>
      <c r="C85" s="12" t="s">
        <v>139</v>
      </c>
      <c r="D85" s="10" t="s">
        <v>398</v>
      </c>
      <c r="E85" s="10"/>
      <c r="F85" s="12" t="s">
        <v>399</v>
      </c>
      <c r="G85" s="10" t="str">
        <f t="shared" si="1"/>
        <v>-&gt; 120.087 W, 55.7056 N, Elev. 665 m</v>
      </c>
      <c r="M85" s="13">
        <v>55.7056</v>
      </c>
      <c r="N85" s="13">
        <v>-120.087</v>
      </c>
      <c r="O85" s="13" t="s">
        <v>153</v>
      </c>
      <c r="P85" s="13" t="s">
        <v>400</v>
      </c>
      <c r="Q85" s="14">
        <v>2.0</v>
      </c>
      <c r="R85" s="13" t="s">
        <v>401</v>
      </c>
      <c r="S85" s="13" t="s">
        <v>145</v>
      </c>
      <c r="T85" s="13">
        <v>665.0</v>
      </c>
      <c r="AE85" s="10">
        <v>55.7056</v>
      </c>
      <c r="AF85" s="10">
        <v>-120.087</v>
      </c>
      <c r="AG85" s="10">
        <v>665.0</v>
      </c>
    </row>
    <row r="86" ht="14.25" customHeight="1">
      <c r="A86" s="6" t="s">
        <v>328</v>
      </c>
      <c r="B86" s="5">
        <v>10.0</v>
      </c>
      <c r="C86" s="12" t="s">
        <v>139</v>
      </c>
      <c r="D86" s="10" t="s">
        <v>402</v>
      </c>
      <c r="E86" s="10"/>
      <c r="F86" s="12" t="s">
        <v>403</v>
      </c>
      <c r="G86" s="10" t="str">
        <f t="shared" si="1"/>
        <v>-&gt; 120.767 W, 56.5376 N, Elev. 713 m</v>
      </c>
      <c r="M86" s="13">
        <v>56.5376</v>
      </c>
      <c r="N86" s="13">
        <v>-120.767</v>
      </c>
      <c r="O86" s="13" t="s">
        <v>153</v>
      </c>
      <c r="P86" s="13" t="s">
        <v>404</v>
      </c>
      <c r="Q86" s="14">
        <v>3.0</v>
      </c>
      <c r="R86" s="13" t="s">
        <v>405</v>
      </c>
      <c r="S86" s="13" t="s">
        <v>145</v>
      </c>
      <c r="T86" s="13">
        <v>713.0</v>
      </c>
      <c r="AE86" s="10">
        <v>56.5376</v>
      </c>
      <c r="AF86" s="10">
        <v>-120.767</v>
      </c>
      <c r="AG86" s="10">
        <v>713.0</v>
      </c>
    </row>
    <row r="87" ht="14.25" customHeight="1">
      <c r="A87" s="6" t="s">
        <v>328</v>
      </c>
      <c r="B87" s="5">
        <v>10.0</v>
      </c>
      <c r="C87" s="12" t="s">
        <v>139</v>
      </c>
      <c r="D87" s="12" t="s">
        <v>406</v>
      </c>
      <c r="E87" s="10"/>
      <c r="F87" s="12" t="s">
        <v>407</v>
      </c>
      <c r="G87" s="10" t="str">
        <f t="shared" si="1"/>
        <v>-&gt; 119.765 W, 50.4788 N, Elev. 654 m</v>
      </c>
      <c r="M87" s="10">
        <v>50.4788</v>
      </c>
      <c r="N87" s="10">
        <v>-119.77</v>
      </c>
      <c r="O87" s="10"/>
      <c r="P87" s="10" t="s">
        <v>408</v>
      </c>
      <c r="Q87" s="15"/>
      <c r="R87" s="10" t="s">
        <v>409</v>
      </c>
      <c r="S87" s="10" t="s">
        <v>145</v>
      </c>
      <c r="T87" s="10">
        <v>654.0</v>
      </c>
      <c r="AE87" s="10">
        <v>50.4788</v>
      </c>
      <c r="AF87" s="10">
        <v>-119.765</v>
      </c>
      <c r="AG87" s="10">
        <v>654.0</v>
      </c>
    </row>
    <row r="88" ht="14.25" customHeight="1">
      <c r="A88" s="6" t="s">
        <v>138</v>
      </c>
      <c r="B88" s="5">
        <v>10.0</v>
      </c>
      <c r="C88" s="12" t="s">
        <v>139</v>
      </c>
      <c r="D88" s="10" t="s">
        <v>410</v>
      </c>
      <c r="E88" s="10"/>
      <c r="F88" s="12" t="s">
        <v>411</v>
      </c>
      <c r="G88" s="10" t="str">
        <f t="shared" si="1"/>
        <v>-&gt; 121.0258333 W, 50.14111111 N, Elev. 531 m</v>
      </c>
      <c r="M88" s="13">
        <v>50.14111111</v>
      </c>
      <c r="N88" s="13">
        <v>-121.0258333</v>
      </c>
      <c r="O88" s="13" t="s">
        <v>142</v>
      </c>
      <c r="P88" s="13" t="s">
        <v>412</v>
      </c>
      <c r="Q88" s="14">
        <v>1.0</v>
      </c>
      <c r="R88" s="13" t="s">
        <v>413</v>
      </c>
      <c r="S88" s="13" t="s">
        <v>145</v>
      </c>
      <c r="T88" s="13">
        <v>531.0</v>
      </c>
      <c r="AE88" s="10">
        <v>50.14111111</v>
      </c>
      <c r="AF88" s="10">
        <v>-121.0258333</v>
      </c>
      <c r="AG88" s="10">
        <v>531.0</v>
      </c>
    </row>
    <row r="89" ht="14.25" customHeight="1">
      <c r="A89" s="6" t="s">
        <v>328</v>
      </c>
      <c r="B89" s="5">
        <v>10.0</v>
      </c>
      <c r="C89" s="12" t="s">
        <v>139</v>
      </c>
      <c r="D89" s="10" t="s">
        <v>414</v>
      </c>
      <c r="E89" s="10"/>
      <c r="F89" s="12" t="s">
        <v>415</v>
      </c>
      <c r="G89" s="10" t="str">
        <f t="shared" si="1"/>
        <v>-&gt; 119.6944 W, 49.6141 N, Elev. 514 m</v>
      </c>
      <c r="M89" s="13">
        <v>49.6141</v>
      </c>
      <c r="N89" s="13">
        <v>-119.6944</v>
      </c>
      <c r="O89" s="13" t="s">
        <v>142</v>
      </c>
      <c r="P89" s="13" t="s">
        <v>416</v>
      </c>
      <c r="Q89" s="14">
        <v>1.0</v>
      </c>
      <c r="R89" s="13" t="s">
        <v>417</v>
      </c>
      <c r="S89" s="13" t="s">
        <v>145</v>
      </c>
      <c r="T89" s="13">
        <v>514.0</v>
      </c>
      <c r="AE89" s="10">
        <v>49.6141</v>
      </c>
      <c r="AF89" s="10">
        <v>-119.6944</v>
      </c>
      <c r="AG89" s="10">
        <v>514.0</v>
      </c>
    </row>
    <row r="90" ht="14.25" customHeight="1">
      <c r="A90" s="6" t="s">
        <v>328</v>
      </c>
      <c r="B90" s="5">
        <v>10.0</v>
      </c>
      <c r="C90" s="12" t="s">
        <v>139</v>
      </c>
      <c r="D90" s="12" t="s">
        <v>418</v>
      </c>
      <c r="E90" s="10"/>
      <c r="F90" s="10" t="s">
        <v>419</v>
      </c>
      <c r="G90" s="10" t="str">
        <f t="shared" si="1"/>
        <v>-&gt; 119.3839 W, 50.6304 N, Elev. 361 m</v>
      </c>
      <c r="M90" s="13">
        <v>50.6304</v>
      </c>
      <c r="N90" s="13">
        <v>-119.38</v>
      </c>
      <c r="O90" s="13"/>
      <c r="P90" s="13" t="s">
        <v>420</v>
      </c>
      <c r="Q90" s="14"/>
      <c r="R90" s="13" t="s">
        <v>421</v>
      </c>
      <c r="T90" s="13">
        <v>361.0</v>
      </c>
      <c r="AE90" s="10">
        <v>50.6304</v>
      </c>
      <c r="AF90" s="10">
        <v>-119.3839</v>
      </c>
      <c r="AG90" s="10">
        <v>361.0</v>
      </c>
    </row>
    <row r="91" ht="14.25" customHeight="1">
      <c r="A91" s="17" t="s">
        <v>422</v>
      </c>
      <c r="B91" s="5">
        <v>10.0</v>
      </c>
      <c r="C91" s="5" t="s">
        <v>7659</v>
      </c>
      <c r="D91" s="5" t="s">
        <v>424</v>
      </c>
      <c r="E91" s="5">
        <v>1527.0</v>
      </c>
      <c r="F91" s="5" t="s">
        <v>425</v>
      </c>
      <c r="G91" s="5">
        <v>1930.0</v>
      </c>
      <c r="H91" s="5" t="s">
        <v>426</v>
      </c>
      <c r="I91" s="5" t="s">
        <v>427</v>
      </c>
      <c r="J91" s="5">
        <v>36169.0</v>
      </c>
      <c r="M91" s="13"/>
      <c r="N91" s="13"/>
      <c r="O91" s="13"/>
      <c r="P91" s="13"/>
      <c r="Q91" s="14"/>
      <c r="R91" s="13"/>
      <c r="S91" s="18"/>
      <c r="T91" s="18"/>
      <c r="U91" s="18"/>
      <c r="V91" s="18"/>
      <c r="W91" s="18"/>
      <c r="X91" s="18"/>
      <c r="Y91" s="18"/>
      <c r="Z91" s="18"/>
      <c r="AA91" s="18"/>
      <c r="AB91" s="18"/>
      <c r="AC91" s="18"/>
      <c r="AD91" s="18"/>
      <c r="AE91" s="18">
        <v>49.15611111</v>
      </c>
      <c r="AF91" s="18">
        <v>-121.9405556</v>
      </c>
      <c r="AG91" s="18">
        <v>11.0</v>
      </c>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row>
    <row r="92" ht="14.25" customHeight="1">
      <c r="A92" s="17" t="s">
        <v>422</v>
      </c>
      <c r="B92" s="5">
        <v>10.0</v>
      </c>
      <c r="C92" s="5" t="s">
        <v>7659</v>
      </c>
      <c r="D92" s="5" t="s">
        <v>428</v>
      </c>
      <c r="E92" s="5">
        <v>1528.0</v>
      </c>
      <c r="F92" s="5" t="s">
        <v>429</v>
      </c>
      <c r="G92" s="5">
        <v>1931.0</v>
      </c>
      <c r="H92" s="5" t="s">
        <v>426</v>
      </c>
      <c r="I92" s="5" t="s">
        <v>427</v>
      </c>
      <c r="J92" s="5">
        <v>33555.0</v>
      </c>
      <c r="M92" s="13"/>
      <c r="N92" s="13"/>
      <c r="O92" s="13"/>
      <c r="P92" s="13"/>
      <c r="Q92" s="14"/>
      <c r="R92" s="13"/>
      <c r="S92" s="18"/>
      <c r="T92" s="18"/>
      <c r="U92" s="18"/>
      <c r="V92" s="18"/>
      <c r="W92" s="18"/>
      <c r="X92" s="18"/>
      <c r="Y92" s="18"/>
      <c r="Z92" s="18"/>
      <c r="AA92" s="18"/>
      <c r="AB92" s="18"/>
      <c r="AC92" s="18"/>
      <c r="AD92" s="18"/>
      <c r="AE92" s="18">
        <v>49.15833333</v>
      </c>
      <c r="AF92" s="18">
        <v>-122.9016667</v>
      </c>
      <c r="AG92" s="18">
        <v>111.0</v>
      </c>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row>
    <row r="93" ht="14.25" customHeight="1">
      <c r="A93" s="17" t="s">
        <v>422</v>
      </c>
      <c r="B93" s="5">
        <v>10.0</v>
      </c>
      <c r="C93" s="5" t="s">
        <v>7659</v>
      </c>
      <c r="D93" s="5" t="s">
        <v>430</v>
      </c>
      <c r="E93" s="5">
        <v>1529.0</v>
      </c>
      <c r="F93" s="5" t="s">
        <v>431</v>
      </c>
      <c r="G93" s="5">
        <v>1932.0</v>
      </c>
      <c r="H93" s="5" t="s">
        <v>426</v>
      </c>
      <c r="I93" s="5" t="s">
        <v>427</v>
      </c>
      <c r="J93" s="5">
        <v>33532.0</v>
      </c>
      <c r="M93" s="13"/>
      <c r="N93" s="13"/>
      <c r="O93" s="13"/>
      <c r="P93" s="13"/>
      <c r="Q93" s="14"/>
      <c r="R93" s="13"/>
      <c r="S93" s="18"/>
      <c r="T93" s="18"/>
      <c r="U93" s="18"/>
      <c r="V93" s="18"/>
      <c r="W93" s="18"/>
      <c r="X93" s="18"/>
      <c r="Y93" s="18"/>
      <c r="Z93" s="18"/>
      <c r="AA93" s="18"/>
      <c r="AB93" s="18"/>
      <c r="AC93" s="18"/>
      <c r="AD93" s="18"/>
      <c r="AE93" s="18">
        <v>49.13277778</v>
      </c>
      <c r="AF93" s="18">
        <v>-122.6933333</v>
      </c>
      <c r="AG93" s="18">
        <v>79.0</v>
      </c>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row>
    <row r="94" ht="14.25" customHeight="1">
      <c r="A94" s="17" t="s">
        <v>422</v>
      </c>
      <c r="B94" s="5">
        <v>10.0</v>
      </c>
      <c r="C94" s="5" t="s">
        <v>7659</v>
      </c>
      <c r="D94" s="5" t="s">
        <v>432</v>
      </c>
      <c r="E94" s="5">
        <v>1530.0</v>
      </c>
      <c r="F94" s="5" t="s">
        <v>433</v>
      </c>
      <c r="G94" s="5">
        <v>1933.0</v>
      </c>
      <c r="H94" s="5" t="s">
        <v>426</v>
      </c>
      <c r="I94" s="5" t="s">
        <v>427</v>
      </c>
      <c r="J94" s="5">
        <v>33800.0</v>
      </c>
      <c r="M94" s="13"/>
      <c r="N94" s="13"/>
      <c r="O94" s="13"/>
      <c r="P94" s="13"/>
      <c r="Q94" s="14"/>
      <c r="R94" s="13"/>
      <c r="S94" s="18"/>
      <c r="T94" s="18"/>
      <c r="U94" s="18"/>
      <c r="V94" s="18"/>
      <c r="W94" s="18"/>
      <c r="X94" s="18"/>
      <c r="Y94" s="18"/>
      <c r="Z94" s="18"/>
      <c r="AA94" s="18"/>
      <c r="AB94" s="18"/>
      <c r="AC94" s="18"/>
      <c r="AD94" s="18"/>
      <c r="AE94" s="18">
        <v>49.14166667</v>
      </c>
      <c r="AF94" s="18">
        <v>-123.1080556</v>
      </c>
      <c r="AG94" s="18">
        <v>5.0</v>
      </c>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row>
    <row r="95" ht="14.25" customHeight="1">
      <c r="A95" s="17" t="s">
        <v>422</v>
      </c>
      <c r="B95" s="5">
        <v>10.0</v>
      </c>
      <c r="C95" s="5" t="s">
        <v>7659</v>
      </c>
      <c r="D95" s="5" t="s">
        <v>434</v>
      </c>
      <c r="E95" s="5">
        <v>1531.0</v>
      </c>
      <c r="F95" s="5" t="s">
        <v>435</v>
      </c>
      <c r="G95" s="5">
        <v>1934.0</v>
      </c>
      <c r="H95" s="5" t="s">
        <v>426</v>
      </c>
      <c r="I95" s="5" t="s">
        <v>427</v>
      </c>
      <c r="J95" s="5">
        <v>36288.0</v>
      </c>
      <c r="M95" s="13"/>
      <c r="N95" s="13"/>
      <c r="O95" s="13"/>
      <c r="P95" s="13"/>
      <c r="Q95" s="14"/>
      <c r="R95" s="13"/>
      <c r="S95" s="18"/>
      <c r="T95" s="18"/>
      <c r="U95" s="18"/>
      <c r="V95" s="18"/>
      <c r="W95" s="18"/>
      <c r="X95" s="18"/>
      <c r="Y95" s="18"/>
      <c r="Z95" s="18"/>
      <c r="AA95" s="18"/>
      <c r="AB95" s="18"/>
      <c r="AC95" s="18"/>
      <c r="AD95" s="18"/>
      <c r="AE95" s="18">
        <v>49.21555556</v>
      </c>
      <c r="AF95" s="18">
        <v>-122.9825</v>
      </c>
      <c r="AG95" s="18">
        <v>145.0</v>
      </c>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row>
    <row r="96" ht="14.25" customHeight="1">
      <c r="A96" s="17" t="s">
        <v>422</v>
      </c>
      <c r="B96" s="5">
        <v>10.0</v>
      </c>
      <c r="C96" s="5" t="s">
        <v>7659</v>
      </c>
      <c r="D96" s="5" t="s">
        <v>436</v>
      </c>
      <c r="E96" s="5">
        <v>1532.0</v>
      </c>
      <c r="F96" s="5" t="s">
        <v>437</v>
      </c>
      <c r="G96" s="5">
        <v>1935.0</v>
      </c>
      <c r="H96" s="5" t="s">
        <v>426</v>
      </c>
      <c r="I96" s="5" t="s">
        <v>427</v>
      </c>
      <c r="J96" s="5">
        <v>37773.0</v>
      </c>
      <c r="M96" s="13"/>
      <c r="N96" s="13"/>
      <c r="O96" s="13"/>
      <c r="P96" s="13"/>
      <c r="Q96" s="14"/>
      <c r="R96" s="13"/>
      <c r="S96" s="18"/>
      <c r="T96" s="18"/>
      <c r="U96" s="18"/>
      <c r="V96" s="18"/>
      <c r="W96" s="18"/>
      <c r="X96" s="18"/>
      <c r="Y96" s="18"/>
      <c r="Z96" s="18"/>
      <c r="AA96" s="18"/>
      <c r="AB96" s="18"/>
      <c r="AC96" s="18"/>
      <c r="AD96" s="18"/>
      <c r="AE96" s="18">
        <v>49.24527778</v>
      </c>
      <c r="AF96" s="18">
        <v>-122.7091667</v>
      </c>
      <c r="AG96" s="18">
        <v>20.0</v>
      </c>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row>
    <row r="97" ht="14.25" customHeight="1">
      <c r="A97" s="17" t="s">
        <v>422</v>
      </c>
      <c r="B97" s="5">
        <v>10.0</v>
      </c>
      <c r="C97" s="5" t="s">
        <v>7659</v>
      </c>
      <c r="D97" s="5" t="s">
        <v>438</v>
      </c>
      <c r="E97" s="5">
        <v>1533.0</v>
      </c>
      <c r="F97" s="5" t="s">
        <v>439</v>
      </c>
      <c r="G97" s="5">
        <v>1936.0</v>
      </c>
      <c r="H97" s="5" t="s">
        <v>426</v>
      </c>
      <c r="I97" s="5" t="s">
        <v>427</v>
      </c>
      <c r="J97" s="5">
        <v>33930.0</v>
      </c>
      <c r="M97" s="13"/>
      <c r="N97" s="13"/>
      <c r="O97" s="13"/>
      <c r="P97" s="13"/>
      <c r="Q97" s="14"/>
      <c r="R97" s="13"/>
      <c r="S97" s="18"/>
      <c r="T97" s="18"/>
      <c r="U97" s="18"/>
      <c r="V97" s="18"/>
      <c r="W97" s="18"/>
      <c r="X97" s="18"/>
      <c r="Y97" s="18"/>
      <c r="Z97" s="13"/>
      <c r="AA97" s="13"/>
      <c r="AB97" s="13"/>
      <c r="AC97" s="13"/>
      <c r="AD97" s="18"/>
      <c r="AE97" s="18">
        <v>49.09611111</v>
      </c>
      <c r="AF97" s="18">
        <v>-122.5663889</v>
      </c>
      <c r="AG97" s="18">
        <v>82.0</v>
      </c>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row>
    <row r="98" ht="14.25" customHeight="1">
      <c r="A98" s="17" t="s">
        <v>422</v>
      </c>
      <c r="B98" s="5">
        <v>10.0</v>
      </c>
      <c r="C98" s="5" t="s">
        <v>7659</v>
      </c>
      <c r="D98" s="5" t="s">
        <v>440</v>
      </c>
      <c r="E98" s="5">
        <v>1534.0</v>
      </c>
      <c r="F98" s="5" t="s">
        <v>441</v>
      </c>
      <c r="G98" s="5">
        <v>1937.0</v>
      </c>
      <c r="H98" s="5" t="s">
        <v>426</v>
      </c>
      <c r="I98" s="5" t="s">
        <v>427</v>
      </c>
      <c r="J98" s="5">
        <v>35998.0</v>
      </c>
      <c r="M98" s="13"/>
      <c r="N98" s="13"/>
      <c r="O98" s="13"/>
      <c r="P98" s="13"/>
      <c r="Q98" s="14"/>
      <c r="R98" s="13"/>
      <c r="S98" s="18"/>
      <c r="T98" s="18"/>
      <c r="U98" s="18"/>
      <c r="V98" s="18"/>
      <c r="W98" s="18"/>
      <c r="X98" s="18"/>
      <c r="Y98" s="18"/>
      <c r="Z98" s="18"/>
      <c r="AA98" s="18"/>
      <c r="AB98" s="18"/>
      <c r="AC98" s="18"/>
      <c r="AD98" s="18"/>
      <c r="AE98" s="18">
        <v>49.21472222</v>
      </c>
      <c r="AF98" s="18">
        <v>-122.5819444</v>
      </c>
      <c r="AG98" s="18">
        <v>100.0</v>
      </c>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row>
    <row r="99" ht="14.25" customHeight="1">
      <c r="A99" s="17" t="s">
        <v>422</v>
      </c>
      <c r="B99" s="5">
        <v>10.0</v>
      </c>
      <c r="C99" s="5" t="s">
        <v>7659</v>
      </c>
      <c r="D99" s="5" t="s">
        <v>442</v>
      </c>
      <c r="E99" s="5">
        <v>1535.0</v>
      </c>
      <c r="F99" s="5" t="s">
        <v>443</v>
      </c>
      <c r="G99" s="5">
        <v>1938.0</v>
      </c>
      <c r="H99" s="5" t="s">
        <v>426</v>
      </c>
      <c r="I99" s="5" t="s">
        <v>427</v>
      </c>
      <c r="J99" s="5">
        <v>37773.0</v>
      </c>
      <c r="M99" s="13"/>
      <c r="N99" s="13"/>
      <c r="O99" s="13"/>
      <c r="P99" s="13"/>
      <c r="Q99" s="14"/>
      <c r="R99" s="13"/>
      <c r="S99" s="18"/>
      <c r="T99" s="18"/>
      <c r="U99" s="18"/>
      <c r="V99" s="18"/>
      <c r="W99" s="18"/>
      <c r="X99" s="18"/>
      <c r="Y99" s="18"/>
      <c r="Z99" s="13"/>
      <c r="AA99" s="13"/>
      <c r="AB99" s="13"/>
      <c r="AC99" s="13"/>
      <c r="AD99" s="18"/>
      <c r="AE99" s="18">
        <v>49.18638889</v>
      </c>
      <c r="AF99" s="18">
        <v>-123.1525</v>
      </c>
      <c r="AG99" s="18">
        <v>5.0</v>
      </c>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row>
    <row r="100" ht="14.25" customHeight="1">
      <c r="A100" s="17" t="s">
        <v>422</v>
      </c>
      <c r="B100" s="5">
        <v>10.0</v>
      </c>
      <c r="C100" s="5" t="s">
        <v>7659</v>
      </c>
      <c r="D100" s="5" t="s">
        <v>444</v>
      </c>
      <c r="E100" s="5">
        <v>1536.0</v>
      </c>
      <c r="F100" s="5" t="s">
        <v>445</v>
      </c>
      <c r="G100" s="5">
        <v>1939.0</v>
      </c>
      <c r="H100" s="5" t="s">
        <v>426</v>
      </c>
      <c r="I100" s="5" t="s">
        <v>427</v>
      </c>
      <c r="J100" s="5">
        <v>37773.0</v>
      </c>
      <c r="M100" s="13"/>
      <c r="N100" s="13"/>
      <c r="O100" s="13"/>
      <c r="P100" s="13"/>
      <c r="Q100" s="14"/>
      <c r="R100" s="13"/>
      <c r="S100" s="18"/>
      <c r="T100" s="18"/>
      <c r="U100" s="18"/>
      <c r="V100" s="18"/>
      <c r="W100" s="18"/>
      <c r="X100" s="18"/>
      <c r="Y100" s="18"/>
      <c r="Z100" s="18"/>
      <c r="AA100" s="18"/>
      <c r="AB100" s="18"/>
      <c r="AC100" s="18"/>
      <c r="AD100" s="18"/>
      <c r="AE100" s="18">
        <v>49.02361111</v>
      </c>
      <c r="AF100" s="18">
        <v>-122.3438889</v>
      </c>
      <c r="AG100" s="18">
        <v>58.0</v>
      </c>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row>
    <row r="101" ht="14.25" customHeight="1">
      <c r="A101" s="17" t="s">
        <v>422</v>
      </c>
      <c r="B101" s="5">
        <v>10.0</v>
      </c>
      <c r="C101" s="5" t="s">
        <v>7659</v>
      </c>
      <c r="D101" s="5" t="s">
        <v>446</v>
      </c>
      <c r="E101" s="5">
        <v>1537.0</v>
      </c>
      <c r="F101" s="5" t="s">
        <v>447</v>
      </c>
      <c r="G101" s="5">
        <v>1940.0</v>
      </c>
      <c r="H101" s="5" t="s">
        <v>426</v>
      </c>
      <c r="I101" s="5" t="s">
        <v>427</v>
      </c>
      <c r="J101" s="5">
        <v>37054.0</v>
      </c>
      <c r="M101" s="13"/>
      <c r="N101" s="13"/>
      <c r="O101" s="13"/>
      <c r="P101" s="13"/>
      <c r="Q101" s="14"/>
      <c r="R101" s="13"/>
      <c r="S101" s="18"/>
      <c r="T101" s="18"/>
      <c r="U101" s="18"/>
      <c r="V101" s="18"/>
      <c r="W101" s="18"/>
      <c r="X101" s="18"/>
      <c r="Y101" s="18"/>
      <c r="Z101" s="18"/>
      <c r="AA101" s="18"/>
      <c r="AB101" s="18"/>
      <c r="AC101" s="18"/>
      <c r="AD101" s="18"/>
      <c r="AE101" s="18">
        <v>50.71666667</v>
      </c>
      <c r="AF101" s="18">
        <v>-121.3333333</v>
      </c>
      <c r="AG101" s="18">
        <v>305.0</v>
      </c>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row>
    <row r="102" ht="14.25" customHeight="1">
      <c r="A102" s="17" t="s">
        <v>422</v>
      </c>
      <c r="B102" s="5">
        <v>10.0</v>
      </c>
      <c r="C102" s="5" t="s">
        <v>7659</v>
      </c>
      <c r="D102" s="18" t="s">
        <v>448</v>
      </c>
      <c r="E102" s="18">
        <v>1554.0</v>
      </c>
      <c r="F102" s="18" t="s">
        <v>449</v>
      </c>
      <c r="G102" s="18">
        <v>1957.0</v>
      </c>
      <c r="H102" s="18" t="s">
        <v>426</v>
      </c>
      <c r="I102" s="18" t="s">
        <v>427</v>
      </c>
      <c r="J102" s="18">
        <v>37773.0</v>
      </c>
      <c r="K102" s="18"/>
      <c r="L102" s="18"/>
      <c r="M102" s="13"/>
      <c r="N102" s="13"/>
      <c r="O102" s="13"/>
      <c r="P102" s="13"/>
      <c r="Q102" s="14"/>
      <c r="R102" s="13"/>
      <c r="S102" s="18"/>
      <c r="T102" s="18"/>
      <c r="U102" s="18"/>
      <c r="V102" s="18"/>
      <c r="W102" s="18"/>
      <c r="X102" s="18"/>
      <c r="Y102" s="18"/>
      <c r="Z102" s="18"/>
      <c r="AA102" s="18"/>
      <c r="AB102" s="18"/>
      <c r="AC102" s="18"/>
      <c r="AD102" s="18"/>
      <c r="AE102" s="18">
        <v>49.369722</v>
      </c>
      <c r="AF102" s="18">
        <v>-121.499444</v>
      </c>
      <c r="AG102" s="18">
        <v>131.0</v>
      </c>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row>
    <row r="103" ht="14.25" customHeight="1">
      <c r="A103" s="6"/>
      <c r="B103" s="5">
        <v>10.0</v>
      </c>
      <c r="C103" s="5" t="s">
        <v>7660</v>
      </c>
      <c r="D103" s="5" t="s">
        <v>451</v>
      </c>
      <c r="E103" s="5">
        <v>1507.0</v>
      </c>
      <c r="F103" s="5" t="s">
        <v>409</v>
      </c>
      <c r="G103" s="11" t="str">
        <f t="shared" ref="G103:G121" si="2">CONCATENATE(-1*AF103," W, ",AE103," N, Elev. ",AG103," m")</f>
        <v>119.7644719 W, 50.46743472 N, Elev. 653.6 m</v>
      </c>
      <c r="H103" s="5" t="s">
        <v>426</v>
      </c>
      <c r="I103" s="5" t="s">
        <v>427</v>
      </c>
      <c r="J103" s="5">
        <v>38133.0</v>
      </c>
      <c r="M103" s="13"/>
      <c r="N103" s="13"/>
      <c r="O103" s="13"/>
      <c r="P103" s="13"/>
      <c r="Q103" s="14"/>
      <c r="R103" s="13"/>
      <c r="AE103" s="5">
        <v>50.46743472</v>
      </c>
      <c r="AF103" s="5">
        <v>-119.7644719</v>
      </c>
      <c r="AG103" s="5">
        <v>653.6</v>
      </c>
    </row>
    <row r="104" ht="14.25" customHeight="1">
      <c r="A104" s="6"/>
      <c r="B104" s="5">
        <v>10.0</v>
      </c>
      <c r="C104" s="5" t="s">
        <v>7660</v>
      </c>
      <c r="D104" s="5" t="s">
        <v>452</v>
      </c>
      <c r="E104" s="5">
        <v>1521.0</v>
      </c>
      <c r="F104" s="5" t="s">
        <v>413</v>
      </c>
      <c r="G104" s="11" t="str">
        <f t="shared" si="2"/>
        <v>121.0258333 W, 50.14111111 N, Elev. 530.9616 m</v>
      </c>
      <c r="H104" s="5" t="s">
        <v>426</v>
      </c>
      <c r="I104" s="5" t="s">
        <v>427</v>
      </c>
      <c r="J104" s="5">
        <v>38569.0</v>
      </c>
      <c r="M104" s="13"/>
      <c r="N104" s="13"/>
      <c r="O104" s="13"/>
      <c r="P104" s="13"/>
      <c r="Q104" s="14"/>
      <c r="R104" s="13"/>
      <c r="AE104" s="5">
        <v>50.14111111</v>
      </c>
      <c r="AF104" s="5">
        <v>-121.0258333</v>
      </c>
      <c r="AG104" s="5">
        <v>530.9616</v>
      </c>
    </row>
    <row r="105" ht="14.25" customHeight="1">
      <c r="A105" s="6"/>
      <c r="B105" s="5">
        <v>10.0</v>
      </c>
      <c r="C105" s="5" t="s">
        <v>7660</v>
      </c>
      <c r="D105" s="5">
        <v>18482.0</v>
      </c>
      <c r="E105" s="5">
        <v>1524.0</v>
      </c>
      <c r="F105" s="5" t="s">
        <v>453</v>
      </c>
      <c r="G105" s="11" t="str">
        <f t="shared" si="2"/>
        <v>119.4208056 W, 49.02408333 N, Elev. 371 m</v>
      </c>
      <c r="H105" s="5" t="s">
        <v>426</v>
      </c>
      <c r="I105" s="5" t="s">
        <v>427</v>
      </c>
      <c r="J105" s="5">
        <v>38557.0</v>
      </c>
      <c r="M105" s="13"/>
      <c r="N105" s="13"/>
      <c r="O105" s="13"/>
      <c r="P105" s="13"/>
      <c r="Q105" s="14"/>
      <c r="R105" s="13"/>
      <c r="AE105" s="5">
        <v>49.02408333</v>
      </c>
      <c r="AF105" s="5">
        <v>-119.4208056</v>
      </c>
      <c r="AG105" s="5">
        <v>371.0</v>
      </c>
    </row>
    <row r="106" ht="14.25" customHeight="1">
      <c r="A106" s="6"/>
      <c r="B106" s="5">
        <v>10.0</v>
      </c>
      <c r="C106" s="5" t="s">
        <v>7660</v>
      </c>
      <c r="D106" s="5">
        <v>25602.0</v>
      </c>
      <c r="E106" s="5">
        <v>1525.0</v>
      </c>
      <c r="F106" s="5" t="s">
        <v>454</v>
      </c>
      <c r="G106" s="11" t="str">
        <f t="shared" si="2"/>
        <v>119.46275 W, 49.01183333 N, Elev. 295.5 m</v>
      </c>
      <c r="H106" s="5" t="s">
        <v>426</v>
      </c>
      <c r="I106" s="5" t="s">
        <v>427</v>
      </c>
      <c r="J106" s="5">
        <v>38557.0</v>
      </c>
      <c r="M106" s="13"/>
      <c r="N106" s="13"/>
      <c r="O106" s="13"/>
      <c r="P106" s="13"/>
      <c r="Q106" s="14"/>
      <c r="R106" s="13"/>
      <c r="AE106" s="5">
        <v>49.01183333</v>
      </c>
      <c r="AF106" s="5">
        <v>-119.46275</v>
      </c>
      <c r="AG106" s="5">
        <v>295.5</v>
      </c>
    </row>
    <row r="107" ht="14.25" customHeight="1">
      <c r="A107" s="6"/>
      <c r="B107" s="5">
        <v>10.0</v>
      </c>
      <c r="C107" s="5" t="s">
        <v>7660</v>
      </c>
      <c r="D107" s="5" t="s">
        <v>455</v>
      </c>
      <c r="E107" s="5">
        <v>1552.0</v>
      </c>
      <c r="F107" s="5" t="s">
        <v>456</v>
      </c>
      <c r="G107" s="11" t="str">
        <f t="shared" si="2"/>
        <v>119.373225 W, 49.879864 N, Elev. 475.5 m</v>
      </c>
      <c r="H107" s="5" t="s">
        <v>426</v>
      </c>
      <c r="I107" s="5" t="s">
        <v>427</v>
      </c>
      <c r="J107" s="5">
        <v>37988.0</v>
      </c>
      <c r="M107" s="13"/>
      <c r="N107" s="13"/>
      <c r="O107" s="13"/>
      <c r="P107" s="13"/>
      <c r="Q107" s="14"/>
      <c r="R107" s="13"/>
      <c r="AE107" s="5">
        <v>49.879864</v>
      </c>
      <c r="AF107" s="5">
        <v>-119.373225</v>
      </c>
      <c r="AG107" s="5">
        <v>475.5</v>
      </c>
    </row>
    <row r="108" ht="14.25" customHeight="1">
      <c r="A108" s="6"/>
      <c r="B108" s="5">
        <v>10.0</v>
      </c>
      <c r="C108" s="5" t="s">
        <v>7660</v>
      </c>
      <c r="D108" s="5" t="s">
        <v>457</v>
      </c>
      <c r="E108" s="5">
        <v>1555.0</v>
      </c>
      <c r="F108" s="5" t="s">
        <v>458</v>
      </c>
      <c r="G108" s="11" t="str">
        <f t="shared" si="2"/>
        <v>118.97295 W, 50.5367 N, Elev. 362 m</v>
      </c>
      <c r="H108" s="5" t="s">
        <v>426</v>
      </c>
      <c r="I108" s="5" t="s">
        <v>427</v>
      </c>
      <c r="J108" s="5">
        <v>38975.0</v>
      </c>
      <c r="M108" s="13"/>
      <c r="N108" s="13"/>
      <c r="O108" s="13"/>
      <c r="P108" s="13"/>
      <c r="Q108" s="14"/>
      <c r="R108" s="13"/>
      <c r="AE108" s="5">
        <v>50.5367</v>
      </c>
      <c r="AF108" s="5">
        <v>-118.97295</v>
      </c>
      <c r="AG108" s="5">
        <v>362.0</v>
      </c>
    </row>
    <row r="109" ht="14.25" customHeight="1">
      <c r="A109" s="6"/>
      <c r="B109" s="5">
        <v>10.0</v>
      </c>
      <c r="C109" s="5" t="s">
        <v>7660</v>
      </c>
      <c r="D109" s="5" t="s">
        <v>459</v>
      </c>
      <c r="E109" s="5">
        <v>3097.0</v>
      </c>
      <c r="F109" s="5" t="s">
        <v>373</v>
      </c>
      <c r="G109" s="11" t="str">
        <f t="shared" si="2"/>
        <v>119.421042 W, 49.912417 N, Elev. 439.6 m</v>
      </c>
      <c r="H109" s="5" t="s">
        <v>426</v>
      </c>
      <c r="I109" s="5" t="s">
        <v>427</v>
      </c>
      <c r="J109" s="5">
        <v>37988.0</v>
      </c>
      <c r="M109" s="13"/>
      <c r="N109" s="13"/>
      <c r="O109" s="13"/>
      <c r="P109" s="13"/>
      <c r="Q109" s="14"/>
      <c r="R109" s="13"/>
      <c r="AE109" s="5">
        <v>49.912417</v>
      </c>
      <c r="AF109" s="5">
        <v>-119.421042</v>
      </c>
      <c r="AG109" s="5">
        <v>439.6</v>
      </c>
    </row>
    <row r="110" ht="14.25" customHeight="1">
      <c r="A110" s="6"/>
      <c r="B110" s="5">
        <v>10.0</v>
      </c>
      <c r="C110" s="5" t="s">
        <v>7660</v>
      </c>
      <c r="D110" s="5" t="s">
        <v>460</v>
      </c>
      <c r="E110" s="5">
        <v>3098.0</v>
      </c>
      <c r="F110" s="5" t="s">
        <v>461</v>
      </c>
      <c r="G110" s="11" t="str">
        <f t="shared" si="2"/>
        <v>119.421542 W, 49.872875 N, Elev. 416 m</v>
      </c>
      <c r="H110" s="5" t="s">
        <v>426</v>
      </c>
      <c r="I110" s="5" t="s">
        <v>427</v>
      </c>
      <c r="J110" s="5">
        <v>37988.0</v>
      </c>
      <c r="AE110" s="5">
        <v>49.872875</v>
      </c>
      <c r="AF110" s="5">
        <v>-119.421542</v>
      </c>
      <c r="AG110" s="5">
        <v>416.0</v>
      </c>
    </row>
    <row r="111" ht="14.25" customHeight="1">
      <c r="A111" s="6"/>
      <c r="B111" s="5">
        <v>10.0</v>
      </c>
      <c r="C111" s="5" t="s">
        <v>7660</v>
      </c>
      <c r="D111" s="5" t="s">
        <v>462</v>
      </c>
      <c r="E111" s="5">
        <v>3099.0</v>
      </c>
      <c r="F111" s="5" t="s">
        <v>463</v>
      </c>
      <c r="G111" s="11" t="str">
        <f t="shared" si="2"/>
        <v>119.446385 W, 49.838374 N, Elev. 419.4 m</v>
      </c>
      <c r="H111" s="5" t="s">
        <v>426</v>
      </c>
      <c r="I111" s="5" t="s">
        <v>427</v>
      </c>
      <c r="J111" s="5">
        <v>37988.0</v>
      </c>
      <c r="AE111" s="5">
        <v>49.838374</v>
      </c>
      <c r="AF111" s="5">
        <v>-119.446385</v>
      </c>
      <c r="AG111" s="5">
        <v>419.4</v>
      </c>
    </row>
    <row r="112" ht="14.25" customHeight="1">
      <c r="A112" s="6"/>
      <c r="B112" s="5">
        <v>10.0</v>
      </c>
      <c r="C112" s="5" t="s">
        <v>7660</v>
      </c>
      <c r="D112" s="5" t="s">
        <v>464</v>
      </c>
      <c r="E112" s="5">
        <v>3100.0</v>
      </c>
      <c r="F112" s="5" t="s">
        <v>465</v>
      </c>
      <c r="G112" s="11" t="str">
        <f t="shared" si="2"/>
        <v>119.342583 W, 50.257171 N, Elev. 437 m</v>
      </c>
      <c r="H112" s="5" t="s">
        <v>426</v>
      </c>
      <c r="I112" s="5" t="s">
        <v>427</v>
      </c>
      <c r="J112" s="5">
        <v>38225.0</v>
      </c>
      <c r="AE112" s="5">
        <v>50.257171</v>
      </c>
      <c r="AF112" s="5">
        <v>-119.342583</v>
      </c>
      <c r="AG112" s="5">
        <v>437.0</v>
      </c>
    </row>
    <row r="113" ht="14.25" customHeight="1">
      <c r="A113" s="6"/>
      <c r="B113" s="5">
        <v>10.0</v>
      </c>
      <c r="C113" s="5" t="s">
        <v>7660</v>
      </c>
      <c r="D113" s="5" t="s">
        <v>466</v>
      </c>
      <c r="E113" s="5">
        <v>3103.0</v>
      </c>
      <c r="F113" s="5" t="s">
        <v>467</v>
      </c>
      <c r="G113" s="11" t="str">
        <f t="shared" si="2"/>
        <v>119.624523 W, 49.821304 N, Elev. 391.6 m</v>
      </c>
      <c r="H113" s="5" t="s">
        <v>426</v>
      </c>
      <c r="I113" s="5" t="s">
        <v>427</v>
      </c>
      <c r="J113" s="5">
        <v>37988.0</v>
      </c>
      <c r="AE113" s="5">
        <v>49.821304</v>
      </c>
      <c r="AF113" s="5">
        <v>-119.624523</v>
      </c>
      <c r="AG113" s="5">
        <v>391.6</v>
      </c>
    </row>
    <row r="114" ht="14.25" customHeight="1">
      <c r="A114" s="6"/>
      <c r="B114" s="5">
        <v>10.0</v>
      </c>
      <c r="C114" s="5" t="s">
        <v>7660</v>
      </c>
      <c r="D114" s="5" t="s">
        <v>468</v>
      </c>
      <c r="E114" s="5">
        <v>3104.0</v>
      </c>
      <c r="F114" s="5" t="s">
        <v>319</v>
      </c>
      <c r="G114" s="11" t="str">
        <f t="shared" si="2"/>
        <v>119.414536 W, 50.063203 N, Elev. 468 m</v>
      </c>
      <c r="H114" s="5" t="s">
        <v>426</v>
      </c>
      <c r="I114" s="5" t="s">
        <v>427</v>
      </c>
      <c r="J114" s="5">
        <v>37988.0</v>
      </c>
      <c r="AE114" s="5">
        <v>50.063203</v>
      </c>
      <c r="AF114" s="5">
        <v>-119.414536</v>
      </c>
      <c r="AG114" s="5">
        <v>468.0</v>
      </c>
    </row>
    <row r="115" ht="14.25" customHeight="1">
      <c r="A115" s="6"/>
      <c r="B115" s="5">
        <v>10.0</v>
      </c>
      <c r="C115" s="5" t="s">
        <v>7660</v>
      </c>
      <c r="D115" s="5" t="s">
        <v>469</v>
      </c>
      <c r="E115" s="5">
        <v>3105.0</v>
      </c>
      <c r="F115" s="5" t="s">
        <v>323</v>
      </c>
      <c r="G115" s="11" t="str">
        <f t="shared" si="2"/>
        <v>119.424527 W, 50.041193 N, Elev. 525 m</v>
      </c>
      <c r="H115" s="5" t="s">
        <v>426</v>
      </c>
      <c r="I115" s="5" t="s">
        <v>427</v>
      </c>
      <c r="J115" s="5">
        <v>37988.0</v>
      </c>
      <c r="AE115" s="5">
        <v>50.041193</v>
      </c>
      <c r="AF115" s="5">
        <v>-119.424527</v>
      </c>
      <c r="AG115" s="5">
        <v>525.0</v>
      </c>
    </row>
    <row r="116" ht="14.25" customHeight="1">
      <c r="A116" s="6"/>
      <c r="B116" s="5">
        <v>10.0</v>
      </c>
      <c r="C116" s="5" t="s">
        <v>7660</v>
      </c>
      <c r="D116" s="5" t="s">
        <v>470</v>
      </c>
      <c r="E116" s="5">
        <v>3106.0</v>
      </c>
      <c r="F116" s="5" t="s">
        <v>471</v>
      </c>
      <c r="G116" s="11" t="str">
        <f t="shared" si="2"/>
        <v>119.74325 W, 49.182528 N, Elev. 414.1 m</v>
      </c>
      <c r="H116" s="5" t="s">
        <v>426</v>
      </c>
      <c r="I116" s="5" t="s">
        <v>427</v>
      </c>
      <c r="J116" s="5">
        <v>38200.0</v>
      </c>
      <c r="AE116" s="5">
        <v>49.182528</v>
      </c>
      <c r="AF116" s="5">
        <v>-119.74325</v>
      </c>
      <c r="AG116" s="5">
        <v>414.1</v>
      </c>
    </row>
    <row r="117" ht="14.25" customHeight="1">
      <c r="A117" s="6"/>
      <c r="B117" s="5">
        <v>10.0</v>
      </c>
      <c r="C117" s="5" t="s">
        <v>7660</v>
      </c>
      <c r="D117" s="5" t="s">
        <v>472</v>
      </c>
      <c r="E117" s="5">
        <v>3108.0</v>
      </c>
      <c r="F117" s="5" t="s">
        <v>473</v>
      </c>
      <c r="G117" s="11" t="str">
        <f t="shared" si="2"/>
        <v>119.56442 W, 49.498417 N, Elev. 374.7 m</v>
      </c>
      <c r="H117" s="5" t="s">
        <v>426</v>
      </c>
      <c r="I117" s="5" t="s">
        <v>427</v>
      </c>
      <c r="J117" s="5">
        <v>38200.0</v>
      </c>
      <c r="AE117" s="5">
        <v>49.498417</v>
      </c>
      <c r="AF117" s="5">
        <v>-119.56442</v>
      </c>
      <c r="AG117" s="5">
        <v>374.7</v>
      </c>
    </row>
    <row r="118" ht="14.25" customHeight="1">
      <c r="A118" s="6"/>
      <c r="B118" s="11">
        <v>10.0</v>
      </c>
      <c r="C118" s="5" t="s">
        <v>7660</v>
      </c>
      <c r="D118" s="11" t="s">
        <v>474</v>
      </c>
      <c r="E118" s="11">
        <v>3109.0</v>
      </c>
      <c r="F118" s="11" t="s">
        <v>475</v>
      </c>
      <c r="G118" s="11" t="str">
        <f t="shared" si="2"/>
        <v>119.684639 W, 49.613667 N, Elev. 492.2 m</v>
      </c>
      <c r="H118" s="11" t="s">
        <v>426</v>
      </c>
      <c r="I118" s="11" t="s">
        <v>427</v>
      </c>
      <c r="J118" s="11">
        <v>38229.0</v>
      </c>
      <c r="K118" s="11"/>
      <c r="L118" s="11"/>
      <c r="M118" s="11"/>
      <c r="N118" s="11"/>
      <c r="O118" s="11"/>
      <c r="P118" s="11"/>
      <c r="Q118" s="11"/>
      <c r="R118" s="11"/>
      <c r="S118" s="11"/>
      <c r="T118" s="11"/>
      <c r="U118" s="11"/>
      <c r="V118" s="11"/>
      <c r="W118" s="11"/>
      <c r="X118" s="11"/>
      <c r="Y118" s="11"/>
      <c r="Z118" s="11"/>
      <c r="AA118" s="11"/>
      <c r="AB118" s="11"/>
      <c r="AC118" s="11"/>
      <c r="AD118" s="11"/>
      <c r="AE118" s="11">
        <v>49.613667</v>
      </c>
      <c r="AF118" s="11">
        <v>-119.684639</v>
      </c>
      <c r="AG118" s="11">
        <v>492.2</v>
      </c>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row>
    <row r="119" ht="14.25" customHeight="1">
      <c r="A119" s="6"/>
      <c r="B119" s="11">
        <v>10.0</v>
      </c>
      <c r="C119" s="5" t="s">
        <v>7660</v>
      </c>
      <c r="D119" s="11" t="s">
        <v>476</v>
      </c>
      <c r="E119" s="11">
        <v>3111.0</v>
      </c>
      <c r="F119" s="11" t="s">
        <v>365</v>
      </c>
      <c r="G119" s="11" t="str">
        <f t="shared" si="2"/>
        <v>119.354164 W, 49.943325 N, Elev. 473.3 m</v>
      </c>
      <c r="H119" s="11" t="s">
        <v>426</v>
      </c>
      <c r="I119" s="11" t="s">
        <v>427</v>
      </c>
      <c r="J119" s="11">
        <v>37988.0</v>
      </c>
      <c r="K119" s="11"/>
      <c r="L119" s="11"/>
      <c r="M119" s="11"/>
      <c r="N119" s="11"/>
      <c r="O119" s="11"/>
      <c r="P119" s="11"/>
      <c r="Q119" s="11"/>
      <c r="R119" s="11"/>
      <c r="S119" s="11"/>
      <c r="T119" s="11"/>
      <c r="U119" s="11"/>
      <c r="V119" s="11"/>
      <c r="W119" s="11"/>
      <c r="X119" s="11"/>
      <c r="Y119" s="11"/>
      <c r="Z119" s="11"/>
      <c r="AA119" s="11"/>
      <c r="AB119" s="11"/>
      <c r="AC119" s="11"/>
      <c r="AD119" s="11"/>
      <c r="AE119" s="11">
        <v>49.943325</v>
      </c>
      <c r="AF119" s="11">
        <v>-119.354164</v>
      </c>
      <c r="AG119" s="11">
        <v>473.3</v>
      </c>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row>
    <row r="120" ht="14.25" customHeight="1">
      <c r="A120" s="6"/>
      <c r="B120" s="5">
        <v>10.0</v>
      </c>
      <c r="C120" s="5" t="s">
        <v>7660</v>
      </c>
      <c r="D120" s="5" t="s">
        <v>477</v>
      </c>
      <c r="E120" s="5">
        <v>1506.0</v>
      </c>
      <c r="F120" s="5" t="s">
        <v>421</v>
      </c>
      <c r="G120" s="11" t="str">
        <f t="shared" si="2"/>
        <v>119.385515 W, 50.63235361 N, Elev. 374.3 m</v>
      </c>
      <c r="H120" s="5" t="s">
        <v>426</v>
      </c>
      <c r="I120" s="5" t="s">
        <v>427</v>
      </c>
      <c r="J120" s="5">
        <v>38133.0</v>
      </c>
      <c r="K120" s="11"/>
      <c r="L120" s="11"/>
      <c r="M120" s="11"/>
      <c r="N120" s="11"/>
      <c r="O120" s="11"/>
      <c r="P120" s="11"/>
      <c r="Q120" s="11"/>
      <c r="R120" s="11"/>
      <c r="S120" s="11"/>
      <c r="T120" s="11"/>
      <c r="U120" s="11"/>
      <c r="V120" s="11"/>
      <c r="W120" s="11"/>
      <c r="X120" s="11"/>
      <c r="Y120" s="11"/>
      <c r="Z120" s="11"/>
      <c r="AA120" s="11"/>
      <c r="AB120" s="11"/>
      <c r="AC120" s="11"/>
      <c r="AD120" s="11"/>
      <c r="AE120" s="5">
        <v>50.63235361</v>
      </c>
      <c r="AF120" s="5">
        <v>-119.385515</v>
      </c>
      <c r="AG120" s="5">
        <v>374.3</v>
      </c>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row>
    <row r="121" ht="14.25" customHeight="1">
      <c r="A121" s="6" t="s">
        <v>478</v>
      </c>
      <c r="B121" s="11">
        <v>10.0</v>
      </c>
      <c r="C121" s="5" t="s">
        <v>7660</v>
      </c>
      <c r="D121" s="11" t="s">
        <v>479</v>
      </c>
      <c r="E121" s="11">
        <v>3284.0</v>
      </c>
      <c r="F121" s="11" t="s">
        <v>480</v>
      </c>
      <c r="G121" s="11" t="str">
        <f t="shared" si="2"/>
        <v>120.8044444 W, 50.36222222 N, Elev. 979 m</v>
      </c>
      <c r="H121" s="11" t="s">
        <v>426</v>
      </c>
      <c r="I121" s="11"/>
      <c r="J121" s="11">
        <v>40183.0</v>
      </c>
      <c r="K121" s="11"/>
      <c r="L121" s="11"/>
      <c r="M121" s="11"/>
      <c r="N121" s="11"/>
      <c r="O121" s="11"/>
      <c r="P121" s="11"/>
      <c r="Q121" s="11"/>
      <c r="R121" s="11"/>
      <c r="S121" s="11"/>
      <c r="T121" s="11"/>
      <c r="U121" s="11"/>
      <c r="V121" s="11"/>
      <c r="W121" s="11"/>
      <c r="X121" s="11"/>
      <c r="Y121" s="11"/>
      <c r="Z121" s="11"/>
      <c r="AA121" s="11"/>
      <c r="AB121" s="11"/>
      <c r="AC121" s="11"/>
      <c r="AD121" s="11"/>
      <c r="AE121" s="11">
        <v>50.36222222</v>
      </c>
      <c r="AF121" s="11">
        <v>-120.8044444</v>
      </c>
      <c r="AG121" s="11">
        <v>979.0</v>
      </c>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row>
    <row r="122" ht="14.25" customHeight="1">
      <c r="A122" s="6" t="s">
        <v>481</v>
      </c>
      <c r="B122" s="5">
        <v>10.0</v>
      </c>
      <c r="C122" s="12" t="s">
        <v>139</v>
      </c>
      <c r="D122" s="12" t="s">
        <v>482</v>
      </c>
      <c r="E122" s="11"/>
      <c r="F122" s="12" t="s">
        <v>483</v>
      </c>
      <c r="G122" s="10" t="str">
        <f>CONCATENATE("-&gt; ",-1*AF122," W, ",AE122," N, Elev. ",AG122," m")</f>
        <v>-&gt; 120.8044444 W, 50.36222222 N, Elev. 979 m</v>
      </c>
      <c r="H122" s="11"/>
      <c r="I122" s="11"/>
      <c r="J122" s="11"/>
      <c r="K122" s="11"/>
      <c r="L122" s="11"/>
      <c r="M122" s="13">
        <v>50.36222222</v>
      </c>
      <c r="N122" s="13">
        <v>-120.8044444</v>
      </c>
      <c r="O122" s="13" t="s">
        <v>142</v>
      </c>
      <c r="P122" s="13" t="s">
        <v>484</v>
      </c>
      <c r="Q122" s="14">
        <v>2.0</v>
      </c>
      <c r="R122" s="13" t="s">
        <v>480</v>
      </c>
      <c r="S122" s="13" t="s">
        <v>145</v>
      </c>
      <c r="T122" s="13">
        <v>979.0</v>
      </c>
      <c r="U122" s="11"/>
      <c r="V122" s="11"/>
      <c r="W122" s="11"/>
      <c r="X122" s="11"/>
      <c r="Y122" s="11"/>
      <c r="Z122" s="11"/>
      <c r="AA122" s="11"/>
      <c r="AB122" s="11"/>
      <c r="AC122" s="11"/>
      <c r="AD122" s="11"/>
      <c r="AE122" s="10">
        <v>50.36222222</v>
      </c>
      <c r="AF122" s="10">
        <v>-120.8044444</v>
      </c>
      <c r="AG122" s="10">
        <v>979.0</v>
      </c>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row>
    <row r="123" ht="14.25" customHeight="1">
      <c r="A123" s="6" t="s">
        <v>485</v>
      </c>
      <c r="B123" s="5">
        <v>10.0</v>
      </c>
      <c r="C123" s="5" t="s">
        <v>7660</v>
      </c>
      <c r="D123" s="11" t="s">
        <v>486</v>
      </c>
      <c r="E123" s="11">
        <v>1508.0</v>
      </c>
      <c r="F123" s="11" t="s">
        <v>487</v>
      </c>
      <c r="G123" s="11" t="str">
        <f>CONCATENATE(-1*AF123," W, ",AE123," N, Elev. ",AG123," m")</f>
        <v>120.8913889 W, 50.00777778 N, Elev. 729 m</v>
      </c>
      <c r="H123" s="11" t="s">
        <v>426</v>
      </c>
      <c r="I123" s="11" t="s">
        <v>427</v>
      </c>
      <c r="J123" s="11">
        <v>38557.0</v>
      </c>
      <c r="K123" s="11"/>
      <c r="L123" s="11"/>
      <c r="M123" s="11"/>
      <c r="N123" s="11"/>
      <c r="O123" s="11"/>
      <c r="P123" s="11"/>
      <c r="Q123" s="11"/>
      <c r="R123" s="11"/>
      <c r="S123" s="11"/>
      <c r="T123" s="11"/>
      <c r="U123" s="11"/>
      <c r="V123" s="11"/>
      <c r="W123" s="11"/>
      <c r="X123" s="11"/>
      <c r="Y123" s="11"/>
      <c r="Z123" s="11"/>
      <c r="AA123" s="11"/>
      <c r="AB123" s="11"/>
      <c r="AC123" s="11"/>
      <c r="AD123" s="11"/>
      <c r="AE123" s="11">
        <v>50.00777778</v>
      </c>
      <c r="AF123" s="11">
        <v>-120.8913889</v>
      </c>
      <c r="AG123" s="11">
        <v>729.0</v>
      </c>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row>
    <row r="124" ht="14.25" customHeight="1">
      <c r="A124" s="6" t="s">
        <v>488</v>
      </c>
      <c r="B124" s="5">
        <v>10.0</v>
      </c>
      <c r="C124" s="12" t="s">
        <v>139</v>
      </c>
      <c r="D124" s="12" t="s">
        <v>489</v>
      </c>
      <c r="E124" s="10"/>
      <c r="F124" s="12" t="s">
        <v>490</v>
      </c>
      <c r="G124" s="10" t="str">
        <f>CONCATENATE("-&gt; ",-1*AF124," W, ",AE124," N, Elev. ",AG124," m")</f>
        <v>-&gt; 118.7758333 W, 50.39361111 N, Elev. 729 m</v>
      </c>
      <c r="I124" s="11"/>
      <c r="J124" s="11"/>
      <c r="K124" s="11"/>
      <c r="L124" s="11"/>
      <c r="M124" s="13">
        <v>50.39361111</v>
      </c>
      <c r="N124" s="13">
        <v>-118.7758333</v>
      </c>
      <c r="O124" s="13" t="s">
        <v>142</v>
      </c>
      <c r="P124" s="13" t="s">
        <v>491</v>
      </c>
      <c r="Q124" s="14">
        <v>2.0</v>
      </c>
      <c r="R124" s="13" t="s">
        <v>487</v>
      </c>
      <c r="S124" s="13" t="s">
        <v>145</v>
      </c>
      <c r="T124" s="13">
        <v>729.0</v>
      </c>
      <c r="U124" s="11"/>
      <c r="V124" s="11"/>
      <c r="W124" s="11"/>
      <c r="X124" s="11"/>
      <c r="Y124" s="11"/>
      <c r="Z124" s="11"/>
      <c r="AA124" s="11"/>
      <c r="AB124" s="11"/>
      <c r="AC124" s="11"/>
      <c r="AD124" s="11"/>
      <c r="AE124" s="10">
        <v>50.39361111</v>
      </c>
      <c r="AF124" s="10">
        <v>-118.7758333</v>
      </c>
      <c r="AG124" s="10">
        <v>729.0</v>
      </c>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row>
    <row r="125" ht="14.25" customHeight="1">
      <c r="A125" s="6" t="s">
        <v>492</v>
      </c>
      <c r="B125" s="5">
        <v>10.0</v>
      </c>
      <c r="C125" s="5" t="s">
        <v>7660</v>
      </c>
      <c r="D125" s="11" t="s">
        <v>493</v>
      </c>
      <c r="E125" s="11">
        <v>1509.0</v>
      </c>
      <c r="F125" s="11" t="s">
        <v>494</v>
      </c>
      <c r="G125" s="11" t="str">
        <f>CONCATENATE(-1*AF125," W, ",AE125," N, Elev. ",AG125," m")</f>
        <v>118.6905556 W, 50.25333333 N, Elev. 495 m</v>
      </c>
      <c r="H125" s="5" t="s">
        <v>426</v>
      </c>
      <c r="I125" s="11" t="s">
        <v>427</v>
      </c>
      <c r="J125" s="11">
        <v>39555.0</v>
      </c>
      <c r="K125" s="11"/>
      <c r="L125" s="11"/>
      <c r="M125" s="11"/>
      <c r="N125" s="11"/>
      <c r="O125" s="11"/>
      <c r="P125" s="11"/>
      <c r="Q125" s="11"/>
      <c r="R125" s="11"/>
      <c r="S125" s="11"/>
      <c r="T125" s="11"/>
      <c r="U125" s="11"/>
      <c r="V125" s="11"/>
      <c r="W125" s="11"/>
      <c r="X125" s="11"/>
      <c r="Y125" s="11"/>
      <c r="Z125" s="11"/>
      <c r="AA125" s="11"/>
      <c r="AB125" s="11"/>
      <c r="AC125" s="11"/>
      <c r="AD125" s="11"/>
      <c r="AE125" s="11">
        <v>50.25333333</v>
      </c>
      <c r="AF125" s="11">
        <v>-118.6905556</v>
      </c>
      <c r="AG125" s="11">
        <v>495.0</v>
      </c>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row>
    <row r="126" ht="14.25" customHeight="1">
      <c r="A126" s="6" t="s">
        <v>495</v>
      </c>
      <c r="B126" s="5">
        <v>10.0</v>
      </c>
      <c r="C126" s="12" t="s">
        <v>139</v>
      </c>
      <c r="D126" s="12" t="s">
        <v>496</v>
      </c>
      <c r="E126" s="10"/>
      <c r="F126" s="12" t="s">
        <v>497</v>
      </c>
      <c r="G126" s="10" t="str">
        <f>CONCATENATE("-&gt; ",-1*AF126," W, ",AE126," N, Elev. ",AG126," m")</f>
        <v>-&gt; 118.6905556 W, 50.25333333 N, Elev. 495 m</v>
      </c>
      <c r="I126" s="11"/>
      <c r="J126" s="11"/>
      <c r="K126" s="11"/>
      <c r="L126" s="11"/>
      <c r="M126" s="13">
        <v>50.25333333</v>
      </c>
      <c r="N126" s="13">
        <v>-118.6905556</v>
      </c>
      <c r="O126" s="13" t="s">
        <v>142</v>
      </c>
      <c r="P126" s="13" t="s">
        <v>498</v>
      </c>
      <c r="Q126" s="14">
        <v>1.0</v>
      </c>
      <c r="R126" s="13" t="s">
        <v>499</v>
      </c>
      <c r="S126" s="13" t="s">
        <v>145</v>
      </c>
      <c r="T126" s="13">
        <v>495.0</v>
      </c>
      <c r="U126" s="11"/>
      <c r="V126" s="11"/>
      <c r="W126" s="11"/>
      <c r="X126" s="11"/>
      <c r="Y126" s="11"/>
      <c r="Z126" s="11"/>
      <c r="AA126" s="11"/>
      <c r="AB126" s="11"/>
      <c r="AC126" s="11"/>
      <c r="AD126" s="11"/>
      <c r="AE126" s="10">
        <v>50.25333333</v>
      </c>
      <c r="AF126" s="10">
        <v>-118.6905556</v>
      </c>
      <c r="AG126" s="10">
        <v>495.0</v>
      </c>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row>
    <row r="127" ht="14.25" customHeight="1">
      <c r="A127" s="6" t="s">
        <v>500</v>
      </c>
      <c r="B127" s="5">
        <v>10.0</v>
      </c>
      <c r="C127" s="5" t="s">
        <v>7660</v>
      </c>
      <c r="D127" s="11" t="s">
        <v>501</v>
      </c>
      <c r="E127" s="11">
        <v>1510.0</v>
      </c>
      <c r="F127" s="11" t="s">
        <v>502</v>
      </c>
      <c r="G127" s="11" t="str">
        <f>CONCATENATE(-1*AF127," W, ",AE127," N, Elev. ",AG127," m")</f>
        <v>121.2794667 W, 50.7448 N, Elev. 446 m</v>
      </c>
      <c r="H127" s="5" t="s">
        <v>426</v>
      </c>
      <c r="I127" s="11" t="s">
        <v>427</v>
      </c>
      <c r="J127" s="11">
        <v>38982.0</v>
      </c>
      <c r="K127" s="11"/>
      <c r="L127" s="11"/>
      <c r="M127" s="11"/>
      <c r="N127" s="11"/>
      <c r="O127" s="11"/>
      <c r="P127" s="11"/>
      <c r="Q127" s="11"/>
      <c r="R127" s="11"/>
      <c r="S127" s="11"/>
      <c r="T127" s="11"/>
      <c r="U127" s="11"/>
      <c r="V127" s="11"/>
      <c r="W127" s="11"/>
      <c r="X127" s="11"/>
      <c r="Y127" s="11"/>
      <c r="Z127" s="11"/>
      <c r="AA127" s="11"/>
      <c r="AB127" s="11"/>
      <c r="AC127" s="11"/>
      <c r="AD127" s="11"/>
      <c r="AE127" s="11">
        <v>50.7448</v>
      </c>
      <c r="AF127" s="11">
        <v>-121.2794667</v>
      </c>
      <c r="AG127" s="11">
        <v>446.0</v>
      </c>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row>
    <row r="128" ht="14.25" customHeight="1">
      <c r="A128" s="6" t="s">
        <v>503</v>
      </c>
      <c r="B128" s="5">
        <v>10.0</v>
      </c>
      <c r="C128" s="12" t="s">
        <v>139</v>
      </c>
      <c r="D128" s="12" t="s">
        <v>504</v>
      </c>
      <c r="E128" s="10"/>
      <c r="F128" s="12" t="s">
        <v>505</v>
      </c>
      <c r="G128" s="10" t="str">
        <f>CONCATENATE("-&gt; ",-1*AF128," W, ",AE128," N, Elev. ",AG128," m")</f>
        <v>-&gt; 121.2794444 W, 50.74472222 N, Elev. 446 m</v>
      </c>
      <c r="I128" s="11"/>
      <c r="J128" s="11"/>
      <c r="K128" s="11"/>
      <c r="L128" s="11"/>
      <c r="M128" s="13">
        <v>50.74472222</v>
      </c>
      <c r="N128" s="13">
        <v>-121.2794444</v>
      </c>
      <c r="O128" s="13" t="s">
        <v>142</v>
      </c>
      <c r="P128" s="13" t="s">
        <v>506</v>
      </c>
      <c r="Q128" s="14">
        <v>1.0</v>
      </c>
      <c r="R128" s="13" t="s">
        <v>502</v>
      </c>
      <c r="S128" s="13" t="s">
        <v>145</v>
      </c>
      <c r="T128" s="13">
        <v>446.0</v>
      </c>
      <c r="U128" s="11"/>
      <c r="V128" s="11"/>
      <c r="W128" s="11"/>
      <c r="X128" s="11"/>
      <c r="Y128" s="11"/>
      <c r="Z128" s="11"/>
      <c r="AA128" s="11"/>
      <c r="AB128" s="11"/>
      <c r="AC128" s="11"/>
      <c r="AD128" s="11"/>
      <c r="AE128" s="10">
        <v>50.74472222</v>
      </c>
      <c r="AF128" s="10">
        <v>-121.2794444</v>
      </c>
      <c r="AG128" s="10">
        <v>446.0</v>
      </c>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row>
    <row r="129" ht="14.25" customHeight="1">
      <c r="A129" s="6" t="s">
        <v>507</v>
      </c>
      <c r="B129" s="5">
        <v>10.0</v>
      </c>
      <c r="C129" s="5" t="s">
        <v>7660</v>
      </c>
      <c r="D129" s="11" t="s">
        <v>508</v>
      </c>
      <c r="E129" s="11">
        <v>1511.0</v>
      </c>
      <c r="F129" s="11" t="s">
        <v>509</v>
      </c>
      <c r="G129" s="11" t="str">
        <f>CONCATENATE(-1*AF129," W, ",AE129," N, Elev. ",AG129," m")</f>
        <v>119.7084833 W, 50.8039 N, Elev. 355 m</v>
      </c>
      <c r="H129" s="5" t="s">
        <v>426</v>
      </c>
      <c r="I129" s="11" t="s">
        <v>427</v>
      </c>
      <c r="J129" s="11">
        <v>38960.0</v>
      </c>
      <c r="K129" s="11"/>
      <c r="L129" s="11"/>
      <c r="M129" s="11"/>
      <c r="N129" s="11"/>
      <c r="O129" s="11"/>
      <c r="P129" s="11"/>
      <c r="Q129" s="11"/>
      <c r="R129" s="11"/>
      <c r="S129" s="11"/>
      <c r="T129" s="11"/>
      <c r="U129" s="11"/>
      <c r="V129" s="11"/>
      <c r="W129" s="11"/>
      <c r="X129" s="11"/>
      <c r="Y129" s="11"/>
      <c r="Z129" s="11"/>
      <c r="AA129" s="11"/>
      <c r="AB129" s="11"/>
      <c r="AC129" s="11"/>
      <c r="AD129" s="11"/>
      <c r="AE129" s="11">
        <v>50.8039</v>
      </c>
      <c r="AF129" s="11">
        <v>-119.7084833</v>
      </c>
      <c r="AG129" s="11">
        <v>355.0</v>
      </c>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row>
    <row r="130" ht="14.25" customHeight="1">
      <c r="A130" s="6" t="s">
        <v>510</v>
      </c>
      <c r="B130" s="5">
        <v>10.0</v>
      </c>
      <c r="C130" s="12" t="s">
        <v>139</v>
      </c>
      <c r="D130" s="12" t="s">
        <v>511</v>
      </c>
      <c r="E130" s="10"/>
      <c r="F130" s="12" t="s">
        <v>512</v>
      </c>
      <c r="G130" s="10" t="str">
        <f>CONCATENATE("-&gt; ",-1*AF130," W, ",AE130," N, Elev. ",AG130," m")</f>
        <v>-&gt; 119.7083333 W, 50.80388889 N, Elev. 355 m</v>
      </c>
      <c r="I130" s="11"/>
      <c r="J130" s="11"/>
      <c r="K130" s="11"/>
      <c r="L130" s="11"/>
      <c r="M130" s="13">
        <v>50.80388889</v>
      </c>
      <c r="N130" s="13">
        <v>-119.7083333</v>
      </c>
      <c r="O130" s="13" t="s">
        <v>142</v>
      </c>
      <c r="P130" s="13" t="s">
        <v>513</v>
      </c>
      <c r="Q130" s="14">
        <v>1.0</v>
      </c>
      <c r="R130" s="13" t="s">
        <v>509</v>
      </c>
      <c r="S130" s="13" t="s">
        <v>145</v>
      </c>
      <c r="T130" s="13">
        <v>355.0</v>
      </c>
      <c r="U130" s="11"/>
      <c r="V130" s="11"/>
      <c r="W130" s="11"/>
      <c r="X130" s="11"/>
      <c r="Y130" s="11"/>
      <c r="Z130" s="11"/>
      <c r="AA130" s="11"/>
      <c r="AB130" s="11"/>
      <c r="AC130" s="11"/>
      <c r="AD130" s="11"/>
      <c r="AE130" s="10">
        <v>50.80388889</v>
      </c>
      <c r="AF130" s="10">
        <v>-119.7083333</v>
      </c>
      <c r="AG130" s="10">
        <v>355.0</v>
      </c>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row>
    <row r="131" ht="14.25" customHeight="1">
      <c r="A131" s="6" t="s">
        <v>514</v>
      </c>
      <c r="B131" s="5">
        <v>10.0</v>
      </c>
      <c r="C131" s="5" t="s">
        <v>7660</v>
      </c>
      <c r="D131" s="11" t="s">
        <v>515</v>
      </c>
      <c r="E131" s="11">
        <v>1512.0</v>
      </c>
      <c r="F131" s="11" t="s">
        <v>516</v>
      </c>
      <c r="G131" s="11" t="str">
        <f>CONCATENATE(-1*AF131," W, ",AE131," N, Elev. ",AG131," m")</f>
        <v>120.8911667 W, 50.01166667 N, Elev. 718 m</v>
      </c>
      <c r="H131" s="5" t="s">
        <v>426</v>
      </c>
      <c r="I131" s="11" t="s">
        <v>427</v>
      </c>
      <c r="J131" s="11">
        <v>39792.0</v>
      </c>
      <c r="K131" s="11"/>
      <c r="L131" s="11"/>
      <c r="M131" s="11"/>
      <c r="N131" s="11"/>
      <c r="O131" s="11"/>
      <c r="P131" s="11"/>
      <c r="Q131" s="11"/>
      <c r="R131" s="11"/>
      <c r="S131" s="11"/>
      <c r="T131" s="11"/>
      <c r="U131" s="11"/>
      <c r="V131" s="11"/>
      <c r="W131" s="11"/>
      <c r="X131" s="11"/>
      <c r="Y131" s="11"/>
      <c r="Z131" s="11"/>
      <c r="AA131" s="11"/>
      <c r="AB131" s="11"/>
      <c r="AC131" s="11"/>
      <c r="AD131" s="11"/>
      <c r="AE131" s="11">
        <v>50.01166667</v>
      </c>
      <c r="AF131" s="11">
        <v>-120.8911667</v>
      </c>
      <c r="AG131" s="11">
        <v>718.0</v>
      </c>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row>
    <row r="132" ht="14.25" customHeight="1">
      <c r="A132" s="6" t="s">
        <v>517</v>
      </c>
      <c r="B132" s="5">
        <v>10.0</v>
      </c>
      <c r="C132" s="12" t="s">
        <v>139</v>
      </c>
      <c r="D132" s="12" t="s">
        <v>518</v>
      </c>
      <c r="E132" s="10"/>
      <c r="F132" s="12" t="s">
        <v>519</v>
      </c>
      <c r="G132" s="10" t="str">
        <f>CONCATENATE("-&gt; ",-1*AF132," W, ",AE132," N, Elev. ",AG132," m")</f>
        <v>-&gt; 120.8911111 W, 50.01166667 N, Elev. 718 m</v>
      </c>
      <c r="I132" s="11"/>
      <c r="J132" s="11"/>
      <c r="K132" s="19"/>
      <c r="L132" s="19"/>
      <c r="M132" s="13">
        <v>50.01166667</v>
      </c>
      <c r="N132" s="13">
        <v>-120.8911111</v>
      </c>
      <c r="O132" s="13" t="s">
        <v>142</v>
      </c>
      <c r="P132" s="13" t="s">
        <v>520</v>
      </c>
      <c r="Q132" s="14">
        <v>2.0</v>
      </c>
      <c r="R132" s="13" t="s">
        <v>516</v>
      </c>
      <c r="S132" s="13" t="s">
        <v>145</v>
      </c>
      <c r="T132" s="13">
        <v>718.0</v>
      </c>
      <c r="U132" s="19"/>
      <c r="V132" s="19"/>
      <c r="W132" s="19"/>
      <c r="X132" s="19"/>
      <c r="Y132" s="19"/>
      <c r="Z132" s="19"/>
      <c r="AA132" s="19"/>
      <c r="AB132" s="19"/>
      <c r="AC132" s="19"/>
      <c r="AD132" s="19"/>
      <c r="AE132" s="10">
        <v>50.01166667</v>
      </c>
      <c r="AF132" s="10">
        <v>-120.8911111</v>
      </c>
      <c r="AG132" s="10">
        <v>718.0</v>
      </c>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row>
    <row r="133" ht="14.25" customHeight="1">
      <c r="A133" s="6" t="s">
        <v>521</v>
      </c>
      <c r="B133" s="5">
        <v>10.0</v>
      </c>
      <c r="C133" s="5" t="s">
        <v>7660</v>
      </c>
      <c r="D133" s="11" t="s">
        <v>522</v>
      </c>
      <c r="E133" s="11">
        <v>1513.0</v>
      </c>
      <c r="F133" s="11" t="s">
        <v>523</v>
      </c>
      <c r="G133" s="11" t="str">
        <f>CONCATENATE(-1*AF133," W, ",AE133," N, Elev. ",AG133," m")</f>
        <v>119.1942667 W, 50.6276 N, Elev. 517 m</v>
      </c>
      <c r="H133" s="5" t="s">
        <v>426</v>
      </c>
      <c r="I133" s="11" t="s">
        <v>427</v>
      </c>
      <c r="J133" s="11">
        <v>38975.0</v>
      </c>
      <c r="K133" s="11"/>
      <c r="L133" s="11"/>
      <c r="M133" s="11"/>
      <c r="N133" s="11"/>
      <c r="O133" s="11"/>
      <c r="P133" s="11"/>
      <c r="Q133" s="11"/>
      <c r="R133" s="11"/>
      <c r="S133" s="11"/>
      <c r="T133" s="11"/>
      <c r="U133" s="11"/>
      <c r="V133" s="11"/>
      <c r="W133" s="11"/>
      <c r="X133" s="11"/>
      <c r="Y133" s="11"/>
      <c r="Z133" s="11"/>
      <c r="AA133" s="11"/>
      <c r="AB133" s="11"/>
      <c r="AC133" s="11"/>
      <c r="AD133" s="11"/>
      <c r="AE133" s="11">
        <v>50.6276</v>
      </c>
      <c r="AF133" s="11">
        <v>-119.1942667</v>
      </c>
      <c r="AG133" s="11">
        <v>517.0</v>
      </c>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row>
    <row r="134" ht="14.25" customHeight="1">
      <c r="A134" s="6" t="s">
        <v>524</v>
      </c>
      <c r="B134" s="5">
        <v>10.0</v>
      </c>
      <c r="C134" s="12" t="s">
        <v>139</v>
      </c>
      <c r="D134" s="12" t="s">
        <v>525</v>
      </c>
      <c r="E134" s="10"/>
      <c r="F134" s="12" t="s">
        <v>526</v>
      </c>
      <c r="G134" s="10" t="str">
        <f>CONCATENATE("-&gt; ",-1*AF134," W, ",AE134," N, Elev. ",AG134," m")</f>
        <v>-&gt; 119.1941667 W, 50.6275 N, Elev. 517 m</v>
      </c>
      <c r="I134" s="11"/>
      <c r="J134" s="11"/>
      <c r="K134" s="11"/>
      <c r="L134" s="11"/>
      <c r="M134" s="13">
        <v>50.6275</v>
      </c>
      <c r="N134" s="13">
        <v>-119.1941667</v>
      </c>
      <c r="O134" s="13" t="s">
        <v>142</v>
      </c>
      <c r="P134" s="13" t="s">
        <v>527</v>
      </c>
      <c r="Q134" s="14">
        <v>1.0</v>
      </c>
      <c r="R134" s="13" t="s">
        <v>523</v>
      </c>
      <c r="S134" s="13" t="s">
        <v>145</v>
      </c>
      <c r="T134" s="13">
        <v>517.0</v>
      </c>
      <c r="U134" s="11"/>
      <c r="V134" s="11"/>
      <c r="W134" s="11"/>
      <c r="X134" s="11"/>
      <c r="Y134" s="11"/>
      <c r="Z134" s="11"/>
      <c r="AA134" s="11"/>
      <c r="AB134" s="11"/>
      <c r="AC134" s="11"/>
      <c r="AD134" s="11"/>
      <c r="AE134" s="10">
        <v>50.6275</v>
      </c>
      <c r="AF134" s="10">
        <v>-119.1941667</v>
      </c>
      <c r="AG134" s="10">
        <v>517.0</v>
      </c>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row>
    <row r="135" ht="14.25" customHeight="1">
      <c r="A135" s="6" t="s">
        <v>528</v>
      </c>
      <c r="B135" s="5">
        <v>10.0</v>
      </c>
      <c r="C135" s="5" t="s">
        <v>7660</v>
      </c>
      <c r="D135" s="11" t="s">
        <v>529</v>
      </c>
      <c r="E135" s="11">
        <v>1514.0</v>
      </c>
      <c r="F135" s="11" t="s">
        <v>530</v>
      </c>
      <c r="G135" s="11" t="str">
        <f>CONCATENATE(-1*AF135," W, ",AE135," N, Elev. ",AG135," m")</f>
        <v>121.86749 W, 50.85193 N, Elev. 450 m</v>
      </c>
      <c r="H135" s="5" t="s">
        <v>426</v>
      </c>
      <c r="I135" s="11" t="s">
        <v>427</v>
      </c>
      <c r="J135" s="11">
        <v>39339.0</v>
      </c>
      <c r="K135" s="11"/>
      <c r="L135" s="11"/>
      <c r="M135" s="11"/>
      <c r="N135" s="11"/>
      <c r="O135" s="11"/>
      <c r="P135" s="11"/>
      <c r="Q135" s="11"/>
      <c r="R135" s="11"/>
      <c r="S135" s="11"/>
      <c r="T135" s="11"/>
      <c r="U135" s="11"/>
      <c r="V135" s="11"/>
      <c r="W135" s="11"/>
      <c r="X135" s="11"/>
      <c r="Y135" s="11"/>
      <c r="Z135" s="11"/>
      <c r="AA135" s="11"/>
      <c r="AB135" s="11"/>
      <c r="AC135" s="11"/>
      <c r="AD135" s="11"/>
      <c r="AE135" s="11">
        <v>50.85193</v>
      </c>
      <c r="AF135" s="11">
        <v>-121.86749</v>
      </c>
      <c r="AG135" s="11">
        <v>450.0</v>
      </c>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row>
    <row r="136" ht="14.25" customHeight="1">
      <c r="A136" s="6" t="s">
        <v>531</v>
      </c>
      <c r="B136" s="5">
        <v>10.0</v>
      </c>
      <c r="C136" s="12" t="s">
        <v>139</v>
      </c>
      <c r="D136" s="12" t="s">
        <v>532</v>
      </c>
      <c r="E136" s="10"/>
      <c r="F136" s="12" t="s">
        <v>533</v>
      </c>
      <c r="G136" s="10" t="str">
        <f>CONCATENATE("-&gt; ",-1*AF136," W, ",AE136," N, Elev. ",AG136," m")</f>
        <v>-&gt; 121.8672222 W, 50.85166667 N, Elev. 450 m</v>
      </c>
      <c r="I136" s="11"/>
      <c r="J136" s="11"/>
      <c r="K136" s="11"/>
      <c r="L136" s="11"/>
      <c r="M136" s="13">
        <v>50.85166667</v>
      </c>
      <c r="N136" s="13">
        <v>-121.8672222</v>
      </c>
      <c r="O136" s="13" t="s">
        <v>142</v>
      </c>
      <c r="P136" s="13" t="s">
        <v>534</v>
      </c>
      <c r="Q136" s="14">
        <v>1.0</v>
      </c>
      <c r="R136" s="13" t="s">
        <v>535</v>
      </c>
      <c r="S136" s="13" t="s">
        <v>145</v>
      </c>
      <c r="T136" s="13">
        <v>450.0</v>
      </c>
      <c r="U136" s="11"/>
      <c r="V136" s="11"/>
      <c r="W136" s="11"/>
      <c r="X136" s="11"/>
      <c r="Y136" s="11"/>
      <c r="Z136" s="11"/>
      <c r="AA136" s="11"/>
      <c r="AB136" s="11"/>
      <c r="AC136" s="11"/>
      <c r="AD136" s="11"/>
      <c r="AE136" s="10">
        <v>50.85166667</v>
      </c>
      <c r="AF136" s="10">
        <v>-121.8672222</v>
      </c>
      <c r="AG136" s="10">
        <v>450.0</v>
      </c>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row>
    <row r="137" ht="14.25" customHeight="1">
      <c r="A137" s="6" t="s">
        <v>536</v>
      </c>
      <c r="B137" s="5">
        <v>10.0</v>
      </c>
      <c r="C137" s="5" t="s">
        <v>7660</v>
      </c>
      <c r="D137" s="11" t="s">
        <v>537</v>
      </c>
      <c r="E137" s="11">
        <v>1515.0</v>
      </c>
      <c r="F137" s="11" t="s">
        <v>538</v>
      </c>
      <c r="G137" s="11" t="str">
        <f>CONCATENATE(-1*AF137," W, ",AE137," N, Elev. ",AG137," m")</f>
        <v>120.0247222 W, 50.20472222 N, Elev. 951.8904 m</v>
      </c>
      <c r="H137" s="5" t="s">
        <v>426</v>
      </c>
      <c r="I137" s="11" t="s">
        <v>427</v>
      </c>
      <c r="J137" s="11">
        <v>38557.0</v>
      </c>
      <c r="K137" s="11"/>
      <c r="L137" s="11"/>
      <c r="M137" s="11"/>
      <c r="N137" s="11"/>
      <c r="O137" s="11"/>
      <c r="P137" s="11"/>
      <c r="Q137" s="11"/>
      <c r="R137" s="11"/>
      <c r="S137" s="11"/>
      <c r="T137" s="11"/>
      <c r="U137" s="11"/>
      <c r="V137" s="11"/>
      <c r="W137" s="11"/>
      <c r="X137" s="11"/>
      <c r="Y137" s="11"/>
      <c r="Z137" s="11"/>
      <c r="AA137" s="11"/>
      <c r="AB137" s="11"/>
      <c r="AC137" s="11"/>
      <c r="AD137" s="11"/>
      <c r="AE137" s="11">
        <v>50.20472222</v>
      </c>
      <c r="AF137" s="11">
        <v>-120.0247222</v>
      </c>
      <c r="AG137" s="11">
        <v>951.8904</v>
      </c>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row>
    <row r="138" ht="14.25" customHeight="1">
      <c r="A138" s="6" t="s">
        <v>539</v>
      </c>
      <c r="B138" s="5">
        <v>10.0</v>
      </c>
      <c r="C138" s="12" t="s">
        <v>139</v>
      </c>
      <c r="D138" s="12" t="s">
        <v>540</v>
      </c>
      <c r="E138" s="10"/>
      <c r="F138" s="12" t="s">
        <v>541</v>
      </c>
      <c r="G138" s="10" t="str">
        <f>CONCATENATE("-&gt; ",-1*AF138," W, ",AE138," N, Elev. ",AG138," m")</f>
        <v>-&gt; 120.0247222 W, 50.20472222 N, Elev. 952 m</v>
      </c>
      <c r="I138" s="11"/>
      <c r="J138" s="11"/>
      <c r="K138" s="11"/>
      <c r="L138" s="11"/>
      <c r="M138" s="13">
        <v>50.20472222</v>
      </c>
      <c r="N138" s="13">
        <v>-120.0247222</v>
      </c>
      <c r="O138" s="13" t="s">
        <v>142</v>
      </c>
      <c r="P138" s="13" t="s">
        <v>542</v>
      </c>
      <c r="Q138" s="14">
        <v>2.0</v>
      </c>
      <c r="R138" s="13" t="s">
        <v>538</v>
      </c>
      <c r="S138" s="13" t="s">
        <v>145</v>
      </c>
      <c r="T138" s="13">
        <v>952.0</v>
      </c>
      <c r="U138" s="11"/>
      <c r="V138" s="11"/>
      <c r="W138" s="11"/>
      <c r="X138" s="11"/>
      <c r="Y138" s="11"/>
      <c r="Z138" s="11"/>
      <c r="AA138" s="11"/>
      <c r="AB138" s="11"/>
      <c r="AC138" s="11"/>
      <c r="AD138" s="11"/>
      <c r="AE138" s="10">
        <v>50.20472222</v>
      </c>
      <c r="AF138" s="10">
        <v>-120.0247222</v>
      </c>
      <c r="AG138" s="10">
        <v>952.0</v>
      </c>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row>
    <row r="139" ht="14.25" customHeight="1">
      <c r="A139" s="6" t="s">
        <v>543</v>
      </c>
      <c r="B139" s="5">
        <v>10.0</v>
      </c>
      <c r="C139" s="5" t="s">
        <v>7660</v>
      </c>
      <c r="D139" s="11" t="s">
        <v>544</v>
      </c>
      <c r="E139" s="11">
        <v>1517.0</v>
      </c>
      <c r="F139" s="11" t="s">
        <v>545</v>
      </c>
      <c r="G139" s="11" t="str">
        <f>CONCATENATE(-1*AF139," W, ",AE139," N, Elev. ",AG139," m")</f>
        <v>121.71737 W, 50.48667 N, Elev. 300 m</v>
      </c>
      <c r="H139" s="5" t="s">
        <v>426</v>
      </c>
      <c r="I139" s="11" t="s">
        <v>427</v>
      </c>
      <c r="J139" s="11">
        <v>39339.0</v>
      </c>
      <c r="K139" s="11"/>
      <c r="L139" s="11"/>
      <c r="M139" s="11"/>
      <c r="N139" s="11"/>
      <c r="O139" s="11"/>
      <c r="P139" s="11"/>
      <c r="Q139" s="11"/>
      <c r="R139" s="11"/>
      <c r="S139" s="11"/>
      <c r="T139" s="11"/>
      <c r="U139" s="11"/>
      <c r="V139" s="11"/>
      <c r="W139" s="11"/>
      <c r="X139" s="11"/>
      <c r="Y139" s="11"/>
      <c r="Z139" s="11"/>
      <c r="AA139" s="11"/>
      <c r="AB139" s="11"/>
      <c r="AC139" s="11"/>
      <c r="AD139" s="11"/>
      <c r="AE139" s="11">
        <v>50.48667</v>
      </c>
      <c r="AF139" s="11">
        <v>-121.71737</v>
      </c>
      <c r="AG139" s="11">
        <v>300.0</v>
      </c>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row>
    <row r="140" ht="14.25" customHeight="1">
      <c r="A140" s="6" t="s">
        <v>546</v>
      </c>
      <c r="B140" s="5">
        <v>10.0</v>
      </c>
      <c r="C140" s="12" t="s">
        <v>139</v>
      </c>
      <c r="D140" s="12" t="s">
        <v>547</v>
      </c>
      <c r="E140" s="10"/>
      <c r="F140" s="12" t="s">
        <v>548</v>
      </c>
      <c r="G140" s="10" t="str">
        <f>CONCATENATE("-&gt; ",-1*AF140," W, ",AE140," N, Elev. ",AG140," m")</f>
        <v>-&gt; 121.7172222 W, 50.48666667 N, Elev. 300 m</v>
      </c>
      <c r="I140" s="11"/>
      <c r="J140" s="11"/>
      <c r="K140" s="11"/>
      <c r="L140" s="11"/>
      <c r="M140" s="13">
        <v>50.48666667</v>
      </c>
      <c r="N140" s="13">
        <v>-121.7172222</v>
      </c>
      <c r="O140" s="13" t="s">
        <v>142</v>
      </c>
      <c r="P140" s="13" t="s">
        <v>549</v>
      </c>
      <c r="Q140" s="14">
        <v>1.0</v>
      </c>
      <c r="R140" s="13" t="s">
        <v>550</v>
      </c>
      <c r="S140" s="13" t="s">
        <v>145</v>
      </c>
      <c r="T140" s="13">
        <v>300.0</v>
      </c>
      <c r="U140" s="11"/>
      <c r="V140" s="11"/>
      <c r="W140" s="11"/>
      <c r="X140" s="11"/>
      <c r="Y140" s="11"/>
      <c r="Z140" s="11"/>
      <c r="AA140" s="11"/>
      <c r="AB140" s="11"/>
      <c r="AC140" s="11"/>
      <c r="AD140" s="11"/>
      <c r="AE140" s="10">
        <v>50.48666667</v>
      </c>
      <c r="AF140" s="10">
        <v>-121.7172222</v>
      </c>
      <c r="AG140" s="10">
        <v>300.0</v>
      </c>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row>
    <row r="141" ht="14.25" customHeight="1">
      <c r="A141" s="6" t="s">
        <v>551</v>
      </c>
      <c r="B141" s="5">
        <v>10.0</v>
      </c>
      <c r="C141" s="5" t="s">
        <v>7660</v>
      </c>
      <c r="D141" s="11" t="s">
        <v>552</v>
      </c>
      <c r="E141" s="11">
        <v>1518.0</v>
      </c>
      <c r="F141" s="11" t="s">
        <v>553</v>
      </c>
      <c r="G141" s="11" t="str">
        <f>CONCATENATE(-1*AF141," W, ",AE141," N, Elev. ",AG141," m")</f>
        <v>120.8913889 W, 50.89444444 N, Elev. 728 m</v>
      </c>
      <c r="H141" s="5" t="s">
        <v>426</v>
      </c>
      <c r="I141" s="11" t="s">
        <v>427</v>
      </c>
      <c r="J141" s="11">
        <v>39924.0</v>
      </c>
      <c r="K141" s="11"/>
      <c r="L141" s="11"/>
      <c r="M141" s="11"/>
      <c r="N141" s="11"/>
      <c r="O141" s="11"/>
      <c r="P141" s="11"/>
      <c r="Q141" s="11"/>
      <c r="R141" s="11"/>
      <c r="S141" s="11"/>
      <c r="T141" s="11"/>
      <c r="U141" s="11"/>
      <c r="V141" s="11"/>
      <c r="W141" s="11"/>
      <c r="X141" s="11"/>
      <c r="Y141" s="11"/>
      <c r="Z141" s="11"/>
      <c r="AA141" s="11"/>
      <c r="AB141" s="11"/>
      <c r="AC141" s="11"/>
      <c r="AD141" s="11"/>
      <c r="AE141" s="11">
        <v>50.89444444</v>
      </c>
      <c r="AF141" s="11">
        <v>-120.8913889</v>
      </c>
      <c r="AG141" s="11">
        <v>728.0</v>
      </c>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row>
    <row r="142" ht="14.25" customHeight="1">
      <c r="A142" s="6" t="s">
        <v>554</v>
      </c>
      <c r="B142" s="5">
        <v>10.0</v>
      </c>
      <c r="C142" s="12" t="s">
        <v>139</v>
      </c>
      <c r="D142" s="12" t="s">
        <v>555</v>
      </c>
      <c r="E142" s="10"/>
      <c r="F142" s="12" t="s">
        <v>556</v>
      </c>
      <c r="G142" s="10" t="str">
        <f>CONCATENATE("-&gt; ",-1*AF142," W, ",AE142," N, Elev. ",AG142," m")</f>
        <v>-&gt; 120.8913889 W, 50.89444444 N, Elev. 728 m</v>
      </c>
      <c r="I142" s="11"/>
      <c r="J142" s="11"/>
      <c r="K142" s="11"/>
      <c r="L142" s="11"/>
      <c r="M142" s="13">
        <v>50.89444444</v>
      </c>
      <c r="N142" s="13">
        <v>-120.8913889</v>
      </c>
      <c r="O142" s="13" t="s">
        <v>142</v>
      </c>
      <c r="P142" s="13" t="s">
        <v>557</v>
      </c>
      <c r="Q142" s="14">
        <v>2.0</v>
      </c>
      <c r="R142" s="13" t="s">
        <v>558</v>
      </c>
      <c r="S142" s="13" t="s">
        <v>145</v>
      </c>
      <c r="T142" s="13">
        <v>728.0</v>
      </c>
      <c r="U142" s="11"/>
      <c r="V142" s="11"/>
      <c r="W142" s="11"/>
      <c r="X142" s="11"/>
      <c r="Y142" s="11"/>
      <c r="Z142" s="11"/>
      <c r="AA142" s="11"/>
      <c r="AB142" s="11"/>
      <c r="AC142" s="11"/>
      <c r="AD142" s="11"/>
      <c r="AE142" s="10">
        <v>50.89444444</v>
      </c>
      <c r="AF142" s="10">
        <v>-120.8913889</v>
      </c>
      <c r="AG142" s="10">
        <v>728.0</v>
      </c>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row>
    <row r="143" ht="14.25" customHeight="1">
      <c r="A143" s="6" t="s">
        <v>559</v>
      </c>
      <c r="B143" s="5">
        <v>10.0</v>
      </c>
      <c r="C143" s="5" t="s">
        <v>7660</v>
      </c>
      <c r="D143" s="11" t="s">
        <v>560</v>
      </c>
      <c r="E143" s="11">
        <v>1519.0</v>
      </c>
      <c r="F143" s="11" t="s">
        <v>561</v>
      </c>
      <c r="G143" s="11" t="str">
        <f>CONCATENATE(-1*AF143," W, ",AE143," N, Elev. ",AG143," m")</f>
        <v>120.505 W, 50.17972222 N, Elev. 316.0776 m</v>
      </c>
      <c r="H143" s="5" t="s">
        <v>426</v>
      </c>
      <c r="I143" s="11" t="s">
        <v>427</v>
      </c>
      <c r="J143" s="11">
        <v>38557.0</v>
      </c>
      <c r="K143" s="11"/>
      <c r="L143" s="11"/>
      <c r="M143" s="11"/>
      <c r="N143" s="11"/>
      <c r="O143" s="11"/>
      <c r="P143" s="11"/>
      <c r="Q143" s="11"/>
      <c r="R143" s="11"/>
      <c r="S143" s="11"/>
      <c r="T143" s="11"/>
      <c r="U143" s="11"/>
      <c r="V143" s="11"/>
      <c r="W143" s="11"/>
      <c r="X143" s="11"/>
      <c r="Y143" s="11"/>
      <c r="Z143" s="11"/>
      <c r="AA143" s="11"/>
      <c r="AB143" s="11"/>
      <c r="AC143" s="11"/>
      <c r="AD143" s="11"/>
      <c r="AE143" s="11">
        <v>50.17972222</v>
      </c>
      <c r="AF143" s="11">
        <v>-120.505</v>
      </c>
      <c r="AG143" s="11">
        <v>316.0776</v>
      </c>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row>
    <row r="144" ht="14.25" customHeight="1">
      <c r="A144" s="6" t="s">
        <v>562</v>
      </c>
      <c r="B144" s="5">
        <v>10.0</v>
      </c>
      <c r="C144" s="12" t="s">
        <v>139</v>
      </c>
      <c r="D144" s="12" t="s">
        <v>563</v>
      </c>
      <c r="E144" s="10"/>
      <c r="F144" s="12" t="s">
        <v>564</v>
      </c>
      <c r="G144" s="10" t="str">
        <f>CONCATENATE("-&gt; ",-1*AF144," W, ",AE144," N, Elev. ",AG144," m")</f>
        <v>-&gt; 120.496103 W, 50.168431 N, Elev. 316 m</v>
      </c>
      <c r="I144" s="11"/>
      <c r="J144" s="11"/>
      <c r="K144" s="11"/>
      <c r="L144" s="11"/>
      <c r="M144" s="13">
        <v>50.168431</v>
      </c>
      <c r="N144" s="13">
        <v>-120.496103</v>
      </c>
      <c r="O144" s="13" t="s">
        <v>142</v>
      </c>
      <c r="P144" s="13" t="s">
        <v>565</v>
      </c>
      <c r="Q144" s="14">
        <v>1.0</v>
      </c>
      <c r="R144" s="13" t="s">
        <v>561</v>
      </c>
      <c r="S144" s="13" t="s">
        <v>145</v>
      </c>
      <c r="T144" s="13">
        <v>316.0</v>
      </c>
      <c r="U144" s="11"/>
      <c r="V144" s="11"/>
      <c r="W144" s="11"/>
      <c r="X144" s="11"/>
      <c r="Y144" s="11"/>
      <c r="Z144" s="11"/>
      <c r="AA144" s="11"/>
      <c r="AB144" s="11"/>
      <c r="AC144" s="11"/>
      <c r="AD144" s="11"/>
      <c r="AE144" s="10">
        <v>50.168431</v>
      </c>
      <c r="AF144" s="10">
        <v>-120.496103</v>
      </c>
      <c r="AG144" s="10">
        <v>316.0</v>
      </c>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row>
    <row r="145" ht="14.25" customHeight="1">
      <c r="A145" s="6" t="s">
        <v>566</v>
      </c>
      <c r="B145" s="5">
        <v>10.0</v>
      </c>
      <c r="C145" s="5" t="s">
        <v>7660</v>
      </c>
      <c r="D145" s="11" t="s">
        <v>567</v>
      </c>
      <c r="E145" s="11">
        <v>1520.0</v>
      </c>
      <c r="F145" s="11" t="s">
        <v>568</v>
      </c>
      <c r="G145" s="11" t="str">
        <f>CONCATENATE(-1*AF145," W, ",AE145," N, Elev. ",AG145," m")</f>
        <v>119.7745333 W, 50.7382 N, Elev. 413 m</v>
      </c>
      <c r="H145" s="5" t="s">
        <v>426</v>
      </c>
      <c r="I145" s="11" t="s">
        <v>427</v>
      </c>
      <c r="J145" s="11">
        <v>38960.0</v>
      </c>
      <c r="K145" s="11"/>
      <c r="L145" s="11"/>
      <c r="M145" s="11"/>
      <c r="N145" s="11"/>
      <c r="O145" s="11"/>
      <c r="P145" s="11"/>
      <c r="Q145" s="11"/>
      <c r="R145" s="11"/>
      <c r="S145" s="11"/>
      <c r="T145" s="11"/>
      <c r="U145" s="11"/>
      <c r="V145" s="11"/>
      <c r="W145" s="11"/>
      <c r="X145" s="11"/>
      <c r="Y145" s="11"/>
      <c r="Z145" s="11"/>
      <c r="AA145" s="11"/>
      <c r="AB145" s="11"/>
      <c r="AC145" s="11"/>
      <c r="AD145" s="11"/>
      <c r="AE145" s="11">
        <v>50.7382</v>
      </c>
      <c r="AF145" s="11">
        <v>-119.7745333</v>
      </c>
      <c r="AG145" s="11">
        <v>413.0</v>
      </c>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row>
    <row r="146" ht="14.25" customHeight="1">
      <c r="A146" s="6" t="s">
        <v>569</v>
      </c>
      <c r="B146" s="5">
        <v>10.0</v>
      </c>
      <c r="C146" s="12" t="s">
        <v>139</v>
      </c>
      <c r="D146" s="12" t="s">
        <v>570</v>
      </c>
      <c r="E146" s="10"/>
      <c r="F146" s="12" t="s">
        <v>571</v>
      </c>
      <c r="G146" s="10" t="str">
        <f>CONCATENATE("-&gt; ",-1*AF146," W, ",AE146," N, Elev. ",AG146," m")</f>
        <v>-&gt; 119.7744444 W, 50.73805556 N, Elev. 413 m</v>
      </c>
      <c r="I146" s="11"/>
      <c r="J146" s="11"/>
      <c r="K146" s="11"/>
      <c r="L146" s="11"/>
      <c r="M146" s="13">
        <v>50.73805556</v>
      </c>
      <c r="N146" s="13">
        <v>-119.7744444</v>
      </c>
      <c r="O146" s="13" t="s">
        <v>142</v>
      </c>
      <c r="P146" s="13" t="s">
        <v>572</v>
      </c>
      <c r="Q146" s="14">
        <v>1.0</v>
      </c>
      <c r="R146" s="13" t="s">
        <v>568</v>
      </c>
      <c r="S146" s="13" t="s">
        <v>145</v>
      </c>
      <c r="T146" s="13">
        <v>413.0</v>
      </c>
      <c r="U146" s="11"/>
      <c r="V146" s="11"/>
      <c r="W146" s="11"/>
      <c r="X146" s="11"/>
      <c r="Y146" s="11"/>
      <c r="Z146" s="11"/>
      <c r="AA146" s="11"/>
      <c r="AB146" s="11"/>
      <c r="AC146" s="11"/>
      <c r="AD146" s="11"/>
      <c r="AE146" s="10">
        <v>50.73805556</v>
      </c>
      <c r="AF146" s="10">
        <v>-119.7744444</v>
      </c>
      <c r="AG146" s="10">
        <v>413.0</v>
      </c>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row>
    <row r="147" ht="14.25" customHeight="1">
      <c r="A147" s="6" t="s">
        <v>573</v>
      </c>
      <c r="B147" s="5">
        <v>10.0</v>
      </c>
      <c r="C147" s="5" t="s">
        <v>7660</v>
      </c>
      <c r="D147" s="19" t="s">
        <v>574</v>
      </c>
      <c r="E147" s="19">
        <v>1522.0</v>
      </c>
      <c r="F147" s="19" t="s">
        <v>575</v>
      </c>
      <c r="G147" s="11" t="str">
        <f>CONCATENATE(-1*AF147," W, ",AE147," N, Elev. ",AG147," m")</f>
        <v>120.9333333 W, 50.14583333 N, Elev. 560.832 m</v>
      </c>
      <c r="H147" s="5" t="s">
        <v>426</v>
      </c>
      <c r="I147" s="19" t="s">
        <v>427</v>
      </c>
      <c r="J147" s="19">
        <v>38569.0</v>
      </c>
      <c r="K147" s="11"/>
      <c r="L147" s="11"/>
      <c r="M147" s="11"/>
      <c r="N147" s="11"/>
      <c r="O147" s="11"/>
      <c r="P147" s="11"/>
      <c r="Q147" s="11"/>
      <c r="R147" s="11"/>
      <c r="S147" s="11"/>
      <c r="T147" s="11"/>
      <c r="U147" s="11"/>
      <c r="V147" s="11"/>
      <c r="W147" s="11"/>
      <c r="X147" s="11"/>
      <c r="Y147" s="11"/>
      <c r="Z147" s="11"/>
      <c r="AA147" s="11"/>
      <c r="AB147" s="11"/>
      <c r="AC147" s="11"/>
      <c r="AD147" s="11"/>
      <c r="AE147" s="19">
        <v>50.14583333</v>
      </c>
      <c r="AF147" s="19">
        <v>-120.9333333</v>
      </c>
      <c r="AG147" s="19">
        <v>560.832</v>
      </c>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row>
    <row r="148" ht="14.25" customHeight="1">
      <c r="A148" s="20" t="s">
        <v>576</v>
      </c>
      <c r="B148" s="5">
        <v>10.0</v>
      </c>
      <c r="C148" s="12" t="s">
        <v>139</v>
      </c>
      <c r="D148" s="12" t="s">
        <v>577</v>
      </c>
      <c r="E148" s="10"/>
      <c r="F148" s="12" t="s">
        <v>578</v>
      </c>
      <c r="G148" s="10" t="str">
        <f>CONCATENATE("-&gt; ",-1*AF148," W, ",AE148," N, Elev. ",AG148," m")</f>
        <v>-&gt; 120.9333333 W, 50.14583333 N, Elev. 561 m</v>
      </c>
      <c r="I148" s="19"/>
      <c r="J148" s="19"/>
      <c r="K148" s="11"/>
      <c r="L148" s="11"/>
      <c r="M148" s="13">
        <v>50.14583333</v>
      </c>
      <c r="N148" s="13">
        <v>-120.9333333</v>
      </c>
      <c r="O148" s="13" t="s">
        <v>142</v>
      </c>
      <c r="P148" s="13" t="s">
        <v>579</v>
      </c>
      <c r="Q148" s="14">
        <v>1.0</v>
      </c>
      <c r="R148" s="13" t="s">
        <v>575</v>
      </c>
      <c r="S148" s="13" t="s">
        <v>145</v>
      </c>
      <c r="T148" s="13">
        <v>561.0</v>
      </c>
      <c r="U148" s="11"/>
      <c r="V148" s="11"/>
      <c r="W148" s="11"/>
      <c r="X148" s="11"/>
      <c r="Y148" s="11"/>
      <c r="Z148" s="11"/>
      <c r="AA148" s="11"/>
      <c r="AB148" s="11"/>
      <c r="AC148" s="11"/>
      <c r="AD148" s="11"/>
      <c r="AE148" s="10">
        <v>50.14583333</v>
      </c>
      <c r="AF148" s="10">
        <v>-120.9333333</v>
      </c>
      <c r="AG148" s="10">
        <v>561.0</v>
      </c>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row>
    <row r="149" ht="14.25" customHeight="1">
      <c r="A149" s="6" t="s">
        <v>580</v>
      </c>
      <c r="B149" s="5">
        <v>10.0</v>
      </c>
      <c r="C149" s="5" t="s">
        <v>7660</v>
      </c>
      <c r="D149" s="11">
        <v>24547.0</v>
      </c>
      <c r="E149" s="11">
        <v>1523.0</v>
      </c>
      <c r="F149" s="11" t="s">
        <v>581</v>
      </c>
      <c r="G149" s="11" t="str">
        <f>CONCATENATE(-1*AF149," W, ",AE149," N, Elev. ",AG149," m")</f>
        <v>119.5874 W, 49.1574 N, Elev. 342.5 m</v>
      </c>
      <c r="H149" s="5" t="s">
        <v>426</v>
      </c>
      <c r="I149" s="11" t="s">
        <v>427</v>
      </c>
      <c r="J149" s="11">
        <v>38699.0</v>
      </c>
      <c r="K149" s="11"/>
      <c r="L149" s="11"/>
      <c r="M149" s="11"/>
      <c r="N149" s="11"/>
      <c r="O149" s="11"/>
      <c r="P149" s="11"/>
      <c r="Q149" s="11"/>
      <c r="R149" s="11"/>
      <c r="S149" s="11"/>
      <c r="T149" s="11"/>
      <c r="U149" s="11"/>
      <c r="V149" s="11"/>
      <c r="W149" s="11"/>
      <c r="X149" s="11"/>
      <c r="Y149" s="11"/>
      <c r="Z149" s="11"/>
      <c r="AA149" s="11"/>
      <c r="AB149" s="11"/>
      <c r="AC149" s="11"/>
      <c r="AD149" s="11"/>
      <c r="AE149" s="11">
        <v>49.1574</v>
      </c>
      <c r="AF149" s="11">
        <v>-119.5874</v>
      </c>
      <c r="AG149" s="11">
        <v>342.5</v>
      </c>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row>
    <row r="150" ht="14.25" customHeight="1">
      <c r="A150" s="6" t="s">
        <v>582</v>
      </c>
      <c r="B150" s="5">
        <v>10.0</v>
      </c>
      <c r="C150" s="12" t="s">
        <v>139</v>
      </c>
      <c r="D150" s="12" t="s">
        <v>583</v>
      </c>
      <c r="E150" s="10"/>
      <c r="F150" s="12" t="s">
        <v>584</v>
      </c>
      <c r="G150" s="10" t="str">
        <f>CONCATENATE("-&gt; ",-1*AF150," W, ",AE150," N, Elev. ",AG150," m")</f>
        <v>-&gt; 119.5619 W, 49.1764 N, Elev. 328 m</v>
      </c>
      <c r="I150" s="11"/>
      <c r="J150" s="11"/>
      <c r="K150" s="11"/>
      <c r="L150" s="11"/>
      <c r="M150" s="13">
        <v>49.1764</v>
      </c>
      <c r="N150" s="13">
        <v>-119.5619</v>
      </c>
      <c r="O150" s="13" t="s">
        <v>142</v>
      </c>
      <c r="P150" s="13" t="s">
        <v>585</v>
      </c>
      <c r="Q150" s="14">
        <v>1.0</v>
      </c>
      <c r="R150" s="13" t="s">
        <v>586</v>
      </c>
      <c r="S150" s="13" t="s">
        <v>145</v>
      </c>
      <c r="T150" s="13">
        <v>328.0</v>
      </c>
      <c r="U150" s="11"/>
      <c r="V150" s="11"/>
      <c r="W150" s="11"/>
      <c r="X150" s="11"/>
      <c r="Y150" s="11"/>
      <c r="Z150" s="11"/>
      <c r="AA150" s="11"/>
      <c r="AB150" s="11"/>
      <c r="AC150" s="11"/>
      <c r="AD150" s="11"/>
      <c r="AE150" s="10">
        <v>49.1764</v>
      </c>
      <c r="AF150" s="10">
        <v>-119.5619</v>
      </c>
      <c r="AG150" s="10">
        <v>328.0</v>
      </c>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row>
    <row r="151" ht="14.25" customHeight="1">
      <c r="A151" s="6" t="s">
        <v>587</v>
      </c>
      <c r="B151" s="5">
        <v>10.0</v>
      </c>
      <c r="C151" s="5" t="s">
        <v>7660</v>
      </c>
      <c r="D151" s="11">
        <v>25672.0</v>
      </c>
      <c r="E151" s="11">
        <v>1526.0</v>
      </c>
      <c r="F151" s="11" t="s">
        <v>588</v>
      </c>
      <c r="G151" s="11" t="str">
        <f>CONCATENATE(-1*AF151," W, ",AE151," N, Elev. ",AG151," m")</f>
        <v>119.5766 W, 49.1228 N, Elev. 292 m</v>
      </c>
      <c r="H151" s="5" t="s">
        <v>426</v>
      </c>
      <c r="I151" s="11" t="s">
        <v>427</v>
      </c>
      <c r="J151" s="11">
        <v>38557.0</v>
      </c>
      <c r="K151" s="11"/>
      <c r="L151" s="11"/>
      <c r="M151" s="11"/>
      <c r="N151" s="11"/>
      <c r="O151" s="11"/>
      <c r="P151" s="11"/>
      <c r="Q151" s="11"/>
      <c r="R151" s="11"/>
      <c r="S151" s="11"/>
      <c r="T151" s="11"/>
      <c r="U151" s="11"/>
      <c r="V151" s="11"/>
      <c r="W151" s="11"/>
      <c r="X151" s="11"/>
      <c r="Y151" s="11"/>
      <c r="Z151" s="11"/>
      <c r="AA151" s="11"/>
      <c r="AB151" s="11"/>
      <c r="AC151" s="11"/>
      <c r="AD151" s="11"/>
      <c r="AE151" s="11">
        <v>49.1228</v>
      </c>
      <c r="AF151" s="11">
        <v>-119.5766</v>
      </c>
      <c r="AG151" s="11">
        <v>292.0</v>
      </c>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row>
    <row r="152" ht="14.25" customHeight="1">
      <c r="A152" s="6" t="s">
        <v>589</v>
      </c>
      <c r="B152" s="5">
        <v>10.0</v>
      </c>
      <c r="C152" s="12" t="s">
        <v>139</v>
      </c>
      <c r="D152" s="12" t="s">
        <v>590</v>
      </c>
      <c r="E152" s="10"/>
      <c r="F152" s="12" t="s">
        <v>591</v>
      </c>
      <c r="G152" s="10" t="str">
        <f>CONCATENATE("-&gt; ",-1*AF152," W, ",AE152," N, Elev. ",AG152," m")</f>
        <v>-&gt; 119.5715 W, 49.1086 N, Elev. 289 m</v>
      </c>
      <c r="I152" s="11"/>
      <c r="J152" s="11"/>
      <c r="K152" s="11"/>
      <c r="L152" s="11"/>
      <c r="M152" s="13">
        <v>49.1086</v>
      </c>
      <c r="N152" s="13">
        <v>-119.5715</v>
      </c>
      <c r="O152" s="13" t="s">
        <v>142</v>
      </c>
      <c r="P152" s="13" t="s">
        <v>592</v>
      </c>
      <c r="Q152" s="14">
        <v>1.0</v>
      </c>
      <c r="R152" s="13" t="s">
        <v>588</v>
      </c>
      <c r="S152" s="13" t="s">
        <v>145</v>
      </c>
      <c r="T152" s="13">
        <v>289.0</v>
      </c>
      <c r="U152" s="11"/>
      <c r="V152" s="11"/>
      <c r="W152" s="11"/>
      <c r="X152" s="11"/>
      <c r="Y152" s="11"/>
      <c r="Z152" s="11"/>
      <c r="AA152" s="11"/>
      <c r="AB152" s="11"/>
      <c r="AC152" s="11"/>
      <c r="AD152" s="11"/>
      <c r="AE152" s="10">
        <v>49.1086</v>
      </c>
      <c r="AF152" s="10">
        <v>-119.5715</v>
      </c>
      <c r="AG152" s="10">
        <v>289.0</v>
      </c>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row>
    <row r="153" ht="14.25" customHeight="1">
      <c r="A153" s="6" t="s">
        <v>593</v>
      </c>
      <c r="B153" s="5">
        <v>10.0</v>
      </c>
      <c r="C153" s="5" t="s">
        <v>7660</v>
      </c>
      <c r="D153" s="11" t="s">
        <v>594</v>
      </c>
      <c r="E153" s="11">
        <v>1538.0</v>
      </c>
      <c r="F153" s="11" t="s">
        <v>595</v>
      </c>
      <c r="G153" s="11" t="str">
        <f>CONCATENATE(-1*AF153," W, ",AE153," N, Elev. ",AG153," m")</f>
        <v>122.145833 W, 49.0725 N, Elev. 100 m</v>
      </c>
      <c r="H153" s="5" t="s">
        <v>426</v>
      </c>
      <c r="I153" s="11" t="s">
        <v>427</v>
      </c>
      <c r="J153" s="11">
        <v>37366.0</v>
      </c>
      <c r="K153" s="11"/>
      <c r="L153" s="11"/>
      <c r="M153" s="11"/>
      <c r="N153" s="11"/>
      <c r="O153" s="11"/>
      <c r="P153" s="11"/>
      <c r="Q153" s="11"/>
      <c r="R153" s="11"/>
      <c r="S153" s="11"/>
      <c r="T153" s="11"/>
      <c r="U153" s="11"/>
      <c r="V153" s="11"/>
      <c r="W153" s="11"/>
      <c r="X153" s="11"/>
      <c r="Y153" s="11"/>
      <c r="Z153" s="11"/>
      <c r="AA153" s="11"/>
      <c r="AB153" s="11"/>
      <c r="AC153" s="11"/>
      <c r="AD153" s="11"/>
      <c r="AE153" s="11">
        <v>49.0725</v>
      </c>
      <c r="AF153" s="11">
        <v>-122.145833</v>
      </c>
      <c r="AG153" s="11">
        <v>100.0</v>
      </c>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row>
    <row r="154" ht="14.25" customHeight="1">
      <c r="A154" s="6" t="s">
        <v>596</v>
      </c>
      <c r="B154" s="5">
        <v>10.0</v>
      </c>
      <c r="C154" s="12" t="s">
        <v>139</v>
      </c>
      <c r="D154" s="12" t="s">
        <v>597</v>
      </c>
      <c r="E154" s="10"/>
      <c r="F154" s="12" t="s">
        <v>598</v>
      </c>
      <c r="G154" s="10" t="str">
        <f>CONCATENATE("-&gt; ",-1*AF154," W, ",AE154," N, Elev. ",AG154," m")</f>
        <v>-&gt; 122.1406 W, 49.0518 N, Elev. 9 m</v>
      </c>
      <c r="I154" s="11"/>
      <c r="J154" s="11"/>
      <c r="K154" s="11"/>
      <c r="L154" s="11"/>
      <c r="M154" s="13">
        <v>49.0518</v>
      </c>
      <c r="N154" s="13">
        <v>-122.1406</v>
      </c>
      <c r="O154" s="13" t="s">
        <v>183</v>
      </c>
      <c r="P154" s="13" t="s">
        <v>599</v>
      </c>
      <c r="Q154" s="14">
        <v>1.0</v>
      </c>
      <c r="R154" s="13" t="s">
        <v>595</v>
      </c>
      <c r="S154" s="13" t="s">
        <v>145</v>
      </c>
      <c r="T154" s="13">
        <v>9.0</v>
      </c>
      <c r="U154" s="11"/>
      <c r="V154" s="11"/>
      <c r="W154" s="11"/>
      <c r="X154" s="11"/>
      <c r="Y154" s="11"/>
      <c r="Z154" s="11"/>
      <c r="AA154" s="11"/>
      <c r="AB154" s="11"/>
      <c r="AC154" s="11"/>
      <c r="AD154" s="11"/>
      <c r="AE154" s="10">
        <v>49.0518</v>
      </c>
      <c r="AF154" s="10">
        <v>-122.1406</v>
      </c>
      <c r="AG154" s="10">
        <v>9.0</v>
      </c>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row>
    <row r="155" ht="14.25" customHeight="1">
      <c r="A155" s="6" t="s">
        <v>600</v>
      </c>
      <c r="B155" s="5">
        <v>10.0</v>
      </c>
      <c r="C155" s="5" t="s">
        <v>7660</v>
      </c>
      <c r="D155" s="11" t="s">
        <v>601</v>
      </c>
      <c r="E155" s="11">
        <v>3101.0</v>
      </c>
      <c r="F155" s="11" t="s">
        <v>602</v>
      </c>
      <c r="G155" s="11" t="str">
        <f>CONCATENATE(-1*AF155," W, ",AE155," N, Elev. ",AG155," m")</f>
        <v>119.367128 W, 50.090526 N, Elev. 491 m</v>
      </c>
      <c r="H155" s="5" t="s">
        <v>426</v>
      </c>
      <c r="I155" s="11" t="s">
        <v>427</v>
      </c>
      <c r="J155" s="11">
        <v>37988.0</v>
      </c>
      <c r="K155" s="11"/>
      <c r="L155" s="11"/>
      <c r="M155" s="11"/>
      <c r="N155" s="11"/>
      <c r="O155" s="11"/>
      <c r="P155" s="11"/>
      <c r="Q155" s="11"/>
      <c r="R155" s="11"/>
      <c r="S155" s="11"/>
      <c r="T155" s="11"/>
      <c r="U155" s="11"/>
      <c r="V155" s="11"/>
      <c r="W155" s="11"/>
      <c r="X155" s="11"/>
      <c r="Y155" s="11"/>
      <c r="Z155" s="11"/>
      <c r="AA155" s="11"/>
      <c r="AB155" s="11"/>
      <c r="AC155" s="11"/>
      <c r="AD155" s="11"/>
      <c r="AE155" s="11">
        <v>50.090526</v>
      </c>
      <c r="AF155" s="11">
        <v>-119.367128</v>
      </c>
      <c r="AG155" s="11">
        <v>491.0</v>
      </c>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row>
    <row r="156" ht="14.25" customHeight="1">
      <c r="A156" s="6" t="s">
        <v>603</v>
      </c>
      <c r="B156" s="5">
        <v>10.0</v>
      </c>
      <c r="C156" s="12" t="s">
        <v>139</v>
      </c>
      <c r="D156" s="12" t="s">
        <v>604</v>
      </c>
      <c r="E156" s="10"/>
      <c r="F156" s="12" t="s">
        <v>605</v>
      </c>
      <c r="G156" s="10" t="str">
        <f>CONCATENATE("-&gt; ",-1*AF156," W, ",AE156," N, Elev. ",AG156," m")</f>
        <v>-&gt; 119.3585 W, 50.093 N, Elev. 538 m</v>
      </c>
      <c r="I156" s="11"/>
      <c r="J156" s="11"/>
      <c r="K156" s="11"/>
      <c r="L156" s="11"/>
      <c r="M156" s="13">
        <v>50.093</v>
      </c>
      <c r="N156" s="13">
        <v>-119.3585</v>
      </c>
      <c r="O156" s="13" t="s">
        <v>142</v>
      </c>
      <c r="P156" s="13" t="s">
        <v>606</v>
      </c>
      <c r="Q156" s="14">
        <v>1.0</v>
      </c>
      <c r="R156" s="13" t="s">
        <v>602</v>
      </c>
      <c r="S156" s="13" t="s">
        <v>145</v>
      </c>
      <c r="T156" s="13">
        <v>538.0</v>
      </c>
      <c r="U156" s="11"/>
      <c r="V156" s="11"/>
      <c r="W156" s="11"/>
      <c r="X156" s="11"/>
      <c r="Y156" s="11"/>
      <c r="Z156" s="11"/>
      <c r="AA156" s="11"/>
      <c r="AB156" s="11"/>
      <c r="AC156" s="11"/>
      <c r="AD156" s="11"/>
      <c r="AE156" s="10">
        <v>50.093</v>
      </c>
      <c r="AF156" s="10">
        <v>-119.3585</v>
      </c>
      <c r="AG156" s="10">
        <v>538.0</v>
      </c>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row>
    <row r="157" ht="14.25" customHeight="1">
      <c r="A157" s="6" t="s">
        <v>607</v>
      </c>
      <c r="B157" s="5">
        <v>10.0</v>
      </c>
      <c r="C157" s="5" t="s">
        <v>7660</v>
      </c>
      <c r="D157" s="11" t="s">
        <v>608</v>
      </c>
      <c r="E157" s="11">
        <v>3102.0</v>
      </c>
      <c r="F157" s="11" t="s">
        <v>609</v>
      </c>
      <c r="G157" s="11" t="str">
        <f>CONCATENATE(-1*AF157," W, ",AE157," N, Elev. ",AG157," m")</f>
        <v>119.233686 W, 50.294251 N, Elev. 509 m</v>
      </c>
      <c r="H157" s="5" t="s">
        <v>426</v>
      </c>
      <c r="I157" s="11" t="s">
        <v>427</v>
      </c>
      <c r="J157" s="11">
        <v>38225.0</v>
      </c>
      <c r="K157" s="11"/>
      <c r="L157" s="11"/>
      <c r="M157" s="11"/>
      <c r="N157" s="11"/>
      <c r="O157" s="11"/>
      <c r="P157" s="11"/>
      <c r="Q157" s="11"/>
      <c r="R157" s="11"/>
      <c r="S157" s="11"/>
      <c r="T157" s="11"/>
      <c r="U157" s="11"/>
      <c r="V157" s="11"/>
      <c r="W157" s="11"/>
      <c r="X157" s="11"/>
      <c r="Y157" s="11"/>
      <c r="Z157" s="11"/>
      <c r="AA157" s="11"/>
      <c r="AB157" s="11"/>
      <c r="AC157" s="11"/>
      <c r="AD157" s="11"/>
      <c r="AE157" s="11">
        <v>50.294251</v>
      </c>
      <c r="AF157" s="11">
        <v>-119.233686</v>
      </c>
      <c r="AG157" s="11">
        <v>509.0</v>
      </c>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row>
    <row r="158" ht="14.25" customHeight="1">
      <c r="A158" s="6" t="s">
        <v>610</v>
      </c>
      <c r="B158" s="5">
        <v>10.0</v>
      </c>
      <c r="C158" s="12" t="s">
        <v>139</v>
      </c>
      <c r="D158" s="12" t="s">
        <v>611</v>
      </c>
      <c r="E158" s="10"/>
      <c r="F158" s="12" t="s">
        <v>612</v>
      </c>
      <c r="G158" s="10" t="str">
        <f>CONCATENATE("-&gt; ",-1*AF158," W, ",AE158," N, Elev. ",AG158," m")</f>
        <v>-&gt; 119.231 W, 50.2901 N, Elev. 515 m</v>
      </c>
      <c r="I158" s="11"/>
      <c r="J158" s="11"/>
      <c r="K158" s="11"/>
      <c r="L158" s="11"/>
      <c r="M158" s="13">
        <v>50.2901</v>
      </c>
      <c r="N158" s="13">
        <v>-119.231</v>
      </c>
      <c r="O158" s="13" t="s">
        <v>183</v>
      </c>
      <c r="P158" s="13" t="s">
        <v>613</v>
      </c>
      <c r="Q158" s="14">
        <v>6.0</v>
      </c>
      <c r="R158" s="13" t="s">
        <v>614</v>
      </c>
      <c r="S158" s="13" t="s">
        <v>145</v>
      </c>
      <c r="T158" s="13">
        <v>515.0</v>
      </c>
      <c r="U158" s="11"/>
      <c r="V158" s="11"/>
      <c r="W158" s="11"/>
      <c r="X158" s="11"/>
      <c r="Y158" s="11"/>
      <c r="Z158" s="11"/>
      <c r="AA158" s="11"/>
      <c r="AB158" s="11"/>
      <c r="AC158" s="11"/>
      <c r="AD158" s="11"/>
      <c r="AE158" s="10">
        <v>50.2901</v>
      </c>
      <c r="AF158" s="10">
        <v>-119.231</v>
      </c>
      <c r="AG158" s="10">
        <v>515.0</v>
      </c>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row>
    <row r="159" ht="14.25" customHeight="1">
      <c r="A159" s="6" t="s">
        <v>615</v>
      </c>
      <c r="B159" s="5">
        <v>10.0</v>
      </c>
      <c r="C159" s="5" t="s">
        <v>7660</v>
      </c>
      <c r="D159" s="11" t="s">
        <v>616</v>
      </c>
      <c r="E159" s="11">
        <v>3107.0</v>
      </c>
      <c r="F159" s="11" t="s">
        <v>617</v>
      </c>
      <c r="G159" s="11" t="str">
        <f>CONCATENATE(-1*AF159," W, ",AE159," N, Elev. ",AG159," m")</f>
        <v>119.847531 W, 49.202333 N, Elev. 414 m</v>
      </c>
      <c r="H159" s="5" t="s">
        <v>426</v>
      </c>
      <c r="I159" s="11" t="s">
        <v>427</v>
      </c>
      <c r="J159" s="11">
        <v>38200.0</v>
      </c>
      <c r="K159" s="11"/>
      <c r="L159" s="11"/>
      <c r="M159" s="11"/>
      <c r="N159" s="11"/>
      <c r="O159" s="11"/>
      <c r="P159" s="11"/>
      <c r="Q159" s="11"/>
      <c r="R159" s="11"/>
      <c r="S159" s="11"/>
      <c r="T159" s="11"/>
      <c r="U159" s="11"/>
      <c r="V159" s="11"/>
      <c r="W159" s="11"/>
      <c r="X159" s="11"/>
      <c r="Y159" s="11"/>
      <c r="Z159" s="11"/>
      <c r="AA159" s="11"/>
      <c r="AB159" s="11"/>
      <c r="AC159" s="11"/>
      <c r="AD159" s="11"/>
      <c r="AE159" s="11">
        <v>49.202333</v>
      </c>
      <c r="AF159" s="11">
        <v>-119.847531</v>
      </c>
      <c r="AG159" s="11">
        <v>414.0</v>
      </c>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row>
    <row r="160" ht="14.25" customHeight="1">
      <c r="A160" s="6" t="s">
        <v>618</v>
      </c>
      <c r="B160" s="5">
        <v>10.0</v>
      </c>
      <c r="C160" s="12" t="s">
        <v>139</v>
      </c>
      <c r="D160" s="12" t="s">
        <v>619</v>
      </c>
      <c r="E160" s="10"/>
      <c r="F160" s="12" t="s">
        <v>620</v>
      </c>
      <c r="G160" s="10" t="str">
        <f>CONCATENATE("-&gt; ",-1*AF160," W, ",AE160," N, Elev. ",AG160," m")</f>
        <v>-&gt; 119.8523 W, 49.2029 N, Elev. 418 m</v>
      </c>
      <c r="I160" s="11"/>
      <c r="J160" s="11"/>
      <c r="K160" s="11"/>
      <c r="L160" s="11"/>
      <c r="M160" s="13">
        <v>49.2029</v>
      </c>
      <c r="N160" s="13">
        <v>-119.8523</v>
      </c>
      <c r="O160" s="13" t="s">
        <v>221</v>
      </c>
      <c r="P160" s="13" t="s">
        <v>621</v>
      </c>
      <c r="Q160" s="14">
        <v>1.0</v>
      </c>
      <c r="R160" s="13" t="s">
        <v>617</v>
      </c>
      <c r="S160" s="13" t="s">
        <v>145</v>
      </c>
      <c r="T160" s="13">
        <v>418.0</v>
      </c>
      <c r="U160" s="11"/>
      <c r="V160" s="11"/>
      <c r="W160" s="11"/>
      <c r="X160" s="11"/>
      <c r="Y160" s="11"/>
      <c r="Z160" s="11"/>
      <c r="AA160" s="11"/>
      <c r="AB160" s="11"/>
      <c r="AC160" s="11"/>
      <c r="AD160" s="11"/>
      <c r="AE160" s="10">
        <v>49.2029</v>
      </c>
      <c r="AF160" s="10">
        <v>-119.8523</v>
      </c>
      <c r="AG160" s="10">
        <v>418.0</v>
      </c>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row>
    <row r="161" ht="14.25" customHeight="1">
      <c r="A161" s="6" t="s">
        <v>622</v>
      </c>
      <c r="B161" s="5">
        <v>10.0</v>
      </c>
      <c r="C161" s="5" t="s">
        <v>7660</v>
      </c>
      <c r="D161" s="11" t="s">
        <v>623</v>
      </c>
      <c r="E161" s="11">
        <v>1516.0</v>
      </c>
      <c r="F161" s="11" t="s">
        <v>624</v>
      </c>
      <c r="G161" s="11" t="str">
        <f>CONCATENATE(-1*AF161," W, ",AE161," N, Elev. ",AG161," m")</f>
        <v>119.1392 W, 50.6051 N, Elev. 355 m</v>
      </c>
      <c r="H161" s="5" t="s">
        <v>426</v>
      </c>
      <c r="I161" s="11" t="s">
        <v>427</v>
      </c>
      <c r="J161" s="11">
        <v>38975.0</v>
      </c>
      <c r="K161" s="11"/>
      <c r="L161" s="11"/>
      <c r="M161" s="11"/>
      <c r="N161" s="11"/>
      <c r="O161" s="11"/>
      <c r="P161" s="11"/>
      <c r="Q161" s="11"/>
      <c r="R161" s="11"/>
      <c r="S161" s="11"/>
      <c r="T161" s="11"/>
      <c r="U161" s="11"/>
      <c r="V161" s="11"/>
      <c r="W161" s="11"/>
      <c r="X161" s="11"/>
      <c r="Y161" s="11"/>
      <c r="Z161" s="11"/>
      <c r="AA161" s="11"/>
      <c r="AB161" s="11"/>
      <c r="AC161" s="11"/>
      <c r="AD161" s="11"/>
      <c r="AE161" s="11">
        <v>50.6051</v>
      </c>
      <c r="AF161" s="11">
        <v>-119.1392</v>
      </c>
      <c r="AG161" s="11">
        <v>355.0</v>
      </c>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row>
    <row r="162" ht="14.25" customHeight="1">
      <c r="A162" s="6" t="s">
        <v>625</v>
      </c>
      <c r="B162" s="5">
        <v>10.0</v>
      </c>
      <c r="C162" s="12" t="s">
        <v>139</v>
      </c>
      <c r="D162" s="12" t="s">
        <v>626</v>
      </c>
      <c r="E162" s="10"/>
      <c r="F162" s="12" t="s">
        <v>627</v>
      </c>
      <c r="G162" s="10" t="str">
        <f>CONCATENATE("-&gt; ",-1*AF162," W, ",AE162," N, Elev. ",AG162," m")</f>
        <v>-&gt; 119.137926 W, 50.600903 N, Elev. 385 m</v>
      </c>
      <c r="I162" s="11"/>
      <c r="J162" s="11"/>
      <c r="K162" s="19"/>
      <c r="L162" s="19"/>
      <c r="M162" s="13">
        <v>50.600903</v>
      </c>
      <c r="N162" s="13">
        <v>-119.137926</v>
      </c>
      <c r="O162" s="13" t="s">
        <v>142</v>
      </c>
      <c r="P162" s="13" t="s">
        <v>628</v>
      </c>
      <c r="Q162" s="14">
        <v>1.0</v>
      </c>
      <c r="R162" s="13" t="s">
        <v>624</v>
      </c>
      <c r="S162" s="13" t="s">
        <v>145</v>
      </c>
      <c r="T162" s="13">
        <v>385.0</v>
      </c>
      <c r="U162" s="19"/>
      <c r="V162" s="19"/>
      <c r="W162" s="19"/>
      <c r="X162" s="19"/>
      <c r="Y162" s="19"/>
      <c r="Z162" s="19"/>
      <c r="AA162" s="19"/>
      <c r="AB162" s="19"/>
      <c r="AC162" s="19"/>
      <c r="AD162" s="19"/>
      <c r="AE162" s="10">
        <v>50.600903</v>
      </c>
      <c r="AF162" s="10">
        <v>-119.137926</v>
      </c>
      <c r="AG162" s="10">
        <v>385.0</v>
      </c>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row>
    <row r="163" ht="14.25" customHeight="1">
      <c r="A163" s="6" t="s">
        <v>629</v>
      </c>
      <c r="B163" s="5">
        <v>10.0</v>
      </c>
      <c r="C163" s="5" t="s">
        <v>7660</v>
      </c>
      <c r="D163" s="11" t="s">
        <v>630</v>
      </c>
      <c r="E163" s="11">
        <v>3110.0</v>
      </c>
      <c r="F163" s="11" t="s">
        <v>631</v>
      </c>
      <c r="G163" s="11" t="str">
        <f>CONCATENATE(-1*AF163," W, ",AE163," N, Elev. ",AG163," m")</f>
        <v>119.65425 W, 49.585028 N, Elev. 459 m</v>
      </c>
      <c r="H163" s="5" t="s">
        <v>426</v>
      </c>
      <c r="I163" s="11" t="s">
        <v>427</v>
      </c>
      <c r="J163" s="11">
        <v>38200.0</v>
      </c>
      <c r="K163" s="11"/>
      <c r="L163" s="11"/>
      <c r="M163" s="11"/>
      <c r="N163" s="11"/>
      <c r="O163" s="11"/>
      <c r="P163" s="11"/>
      <c r="Q163" s="11"/>
      <c r="R163" s="11"/>
      <c r="S163" s="11"/>
      <c r="T163" s="11"/>
      <c r="U163" s="11"/>
      <c r="V163" s="11"/>
      <c r="W163" s="11"/>
      <c r="X163" s="11"/>
      <c r="Y163" s="11"/>
      <c r="Z163" s="11"/>
      <c r="AA163" s="11"/>
      <c r="AB163" s="11"/>
      <c r="AC163" s="11"/>
      <c r="AD163" s="11"/>
      <c r="AE163" s="11">
        <v>49.585028</v>
      </c>
      <c r="AF163" s="11">
        <v>-119.65425</v>
      </c>
      <c r="AG163" s="11">
        <v>459.0</v>
      </c>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ht="14.25" customHeight="1">
      <c r="A164" s="6" t="s">
        <v>632</v>
      </c>
      <c r="B164" s="5">
        <v>10.0</v>
      </c>
      <c r="C164" s="12" t="s">
        <v>139</v>
      </c>
      <c r="D164" s="12" t="s">
        <v>633</v>
      </c>
      <c r="E164" s="10"/>
      <c r="F164" s="12" t="s">
        <v>634</v>
      </c>
      <c r="G164" s="10" t="str">
        <f>CONCATENATE("-&gt; ",-1*AF164," W, ",AE164," N, Elev. ",AG164," m")</f>
        <v>-&gt; 119.6796 W, 49.5675 N, Elev. 566 m</v>
      </c>
      <c r="I164" s="11"/>
      <c r="J164" s="11"/>
      <c r="K164" s="11"/>
      <c r="L164" s="11"/>
      <c r="M164" s="13">
        <v>49.5675</v>
      </c>
      <c r="N164" s="13">
        <v>-119.6796</v>
      </c>
      <c r="O164" s="13" t="s">
        <v>142</v>
      </c>
      <c r="P164" s="13" t="s">
        <v>635</v>
      </c>
      <c r="Q164" s="14">
        <v>1.0</v>
      </c>
      <c r="R164" s="13" t="s">
        <v>636</v>
      </c>
      <c r="S164" s="13" t="s">
        <v>145</v>
      </c>
      <c r="T164" s="13">
        <v>566.0</v>
      </c>
      <c r="U164" s="11"/>
      <c r="V164" s="11"/>
      <c r="W164" s="11"/>
      <c r="X164" s="11"/>
      <c r="Y164" s="11"/>
      <c r="Z164" s="11"/>
      <c r="AA164" s="11"/>
      <c r="AB164" s="11"/>
      <c r="AC164" s="11"/>
      <c r="AD164" s="11"/>
      <c r="AE164" s="10">
        <v>49.5675</v>
      </c>
      <c r="AF164" s="10">
        <v>-119.6796</v>
      </c>
      <c r="AG164" s="10">
        <v>566.0</v>
      </c>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row>
    <row r="165" ht="14.25" customHeight="1">
      <c r="A165" s="6"/>
      <c r="B165" s="5">
        <v>2.0</v>
      </c>
      <c r="C165" s="5" t="s">
        <v>7661</v>
      </c>
      <c r="D165" s="5">
        <v>11091.0</v>
      </c>
      <c r="E165" s="5">
        <v>2654.0</v>
      </c>
      <c r="F165" s="5" t="s">
        <v>638</v>
      </c>
      <c r="G165" s="21" t="s">
        <v>639</v>
      </c>
      <c r="H165" s="5" t="s">
        <v>640</v>
      </c>
      <c r="I165" s="5" t="s">
        <v>641</v>
      </c>
      <c r="J165" s="5" t="s">
        <v>642</v>
      </c>
      <c r="K165" s="5">
        <v>1.0</v>
      </c>
      <c r="L165" s="5">
        <v>3397.0</v>
      </c>
      <c r="M165" s="11">
        <v>50.05417</v>
      </c>
      <c r="N165" s="11">
        <v>-123.11806</v>
      </c>
      <c r="O165" s="11" t="s">
        <v>51</v>
      </c>
      <c r="P165" s="11">
        <v>11091.0</v>
      </c>
      <c r="Q165" s="22">
        <v>3.0</v>
      </c>
      <c r="R165" s="11" t="s">
        <v>638</v>
      </c>
      <c r="S165" s="13" t="s">
        <v>643</v>
      </c>
      <c r="T165" s="11" t="s">
        <v>644</v>
      </c>
      <c r="U165" s="11">
        <v>496.0</v>
      </c>
      <c r="Z165" s="11" t="s">
        <v>645</v>
      </c>
      <c r="AA165" s="11" t="s">
        <v>646</v>
      </c>
      <c r="AB165" s="11"/>
      <c r="AC165" s="23"/>
      <c r="AD165" s="11"/>
      <c r="AH165" s="11"/>
      <c r="AI165" s="11"/>
    </row>
    <row r="166" ht="14.25" customHeight="1">
      <c r="A166" s="6"/>
      <c r="B166" s="5">
        <v>2.0</v>
      </c>
      <c r="C166" s="5" t="s">
        <v>7661</v>
      </c>
      <c r="D166" s="5">
        <v>11092.0</v>
      </c>
      <c r="E166" s="5">
        <v>2655.0</v>
      </c>
      <c r="F166" s="5" t="s">
        <v>647</v>
      </c>
      <c r="G166" s="21" t="s">
        <v>648</v>
      </c>
      <c r="H166" s="5" t="s">
        <v>649</v>
      </c>
      <c r="I166" s="5" t="s">
        <v>641</v>
      </c>
      <c r="J166" s="5" t="s">
        <v>642</v>
      </c>
      <c r="K166" s="5">
        <v>1.0</v>
      </c>
      <c r="L166" s="5">
        <v>3398.0</v>
      </c>
      <c r="M166" s="11">
        <v>49.84347</v>
      </c>
      <c r="N166" s="11">
        <v>-123.14339</v>
      </c>
      <c r="O166" s="11" t="s">
        <v>51</v>
      </c>
      <c r="P166" s="11">
        <v>11092.0</v>
      </c>
      <c r="Q166" s="22">
        <v>3.0</v>
      </c>
      <c r="R166" s="11" t="s">
        <v>647</v>
      </c>
      <c r="S166" s="13" t="s">
        <v>650</v>
      </c>
      <c r="T166" s="11" t="s">
        <v>644</v>
      </c>
      <c r="U166" s="11">
        <v>320.0</v>
      </c>
      <c r="Z166" s="11" t="s">
        <v>645</v>
      </c>
      <c r="AA166" s="11" t="s">
        <v>651</v>
      </c>
      <c r="AB166" s="11"/>
      <c r="AC166" s="23"/>
      <c r="AD166" s="11"/>
      <c r="AH166" s="11"/>
      <c r="AI166" s="11"/>
    </row>
    <row r="167" ht="14.25" customHeight="1">
      <c r="A167" s="6"/>
      <c r="B167" s="5">
        <v>2.0</v>
      </c>
      <c r="C167" s="5" t="s">
        <v>7661</v>
      </c>
      <c r="D167" s="5">
        <v>11121.0</v>
      </c>
      <c r="E167" s="5">
        <v>2657.0</v>
      </c>
      <c r="F167" s="5" t="s">
        <v>652</v>
      </c>
      <c r="G167" s="21" t="s">
        <v>653</v>
      </c>
      <c r="H167" s="5" t="s">
        <v>654</v>
      </c>
      <c r="I167" s="5" t="s">
        <v>641</v>
      </c>
      <c r="J167" s="5" t="s">
        <v>655</v>
      </c>
      <c r="K167" s="5">
        <v>1.0</v>
      </c>
      <c r="L167" s="5">
        <v>3400.0</v>
      </c>
      <c r="M167" s="11">
        <v>49.40444</v>
      </c>
      <c r="N167" s="11">
        <v>-123.19111</v>
      </c>
      <c r="O167" s="11" t="s">
        <v>51</v>
      </c>
      <c r="P167" s="11">
        <v>11121.0</v>
      </c>
      <c r="Q167" s="22">
        <v>6.0</v>
      </c>
      <c r="R167" s="11" t="s">
        <v>656</v>
      </c>
      <c r="S167" s="13" t="s">
        <v>657</v>
      </c>
      <c r="T167" s="11" t="s">
        <v>644</v>
      </c>
      <c r="U167" s="11">
        <v>1220.0</v>
      </c>
      <c r="Z167" s="11" t="s">
        <v>645</v>
      </c>
      <c r="AA167" s="11" t="s">
        <v>658</v>
      </c>
      <c r="AB167" s="11"/>
      <c r="AC167" s="11"/>
      <c r="AD167" s="11"/>
      <c r="AE167" s="11"/>
      <c r="AF167" s="11"/>
      <c r="AG167" s="11"/>
      <c r="AH167" s="11"/>
      <c r="AI167" s="11"/>
    </row>
    <row r="168" ht="14.25" customHeight="1">
      <c r="A168" s="6"/>
      <c r="B168" s="5">
        <v>2.0</v>
      </c>
      <c r="C168" s="5" t="s">
        <v>7661</v>
      </c>
      <c r="D168" s="5">
        <v>11122.0</v>
      </c>
      <c r="E168" s="5">
        <v>2658.0</v>
      </c>
      <c r="F168" s="5" t="s">
        <v>659</v>
      </c>
      <c r="G168" s="24" t="s">
        <v>660</v>
      </c>
      <c r="H168" s="5" t="s">
        <v>661</v>
      </c>
      <c r="I168" s="5" t="s">
        <v>641</v>
      </c>
      <c r="J168" s="5" t="s">
        <v>662</v>
      </c>
      <c r="K168" s="5">
        <v>1.0</v>
      </c>
      <c r="L168" s="5">
        <v>3401.0</v>
      </c>
    </row>
    <row r="169" ht="14.25" customHeight="1">
      <c r="A169" s="6"/>
      <c r="B169" s="5">
        <v>2.0</v>
      </c>
      <c r="C169" s="5" t="s">
        <v>7661</v>
      </c>
      <c r="D169" s="5">
        <v>11123.0</v>
      </c>
      <c r="E169" s="5">
        <v>2659.0</v>
      </c>
      <c r="F169" s="5" t="s">
        <v>663</v>
      </c>
      <c r="G169" s="24" t="s">
        <v>664</v>
      </c>
      <c r="H169" s="5" t="s">
        <v>665</v>
      </c>
      <c r="I169" s="5" t="s">
        <v>641</v>
      </c>
      <c r="J169" s="5" t="s">
        <v>666</v>
      </c>
      <c r="K169" s="5">
        <v>1.0</v>
      </c>
      <c r="L169" s="5">
        <v>3402.0</v>
      </c>
    </row>
    <row r="170" ht="14.25" customHeight="1">
      <c r="A170" s="6"/>
      <c r="B170" s="5">
        <v>2.0</v>
      </c>
      <c r="C170" s="5" t="s">
        <v>7661</v>
      </c>
      <c r="D170" s="5">
        <v>11124.0</v>
      </c>
      <c r="E170" s="5">
        <v>2660.0</v>
      </c>
      <c r="F170" s="5" t="s">
        <v>667</v>
      </c>
      <c r="G170" s="24" t="s">
        <v>668</v>
      </c>
      <c r="H170" s="5" t="s">
        <v>669</v>
      </c>
      <c r="I170" s="5" t="s">
        <v>641</v>
      </c>
      <c r="J170" s="5" t="s">
        <v>670</v>
      </c>
      <c r="K170" s="5">
        <v>1.0</v>
      </c>
      <c r="L170" s="5">
        <v>3403.0</v>
      </c>
    </row>
    <row r="171" ht="14.25" customHeight="1">
      <c r="A171" s="6"/>
      <c r="B171" s="5">
        <v>2.0</v>
      </c>
      <c r="C171" s="5" t="s">
        <v>7661</v>
      </c>
      <c r="D171" s="5">
        <v>11125.0</v>
      </c>
      <c r="E171" s="5">
        <v>2661.0</v>
      </c>
      <c r="F171" s="5" t="s">
        <v>671</v>
      </c>
      <c r="G171" s="24" t="s">
        <v>672</v>
      </c>
      <c r="H171" s="5" t="s">
        <v>673</v>
      </c>
      <c r="I171" s="5" t="s">
        <v>641</v>
      </c>
      <c r="J171" s="5" t="s">
        <v>674</v>
      </c>
      <c r="K171" s="5">
        <v>1.0</v>
      </c>
      <c r="L171" s="5">
        <v>3404.0</v>
      </c>
      <c r="M171" s="11">
        <v>49.53417</v>
      </c>
      <c r="N171" s="11">
        <v>-123.21833</v>
      </c>
      <c r="O171" s="11" t="s">
        <v>51</v>
      </c>
      <c r="P171" s="11">
        <v>11125.0</v>
      </c>
      <c r="Q171" s="22">
        <v>6.0</v>
      </c>
      <c r="R171" s="11" t="s">
        <v>671</v>
      </c>
      <c r="S171" s="13" t="s">
        <v>675</v>
      </c>
      <c r="T171" s="11" t="s">
        <v>644</v>
      </c>
      <c r="U171" s="11">
        <v>1280.0</v>
      </c>
      <c r="Z171" s="11"/>
      <c r="AA171" s="11" t="s">
        <v>676</v>
      </c>
      <c r="AB171" s="11"/>
      <c r="AC171" s="11"/>
      <c r="AD171" s="11"/>
      <c r="AE171" s="11"/>
      <c r="AF171" s="11"/>
      <c r="AG171" s="11"/>
      <c r="AH171" s="11"/>
      <c r="AI171" s="11"/>
    </row>
    <row r="172" ht="14.25" customHeight="1">
      <c r="A172" s="6"/>
      <c r="B172" s="5">
        <v>2.0</v>
      </c>
      <c r="C172" s="5" t="s">
        <v>7661</v>
      </c>
      <c r="D172" s="5">
        <v>11128.0</v>
      </c>
      <c r="E172" s="5">
        <v>12502.0</v>
      </c>
      <c r="F172" s="5" t="s">
        <v>677</v>
      </c>
      <c r="G172" s="21" t="s">
        <v>678</v>
      </c>
      <c r="H172" s="5" t="s">
        <v>679</v>
      </c>
      <c r="I172" s="5" t="s">
        <v>49</v>
      </c>
      <c r="J172" s="5" t="s">
        <v>680</v>
      </c>
      <c r="K172" s="5">
        <v>1.0</v>
      </c>
      <c r="L172" s="5">
        <v>14524.0</v>
      </c>
      <c r="M172" s="11">
        <v>49.54671</v>
      </c>
      <c r="N172" s="11">
        <v>-123.23985</v>
      </c>
      <c r="O172" s="11" t="s">
        <v>51</v>
      </c>
      <c r="P172" s="11">
        <v>11128.0</v>
      </c>
      <c r="Q172" s="22">
        <v>1.0</v>
      </c>
      <c r="R172" s="11" t="s">
        <v>677</v>
      </c>
      <c r="S172" s="13" t="s">
        <v>681</v>
      </c>
      <c r="T172" s="11" t="s">
        <v>644</v>
      </c>
      <c r="U172" s="11">
        <v>65.0</v>
      </c>
      <c r="Z172" s="11"/>
      <c r="AA172" s="11" t="s">
        <v>682</v>
      </c>
      <c r="AB172" s="11"/>
      <c r="AC172" s="11"/>
      <c r="AD172" s="11"/>
      <c r="AE172" s="11"/>
      <c r="AF172" s="11"/>
      <c r="AG172" s="11"/>
      <c r="AH172" s="11"/>
      <c r="AI172" s="11"/>
    </row>
    <row r="173" ht="14.25" customHeight="1">
      <c r="A173" s="6"/>
      <c r="B173" s="5">
        <v>2.0</v>
      </c>
      <c r="C173" s="5" t="s">
        <v>7661</v>
      </c>
      <c r="D173" s="5">
        <v>11191.0</v>
      </c>
      <c r="E173" s="5">
        <v>2662.0</v>
      </c>
      <c r="F173" s="5" t="s">
        <v>683</v>
      </c>
      <c r="G173" s="21" t="s">
        <v>684</v>
      </c>
      <c r="H173" s="5" t="s">
        <v>685</v>
      </c>
      <c r="I173" s="5" t="s">
        <v>641</v>
      </c>
      <c r="J173" s="5" t="s">
        <v>642</v>
      </c>
      <c r="K173" s="5">
        <v>1.0</v>
      </c>
      <c r="L173" s="5">
        <v>3405.0</v>
      </c>
      <c r="M173" s="10">
        <v>49.37186</v>
      </c>
      <c r="N173" s="10">
        <v>-123.26969</v>
      </c>
      <c r="O173" s="11" t="s">
        <v>183</v>
      </c>
      <c r="P173" s="5">
        <v>11191.0</v>
      </c>
      <c r="Q173" s="22">
        <v>3.0</v>
      </c>
      <c r="R173" s="11" t="s">
        <v>683</v>
      </c>
      <c r="S173" s="13" t="s">
        <v>686</v>
      </c>
      <c r="T173" s="11" t="s">
        <v>644</v>
      </c>
      <c r="U173" s="11">
        <v>140.0</v>
      </c>
      <c r="Z173" s="11" t="s">
        <v>645</v>
      </c>
      <c r="AA173" s="11" t="s">
        <v>687</v>
      </c>
      <c r="AB173" s="11"/>
      <c r="AC173" s="23"/>
      <c r="AD173" s="11"/>
      <c r="AE173" s="11"/>
      <c r="AF173" s="11"/>
      <c r="AG173" s="11"/>
      <c r="AH173" s="11"/>
      <c r="AI173" s="11"/>
    </row>
    <row r="174" ht="14.25" customHeight="1">
      <c r="A174" s="6" t="s">
        <v>328</v>
      </c>
      <c r="B174" s="5">
        <v>2.0</v>
      </c>
      <c r="C174" s="12" t="s">
        <v>7662</v>
      </c>
      <c r="D174" s="12" t="s">
        <v>689</v>
      </c>
      <c r="F174" s="12" t="s">
        <v>690</v>
      </c>
      <c r="G174" s="12" t="s">
        <v>691</v>
      </c>
      <c r="I174" s="10" t="s">
        <v>641</v>
      </c>
      <c r="M174" s="11">
        <v>49.50725</v>
      </c>
      <c r="N174" s="11">
        <v>-123.87978</v>
      </c>
      <c r="O174" s="11" t="s">
        <v>183</v>
      </c>
      <c r="P174" s="11">
        <v>12092.0</v>
      </c>
      <c r="Q174" s="22">
        <v>3.0</v>
      </c>
      <c r="R174" s="11" t="s">
        <v>692</v>
      </c>
      <c r="S174" s="13" t="s">
        <v>693</v>
      </c>
      <c r="T174" s="11" t="s">
        <v>644</v>
      </c>
      <c r="U174" s="11">
        <v>164.0</v>
      </c>
      <c r="Z174" s="11"/>
      <c r="AA174" s="11" t="s">
        <v>694</v>
      </c>
      <c r="AB174" s="11"/>
      <c r="AC174" s="11"/>
      <c r="AD174" s="11"/>
      <c r="AE174" s="11"/>
      <c r="AF174" s="11"/>
      <c r="AG174" s="11"/>
      <c r="AH174" s="11"/>
      <c r="AI174" s="11"/>
    </row>
    <row r="175" ht="14.25" customHeight="1">
      <c r="A175" s="6" t="s">
        <v>328</v>
      </c>
      <c r="B175" s="5">
        <v>2.0</v>
      </c>
      <c r="C175" s="12" t="s">
        <v>7662</v>
      </c>
      <c r="D175" s="12" t="s">
        <v>695</v>
      </c>
      <c r="F175" s="12" t="s">
        <v>696</v>
      </c>
      <c r="G175" s="12" t="s">
        <v>697</v>
      </c>
      <c r="I175" s="10" t="s">
        <v>641</v>
      </c>
      <c r="M175" s="11">
        <v>49.21778</v>
      </c>
      <c r="N175" s="11">
        <v>-122.81194</v>
      </c>
      <c r="O175" s="11" t="s">
        <v>183</v>
      </c>
      <c r="P175" s="11">
        <v>14092.0</v>
      </c>
      <c r="Q175" s="22">
        <v>2.0</v>
      </c>
      <c r="R175" s="11" t="s">
        <v>698</v>
      </c>
      <c r="S175" s="13" t="s">
        <v>699</v>
      </c>
      <c r="T175" s="11" t="s">
        <v>644</v>
      </c>
      <c r="U175" s="11">
        <v>40.0</v>
      </c>
      <c r="Z175" s="11"/>
      <c r="AA175" s="11" t="s">
        <v>700</v>
      </c>
      <c r="AB175" s="11"/>
      <c r="AC175" s="11"/>
      <c r="AD175" s="11"/>
      <c r="AE175" s="11"/>
      <c r="AF175" s="11"/>
      <c r="AG175" s="11"/>
      <c r="AH175" s="11"/>
      <c r="AI175" s="11"/>
    </row>
    <row r="176" ht="14.25" customHeight="1">
      <c r="A176" s="6" t="s">
        <v>138</v>
      </c>
      <c r="B176" s="5">
        <v>2.0</v>
      </c>
      <c r="C176" s="12" t="s">
        <v>7662</v>
      </c>
      <c r="D176" s="12" t="s">
        <v>701</v>
      </c>
      <c r="F176" s="12" t="s">
        <v>702</v>
      </c>
      <c r="G176" s="12" t="s">
        <v>703</v>
      </c>
      <c r="I176" s="10" t="s">
        <v>641</v>
      </c>
      <c r="M176" s="11">
        <v>49.20528</v>
      </c>
      <c r="N176" s="11">
        <v>-122.80202</v>
      </c>
      <c r="O176" s="11" t="s">
        <v>183</v>
      </c>
      <c r="P176" s="11">
        <v>14093.0</v>
      </c>
      <c r="Q176" s="22">
        <v>3.0</v>
      </c>
      <c r="R176" s="10" t="s">
        <v>704</v>
      </c>
      <c r="S176" s="13" t="s">
        <v>705</v>
      </c>
      <c r="T176" s="11" t="s">
        <v>644</v>
      </c>
      <c r="U176" s="11">
        <v>93.0</v>
      </c>
      <c r="Z176" s="11"/>
      <c r="AA176" s="11" t="s">
        <v>706</v>
      </c>
      <c r="AB176" s="11"/>
      <c r="AC176" s="11"/>
      <c r="AD176" s="11"/>
      <c r="AE176" s="11"/>
      <c r="AF176" s="11"/>
      <c r="AG176" s="11"/>
      <c r="AH176" s="11"/>
      <c r="AI176" s="11"/>
    </row>
    <row r="177" ht="14.25" customHeight="1">
      <c r="A177" s="6"/>
      <c r="B177" s="5">
        <v>2.0</v>
      </c>
      <c r="C177" s="5" t="s">
        <v>7661</v>
      </c>
      <c r="D177" s="5">
        <v>14094.0</v>
      </c>
      <c r="E177" s="5">
        <v>12496.0</v>
      </c>
      <c r="F177" s="5" t="s">
        <v>707</v>
      </c>
      <c r="G177" s="21" t="s">
        <v>708</v>
      </c>
      <c r="H177" s="5" t="s">
        <v>709</v>
      </c>
      <c r="I177" s="5" t="s">
        <v>49</v>
      </c>
      <c r="J177" s="5" t="s">
        <v>710</v>
      </c>
      <c r="K177" s="5">
        <v>1.0</v>
      </c>
      <c r="L177" s="5">
        <v>14518.0</v>
      </c>
      <c r="M177" s="11">
        <v>49.12671</v>
      </c>
      <c r="N177" s="11">
        <v>-123.07947</v>
      </c>
      <c r="O177" s="11" t="s">
        <v>183</v>
      </c>
      <c r="P177" s="11">
        <v>14094.0</v>
      </c>
      <c r="Q177" s="22">
        <v>1.0</v>
      </c>
      <c r="R177" s="11" t="s">
        <v>707</v>
      </c>
      <c r="S177" s="13" t="s">
        <v>711</v>
      </c>
      <c r="T177" s="11" t="s">
        <v>644</v>
      </c>
      <c r="U177" s="11">
        <v>5.0</v>
      </c>
      <c r="Z177" s="11"/>
      <c r="AA177" s="11" t="s">
        <v>712</v>
      </c>
      <c r="AB177" s="11"/>
      <c r="AC177" s="11"/>
      <c r="AD177" s="11"/>
      <c r="AE177" s="11"/>
      <c r="AF177" s="11"/>
      <c r="AG177" s="11"/>
      <c r="AH177" s="11"/>
      <c r="AI177" s="11"/>
    </row>
    <row r="178" ht="14.25" customHeight="1">
      <c r="A178" s="6"/>
      <c r="B178" s="5">
        <v>2.0</v>
      </c>
      <c r="C178" s="5" t="s">
        <v>7661</v>
      </c>
      <c r="D178" s="5">
        <v>14095.0</v>
      </c>
      <c r="E178" s="5">
        <v>12503.0</v>
      </c>
      <c r="F178" s="5" t="s">
        <v>713</v>
      </c>
      <c r="G178" s="21" t="s">
        <v>714</v>
      </c>
      <c r="H178" s="5" t="s">
        <v>679</v>
      </c>
      <c r="I178" s="5" t="s">
        <v>49</v>
      </c>
      <c r="J178" s="5" t="s">
        <v>715</v>
      </c>
      <c r="K178" s="5">
        <v>1.0</v>
      </c>
      <c r="L178" s="5">
        <v>14525.0</v>
      </c>
      <c r="M178" s="11">
        <v>49.16003</v>
      </c>
      <c r="N178" s="11">
        <v>-122.94308</v>
      </c>
      <c r="O178" s="11" t="s">
        <v>183</v>
      </c>
      <c r="P178" s="11">
        <v>14095.0</v>
      </c>
      <c r="Q178" s="22">
        <v>2.0</v>
      </c>
      <c r="R178" s="11" t="s">
        <v>713</v>
      </c>
      <c r="S178" s="13" t="s">
        <v>716</v>
      </c>
      <c r="T178" s="11" t="s">
        <v>644</v>
      </c>
      <c r="U178" s="11">
        <v>60.0</v>
      </c>
      <c r="Z178" s="11"/>
      <c r="AA178" s="11" t="s">
        <v>717</v>
      </c>
      <c r="AB178" s="11"/>
      <c r="AC178" s="11"/>
      <c r="AD178" s="11"/>
      <c r="AE178" s="11"/>
      <c r="AF178" s="11"/>
      <c r="AG178" s="11"/>
      <c r="AH178" s="11"/>
      <c r="AI178" s="11"/>
    </row>
    <row r="179" ht="14.25" customHeight="1">
      <c r="A179" s="6" t="s">
        <v>88</v>
      </c>
      <c r="B179" s="5">
        <v>2.0</v>
      </c>
      <c r="C179" s="5" t="s">
        <v>7661</v>
      </c>
      <c r="D179" s="5">
        <v>14096.0</v>
      </c>
      <c r="E179" s="5">
        <v>12998.0</v>
      </c>
      <c r="F179" s="5" t="s">
        <v>718</v>
      </c>
      <c r="G179" s="10" t="s">
        <v>719</v>
      </c>
      <c r="H179" s="5" t="s">
        <v>720</v>
      </c>
      <c r="I179" s="5" t="s">
        <v>49</v>
      </c>
      <c r="J179" s="5" t="s">
        <v>721</v>
      </c>
      <c r="K179" s="5">
        <v>1.0</v>
      </c>
      <c r="L179" s="5">
        <v>14930.0</v>
      </c>
      <c r="M179" s="10">
        <v>49.16187</v>
      </c>
      <c r="N179" s="10">
        <v>-122.94392</v>
      </c>
      <c r="O179" s="10" t="s">
        <v>183</v>
      </c>
      <c r="P179" s="10">
        <v>14094.0</v>
      </c>
      <c r="Q179" s="10"/>
      <c r="R179" s="10" t="s">
        <v>722</v>
      </c>
      <c r="S179" s="10"/>
      <c r="T179" s="10"/>
      <c r="U179" s="10">
        <v>130.0</v>
      </c>
      <c r="Z179" s="10"/>
      <c r="AA179" s="10" t="s">
        <v>723</v>
      </c>
    </row>
    <row r="180" ht="14.25" customHeight="1">
      <c r="A180" s="6" t="s">
        <v>88</v>
      </c>
      <c r="B180" s="5">
        <v>2.0</v>
      </c>
      <c r="C180" s="5" t="s">
        <v>7661</v>
      </c>
      <c r="D180" s="5">
        <v>14097.0</v>
      </c>
      <c r="E180" s="5">
        <v>12999.0</v>
      </c>
      <c r="F180" s="5" t="s">
        <v>724</v>
      </c>
      <c r="G180" s="10" t="s">
        <v>725</v>
      </c>
      <c r="H180" s="5" t="s">
        <v>720</v>
      </c>
      <c r="I180" s="5" t="s">
        <v>49</v>
      </c>
      <c r="J180" s="5" t="s">
        <v>726</v>
      </c>
      <c r="K180" s="5">
        <v>1.0</v>
      </c>
      <c r="L180" s="5">
        <v>14931.0</v>
      </c>
      <c r="M180" s="10">
        <v>49.1618</v>
      </c>
      <c r="N180" s="10">
        <v>-122.94391</v>
      </c>
      <c r="O180" s="10" t="s">
        <v>183</v>
      </c>
      <c r="P180" s="10">
        <v>14095.0</v>
      </c>
      <c r="Q180" s="10"/>
      <c r="R180" s="10" t="s">
        <v>727</v>
      </c>
      <c r="S180" s="10"/>
      <c r="T180" s="10"/>
      <c r="U180" s="10">
        <v>80.0</v>
      </c>
      <c r="Z180" s="10"/>
      <c r="AA180" s="10" t="s">
        <v>728</v>
      </c>
    </row>
    <row r="181" ht="14.25" customHeight="1">
      <c r="A181" s="6"/>
      <c r="B181" s="5">
        <v>2.0</v>
      </c>
      <c r="C181" s="5" t="s">
        <v>7661</v>
      </c>
      <c r="D181" s="5">
        <v>14098.0</v>
      </c>
      <c r="E181" s="5">
        <v>12504.0</v>
      </c>
      <c r="F181" s="5" t="s">
        <v>729</v>
      </c>
      <c r="G181" s="21" t="s">
        <v>730</v>
      </c>
      <c r="H181" s="5" t="s">
        <v>679</v>
      </c>
      <c r="I181" s="5" t="s">
        <v>49</v>
      </c>
      <c r="J181" s="5" t="s">
        <v>731</v>
      </c>
      <c r="K181" s="5">
        <v>1.0</v>
      </c>
      <c r="L181" s="5">
        <v>14526.0</v>
      </c>
      <c r="M181" s="10">
        <v>49.17153</v>
      </c>
      <c r="N181" s="10">
        <v>-122.9516</v>
      </c>
      <c r="O181" s="10" t="s">
        <v>183</v>
      </c>
      <c r="P181" s="10">
        <v>14098.0</v>
      </c>
      <c r="Q181" s="10"/>
      <c r="R181" s="10" t="s">
        <v>732</v>
      </c>
      <c r="S181" s="10"/>
      <c r="T181" s="10"/>
      <c r="U181" s="10">
        <v>4.0</v>
      </c>
      <c r="Z181" s="10"/>
      <c r="AA181" s="10"/>
      <c r="AB181" s="10"/>
      <c r="AC181" s="10"/>
      <c r="AD181" s="10"/>
    </row>
    <row r="182" ht="14.25" customHeight="1">
      <c r="A182" s="6"/>
      <c r="B182" s="5">
        <v>2.0</v>
      </c>
      <c r="C182" s="5" t="s">
        <v>7661</v>
      </c>
      <c r="D182" s="5">
        <v>15092.0</v>
      </c>
      <c r="E182" s="5">
        <v>2667.0</v>
      </c>
      <c r="F182" s="5" t="s">
        <v>733</v>
      </c>
      <c r="G182" s="21" t="s">
        <v>734</v>
      </c>
      <c r="H182" s="5" t="s">
        <v>735</v>
      </c>
      <c r="I182" s="5" t="s">
        <v>641</v>
      </c>
      <c r="J182" s="5" t="s">
        <v>642</v>
      </c>
      <c r="K182" s="5">
        <v>1.0</v>
      </c>
      <c r="L182" s="5">
        <v>3410.0</v>
      </c>
      <c r="M182" s="11">
        <v>49.07556</v>
      </c>
      <c r="N182" s="11">
        <v>-122.42528</v>
      </c>
      <c r="O182" s="11" t="s">
        <v>183</v>
      </c>
      <c r="P182" s="11">
        <v>15092.0</v>
      </c>
      <c r="Q182" s="22">
        <v>3.0</v>
      </c>
      <c r="R182" s="11" t="s">
        <v>733</v>
      </c>
      <c r="S182" s="13" t="s">
        <v>736</v>
      </c>
      <c r="T182" s="11" t="s">
        <v>644</v>
      </c>
      <c r="U182" s="11">
        <v>110.0</v>
      </c>
      <c r="Z182" s="11" t="s">
        <v>645</v>
      </c>
      <c r="AA182" s="11" t="s">
        <v>737</v>
      </c>
      <c r="AB182" s="11"/>
      <c r="AC182" s="23"/>
      <c r="AD182" s="11"/>
      <c r="AE182" s="11"/>
      <c r="AF182" s="11"/>
      <c r="AG182" s="11"/>
      <c r="AH182" s="11"/>
      <c r="AI182" s="11"/>
    </row>
    <row r="183" ht="14.25" customHeight="1">
      <c r="A183" s="6"/>
      <c r="B183" s="5">
        <v>2.0</v>
      </c>
      <c r="C183" s="5" t="s">
        <v>7661</v>
      </c>
      <c r="D183" s="5">
        <v>15093.0</v>
      </c>
      <c r="E183" s="5">
        <v>2668.0</v>
      </c>
      <c r="F183" s="5" t="s">
        <v>738</v>
      </c>
      <c r="G183" s="21" t="s">
        <v>739</v>
      </c>
      <c r="H183" s="5" t="s">
        <v>740</v>
      </c>
      <c r="I183" s="5" t="s">
        <v>641</v>
      </c>
      <c r="J183" s="5" t="s">
        <v>642</v>
      </c>
      <c r="K183" s="5">
        <v>1.0</v>
      </c>
      <c r="L183" s="5">
        <v>3411.0</v>
      </c>
      <c r="M183" s="11">
        <v>49.36306</v>
      </c>
      <c r="N183" s="11">
        <v>-121.35611</v>
      </c>
      <c r="O183" s="11" t="s">
        <v>51</v>
      </c>
      <c r="P183" s="11">
        <v>15093.0</v>
      </c>
      <c r="Q183" s="22">
        <v>2.0</v>
      </c>
      <c r="R183" s="11" t="s">
        <v>738</v>
      </c>
      <c r="S183" s="13" t="s">
        <v>741</v>
      </c>
      <c r="T183" s="11" t="s">
        <v>644</v>
      </c>
      <c r="U183" s="11">
        <v>244.0</v>
      </c>
      <c r="Z183" s="11"/>
      <c r="AA183" s="11" t="s">
        <v>742</v>
      </c>
      <c r="AB183" s="11"/>
      <c r="AC183" s="23"/>
      <c r="AD183" s="11"/>
      <c r="AE183" s="11"/>
      <c r="AF183" s="11"/>
      <c r="AG183" s="11"/>
      <c r="AH183" s="11"/>
      <c r="AI183" s="11"/>
    </row>
    <row r="184" ht="14.25" customHeight="1">
      <c r="A184" s="6"/>
      <c r="B184" s="5">
        <v>2.0</v>
      </c>
      <c r="C184" s="5" t="s">
        <v>7661</v>
      </c>
      <c r="D184" s="5">
        <v>15122.0</v>
      </c>
      <c r="E184" s="5">
        <v>2671.0</v>
      </c>
      <c r="F184" s="5" t="s">
        <v>743</v>
      </c>
      <c r="G184" s="21" t="s">
        <v>744</v>
      </c>
      <c r="H184" s="5" t="s">
        <v>745</v>
      </c>
      <c r="I184" s="5" t="s">
        <v>641</v>
      </c>
      <c r="J184" s="5" t="s">
        <v>642</v>
      </c>
      <c r="K184" s="5">
        <v>1.0</v>
      </c>
      <c r="L184" s="5">
        <v>3414.0</v>
      </c>
      <c r="M184" s="11">
        <v>49.75703</v>
      </c>
      <c r="N184" s="11">
        <v>-121.41803</v>
      </c>
      <c r="O184" s="11" t="s">
        <v>142</v>
      </c>
      <c r="P184" s="11">
        <v>15122.0</v>
      </c>
      <c r="Q184" s="22">
        <v>1.0</v>
      </c>
      <c r="R184" s="11" t="s">
        <v>743</v>
      </c>
      <c r="S184" s="13" t="s">
        <v>746</v>
      </c>
      <c r="T184" s="11" t="s">
        <v>644</v>
      </c>
      <c r="U184" s="11">
        <v>280.0</v>
      </c>
      <c r="Z184" s="11" t="s">
        <v>645</v>
      </c>
      <c r="AA184" s="11" t="s">
        <v>747</v>
      </c>
      <c r="AB184" s="11"/>
      <c r="AC184" s="23"/>
      <c r="AD184" s="11"/>
      <c r="AE184" s="11"/>
      <c r="AF184" s="11"/>
      <c r="AG184" s="11"/>
      <c r="AH184" s="11"/>
      <c r="AI184" s="11"/>
    </row>
    <row r="185" ht="14.25" customHeight="1">
      <c r="A185" s="6"/>
      <c r="B185" s="5">
        <v>2.0</v>
      </c>
      <c r="C185" s="5" t="s">
        <v>7661</v>
      </c>
      <c r="D185" s="5">
        <v>15123.0</v>
      </c>
      <c r="E185" s="5">
        <v>2672.0</v>
      </c>
      <c r="F185" s="5" t="s">
        <v>748</v>
      </c>
      <c r="G185" s="21" t="s">
        <v>749</v>
      </c>
      <c r="H185" s="5" t="s">
        <v>750</v>
      </c>
      <c r="I185" s="5" t="s">
        <v>641</v>
      </c>
      <c r="J185" s="5" t="s">
        <v>751</v>
      </c>
      <c r="K185" s="5">
        <v>1.0</v>
      </c>
      <c r="L185" s="5">
        <v>3415.0</v>
      </c>
    </row>
    <row r="186" ht="14.25" customHeight="1">
      <c r="A186" s="6"/>
      <c r="B186" s="5">
        <v>2.0</v>
      </c>
      <c r="C186" s="5" t="s">
        <v>7661</v>
      </c>
      <c r="D186" s="5">
        <v>15124.0</v>
      </c>
      <c r="E186" s="5">
        <v>2673.0</v>
      </c>
      <c r="F186" s="5" t="s">
        <v>752</v>
      </c>
      <c r="G186" s="21" t="s">
        <v>753</v>
      </c>
      <c r="H186" s="5" t="s">
        <v>754</v>
      </c>
      <c r="I186" s="5" t="s">
        <v>641</v>
      </c>
      <c r="J186" s="5" t="s">
        <v>755</v>
      </c>
      <c r="K186" s="5">
        <v>1.0</v>
      </c>
      <c r="L186" s="5">
        <v>3416.0</v>
      </c>
      <c r="M186" s="11">
        <v>50.07611</v>
      </c>
      <c r="N186" s="11">
        <v>-121.5475</v>
      </c>
      <c r="O186" s="11" t="s">
        <v>142</v>
      </c>
      <c r="P186" s="11">
        <v>15124.0</v>
      </c>
      <c r="Q186" s="22">
        <v>1.0</v>
      </c>
      <c r="R186" s="11" t="s">
        <v>752</v>
      </c>
      <c r="S186" s="13" t="s">
        <v>756</v>
      </c>
      <c r="T186" s="11" t="s">
        <v>644</v>
      </c>
      <c r="U186" s="11">
        <v>350.0</v>
      </c>
      <c r="Z186" s="11" t="s">
        <v>645</v>
      </c>
      <c r="AA186" s="11" t="s">
        <v>757</v>
      </c>
      <c r="AB186" s="11"/>
      <c r="AC186" s="23"/>
      <c r="AD186" s="11"/>
      <c r="AE186" s="11"/>
      <c r="AF186" s="11"/>
      <c r="AG186" s="11"/>
      <c r="AH186" s="11"/>
      <c r="AI186" s="11"/>
    </row>
    <row r="187" ht="14.25" customHeight="1">
      <c r="A187" s="6"/>
      <c r="B187" s="5">
        <v>2.0</v>
      </c>
      <c r="C187" s="5" t="s">
        <v>7661</v>
      </c>
      <c r="D187" s="5">
        <v>15321.0</v>
      </c>
      <c r="E187" s="5">
        <v>2676.0</v>
      </c>
      <c r="F187" s="5" t="s">
        <v>758</v>
      </c>
      <c r="G187" s="21" t="s">
        <v>759</v>
      </c>
      <c r="H187" s="5" t="s">
        <v>760</v>
      </c>
      <c r="I187" s="5" t="s">
        <v>641</v>
      </c>
      <c r="J187" s="5" t="s">
        <v>761</v>
      </c>
      <c r="K187" s="5">
        <v>1.0</v>
      </c>
      <c r="L187" s="5">
        <v>3419.0</v>
      </c>
      <c r="M187" s="11">
        <v>49.23</v>
      </c>
      <c r="N187" s="10">
        <v>-121.08417</v>
      </c>
      <c r="O187" s="11" t="s">
        <v>51</v>
      </c>
      <c r="P187" s="11">
        <v>15321.0</v>
      </c>
      <c r="Q187" s="22">
        <v>8.0</v>
      </c>
      <c r="R187" s="11" t="s">
        <v>758</v>
      </c>
      <c r="S187" s="13" t="s">
        <v>762</v>
      </c>
      <c r="T187" s="11" t="s">
        <v>644</v>
      </c>
      <c r="U187" s="11">
        <v>1650.0</v>
      </c>
      <c r="Z187" s="11" t="s">
        <v>645</v>
      </c>
      <c r="AA187" s="11" t="s">
        <v>763</v>
      </c>
      <c r="AB187" s="11"/>
      <c r="AC187" s="11"/>
      <c r="AD187" s="11"/>
      <c r="AE187" s="11"/>
      <c r="AF187" s="11"/>
      <c r="AG187" s="11"/>
      <c r="AH187" s="11"/>
      <c r="AI187" s="11"/>
    </row>
    <row r="188" ht="14.25" customHeight="1">
      <c r="A188" s="6"/>
      <c r="B188" s="5">
        <v>2.0</v>
      </c>
      <c r="C188" s="5" t="s">
        <v>7661</v>
      </c>
      <c r="D188" s="5">
        <v>15322.0</v>
      </c>
      <c r="E188" s="5">
        <v>2677.0</v>
      </c>
      <c r="F188" s="5" t="s">
        <v>764</v>
      </c>
      <c r="G188" s="24" t="s">
        <v>765</v>
      </c>
      <c r="H188" s="5" t="s">
        <v>766</v>
      </c>
      <c r="I188" s="5" t="s">
        <v>641</v>
      </c>
      <c r="J188" s="5" t="s">
        <v>666</v>
      </c>
      <c r="K188" s="5">
        <v>1.0</v>
      </c>
      <c r="L188" s="5">
        <v>3420.0</v>
      </c>
    </row>
    <row r="189" ht="14.25" customHeight="1">
      <c r="A189" s="6"/>
      <c r="B189" s="5">
        <v>2.0</v>
      </c>
      <c r="C189" s="5" t="s">
        <v>7661</v>
      </c>
      <c r="D189" s="5">
        <v>15392.0</v>
      </c>
      <c r="E189" s="5">
        <v>2678.0</v>
      </c>
      <c r="F189" s="5" t="s">
        <v>767</v>
      </c>
      <c r="G189" s="21" t="s">
        <v>768</v>
      </c>
      <c r="H189" s="5" t="s">
        <v>769</v>
      </c>
      <c r="I189" s="5" t="s">
        <v>641</v>
      </c>
      <c r="J189" s="5" t="s">
        <v>642</v>
      </c>
      <c r="K189" s="5">
        <v>1.0</v>
      </c>
      <c r="L189" s="5">
        <v>3421.0</v>
      </c>
      <c r="M189" s="11">
        <v>49.11564</v>
      </c>
      <c r="N189" s="11">
        <v>-120.86744</v>
      </c>
      <c r="O189" s="11" t="s">
        <v>142</v>
      </c>
      <c r="P189" s="11">
        <v>15392.0</v>
      </c>
      <c r="Q189" s="22">
        <v>5.0</v>
      </c>
      <c r="R189" s="11" t="s">
        <v>767</v>
      </c>
      <c r="S189" s="13" t="s">
        <v>770</v>
      </c>
      <c r="T189" s="11" t="s">
        <v>644</v>
      </c>
      <c r="U189" s="11">
        <v>1340.0</v>
      </c>
      <c r="Z189" s="11" t="s">
        <v>645</v>
      </c>
      <c r="AA189" s="11" t="s">
        <v>771</v>
      </c>
      <c r="AB189" s="11"/>
      <c r="AC189" s="23"/>
      <c r="AD189" s="11"/>
      <c r="AE189" s="11"/>
      <c r="AF189" s="11"/>
      <c r="AG189" s="11"/>
      <c r="AH189" s="11"/>
      <c r="AI189" s="11"/>
    </row>
    <row r="190" ht="14.25" customHeight="1">
      <c r="A190" s="6" t="s">
        <v>772</v>
      </c>
      <c r="B190" s="5">
        <v>2.0</v>
      </c>
      <c r="C190" s="5" t="s">
        <v>7661</v>
      </c>
      <c r="D190" s="5">
        <v>15394.0</v>
      </c>
      <c r="E190" s="5">
        <v>13026.0</v>
      </c>
      <c r="F190" s="12" t="s">
        <v>773</v>
      </c>
      <c r="G190" s="10" t="s">
        <v>774</v>
      </c>
      <c r="H190" s="5" t="s">
        <v>775</v>
      </c>
      <c r="I190" s="5" t="s">
        <v>49</v>
      </c>
      <c r="J190" s="5" t="s">
        <v>776</v>
      </c>
      <c r="K190" s="5">
        <v>1.0</v>
      </c>
      <c r="L190" s="5">
        <v>14958.0</v>
      </c>
      <c r="M190" s="11">
        <v>49.16609</v>
      </c>
      <c r="N190" s="11">
        <v>-120.56784</v>
      </c>
      <c r="O190" s="11" t="s">
        <v>142</v>
      </c>
      <c r="P190" s="11">
        <v>15394.0</v>
      </c>
      <c r="Q190" s="22">
        <v>3.0</v>
      </c>
      <c r="R190" s="11" t="s">
        <v>777</v>
      </c>
      <c r="S190" s="13" t="s">
        <v>778</v>
      </c>
      <c r="T190" s="11" t="s">
        <v>644</v>
      </c>
      <c r="U190" s="11">
        <v>988.0</v>
      </c>
      <c r="Z190" s="11"/>
      <c r="AA190" s="11" t="s">
        <v>779</v>
      </c>
      <c r="AB190" s="11"/>
      <c r="AC190" s="11"/>
      <c r="AD190" s="11"/>
      <c r="AE190" s="11"/>
      <c r="AF190" s="11"/>
      <c r="AG190" s="11"/>
      <c r="AH190" s="11"/>
      <c r="AI190" s="11"/>
    </row>
    <row r="191" ht="14.25" customHeight="1">
      <c r="A191" s="6"/>
      <c r="B191" s="5">
        <v>2.0</v>
      </c>
      <c r="C191" s="5" t="s">
        <v>7661</v>
      </c>
      <c r="D191" s="5">
        <v>21091.0</v>
      </c>
      <c r="E191" s="5">
        <v>2680.0</v>
      </c>
      <c r="F191" s="5" t="s">
        <v>780</v>
      </c>
      <c r="G191" s="21" t="s">
        <v>781</v>
      </c>
      <c r="H191" s="5" t="s">
        <v>782</v>
      </c>
      <c r="I191" s="5" t="s">
        <v>641</v>
      </c>
      <c r="J191" s="5" t="s">
        <v>642</v>
      </c>
      <c r="K191" s="5">
        <v>1.0</v>
      </c>
      <c r="L191" s="5">
        <v>3423.0</v>
      </c>
      <c r="M191" s="5">
        <v>50.52861</v>
      </c>
      <c r="N191" s="5">
        <v>-120.47833</v>
      </c>
      <c r="O191" s="5" t="s">
        <v>142</v>
      </c>
      <c r="P191" s="11">
        <v>21091.0</v>
      </c>
      <c r="Q191" s="22">
        <v>5.0</v>
      </c>
      <c r="R191" s="11" t="s">
        <v>780</v>
      </c>
      <c r="S191" s="13" t="s">
        <v>783</v>
      </c>
      <c r="T191" s="11" t="s">
        <v>644</v>
      </c>
      <c r="U191" s="11">
        <v>1300.0</v>
      </c>
      <c r="Z191" s="11" t="s">
        <v>645</v>
      </c>
      <c r="AA191" s="11" t="s">
        <v>784</v>
      </c>
      <c r="AB191" s="11"/>
      <c r="AC191" s="23"/>
      <c r="AD191" s="11"/>
      <c r="AE191" s="11"/>
      <c r="AF191" s="11"/>
      <c r="AG191" s="11"/>
      <c r="AH191" s="11"/>
      <c r="AI191" s="11"/>
    </row>
    <row r="192" ht="14.25" customHeight="1">
      <c r="A192" s="6"/>
      <c r="B192" s="5">
        <v>2.0</v>
      </c>
      <c r="C192" s="5" t="s">
        <v>7661</v>
      </c>
      <c r="D192" s="5">
        <v>21123.0</v>
      </c>
      <c r="E192" s="5">
        <v>2682.0</v>
      </c>
      <c r="F192" s="5" t="s">
        <v>785</v>
      </c>
      <c r="G192" s="24" t="s">
        <v>786</v>
      </c>
      <c r="H192" s="5" t="s">
        <v>787</v>
      </c>
      <c r="I192" s="5" t="s">
        <v>641</v>
      </c>
      <c r="J192" s="5" t="s">
        <v>755</v>
      </c>
      <c r="K192" s="5">
        <v>1.0</v>
      </c>
      <c r="L192" s="5">
        <v>3425.0</v>
      </c>
      <c r="M192" s="11">
        <v>51.11333</v>
      </c>
      <c r="N192" s="11">
        <v>-120.13556</v>
      </c>
      <c r="O192" s="11" t="s">
        <v>142</v>
      </c>
      <c r="P192" s="11">
        <v>21123.0</v>
      </c>
      <c r="Q192" s="22">
        <v>1.0</v>
      </c>
      <c r="R192" s="11" t="s">
        <v>785</v>
      </c>
      <c r="S192" s="13" t="s">
        <v>788</v>
      </c>
      <c r="T192" s="11" t="s">
        <v>644</v>
      </c>
      <c r="U192" s="11">
        <v>390.0</v>
      </c>
      <c r="Z192" s="11" t="s">
        <v>645</v>
      </c>
      <c r="AA192" s="11" t="s">
        <v>789</v>
      </c>
      <c r="AB192" s="11"/>
      <c r="AC192" s="23"/>
      <c r="AD192" s="11"/>
      <c r="AE192" s="11"/>
      <c r="AF192" s="11"/>
      <c r="AG192" s="11"/>
      <c r="AH192" s="11"/>
      <c r="AI192" s="11"/>
    </row>
    <row r="193" ht="14.25" customHeight="1">
      <c r="A193" s="6" t="s">
        <v>772</v>
      </c>
      <c r="B193" s="5">
        <v>2.0</v>
      </c>
      <c r="C193" s="5" t="s">
        <v>7661</v>
      </c>
      <c r="D193" s="5">
        <v>21192.0</v>
      </c>
      <c r="E193" s="5">
        <v>13016.0</v>
      </c>
      <c r="F193" s="12" t="s">
        <v>790</v>
      </c>
      <c r="G193" s="10" t="s">
        <v>791</v>
      </c>
      <c r="H193" s="5" t="s">
        <v>792</v>
      </c>
      <c r="I193" s="5" t="s">
        <v>49</v>
      </c>
      <c r="J193" s="5" t="s">
        <v>793</v>
      </c>
      <c r="K193" s="5">
        <v>1.0</v>
      </c>
      <c r="L193" s="5">
        <v>14948.0</v>
      </c>
      <c r="M193" s="11">
        <v>51.66977</v>
      </c>
      <c r="N193" s="11">
        <v>-119.56575</v>
      </c>
      <c r="O193" s="11" t="s">
        <v>170</v>
      </c>
      <c r="P193" s="11">
        <v>21192.0</v>
      </c>
      <c r="Q193" s="22">
        <v>1.0</v>
      </c>
      <c r="R193" s="11" t="s">
        <v>794</v>
      </c>
      <c r="S193" s="13" t="s">
        <v>795</v>
      </c>
      <c r="T193" s="11" t="s">
        <v>644</v>
      </c>
      <c r="U193" s="11">
        <v>545.0</v>
      </c>
      <c r="Z193" s="11"/>
      <c r="AA193" s="11" t="s">
        <v>796</v>
      </c>
      <c r="AB193" s="11"/>
      <c r="AC193" s="11"/>
      <c r="AD193" s="11"/>
      <c r="AE193" s="11"/>
      <c r="AF193" s="11"/>
      <c r="AG193" s="11"/>
      <c r="AH193" s="11"/>
      <c r="AI193" s="11"/>
    </row>
    <row r="194" ht="14.25" customHeight="1">
      <c r="A194" s="6"/>
      <c r="B194" s="5">
        <v>2.0</v>
      </c>
      <c r="C194" s="5" t="s">
        <v>7661</v>
      </c>
      <c r="D194" s="5">
        <v>22095.0</v>
      </c>
      <c r="E194" s="5">
        <v>12465.0</v>
      </c>
      <c r="F194" s="5" t="s">
        <v>797</v>
      </c>
      <c r="G194" s="21" t="s">
        <v>798</v>
      </c>
      <c r="H194" s="5" t="s">
        <v>709</v>
      </c>
      <c r="I194" s="5" t="s">
        <v>49</v>
      </c>
      <c r="J194" s="5" t="s">
        <v>799</v>
      </c>
      <c r="K194" s="5">
        <v>1.0</v>
      </c>
      <c r="L194" s="5">
        <v>14487.0</v>
      </c>
      <c r="M194" s="11">
        <v>50.78958</v>
      </c>
      <c r="N194" s="11">
        <v>-119.07934</v>
      </c>
      <c r="O194" s="11" t="s">
        <v>170</v>
      </c>
      <c r="P194" s="16">
        <v>22095.0</v>
      </c>
      <c r="Q194" s="22">
        <v>1.0</v>
      </c>
      <c r="R194" s="11" t="s">
        <v>797</v>
      </c>
      <c r="S194" s="13" t="s">
        <v>800</v>
      </c>
      <c r="T194" s="11" t="s">
        <v>644</v>
      </c>
      <c r="U194" s="11">
        <v>420.0</v>
      </c>
      <c r="Z194" s="11"/>
      <c r="AA194" s="11" t="s">
        <v>801</v>
      </c>
      <c r="AB194" s="11"/>
      <c r="AC194" s="11"/>
      <c r="AD194" s="11"/>
      <c r="AE194" s="11"/>
      <c r="AF194" s="11"/>
      <c r="AG194" s="11"/>
      <c r="AH194" s="11"/>
      <c r="AI194" s="11"/>
    </row>
    <row r="195" ht="14.25" customHeight="1">
      <c r="A195" s="6"/>
      <c r="B195" s="5">
        <v>2.0</v>
      </c>
      <c r="C195" s="5" t="s">
        <v>7661</v>
      </c>
      <c r="D195" s="5">
        <v>22096.0</v>
      </c>
      <c r="E195" s="5">
        <v>2687.0</v>
      </c>
      <c r="F195" s="5" t="s">
        <v>802</v>
      </c>
      <c r="G195" s="21" t="s">
        <v>803</v>
      </c>
      <c r="H195" s="5" t="s">
        <v>804</v>
      </c>
      <c r="I195" s="5" t="s">
        <v>641</v>
      </c>
      <c r="J195" s="5" t="s">
        <v>755</v>
      </c>
      <c r="K195" s="5">
        <v>1.0</v>
      </c>
      <c r="L195" s="5">
        <v>3430.0</v>
      </c>
      <c r="M195" s="11">
        <v>50.93417</v>
      </c>
      <c r="N195" s="11">
        <v>-118.78861</v>
      </c>
      <c r="O195" s="11" t="s">
        <v>170</v>
      </c>
      <c r="P195" s="11">
        <v>22096.0</v>
      </c>
      <c r="Q195" s="22">
        <v>1.0</v>
      </c>
      <c r="R195" s="11" t="s">
        <v>802</v>
      </c>
      <c r="S195" s="13" t="s">
        <v>805</v>
      </c>
      <c r="T195" s="11" t="s">
        <v>644</v>
      </c>
      <c r="U195" s="11">
        <v>335.0</v>
      </c>
      <c r="Z195" s="11" t="s">
        <v>645</v>
      </c>
      <c r="AA195" s="11" t="s">
        <v>806</v>
      </c>
      <c r="AB195" s="11"/>
      <c r="AC195" s="23"/>
      <c r="AD195" s="11"/>
      <c r="AE195" s="11"/>
      <c r="AF195" s="11"/>
      <c r="AG195" s="11"/>
      <c r="AH195" s="11"/>
      <c r="AI195" s="11"/>
    </row>
    <row r="196" ht="14.25" customHeight="1">
      <c r="A196" s="6"/>
      <c r="B196" s="5">
        <v>2.0</v>
      </c>
      <c r="C196" s="5" t="s">
        <v>7661</v>
      </c>
      <c r="D196" s="5">
        <v>22123.0</v>
      </c>
      <c r="E196" s="5">
        <v>2689.0</v>
      </c>
      <c r="F196" s="5" t="s">
        <v>807</v>
      </c>
      <c r="G196" s="21" t="s">
        <v>808</v>
      </c>
      <c r="H196" s="5" t="s">
        <v>809</v>
      </c>
      <c r="I196" s="5" t="s">
        <v>641</v>
      </c>
      <c r="J196" s="5" t="s">
        <v>755</v>
      </c>
      <c r="K196" s="5">
        <v>1.0</v>
      </c>
      <c r="L196" s="5">
        <v>3432.0</v>
      </c>
      <c r="M196" s="11">
        <v>50.87278</v>
      </c>
      <c r="N196" s="11">
        <v>-119.57111</v>
      </c>
      <c r="O196" s="11" t="s">
        <v>142</v>
      </c>
      <c r="P196" s="11">
        <v>22123.0</v>
      </c>
      <c r="Q196" s="22">
        <v>1.0</v>
      </c>
      <c r="R196" s="11" t="s">
        <v>807</v>
      </c>
      <c r="S196" s="13" t="s">
        <v>810</v>
      </c>
      <c r="T196" s="11" t="s">
        <v>644</v>
      </c>
      <c r="U196" s="11">
        <v>366.0</v>
      </c>
      <c r="Z196" s="11"/>
      <c r="AA196" s="11" t="s">
        <v>811</v>
      </c>
      <c r="AB196" s="11"/>
      <c r="AC196" s="23"/>
      <c r="AD196" s="11"/>
      <c r="AE196" s="11"/>
      <c r="AF196" s="11"/>
      <c r="AG196" s="11"/>
      <c r="AH196" s="11"/>
      <c r="AI196" s="11"/>
    </row>
    <row r="197" ht="14.25" customHeight="1">
      <c r="A197" s="6"/>
      <c r="B197" s="5">
        <v>2.0</v>
      </c>
      <c r="C197" s="5" t="s">
        <v>7661</v>
      </c>
      <c r="D197" s="5">
        <v>23097.0</v>
      </c>
      <c r="E197" s="5">
        <v>2690.0</v>
      </c>
      <c r="F197" s="5" t="s">
        <v>812</v>
      </c>
      <c r="G197" s="21" t="s">
        <v>813</v>
      </c>
      <c r="H197" s="5" t="s">
        <v>814</v>
      </c>
      <c r="I197" s="5" t="s">
        <v>641</v>
      </c>
      <c r="J197" s="5" t="s">
        <v>755</v>
      </c>
      <c r="K197" s="5">
        <v>1.0</v>
      </c>
      <c r="L197" s="5">
        <v>3433.0</v>
      </c>
      <c r="M197" s="10">
        <v>50.2112</v>
      </c>
      <c r="N197" s="10">
        <v>-119.30607</v>
      </c>
      <c r="O197" s="11" t="s">
        <v>142</v>
      </c>
      <c r="P197" s="11">
        <v>23097.0</v>
      </c>
      <c r="Q197" s="22">
        <v>1.0</v>
      </c>
      <c r="R197" s="11" t="s">
        <v>812</v>
      </c>
      <c r="S197" s="13" t="s">
        <v>815</v>
      </c>
      <c r="T197" s="11" t="s">
        <v>644</v>
      </c>
      <c r="U197" s="11">
        <v>570.0</v>
      </c>
      <c r="Z197" s="11" t="s">
        <v>645</v>
      </c>
      <c r="AA197" s="11" t="s">
        <v>816</v>
      </c>
      <c r="AB197" s="11"/>
      <c r="AC197" s="23"/>
      <c r="AD197" s="11"/>
      <c r="AE197" s="11"/>
      <c r="AF197" s="11"/>
      <c r="AG197" s="11"/>
      <c r="AH197" s="11"/>
      <c r="AI197" s="11"/>
    </row>
    <row r="198" ht="14.25" customHeight="1">
      <c r="A198" s="6"/>
      <c r="B198" s="5">
        <v>2.0</v>
      </c>
      <c r="C198" s="5" t="s">
        <v>7661</v>
      </c>
      <c r="D198" s="5">
        <v>24093.0</v>
      </c>
      <c r="E198" s="5">
        <v>12466.0</v>
      </c>
      <c r="F198" s="5" t="s">
        <v>817</v>
      </c>
      <c r="G198" s="21" t="s">
        <v>818</v>
      </c>
      <c r="H198" s="5" t="s">
        <v>709</v>
      </c>
      <c r="I198" s="5" t="s">
        <v>49</v>
      </c>
      <c r="J198" s="5" t="s">
        <v>819</v>
      </c>
      <c r="K198" s="5">
        <v>1.0</v>
      </c>
      <c r="L198" s="5">
        <v>14488.0</v>
      </c>
      <c r="M198" s="11">
        <v>49.40616</v>
      </c>
      <c r="N198" s="11">
        <v>-120.26299</v>
      </c>
      <c r="O198" s="11" t="s">
        <v>142</v>
      </c>
      <c r="P198" s="11">
        <v>24093.0</v>
      </c>
      <c r="Q198" s="22">
        <v>1.0</v>
      </c>
      <c r="R198" s="11" t="s">
        <v>817</v>
      </c>
      <c r="S198" s="13" t="s">
        <v>820</v>
      </c>
      <c r="T198" s="11" t="s">
        <v>644</v>
      </c>
      <c r="U198" s="11">
        <v>566.0</v>
      </c>
      <c r="Z198" s="11"/>
      <c r="AA198" s="11" t="s">
        <v>821</v>
      </c>
      <c r="AB198" s="11"/>
      <c r="AC198" s="11"/>
      <c r="AD198" s="11"/>
      <c r="AE198" s="11"/>
      <c r="AF198" s="11"/>
      <c r="AG198" s="11"/>
      <c r="AH198" s="11"/>
      <c r="AI198" s="11"/>
    </row>
    <row r="199" ht="14.25" customHeight="1">
      <c r="A199" s="6"/>
      <c r="B199" s="5">
        <v>2.0</v>
      </c>
      <c r="C199" s="5" t="s">
        <v>7661</v>
      </c>
      <c r="D199" s="5">
        <v>24126.0</v>
      </c>
      <c r="E199" s="5">
        <v>2696.0</v>
      </c>
      <c r="F199" s="5" t="s">
        <v>822</v>
      </c>
      <c r="G199" s="21" t="s">
        <v>823</v>
      </c>
      <c r="H199" s="5" t="s">
        <v>824</v>
      </c>
      <c r="I199" s="5" t="s">
        <v>641</v>
      </c>
      <c r="J199" s="5" t="s">
        <v>825</v>
      </c>
      <c r="K199" s="5">
        <v>1.0</v>
      </c>
      <c r="L199" s="5">
        <v>3439.0</v>
      </c>
      <c r="M199" s="5">
        <v>49.39639</v>
      </c>
      <c r="N199" s="10">
        <v>-119.9008</v>
      </c>
      <c r="O199" s="5" t="s">
        <v>142</v>
      </c>
      <c r="P199" s="5">
        <v>24126.0</v>
      </c>
      <c r="Q199" s="5">
        <v>8.0</v>
      </c>
      <c r="R199" s="5" t="s">
        <v>822</v>
      </c>
      <c r="S199" s="5" t="s">
        <v>826</v>
      </c>
      <c r="T199" s="5" t="s">
        <v>644</v>
      </c>
      <c r="U199" s="10">
        <v>1700.0</v>
      </c>
      <c r="Z199" s="5" t="s">
        <v>645</v>
      </c>
      <c r="AA199" s="5" t="s">
        <v>827</v>
      </c>
    </row>
    <row r="200" ht="14.25" customHeight="1">
      <c r="A200" s="6"/>
      <c r="B200" s="5">
        <v>2.0</v>
      </c>
      <c r="C200" s="5" t="s">
        <v>7661</v>
      </c>
      <c r="D200" s="5">
        <v>24191.0</v>
      </c>
      <c r="E200" s="5">
        <v>12467.0</v>
      </c>
      <c r="F200" s="5" t="s">
        <v>828</v>
      </c>
      <c r="G200" s="21" t="s">
        <v>829</v>
      </c>
      <c r="H200" s="5" t="s">
        <v>709</v>
      </c>
      <c r="I200" s="5" t="s">
        <v>49</v>
      </c>
      <c r="J200" s="5" t="s">
        <v>830</v>
      </c>
      <c r="K200" s="5">
        <v>1.0</v>
      </c>
      <c r="L200" s="5">
        <v>14489.0</v>
      </c>
      <c r="M200" s="10">
        <v>49.39693</v>
      </c>
      <c r="N200" s="10">
        <v>-119.9008</v>
      </c>
      <c r="P200" s="10">
        <v>24191.0</v>
      </c>
      <c r="R200" s="10" t="s">
        <v>828</v>
      </c>
      <c r="U200" s="10">
        <v>780.0</v>
      </c>
      <c r="AA200" s="10" t="s">
        <v>831</v>
      </c>
    </row>
    <row r="201" ht="14.25" customHeight="1">
      <c r="A201" s="6"/>
      <c r="B201" s="5">
        <v>2.0</v>
      </c>
      <c r="C201" s="5" t="s">
        <v>7661</v>
      </c>
      <c r="D201" s="5">
        <v>24225.0</v>
      </c>
      <c r="E201" s="5">
        <v>2698.0</v>
      </c>
      <c r="F201" s="5" t="s">
        <v>832</v>
      </c>
      <c r="G201" s="21" t="s">
        <v>833</v>
      </c>
      <c r="H201" s="5" t="s">
        <v>834</v>
      </c>
      <c r="I201" s="5" t="s">
        <v>641</v>
      </c>
      <c r="J201" s="5" t="s">
        <v>755</v>
      </c>
      <c r="K201" s="5">
        <v>1.0</v>
      </c>
      <c r="L201" s="5">
        <v>3441.0</v>
      </c>
      <c r="M201" s="10">
        <v>49.47619</v>
      </c>
      <c r="N201" s="10">
        <v>-120.62431</v>
      </c>
      <c r="O201" s="11" t="s">
        <v>142</v>
      </c>
      <c r="P201" s="11">
        <v>24225.0</v>
      </c>
      <c r="Q201" s="22">
        <v>2.0</v>
      </c>
      <c r="R201" s="11" t="s">
        <v>832</v>
      </c>
      <c r="S201" s="13" t="s">
        <v>835</v>
      </c>
      <c r="T201" s="11" t="s">
        <v>644</v>
      </c>
      <c r="U201" s="11">
        <v>830.0</v>
      </c>
      <c r="Z201" s="11"/>
      <c r="AA201" s="11" t="s">
        <v>836</v>
      </c>
      <c r="AB201" s="11"/>
      <c r="AC201" s="11"/>
      <c r="AD201" s="11"/>
      <c r="AE201" s="11"/>
      <c r="AF201" s="11"/>
      <c r="AG201" s="11"/>
      <c r="AH201" s="11"/>
      <c r="AI201" s="11"/>
    </row>
    <row r="202" ht="14.25" customHeight="1">
      <c r="A202" s="6"/>
      <c r="B202" s="5">
        <v>2.0</v>
      </c>
      <c r="C202" s="5" t="s">
        <v>7661</v>
      </c>
      <c r="D202" s="5">
        <v>25092.0</v>
      </c>
      <c r="E202" s="5">
        <v>2702.0</v>
      </c>
      <c r="F202" s="5" t="s">
        <v>837</v>
      </c>
      <c r="G202" s="21" t="s">
        <v>838</v>
      </c>
      <c r="H202" s="5" t="s">
        <v>839</v>
      </c>
      <c r="I202" s="5" t="s">
        <v>641</v>
      </c>
      <c r="J202" s="5" t="s">
        <v>755</v>
      </c>
      <c r="K202" s="5">
        <v>1.0</v>
      </c>
      <c r="L202" s="5">
        <v>3445.0</v>
      </c>
      <c r="M202" s="10">
        <v>50.32083</v>
      </c>
      <c r="N202" s="10">
        <v>-120.63661</v>
      </c>
      <c r="O202" s="11" t="s">
        <v>142</v>
      </c>
      <c r="P202" s="11">
        <v>25092.0</v>
      </c>
      <c r="Q202" s="22">
        <v>5.0</v>
      </c>
      <c r="R202" s="11" t="s">
        <v>840</v>
      </c>
      <c r="S202" s="13" t="s">
        <v>841</v>
      </c>
      <c r="T202" s="11" t="s">
        <v>644</v>
      </c>
      <c r="U202" s="11">
        <v>1385.0</v>
      </c>
      <c r="Z202" s="11" t="s">
        <v>645</v>
      </c>
      <c r="AA202" s="11" t="s">
        <v>842</v>
      </c>
      <c r="AB202" s="11"/>
      <c r="AC202" s="23"/>
      <c r="AD202" s="11"/>
      <c r="AE202" s="11"/>
      <c r="AF202" s="11"/>
      <c r="AG202" s="11"/>
      <c r="AH202" s="11"/>
      <c r="AI202" s="11"/>
    </row>
    <row r="203" ht="14.25" customHeight="1">
      <c r="A203" s="6"/>
      <c r="B203" s="5">
        <v>2.0</v>
      </c>
      <c r="C203" s="5" t="s">
        <v>7661</v>
      </c>
      <c r="D203" s="5">
        <v>25093.0</v>
      </c>
      <c r="E203" s="5">
        <v>2703.0</v>
      </c>
      <c r="F203" s="5" t="s">
        <v>843</v>
      </c>
      <c r="G203" s="21" t="s">
        <v>844</v>
      </c>
      <c r="H203" s="5" t="s">
        <v>845</v>
      </c>
      <c r="I203" s="5" t="s">
        <v>641</v>
      </c>
      <c r="J203" s="5" t="s">
        <v>755</v>
      </c>
      <c r="K203" s="5">
        <v>1.0</v>
      </c>
      <c r="L203" s="5">
        <v>3446.0</v>
      </c>
      <c r="M203" s="11">
        <v>49.83111</v>
      </c>
      <c r="N203" s="11">
        <v>-120.935</v>
      </c>
      <c r="O203" s="11" t="s">
        <v>142</v>
      </c>
      <c r="P203" s="11">
        <v>25093.0</v>
      </c>
      <c r="Q203" s="22">
        <v>3.0</v>
      </c>
      <c r="R203" s="11" t="s">
        <v>843</v>
      </c>
      <c r="S203" s="13" t="s">
        <v>846</v>
      </c>
      <c r="T203" s="11" t="s">
        <v>644</v>
      </c>
      <c r="U203" s="11">
        <v>1060.0</v>
      </c>
      <c r="Z203" s="11" t="s">
        <v>645</v>
      </c>
      <c r="AA203" s="11" t="s">
        <v>847</v>
      </c>
      <c r="AB203" s="11"/>
      <c r="AC203" s="23"/>
      <c r="AD203" s="11"/>
      <c r="AE203" s="11"/>
      <c r="AF203" s="11"/>
      <c r="AG203" s="11"/>
      <c r="AH203" s="11"/>
      <c r="AI203" s="11"/>
    </row>
    <row r="204" ht="14.25" customHeight="1">
      <c r="A204" s="6"/>
      <c r="B204" s="5">
        <v>2.0</v>
      </c>
      <c r="C204" s="5" t="s">
        <v>7661</v>
      </c>
      <c r="D204" s="5">
        <v>25094.0</v>
      </c>
      <c r="E204" s="5">
        <v>12505.0</v>
      </c>
      <c r="F204" s="5" t="s">
        <v>848</v>
      </c>
      <c r="G204" s="21" t="s">
        <v>849</v>
      </c>
      <c r="H204" s="5" t="s">
        <v>679</v>
      </c>
      <c r="I204" s="5" t="s">
        <v>49</v>
      </c>
      <c r="J204" s="5" t="s">
        <v>850</v>
      </c>
      <c r="K204" s="5">
        <v>1.0</v>
      </c>
      <c r="L204" s="5">
        <v>14527.0</v>
      </c>
      <c r="M204" s="11">
        <v>50.43999</v>
      </c>
      <c r="N204" s="11">
        <v>-120.5987</v>
      </c>
      <c r="O204" s="11" t="s">
        <v>142</v>
      </c>
      <c r="P204" s="11">
        <v>25094.0</v>
      </c>
      <c r="Q204" s="22">
        <v>5.0</v>
      </c>
      <c r="R204" s="11" t="s">
        <v>848</v>
      </c>
      <c r="S204" s="13" t="s">
        <v>851</v>
      </c>
      <c r="T204" s="11" t="s">
        <v>644</v>
      </c>
      <c r="U204" s="11">
        <v>1300.0</v>
      </c>
      <c r="Z204" s="11"/>
      <c r="AA204" s="11" t="s">
        <v>852</v>
      </c>
      <c r="AB204" s="11"/>
      <c r="AC204" s="11"/>
      <c r="AD204" s="11"/>
      <c r="AE204" s="11"/>
      <c r="AF204" s="11"/>
      <c r="AG204" s="11"/>
      <c r="AH204" s="11"/>
      <c r="AI204" s="11"/>
    </row>
    <row r="205" ht="14.25" customHeight="1">
      <c r="A205" s="6"/>
      <c r="B205" s="5">
        <v>2.0</v>
      </c>
      <c r="C205" s="5" t="s">
        <v>7661</v>
      </c>
      <c r="D205" s="5">
        <v>25095.0</v>
      </c>
      <c r="E205" s="5">
        <v>12506.0</v>
      </c>
      <c r="F205" s="5" t="s">
        <v>853</v>
      </c>
      <c r="G205" s="21" t="s">
        <v>854</v>
      </c>
      <c r="H205" s="5" t="s">
        <v>679</v>
      </c>
      <c r="I205" s="5" t="s">
        <v>49</v>
      </c>
      <c r="J205" s="5" t="s">
        <v>855</v>
      </c>
      <c r="K205" s="5">
        <v>1.0</v>
      </c>
      <c r="L205" s="5">
        <v>14528.0</v>
      </c>
      <c r="M205" s="11">
        <v>50.01749</v>
      </c>
      <c r="N205" s="11">
        <v>-120.83608</v>
      </c>
      <c r="O205" s="11" t="s">
        <v>142</v>
      </c>
      <c r="P205" s="11">
        <v>25095.0</v>
      </c>
      <c r="Q205" s="22">
        <v>2.0</v>
      </c>
      <c r="R205" s="11" t="s">
        <v>853</v>
      </c>
      <c r="S205" s="13" t="s">
        <v>856</v>
      </c>
      <c r="T205" s="11" t="s">
        <v>644</v>
      </c>
      <c r="U205" s="11">
        <v>945.0</v>
      </c>
      <c r="Z205" s="11"/>
      <c r="AA205" s="11" t="s">
        <v>857</v>
      </c>
      <c r="AB205" s="11"/>
      <c r="AC205" s="11"/>
      <c r="AD205" s="11"/>
      <c r="AE205" s="11"/>
      <c r="AF205" s="11"/>
      <c r="AG205" s="11"/>
      <c r="AH205" s="11"/>
      <c r="AI205" s="11"/>
    </row>
    <row r="206" ht="14.25" customHeight="1">
      <c r="A206" s="6"/>
      <c r="B206" s="5">
        <v>2.0</v>
      </c>
      <c r="C206" s="5" t="s">
        <v>7661</v>
      </c>
      <c r="D206" s="5">
        <v>25221.0</v>
      </c>
      <c r="E206" s="5">
        <v>2710.0</v>
      </c>
      <c r="F206" s="5" t="s">
        <v>858</v>
      </c>
      <c r="G206" s="24" t="s">
        <v>859</v>
      </c>
      <c r="H206" s="5" t="s">
        <v>860</v>
      </c>
      <c r="I206" s="5" t="s">
        <v>641</v>
      </c>
      <c r="J206" s="5" t="s">
        <v>861</v>
      </c>
      <c r="K206" s="5">
        <v>1.0</v>
      </c>
      <c r="L206" s="5">
        <v>3453.0</v>
      </c>
      <c r="M206" s="11">
        <v>49.59406</v>
      </c>
      <c r="N206" s="10">
        <v>-121.09948</v>
      </c>
      <c r="O206" s="11" t="s">
        <v>51</v>
      </c>
      <c r="P206" s="11">
        <v>25221.0</v>
      </c>
      <c r="Q206" s="22">
        <v>6.0</v>
      </c>
      <c r="R206" s="11" t="s">
        <v>858</v>
      </c>
      <c r="S206" s="13" t="s">
        <v>862</v>
      </c>
      <c r="T206" s="11" t="s">
        <v>644</v>
      </c>
      <c r="U206" s="11">
        <v>1230.0</v>
      </c>
      <c r="Z206" s="11" t="s">
        <v>645</v>
      </c>
      <c r="AA206" s="11" t="s">
        <v>863</v>
      </c>
      <c r="AB206" s="11"/>
      <c r="AC206" s="23"/>
      <c r="AD206" s="11"/>
      <c r="AE206" s="11"/>
      <c r="AF206" s="11"/>
      <c r="AG206" s="11"/>
      <c r="AH206" s="11"/>
      <c r="AI206" s="11"/>
    </row>
    <row r="207" ht="14.25" customHeight="1">
      <c r="A207" s="6"/>
      <c r="B207" s="5">
        <v>2.0</v>
      </c>
      <c r="C207" s="5" t="s">
        <v>7661</v>
      </c>
      <c r="D207" s="5">
        <v>25223.0</v>
      </c>
      <c r="E207" s="5">
        <v>2711.0</v>
      </c>
      <c r="F207" s="5" t="s">
        <v>864</v>
      </c>
      <c r="G207" s="24" t="s">
        <v>865</v>
      </c>
      <c r="H207" s="5" t="s">
        <v>866</v>
      </c>
      <c r="I207" s="5" t="s">
        <v>641</v>
      </c>
      <c r="J207" s="5" t="s">
        <v>867</v>
      </c>
      <c r="K207" s="5">
        <v>1.0</v>
      </c>
      <c r="L207" s="5">
        <v>3454.0</v>
      </c>
    </row>
    <row r="208" ht="14.25" customHeight="1">
      <c r="A208" s="6"/>
      <c r="B208" s="5">
        <v>2.0</v>
      </c>
      <c r="C208" s="5" t="s">
        <v>7661</v>
      </c>
      <c r="D208" s="5">
        <v>25225.0</v>
      </c>
      <c r="E208" s="5">
        <v>2712.0</v>
      </c>
      <c r="F208" s="5" t="s">
        <v>868</v>
      </c>
      <c r="G208" s="21" t="s">
        <v>869</v>
      </c>
      <c r="H208" s="5" t="s">
        <v>870</v>
      </c>
      <c r="I208" s="5" t="s">
        <v>641</v>
      </c>
      <c r="J208" s="5" t="s">
        <v>871</v>
      </c>
      <c r="K208" s="5">
        <v>1.0</v>
      </c>
      <c r="L208" s="5">
        <v>3455.0</v>
      </c>
      <c r="M208" s="10">
        <v>49.59582</v>
      </c>
      <c r="N208" s="10">
        <v>-121.17805</v>
      </c>
      <c r="O208" s="11" t="s">
        <v>51</v>
      </c>
      <c r="P208" s="11">
        <v>25225.0</v>
      </c>
      <c r="Q208" s="22">
        <v>8.0</v>
      </c>
      <c r="R208" s="11" t="s">
        <v>868</v>
      </c>
      <c r="S208" s="13" t="s">
        <v>872</v>
      </c>
      <c r="T208" s="11" t="s">
        <v>644</v>
      </c>
      <c r="U208" s="11">
        <v>1710.0</v>
      </c>
      <c r="Z208" s="11"/>
      <c r="AA208" s="11" t="s">
        <v>873</v>
      </c>
      <c r="AB208" s="11"/>
      <c r="AC208" s="11"/>
      <c r="AD208" s="11"/>
      <c r="AE208" s="11"/>
      <c r="AF208" s="11"/>
      <c r="AG208" s="11"/>
      <c r="AH208" s="11"/>
      <c r="AI208" s="11"/>
    </row>
    <row r="209" ht="14.25" customHeight="1">
      <c r="A209" s="6"/>
      <c r="B209" s="5">
        <v>2.0</v>
      </c>
      <c r="C209" s="5" t="s">
        <v>7661</v>
      </c>
      <c r="D209" s="5">
        <v>25226.0</v>
      </c>
      <c r="E209" s="5">
        <v>2713.0</v>
      </c>
      <c r="F209" s="5" t="s">
        <v>874</v>
      </c>
      <c r="G209" s="24" t="s">
        <v>875</v>
      </c>
      <c r="H209" s="5" t="s">
        <v>876</v>
      </c>
      <c r="I209" s="5" t="s">
        <v>641</v>
      </c>
      <c r="J209" s="5" t="s">
        <v>867</v>
      </c>
      <c r="K209" s="5">
        <v>1.0</v>
      </c>
      <c r="L209" s="5">
        <v>3456.0</v>
      </c>
    </row>
    <row r="210" ht="14.25" customHeight="1">
      <c r="A210" s="6"/>
      <c r="B210" s="5">
        <v>2.0</v>
      </c>
      <c r="C210" s="5" t="s">
        <v>7661</v>
      </c>
      <c r="D210" s="5">
        <v>25227.0</v>
      </c>
      <c r="E210" s="5">
        <v>2714.0</v>
      </c>
      <c r="F210" s="5" t="s">
        <v>877</v>
      </c>
      <c r="G210" s="24" t="s">
        <v>878</v>
      </c>
      <c r="H210" s="5" t="s">
        <v>866</v>
      </c>
      <c r="I210" s="5" t="s">
        <v>641</v>
      </c>
      <c r="J210" s="5" t="s">
        <v>879</v>
      </c>
      <c r="K210" s="5">
        <v>1.0</v>
      </c>
      <c r="L210" s="5">
        <v>3457.0</v>
      </c>
    </row>
    <row r="211" ht="14.25" customHeight="1">
      <c r="A211" s="6"/>
      <c r="B211" s="5">
        <v>2.0</v>
      </c>
      <c r="C211" s="5" t="s">
        <v>7661</v>
      </c>
      <c r="D211" s="5">
        <v>25229.0</v>
      </c>
      <c r="E211" s="5">
        <v>2715.0</v>
      </c>
      <c r="F211" s="5" t="s">
        <v>880</v>
      </c>
      <c r="G211" s="25" t="s">
        <v>881</v>
      </c>
      <c r="H211" s="5" t="s">
        <v>882</v>
      </c>
      <c r="I211" s="5" t="s">
        <v>641</v>
      </c>
      <c r="J211" s="5" t="s">
        <v>883</v>
      </c>
      <c r="K211" s="5">
        <v>1.0</v>
      </c>
      <c r="L211" s="5">
        <v>3458.0</v>
      </c>
      <c r="M211" s="10">
        <v>49.59924</v>
      </c>
      <c r="N211" s="10">
        <v>-121.17801</v>
      </c>
      <c r="O211" s="11" t="s">
        <v>51</v>
      </c>
      <c r="P211" s="11">
        <v>25229.0</v>
      </c>
      <c r="Q211" s="22">
        <v>8.0</v>
      </c>
      <c r="R211" s="11" t="s">
        <v>880</v>
      </c>
      <c r="S211" s="13" t="s">
        <v>884</v>
      </c>
      <c r="T211" s="11" t="s">
        <v>644</v>
      </c>
      <c r="U211" s="11">
        <v>1660.0</v>
      </c>
      <c r="Z211" s="11"/>
      <c r="AA211" s="11" t="s">
        <v>885</v>
      </c>
      <c r="AB211" s="11"/>
      <c r="AC211" s="11"/>
      <c r="AD211" s="11"/>
      <c r="AE211" s="11"/>
      <c r="AF211" s="11"/>
      <c r="AG211" s="11"/>
      <c r="AH211" s="11"/>
      <c r="AI211" s="11"/>
    </row>
    <row r="212" ht="14.25" customHeight="1">
      <c r="A212" s="6"/>
      <c r="B212" s="5">
        <v>2.0</v>
      </c>
      <c r="C212" s="5" t="s">
        <v>7661</v>
      </c>
      <c r="D212" s="5">
        <v>26123.0</v>
      </c>
      <c r="E212" s="5">
        <v>2722.0</v>
      </c>
      <c r="F212" s="5" t="s">
        <v>886</v>
      </c>
      <c r="G212" s="24" t="s">
        <v>887</v>
      </c>
      <c r="H212" s="5" t="s">
        <v>888</v>
      </c>
      <c r="I212" s="5" t="s">
        <v>641</v>
      </c>
      <c r="J212" s="5" t="s">
        <v>674</v>
      </c>
      <c r="K212" s="5">
        <v>1.0</v>
      </c>
      <c r="L212" s="5">
        <v>3465.0</v>
      </c>
    </row>
    <row r="213" ht="14.25" customHeight="1">
      <c r="A213" s="6"/>
      <c r="B213" s="5">
        <v>2.0</v>
      </c>
      <c r="C213" s="5" t="s">
        <v>7661</v>
      </c>
      <c r="D213" s="5">
        <v>26124.0</v>
      </c>
      <c r="E213" s="5">
        <v>11022.0</v>
      </c>
      <c r="F213" s="5" t="s">
        <v>889</v>
      </c>
      <c r="G213" s="21" t="s">
        <v>890</v>
      </c>
      <c r="H213" s="5" t="s">
        <v>891</v>
      </c>
      <c r="I213" s="5" t="s">
        <v>49</v>
      </c>
      <c r="J213" s="5" t="s">
        <v>710</v>
      </c>
      <c r="K213" s="5">
        <v>1.0</v>
      </c>
      <c r="L213" s="5">
        <v>13190.0</v>
      </c>
      <c r="M213" s="11">
        <v>50.81386</v>
      </c>
      <c r="N213" s="11">
        <v>-122.18831</v>
      </c>
      <c r="O213" s="11" t="s">
        <v>142</v>
      </c>
      <c r="P213" s="11">
        <v>26124.0</v>
      </c>
      <c r="Q213" s="22">
        <v>3.0</v>
      </c>
      <c r="R213" s="11" t="s">
        <v>889</v>
      </c>
      <c r="S213" s="13" t="s">
        <v>892</v>
      </c>
      <c r="T213" s="11" t="s">
        <v>644</v>
      </c>
      <c r="U213" s="11">
        <v>1070.0</v>
      </c>
      <c r="Z213" s="11"/>
      <c r="AA213" s="11" t="s">
        <v>893</v>
      </c>
      <c r="AB213" s="11"/>
      <c r="AC213" s="11"/>
      <c r="AD213" s="11"/>
      <c r="AE213" s="11"/>
      <c r="AF213" s="11"/>
      <c r="AG213" s="11"/>
      <c r="AH213" s="11"/>
      <c r="AI213" s="11"/>
    </row>
    <row r="214" ht="14.25" customHeight="1">
      <c r="A214" s="6"/>
      <c r="B214" s="5">
        <v>2.0</v>
      </c>
      <c r="C214" s="5" t="s">
        <v>7661</v>
      </c>
      <c r="D214" s="5">
        <v>26125.0</v>
      </c>
      <c r="E214" s="5">
        <v>12468.0</v>
      </c>
      <c r="F214" s="5" t="s">
        <v>894</v>
      </c>
      <c r="G214" s="21" t="s">
        <v>895</v>
      </c>
      <c r="H214" s="5" t="s">
        <v>709</v>
      </c>
      <c r="I214" s="5" t="s">
        <v>49</v>
      </c>
      <c r="J214" s="5" t="s">
        <v>896</v>
      </c>
      <c r="K214" s="5">
        <v>1.0</v>
      </c>
      <c r="L214" s="5">
        <v>14490.0</v>
      </c>
      <c r="M214" s="11">
        <v>50.85442</v>
      </c>
      <c r="N214" s="11">
        <v>-122.83625</v>
      </c>
      <c r="O214" s="11" t="s">
        <v>142</v>
      </c>
      <c r="P214" s="11">
        <v>26125.0</v>
      </c>
      <c r="Q214" s="22">
        <v>1.0</v>
      </c>
      <c r="R214" s="11" t="s">
        <v>897</v>
      </c>
      <c r="S214" s="13" t="s">
        <v>898</v>
      </c>
      <c r="T214" s="11" t="s">
        <v>644</v>
      </c>
      <c r="U214" s="11">
        <v>685.0</v>
      </c>
      <c r="Z214" s="11"/>
      <c r="AA214" s="11" t="s">
        <v>899</v>
      </c>
      <c r="AB214" s="11"/>
      <c r="AC214" s="11"/>
      <c r="AD214" s="11"/>
      <c r="AE214" s="11"/>
      <c r="AF214" s="11"/>
      <c r="AG214" s="11"/>
      <c r="AH214" s="11"/>
      <c r="AI214" s="11"/>
    </row>
    <row r="215" ht="14.25" customHeight="1">
      <c r="A215" s="6"/>
      <c r="B215" s="5">
        <v>2.0</v>
      </c>
      <c r="C215" s="5" t="s">
        <v>7661</v>
      </c>
      <c r="D215" s="5">
        <v>26221.0</v>
      </c>
      <c r="E215" s="5">
        <v>2731.0</v>
      </c>
      <c r="F215" s="5" t="s">
        <v>900</v>
      </c>
      <c r="G215" s="21" t="s">
        <v>901</v>
      </c>
      <c r="H215" s="5" t="s">
        <v>902</v>
      </c>
      <c r="I215" s="5" t="s">
        <v>641</v>
      </c>
      <c r="J215" s="5" t="s">
        <v>903</v>
      </c>
      <c r="K215" s="5">
        <v>1.0</v>
      </c>
      <c r="L215" s="5">
        <v>3474.0</v>
      </c>
      <c r="M215" s="11">
        <v>50.40694</v>
      </c>
      <c r="N215" s="11">
        <v>-122.25556</v>
      </c>
      <c r="O215" s="11" t="s">
        <v>142</v>
      </c>
      <c r="P215" s="11">
        <v>26221.0</v>
      </c>
      <c r="Q215" s="22">
        <v>8.0</v>
      </c>
      <c r="R215" s="11" t="s">
        <v>900</v>
      </c>
      <c r="S215" s="13" t="s">
        <v>904</v>
      </c>
      <c r="T215" s="11" t="s">
        <v>644</v>
      </c>
      <c r="U215" s="11">
        <v>2320.0</v>
      </c>
      <c r="Z215" s="11"/>
      <c r="AA215" s="11" t="s">
        <v>905</v>
      </c>
      <c r="AB215" s="11"/>
      <c r="AC215" s="11"/>
      <c r="AD215" s="11"/>
      <c r="AE215" s="11"/>
      <c r="AF215" s="11"/>
      <c r="AG215" s="11"/>
      <c r="AH215" s="11"/>
      <c r="AI215" s="11"/>
    </row>
    <row r="216" ht="14.25" customHeight="1">
      <c r="A216" s="6"/>
      <c r="B216" s="5">
        <v>2.0</v>
      </c>
      <c r="C216" s="5" t="s">
        <v>7661</v>
      </c>
      <c r="D216" s="5">
        <v>26222.0</v>
      </c>
      <c r="E216" s="5">
        <v>2732.0</v>
      </c>
      <c r="F216" s="5" t="s">
        <v>906</v>
      </c>
      <c r="G216" s="21" t="s">
        <v>907</v>
      </c>
      <c r="H216" s="5" t="s">
        <v>908</v>
      </c>
      <c r="I216" s="5" t="s">
        <v>641</v>
      </c>
      <c r="J216" s="5" t="s">
        <v>909</v>
      </c>
      <c r="K216" s="5">
        <v>1.0</v>
      </c>
      <c r="L216" s="5">
        <v>3475.0</v>
      </c>
      <c r="M216" s="11">
        <v>50.40222</v>
      </c>
      <c r="N216" s="11">
        <v>-122.26472</v>
      </c>
      <c r="O216" s="11" t="s">
        <v>142</v>
      </c>
      <c r="P216" s="11">
        <v>26222.0</v>
      </c>
      <c r="Q216" s="22">
        <v>8.0</v>
      </c>
      <c r="R216" s="11" t="s">
        <v>906</v>
      </c>
      <c r="S216" s="13" t="s">
        <v>910</v>
      </c>
      <c r="T216" s="11" t="s">
        <v>644</v>
      </c>
      <c r="U216" s="11">
        <v>1890.0</v>
      </c>
      <c r="Z216" s="11"/>
      <c r="AA216" s="11" t="s">
        <v>911</v>
      </c>
      <c r="AB216" s="11"/>
      <c r="AC216" s="11"/>
      <c r="AD216" s="11"/>
      <c r="AE216" s="11"/>
      <c r="AF216" s="11"/>
      <c r="AG216" s="11"/>
      <c r="AH216" s="11"/>
      <c r="AI216" s="11"/>
    </row>
    <row r="217" ht="14.25" customHeight="1">
      <c r="A217" s="6" t="s">
        <v>912</v>
      </c>
      <c r="B217" s="5">
        <v>2.0</v>
      </c>
      <c r="C217" s="5" t="s">
        <v>7661</v>
      </c>
      <c r="D217" s="5">
        <v>26224.0</v>
      </c>
      <c r="E217" s="5">
        <v>2733.0</v>
      </c>
      <c r="F217" s="5" t="s">
        <v>913</v>
      </c>
      <c r="G217" s="10" t="s">
        <v>914</v>
      </c>
      <c r="H217" s="5" t="s">
        <v>915</v>
      </c>
      <c r="I217" s="5" t="s">
        <v>641</v>
      </c>
      <c r="J217" s="5" t="s">
        <v>755</v>
      </c>
      <c r="K217" s="5">
        <v>1.0</v>
      </c>
      <c r="L217" s="5">
        <v>3476.0</v>
      </c>
      <c r="M217" s="26">
        <v>50.37978</v>
      </c>
      <c r="N217" s="10">
        <v>-122.47403</v>
      </c>
      <c r="O217" s="11" t="s">
        <v>142</v>
      </c>
      <c r="P217" s="11">
        <v>26224.0</v>
      </c>
      <c r="Q217" s="22">
        <v>5.0</v>
      </c>
      <c r="R217" s="11" t="s">
        <v>913</v>
      </c>
      <c r="S217" s="13" t="s">
        <v>916</v>
      </c>
      <c r="T217" s="11" t="s">
        <v>644</v>
      </c>
      <c r="U217" s="10">
        <v>1250.0</v>
      </c>
      <c r="Z217" s="11"/>
      <c r="AA217" s="11" t="s">
        <v>917</v>
      </c>
      <c r="AB217" s="11"/>
      <c r="AC217" s="11"/>
      <c r="AD217" s="11"/>
      <c r="AE217" s="11"/>
      <c r="AF217" s="11"/>
      <c r="AG217" s="11"/>
      <c r="AH217" s="11"/>
      <c r="AI217" s="11"/>
    </row>
    <row r="218" ht="14.25" customHeight="1">
      <c r="A218" s="6"/>
      <c r="B218" s="5">
        <v>2.0</v>
      </c>
      <c r="C218" s="5" t="s">
        <v>7661</v>
      </c>
      <c r="D218" s="5">
        <v>26501.0</v>
      </c>
      <c r="E218" s="5">
        <v>2734.0</v>
      </c>
      <c r="F218" s="5" t="s">
        <v>918</v>
      </c>
      <c r="G218" s="21" t="s">
        <v>919</v>
      </c>
      <c r="H218" s="5" t="s">
        <v>920</v>
      </c>
      <c r="I218" s="5" t="s">
        <v>641</v>
      </c>
      <c r="J218" s="5" t="s">
        <v>921</v>
      </c>
      <c r="K218" s="5">
        <v>1.0</v>
      </c>
      <c r="L218" s="5">
        <v>3477.0</v>
      </c>
      <c r="M218" s="27">
        <v>50.74</v>
      </c>
      <c r="N218" s="11">
        <v>-121.86167</v>
      </c>
      <c r="O218" s="11" t="s">
        <v>142</v>
      </c>
      <c r="P218" s="11">
        <v>26501.0</v>
      </c>
      <c r="Q218" s="22">
        <v>1.0</v>
      </c>
      <c r="R218" s="11" t="s">
        <v>918</v>
      </c>
      <c r="S218" s="13" t="s">
        <v>922</v>
      </c>
      <c r="T218" s="11" t="s">
        <v>644</v>
      </c>
      <c r="U218" s="11">
        <v>378.0</v>
      </c>
      <c r="Z218" s="11" t="s">
        <v>645</v>
      </c>
      <c r="AA218" s="11" t="s">
        <v>923</v>
      </c>
      <c r="AB218" s="11"/>
      <c r="AC218" s="23"/>
      <c r="AD218" s="11"/>
      <c r="AE218" s="11"/>
      <c r="AF218" s="11"/>
      <c r="AG218" s="11"/>
      <c r="AH218" s="11"/>
      <c r="AI218" s="11"/>
    </row>
    <row r="219" ht="14.25" customHeight="1">
      <c r="A219" s="6" t="s">
        <v>328</v>
      </c>
      <c r="B219" s="5">
        <v>2.0</v>
      </c>
      <c r="C219" s="12" t="s">
        <v>7662</v>
      </c>
      <c r="D219" s="12" t="s">
        <v>924</v>
      </c>
      <c r="F219" s="12" t="s">
        <v>925</v>
      </c>
      <c r="G219" s="12" t="s">
        <v>926</v>
      </c>
      <c r="I219" s="10" t="s">
        <v>927</v>
      </c>
      <c r="M219" s="10">
        <v>50.62331</v>
      </c>
      <c r="N219" s="11">
        <v>-122.4432</v>
      </c>
      <c r="O219" s="11" t="s">
        <v>142</v>
      </c>
      <c r="P219" s="11">
        <v>26521.0</v>
      </c>
      <c r="Q219" s="22">
        <v>2.0</v>
      </c>
      <c r="R219" s="11" t="s">
        <v>928</v>
      </c>
      <c r="S219" s="13" t="s">
        <v>929</v>
      </c>
      <c r="T219" s="11" t="s">
        <v>644</v>
      </c>
      <c r="U219" s="28">
        <v>742.0</v>
      </c>
      <c r="Z219" s="11"/>
      <c r="AA219" s="11" t="s">
        <v>930</v>
      </c>
      <c r="AB219" s="11"/>
      <c r="AC219" s="11"/>
      <c r="AD219" s="11"/>
      <c r="AE219" s="11"/>
      <c r="AF219" s="11"/>
      <c r="AG219" s="11"/>
      <c r="AH219" s="11"/>
      <c r="AI219" s="11"/>
    </row>
    <row r="220" ht="14.25" customHeight="1">
      <c r="A220" s="6" t="s">
        <v>88</v>
      </c>
      <c r="B220" s="5">
        <v>2.0</v>
      </c>
      <c r="C220" s="5" t="s">
        <v>7661</v>
      </c>
      <c r="D220" s="5">
        <v>28071.0</v>
      </c>
      <c r="E220" s="5">
        <v>12469.0</v>
      </c>
      <c r="F220" s="5" t="s">
        <v>931</v>
      </c>
      <c r="G220" s="10" t="s">
        <v>932</v>
      </c>
      <c r="H220" s="5" t="s">
        <v>709</v>
      </c>
      <c r="I220" s="5" t="s">
        <v>49</v>
      </c>
      <c r="J220" s="5" t="s">
        <v>933</v>
      </c>
      <c r="K220" s="5">
        <v>1.0</v>
      </c>
      <c r="L220" s="5">
        <v>14491.0</v>
      </c>
      <c r="M220" s="11">
        <v>51.14693</v>
      </c>
      <c r="N220" s="11">
        <v>-121.50162</v>
      </c>
      <c r="O220" s="11" t="s">
        <v>148</v>
      </c>
      <c r="P220" s="11">
        <v>28071.0</v>
      </c>
      <c r="Q220" s="22">
        <v>4.0</v>
      </c>
      <c r="R220" s="11" t="s">
        <v>931</v>
      </c>
      <c r="S220" s="13" t="s">
        <v>934</v>
      </c>
      <c r="T220" s="11" t="s">
        <v>644</v>
      </c>
      <c r="U220" s="11">
        <v>1049.0</v>
      </c>
      <c r="Z220" s="11"/>
      <c r="AA220" s="11" t="s">
        <v>935</v>
      </c>
      <c r="AB220" s="11"/>
      <c r="AC220" s="11"/>
      <c r="AD220" s="11"/>
      <c r="AE220" s="11"/>
      <c r="AF220" s="11"/>
      <c r="AG220" s="11"/>
      <c r="AH220" s="11"/>
      <c r="AI220" s="11"/>
    </row>
    <row r="221" ht="14.25" customHeight="1">
      <c r="A221" s="6" t="s">
        <v>88</v>
      </c>
      <c r="B221" s="5">
        <v>2.0</v>
      </c>
      <c r="C221" s="5" t="s">
        <v>7661</v>
      </c>
      <c r="D221" s="5">
        <v>28072.0</v>
      </c>
      <c r="E221" s="5">
        <v>12510.0</v>
      </c>
      <c r="F221" s="5" t="s">
        <v>936</v>
      </c>
      <c r="G221" s="10" t="s">
        <v>937</v>
      </c>
      <c r="H221" s="5" t="s">
        <v>938</v>
      </c>
      <c r="I221" s="5" t="s">
        <v>49</v>
      </c>
      <c r="J221" s="5" t="s">
        <v>939</v>
      </c>
      <c r="K221" s="5">
        <v>1.0</v>
      </c>
      <c r="L221" s="5">
        <v>14532.0</v>
      </c>
      <c r="M221" s="10">
        <v>51.19287</v>
      </c>
      <c r="N221" s="10">
        <v>-121.5295</v>
      </c>
      <c r="O221" s="10"/>
      <c r="P221" s="10">
        <v>28072.0</v>
      </c>
      <c r="Q221" s="10"/>
      <c r="R221" s="10" t="s">
        <v>936</v>
      </c>
      <c r="S221" s="10"/>
      <c r="T221" s="10"/>
      <c r="U221" s="10">
        <v>1093.0</v>
      </c>
      <c r="Z221" s="10"/>
      <c r="AA221" s="10" t="s">
        <v>940</v>
      </c>
    </row>
    <row r="222" ht="14.25" customHeight="1">
      <c r="A222" s="6"/>
      <c r="B222" s="5">
        <v>2.0</v>
      </c>
      <c r="C222" s="5" t="s">
        <v>7661</v>
      </c>
      <c r="D222" s="5">
        <v>28093.0</v>
      </c>
      <c r="E222" s="5">
        <v>2737.0</v>
      </c>
      <c r="F222" s="5" t="s">
        <v>941</v>
      </c>
      <c r="G222" s="21" t="s">
        <v>942</v>
      </c>
      <c r="H222" s="5" t="s">
        <v>943</v>
      </c>
      <c r="I222" s="5" t="s">
        <v>641</v>
      </c>
      <c r="J222" s="5" t="s">
        <v>642</v>
      </c>
      <c r="K222" s="5">
        <v>1.0</v>
      </c>
      <c r="L222" s="5">
        <v>3480.0</v>
      </c>
      <c r="M222" s="10">
        <v>51.47611</v>
      </c>
      <c r="N222" s="10">
        <v>-121.37083</v>
      </c>
      <c r="O222" s="11" t="s">
        <v>148</v>
      </c>
      <c r="P222" s="11">
        <v>28093.0</v>
      </c>
      <c r="Q222" s="22">
        <v>5.0</v>
      </c>
      <c r="R222" s="11" t="s">
        <v>941</v>
      </c>
      <c r="S222" s="13" t="s">
        <v>944</v>
      </c>
      <c r="T222" s="11" t="s">
        <v>644</v>
      </c>
      <c r="U222" s="11">
        <v>1127.0</v>
      </c>
      <c r="Z222" s="11" t="s">
        <v>645</v>
      </c>
      <c r="AA222" s="11" t="s">
        <v>945</v>
      </c>
      <c r="AB222" s="11"/>
      <c r="AC222" s="23"/>
      <c r="AD222" s="11"/>
      <c r="AE222" s="11"/>
      <c r="AF222" s="11"/>
      <c r="AG222" s="11"/>
      <c r="AH222" s="11"/>
      <c r="AI222" s="11"/>
    </row>
    <row r="223" ht="14.25" customHeight="1">
      <c r="A223" s="6"/>
      <c r="B223" s="5">
        <v>2.0</v>
      </c>
      <c r="C223" s="5" t="s">
        <v>7661</v>
      </c>
      <c r="D223" s="5">
        <v>29092.0</v>
      </c>
      <c r="E223" s="5">
        <v>2739.0</v>
      </c>
      <c r="F223" s="29" t="s">
        <v>946</v>
      </c>
      <c r="G223" s="30" t="s">
        <v>947</v>
      </c>
      <c r="H223" s="5" t="s">
        <v>948</v>
      </c>
      <c r="I223" s="5" t="s">
        <v>641</v>
      </c>
      <c r="J223" s="5" t="s">
        <v>755</v>
      </c>
      <c r="K223" s="5">
        <v>1.0</v>
      </c>
      <c r="L223" s="5">
        <v>3482.0</v>
      </c>
      <c r="M223" s="29">
        <v>49.90672</v>
      </c>
      <c r="N223" s="29">
        <v>-120.01336</v>
      </c>
      <c r="O223" s="29" t="s">
        <v>142</v>
      </c>
      <c r="P223" s="29">
        <v>29092.0</v>
      </c>
      <c r="Q223" s="31">
        <v>7.0</v>
      </c>
      <c r="R223" s="29" t="s">
        <v>946</v>
      </c>
      <c r="S223" s="32" t="s">
        <v>949</v>
      </c>
      <c r="T223" s="29" t="s">
        <v>644</v>
      </c>
      <c r="U223" s="29">
        <v>1700.0</v>
      </c>
      <c r="V223" s="29"/>
      <c r="W223" s="29"/>
      <c r="X223" s="29"/>
      <c r="Y223" s="29"/>
      <c r="Z223" s="29" t="s">
        <v>645</v>
      </c>
      <c r="AA223" s="29" t="s">
        <v>950</v>
      </c>
      <c r="AB223" s="29"/>
      <c r="AC223" s="33"/>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row>
    <row r="224" ht="14.25" customHeight="1">
      <c r="A224" s="6"/>
      <c r="B224" s="5">
        <v>2.0</v>
      </c>
      <c r="C224" s="5" t="s">
        <v>7661</v>
      </c>
      <c r="D224" s="5">
        <v>29093.0</v>
      </c>
      <c r="E224" s="5">
        <v>12470.0</v>
      </c>
      <c r="F224" s="29" t="s">
        <v>951</v>
      </c>
      <c r="G224" s="30" t="s">
        <v>952</v>
      </c>
      <c r="H224" s="5" t="s">
        <v>709</v>
      </c>
      <c r="I224" s="5" t="s">
        <v>49</v>
      </c>
      <c r="J224" s="5" t="s">
        <v>953</v>
      </c>
      <c r="K224" s="5">
        <v>1.0</v>
      </c>
      <c r="L224" s="5">
        <v>14492.0</v>
      </c>
      <c r="M224" s="29">
        <v>49.93951</v>
      </c>
      <c r="N224" s="29">
        <v>-120.54637</v>
      </c>
      <c r="O224" s="29" t="s">
        <v>142</v>
      </c>
      <c r="P224" s="29">
        <v>29093.0</v>
      </c>
      <c r="Q224" s="31">
        <v>3.0</v>
      </c>
      <c r="R224" s="29" t="s">
        <v>951</v>
      </c>
      <c r="S224" s="32" t="s">
        <v>954</v>
      </c>
      <c r="T224" s="29" t="s">
        <v>644</v>
      </c>
      <c r="U224" s="29">
        <v>1045.0</v>
      </c>
      <c r="V224" s="29"/>
      <c r="W224" s="29"/>
      <c r="X224" s="29"/>
      <c r="Y224" s="29"/>
      <c r="Z224" s="29"/>
      <c r="AA224" s="29" t="s">
        <v>955</v>
      </c>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row>
    <row r="225" ht="14.25" customHeight="1">
      <c r="A225" s="6"/>
      <c r="B225" s="5">
        <v>2.0</v>
      </c>
      <c r="C225" s="5" t="s">
        <v>7661</v>
      </c>
      <c r="D225" s="5">
        <v>29094.0</v>
      </c>
      <c r="E225" s="5">
        <v>12471.0</v>
      </c>
      <c r="F225" s="29" t="s">
        <v>956</v>
      </c>
      <c r="G225" s="30" t="s">
        <v>957</v>
      </c>
      <c r="H225" s="5" t="s">
        <v>958</v>
      </c>
      <c r="I225" s="5" t="s">
        <v>49</v>
      </c>
      <c r="J225" s="5" t="s">
        <v>959</v>
      </c>
      <c r="K225" s="5">
        <v>1.0</v>
      </c>
      <c r="L225" s="5">
        <v>14493.0</v>
      </c>
      <c r="M225" s="11">
        <v>49.86973</v>
      </c>
      <c r="N225" s="11">
        <v>-119.93686</v>
      </c>
      <c r="O225" s="11" t="s">
        <v>142</v>
      </c>
      <c r="P225" s="11">
        <v>29094.0</v>
      </c>
      <c r="Q225" s="22">
        <v>4.0</v>
      </c>
      <c r="R225" s="11" t="s">
        <v>956</v>
      </c>
      <c r="S225" s="13" t="s">
        <v>960</v>
      </c>
      <c r="T225" s="11" t="s">
        <v>644</v>
      </c>
      <c r="U225" s="29">
        <v>1270.0</v>
      </c>
      <c r="V225" s="29"/>
      <c r="W225" s="29"/>
      <c r="X225" s="29"/>
      <c r="Y225" s="29"/>
      <c r="Z225" s="29"/>
      <c r="AA225" s="29" t="s">
        <v>961</v>
      </c>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row>
    <row r="226" ht="14.25" customHeight="1">
      <c r="A226" s="6"/>
      <c r="B226" s="5">
        <v>2.0</v>
      </c>
      <c r="C226" s="5" t="s">
        <v>7661</v>
      </c>
      <c r="D226" s="5">
        <v>31091.0</v>
      </c>
      <c r="E226" s="5">
        <v>2742.0</v>
      </c>
      <c r="F226" s="5" t="s">
        <v>962</v>
      </c>
      <c r="G226" s="21" t="s">
        <v>963</v>
      </c>
      <c r="H226" s="5" t="s">
        <v>964</v>
      </c>
      <c r="I226" s="5" t="s">
        <v>641</v>
      </c>
      <c r="J226" s="5" t="s">
        <v>642</v>
      </c>
      <c r="K226" s="5">
        <v>1.0</v>
      </c>
      <c r="L226" s="5">
        <v>3485.0</v>
      </c>
      <c r="M226" s="11">
        <v>49.37333</v>
      </c>
      <c r="N226" s="11">
        <v>-117.2425</v>
      </c>
      <c r="O226" s="11" t="s">
        <v>170</v>
      </c>
      <c r="P226" s="11">
        <v>31091.0</v>
      </c>
      <c r="Q226" s="22">
        <v>1.0</v>
      </c>
      <c r="R226" s="11" t="s">
        <v>962</v>
      </c>
      <c r="S226" s="13" t="s">
        <v>965</v>
      </c>
      <c r="T226" s="11" t="s">
        <v>644</v>
      </c>
      <c r="U226" s="11">
        <v>860.0</v>
      </c>
      <c r="Z226" s="11" t="s">
        <v>645</v>
      </c>
      <c r="AA226" s="11" t="s">
        <v>966</v>
      </c>
      <c r="AB226" s="11"/>
      <c r="AC226" s="23"/>
      <c r="AD226" s="11"/>
      <c r="AE226" s="11"/>
      <c r="AF226" s="11"/>
      <c r="AG226" s="11"/>
      <c r="AH226" s="11"/>
      <c r="AI226" s="11"/>
    </row>
    <row r="227" ht="14.25" customHeight="1">
      <c r="A227" s="6"/>
      <c r="B227" s="5">
        <v>2.0</v>
      </c>
      <c r="C227" s="5" t="s">
        <v>7661</v>
      </c>
      <c r="D227" s="5">
        <v>31092.0</v>
      </c>
      <c r="E227" s="5">
        <v>11023.0</v>
      </c>
      <c r="F227" s="5" t="s">
        <v>967</v>
      </c>
      <c r="G227" s="21" t="s">
        <v>968</v>
      </c>
      <c r="H227" s="5" t="s">
        <v>969</v>
      </c>
      <c r="I227" s="5" t="s">
        <v>49</v>
      </c>
      <c r="J227" s="5" t="s">
        <v>710</v>
      </c>
      <c r="K227" s="5">
        <v>1.0</v>
      </c>
      <c r="L227" s="5">
        <v>13191.0</v>
      </c>
      <c r="M227" s="11">
        <v>49.48772</v>
      </c>
      <c r="N227" s="11">
        <v>-117.41986</v>
      </c>
      <c r="O227" s="11" t="s">
        <v>170</v>
      </c>
      <c r="P227" s="11">
        <v>31092.0</v>
      </c>
      <c r="Q227" s="22">
        <v>1.0</v>
      </c>
      <c r="R227" s="11" t="s">
        <v>967</v>
      </c>
      <c r="S227" s="13" t="s">
        <v>970</v>
      </c>
      <c r="T227" s="11" t="s">
        <v>644</v>
      </c>
      <c r="U227" s="11">
        <v>580.0</v>
      </c>
      <c r="Z227" s="11"/>
      <c r="AA227" s="11" t="s">
        <v>971</v>
      </c>
      <c r="AB227" s="11"/>
      <c r="AC227" s="11"/>
      <c r="AD227" s="11"/>
      <c r="AE227" s="11"/>
      <c r="AF227" s="11"/>
      <c r="AG227" s="11"/>
      <c r="AH227" s="11"/>
      <c r="AI227" s="11"/>
    </row>
    <row r="228" ht="14.25" customHeight="1">
      <c r="A228" s="6"/>
      <c r="B228" s="5">
        <v>2.0</v>
      </c>
      <c r="C228" s="5" t="s">
        <v>7661</v>
      </c>
      <c r="D228" s="5">
        <v>31321.0</v>
      </c>
      <c r="E228" s="5">
        <v>2746.0</v>
      </c>
      <c r="F228" s="5" t="s">
        <v>972</v>
      </c>
      <c r="G228" s="21" t="s">
        <v>973</v>
      </c>
      <c r="H228" s="5" t="s">
        <v>974</v>
      </c>
      <c r="I228" s="5" t="s">
        <v>641</v>
      </c>
      <c r="J228" s="5" t="s">
        <v>975</v>
      </c>
      <c r="K228" s="5">
        <v>1.0</v>
      </c>
      <c r="L228" s="5">
        <v>3489.0</v>
      </c>
      <c r="M228" s="11">
        <v>49.41778</v>
      </c>
      <c r="N228" s="11">
        <v>-117.16111</v>
      </c>
      <c r="O228" s="11" t="s">
        <v>170</v>
      </c>
      <c r="P228" s="11">
        <v>31321.0</v>
      </c>
      <c r="Q228" s="22">
        <v>7.0</v>
      </c>
      <c r="R228" s="11" t="s">
        <v>972</v>
      </c>
      <c r="S228" s="13" t="s">
        <v>976</v>
      </c>
      <c r="T228" s="11" t="s">
        <v>644</v>
      </c>
      <c r="U228" s="11">
        <v>1990.0</v>
      </c>
      <c r="Z228" s="11"/>
      <c r="AA228" s="11" t="s">
        <v>977</v>
      </c>
      <c r="AB228" s="11"/>
      <c r="AC228" s="11"/>
      <c r="AD228" s="11"/>
      <c r="AE228" s="11"/>
      <c r="AF228" s="11"/>
      <c r="AG228" s="11"/>
      <c r="AH228" s="11"/>
      <c r="AI228" s="11"/>
    </row>
    <row r="229" ht="14.25" customHeight="1">
      <c r="A229" s="6"/>
      <c r="B229" s="5">
        <v>2.0</v>
      </c>
      <c r="C229" s="5" t="s">
        <v>7661</v>
      </c>
      <c r="D229" s="5">
        <v>32091.0</v>
      </c>
      <c r="E229" s="5">
        <v>12472.0</v>
      </c>
      <c r="F229" s="5" t="s">
        <v>978</v>
      </c>
      <c r="G229" s="21" t="s">
        <v>979</v>
      </c>
      <c r="H229" s="5" t="s">
        <v>709</v>
      </c>
      <c r="I229" s="5" t="s">
        <v>49</v>
      </c>
      <c r="J229" s="5" t="s">
        <v>710</v>
      </c>
      <c r="K229" s="5">
        <v>1.0</v>
      </c>
      <c r="L229" s="5">
        <v>14494.0</v>
      </c>
      <c r="M229" s="11">
        <v>49.18708</v>
      </c>
      <c r="N229" s="11">
        <v>-117.44001</v>
      </c>
      <c r="O229" s="11" t="s">
        <v>170</v>
      </c>
      <c r="P229" s="11">
        <v>32091.0</v>
      </c>
      <c r="Q229" s="22">
        <v>1.0</v>
      </c>
      <c r="R229" s="11" t="s">
        <v>978</v>
      </c>
      <c r="S229" s="13" t="s">
        <v>980</v>
      </c>
      <c r="T229" s="11" t="s">
        <v>644</v>
      </c>
      <c r="U229" s="11">
        <v>700.0</v>
      </c>
      <c r="Z229" s="11"/>
      <c r="AA229" s="11" t="s">
        <v>981</v>
      </c>
      <c r="AB229" s="11"/>
      <c r="AC229" s="11"/>
      <c r="AD229" s="11"/>
      <c r="AE229" s="11"/>
      <c r="AF229" s="11"/>
      <c r="AG229" s="11"/>
      <c r="AH229" s="11"/>
      <c r="AI229" s="11"/>
    </row>
    <row r="230" ht="14.25" customHeight="1">
      <c r="A230" s="6"/>
      <c r="B230" s="5">
        <v>2.0</v>
      </c>
      <c r="C230" s="5" t="s">
        <v>7661</v>
      </c>
      <c r="D230" s="5">
        <v>32221.0</v>
      </c>
      <c r="E230" s="5">
        <v>2751.0</v>
      </c>
      <c r="F230" s="29" t="s">
        <v>982</v>
      </c>
      <c r="G230" s="21" t="s">
        <v>983</v>
      </c>
      <c r="H230" s="5" t="s">
        <v>984</v>
      </c>
      <c r="I230" s="5" t="s">
        <v>641</v>
      </c>
      <c r="J230" s="5" t="s">
        <v>755</v>
      </c>
      <c r="K230" s="5">
        <v>1.0</v>
      </c>
      <c r="L230" s="5">
        <v>3494.0</v>
      </c>
      <c r="M230" s="29">
        <v>49.20417</v>
      </c>
      <c r="N230" s="29">
        <v>-117.88889</v>
      </c>
      <c r="O230" s="29" t="s">
        <v>170</v>
      </c>
      <c r="P230" s="29">
        <v>32221.0</v>
      </c>
      <c r="Q230" s="31">
        <v>5.0</v>
      </c>
      <c r="R230" s="29" t="s">
        <v>982</v>
      </c>
      <c r="S230" s="32" t="s">
        <v>985</v>
      </c>
      <c r="T230" s="29" t="s">
        <v>644</v>
      </c>
      <c r="U230" s="29">
        <v>1600.0</v>
      </c>
      <c r="V230" s="29"/>
      <c r="W230" s="29"/>
      <c r="X230" s="29"/>
      <c r="Y230" s="29"/>
      <c r="Z230" s="29" t="s">
        <v>645</v>
      </c>
      <c r="AA230" s="29" t="s">
        <v>986</v>
      </c>
      <c r="AB230" s="29"/>
      <c r="AC230" s="33"/>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row>
    <row r="231" ht="14.25" customHeight="1">
      <c r="A231" s="6"/>
      <c r="B231" s="5">
        <v>2.0</v>
      </c>
      <c r="C231" s="5" t="s">
        <v>7661</v>
      </c>
      <c r="D231" s="5">
        <v>33093.0</v>
      </c>
      <c r="E231" s="5">
        <v>2760.0</v>
      </c>
      <c r="F231" s="29" t="s">
        <v>987</v>
      </c>
      <c r="G231" s="21" t="s">
        <v>988</v>
      </c>
      <c r="H231" s="5" t="s">
        <v>989</v>
      </c>
      <c r="I231" s="5" t="s">
        <v>641</v>
      </c>
      <c r="J231" s="5" t="s">
        <v>755</v>
      </c>
      <c r="K231" s="5">
        <v>1.0</v>
      </c>
      <c r="L231" s="5">
        <v>3503.0</v>
      </c>
      <c r="M231" s="29">
        <v>49.00556</v>
      </c>
      <c r="N231" s="29">
        <v>-119.31361</v>
      </c>
      <c r="O231" s="29" t="s">
        <v>142</v>
      </c>
      <c r="P231" s="34">
        <v>33093.0</v>
      </c>
      <c r="Q231" s="31">
        <v>3.0</v>
      </c>
      <c r="R231" s="29" t="s">
        <v>987</v>
      </c>
      <c r="S231" s="32" t="s">
        <v>990</v>
      </c>
      <c r="T231" s="29" t="s">
        <v>644</v>
      </c>
      <c r="U231" s="29">
        <v>1097.0</v>
      </c>
      <c r="V231" s="29"/>
      <c r="W231" s="29"/>
      <c r="X231" s="29"/>
      <c r="Y231" s="29"/>
      <c r="Z231" s="29" t="s">
        <v>645</v>
      </c>
      <c r="AA231" s="29" t="s">
        <v>991</v>
      </c>
      <c r="AB231" s="29"/>
      <c r="AC231" s="33"/>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row>
    <row r="232" ht="14.25" customHeight="1">
      <c r="A232" s="6" t="s">
        <v>772</v>
      </c>
      <c r="B232" s="5">
        <v>2.0</v>
      </c>
      <c r="C232" s="5" t="s">
        <v>7661</v>
      </c>
      <c r="D232" s="5">
        <v>33095.0</v>
      </c>
      <c r="E232" s="5">
        <v>13017.0</v>
      </c>
      <c r="F232" s="35" t="s">
        <v>992</v>
      </c>
      <c r="G232" s="10" t="s">
        <v>993</v>
      </c>
      <c r="H232" s="5" t="s">
        <v>792</v>
      </c>
      <c r="I232" s="5" t="s">
        <v>49</v>
      </c>
      <c r="J232" s="5" t="s">
        <v>793</v>
      </c>
      <c r="K232" s="5">
        <v>1.0</v>
      </c>
      <c r="L232" s="5">
        <v>14949.0</v>
      </c>
      <c r="M232" s="29">
        <v>49.14818</v>
      </c>
      <c r="N232" s="29">
        <v>-118.53021</v>
      </c>
      <c r="O232" s="29" t="s">
        <v>170</v>
      </c>
      <c r="P232" s="34">
        <v>33095.0</v>
      </c>
      <c r="Q232" s="31">
        <v>2.0</v>
      </c>
      <c r="R232" s="29" t="s">
        <v>994</v>
      </c>
      <c r="S232" s="32" t="s">
        <v>995</v>
      </c>
      <c r="T232" s="29" t="s">
        <v>644</v>
      </c>
      <c r="U232" s="29">
        <v>998.0</v>
      </c>
      <c r="V232" s="29"/>
      <c r="W232" s="29"/>
      <c r="X232" s="29"/>
      <c r="Y232" s="29"/>
      <c r="Z232" s="29"/>
      <c r="AA232" s="29" t="s">
        <v>996</v>
      </c>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row>
    <row r="233" ht="14.25" customHeight="1">
      <c r="A233" s="6" t="s">
        <v>88</v>
      </c>
      <c r="B233" s="5">
        <v>2.0</v>
      </c>
      <c r="C233" s="5" t="s">
        <v>7661</v>
      </c>
      <c r="D233" s="5">
        <v>33099.0</v>
      </c>
      <c r="E233" s="5">
        <v>2761.0</v>
      </c>
      <c r="F233" s="5" t="s">
        <v>997</v>
      </c>
      <c r="G233" s="10" t="s">
        <v>998</v>
      </c>
      <c r="H233" s="5" t="s">
        <v>999</v>
      </c>
      <c r="I233" s="5" t="s">
        <v>641</v>
      </c>
      <c r="J233" s="5" t="s">
        <v>642</v>
      </c>
      <c r="K233" s="5">
        <v>1.0</v>
      </c>
      <c r="L233" s="5">
        <v>3504.0</v>
      </c>
      <c r="M233" s="11">
        <v>49.75778</v>
      </c>
      <c r="N233" s="11">
        <v>-119.12639</v>
      </c>
      <c r="O233" s="11" t="s">
        <v>142</v>
      </c>
      <c r="P233" s="11">
        <v>33099.0</v>
      </c>
      <c r="Q233" s="22">
        <v>4.0</v>
      </c>
      <c r="R233" s="11" t="s">
        <v>997</v>
      </c>
      <c r="S233" s="13" t="s">
        <v>1000</v>
      </c>
      <c r="T233" s="11" t="s">
        <v>644</v>
      </c>
      <c r="U233" s="11">
        <v>1200.0</v>
      </c>
      <c r="Z233" s="11"/>
      <c r="AA233" s="11" t="s">
        <v>1001</v>
      </c>
      <c r="AB233" s="11"/>
      <c r="AC233" s="11"/>
      <c r="AD233" s="11"/>
      <c r="AE233" s="11"/>
      <c r="AF233" s="11"/>
      <c r="AG233" s="11"/>
      <c r="AH233" s="11"/>
      <c r="AI233" s="11"/>
    </row>
    <row r="234" ht="14.25" customHeight="1">
      <c r="A234" s="6"/>
      <c r="B234" s="5">
        <v>2.0</v>
      </c>
      <c r="C234" s="5" t="s">
        <v>7661</v>
      </c>
      <c r="D234" s="5">
        <v>33121.0</v>
      </c>
      <c r="E234" s="5">
        <v>2763.0</v>
      </c>
      <c r="F234" s="5" t="s">
        <v>1002</v>
      </c>
      <c r="G234" s="21" t="s">
        <v>1003</v>
      </c>
      <c r="H234" s="5" t="s">
        <v>1004</v>
      </c>
      <c r="I234" s="5" t="s">
        <v>641</v>
      </c>
      <c r="J234" s="5" t="s">
        <v>825</v>
      </c>
      <c r="K234" s="5">
        <v>1.0</v>
      </c>
      <c r="L234" s="5">
        <v>3506.0</v>
      </c>
      <c r="M234" s="36">
        <v>49.15997</v>
      </c>
      <c r="N234" s="36">
        <v>-118.10936</v>
      </c>
      <c r="O234" s="37" t="s">
        <v>170</v>
      </c>
      <c r="P234" s="11">
        <v>33121.0</v>
      </c>
      <c r="Q234" s="22">
        <v>5.0</v>
      </c>
      <c r="R234" s="36" t="s">
        <v>1002</v>
      </c>
      <c r="S234" s="13" t="s">
        <v>1005</v>
      </c>
      <c r="T234" s="11" t="s">
        <v>644</v>
      </c>
      <c r="U234" s="11">
        <v>1570.0</v>
      </c>
      <c r="Z234" s="11"/>
      <c r="AA234" s="11" t="s">
        <v>1006</v>
      </c>
      <c r="AB234" s="11"/>
      <c r="AC234" s="11"/>
      <c r="AD234" s="11"/>
      <c r="AE234" s="11"/>
      <c r="AF234" s="11"/>
      <c r="AG234" s="11"/>
      <c r="AH234" s="11"/>
      <c r="AI234" s="11"/>
    </row>
    <row r="235" ht="14.25" customHeight="1">
      <c r="A235" s="6"/>
      <c r="B235" s="5">
        <v>2.0</v>
      </c>
      <c r="C235" s="5" t="s">
        <v>7661</v>
      </c>
      <c r="D235" s="5">
        <v>33122.0</v>
      </c>
      <c r="E235" s="5">
        <v>2764.0</v>
      </c>
      <c r="F235" s="29" t="s">
        <v>1007</v>
      </c>
      <c r="G235" s="21" t="s">
        <v>1008</v>
      </c>
      <c r="H235" s="5" t="s">
        <v>1009</v>
      </c>
      <c r="I235" s="5" t="s">
        <v>641</v>
      </c>
      <c r="J235" s="5" t="s">
        <v>755</v>
      </c>
      <c r="K235" s="5">
        <v>1.0</v>
      </c>
      <c r="L235" s="5">
        <v>3507.0</v>
      </c>
      <c r="M235" s="29">
        <v>49.24368</v>
      </c>
      <c r="N235" s="29">
        <v>-118.05205</v>
      </c>
      <c r="O235" s="29" t="s">
        <v>170</v>
      </c>
      <c r="P235" s="29">
        <v>33122.0</v>
      </c>
      <c r="Q235" s="31">
        <v>4.0</v>
      </c>
      <c r="R235" s="29" t="s">
        <v>1007</v>
      </c>
      <c r="S235" s="32" t="s">
        <v>1010</v>
      </c>
      <c r="T235" s="29" t="s">
        <v>644</v>
      </c>
      <c r="U235" s="29">
        <v>1535.0</v>
      </c>
      <c r="V235" s="29"/>
      <c r="W235" s="29"/>
      <c r="X235" s="29"/>
      <c r="Y235" s="29"/>
      <c r="Z235" s="29"/>
      <c r="AA235" s="29" t="s">
        <v>1011</v>
      </c>
      <c r="AB235" s="29"/>
      <c r="AC235" s="33"/>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row>
    <row r="236" ht="14.25" customHeight="1">
      <c r="A236" s="6"/>
      <c r="B236" s="5">
        <v>2.0</v>
      </c>
      <c r="C236" s="5" t="s">
        <v>7661</v>
      </c>
      <c r="D236" s="5">
        <v>34091.0</v>
      </c>
      <c r="E236" s="5">
        <v>12473.0</v>
      </c>
      <c r="F236" s="29" t="s">
        <v>1012</v>
      </c>
      <c r="G236" s="21" t="s">
        <v>1013</v>
      </c>
      <c r="H236" s="5" t="s">
        <v>709</v>
      </c>
      <c r="I236" s="5" t="s">
        <v>49</v>
      </c>
      <c r="J236" s="5" t="s">
        <v>710</v>
      </c>
      <c r="K236" s="5">
        <v>1.0</v>
      </c>
      <c r="L236" s="5">
        <v>14495.0</v>
      </c>
      <c r="M236" s="11">
        <v>50.05055</v>
      </c>
      <c r="N236" s="11">
        <v>-118.39633</v>
      </c>
      <c r="O236" s="11" t="s">
        <v>170</v>
      </c>
      <c r="P236" s="11">
        <v>34091.0</v>
      </c>
      <c r="Q236" s="22">
        <v>3.0</v>
      </c>
      <c r="R236" s="11" t="s">
        <v>1012</v>
      </c>
      <c r="S236" s="13" t="s">
        <v>1014</v>
      </c>
      <c r="T236" s="11" t="s">
        <v>644</v>
      </c>
      <c r="U236" s="29">
        <v>1223.0</v>
      </c>
      <c r="V236" s="29"/>
      <c r="W236" s="29"/>
      <c r="X236" s="29"/>
      <c r="Y236" s="29"/>
      <c r="Z236" s="29"/>
      <c r="AA236" s="29" t="s">
        <v>1015</v>
      </c>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row>
    <row r="237" ht="14.25" customHeight="1">
      <c r="A237" s="6" t="s">
        <v>88</v>
      </c>
      <c r="B237" s="5">
        <v>2.0</v>
      </c>
      <c r="C237" s="5" t="s">
        <v>7661</v>
      </c>
      <c r="D237" s="5">
        <v>34126.0</v>
      </c>
      <c r="E237" s="5">
        <v>2771.0</v>
      </c>
      <c r="F237" s="5" t="s">
        <v>1016</v>
      </c>
      <c r="G237" s="10" t="s">
        <v>1017</v>
      </c>
      <c r="H237" s="5" t="s">
        <v>1018</v>
      </c>
      <c r="I237" s="5" t="s">
        <v>641</v>
      </c>
      <c r="J237" s="5" t="s">
        <v>755</v>
      </c>
      <c r="K237" s="5">
        <v>1.0</v>
      </c>
      <c r="L237" s="5">
        <v>3514.0</v>
      </c>
      <c r="M237" s="36">
        <v>50.04631</v>
      </c>
      <c r="N237" s="36">
        <v>-117.17914</v>
      </c>
      <c r="O237" s="37" t="s">
        <v>170</v>
      </c>
      <c r="P237" s="11">
        <v>34126.0</v>
      </c>
      <c r="Q237" s="22">
        <v>2.0</v>
      </c>
      <c r="R237" s="36" t="s">
        <v>1016</v>
      </c>
      <c r="S237" s="13" t="s">
        <v>1019</v>
      </c>
      <c r="T237" s="11" t="s">
        <v>644</v>
      </c>
      <c r="U237" s="10">
        <v>1080.0</v>
      </c>
      <c r="Z237" s="11" t="s">
        <v>645</v>
      </c>
      <c r="AA237" s="11" t="s">
        <v>1020</v>
      </c>
      <c r="AB237" s="11"/>
      <c r="AC237" s="23"/>
      <c r="AD237" s="11"/>
      <c r="AE237" s="11"/>
      <c r="AF237" s="11"/>
      <c r="AG237" s="11"/>
      <c r="AH237" s="11"/>
      <c r="AI237" s="11"/>
    </row>
    <row r="238" ht="14.25" customHeight="1">
      <c r="A238" s="6"/>
      <c r="B238" s="5">
        <v>2.0</v>
      </c>
      <c r="C238" s="5" t="s">
        <v>7661</v>
      </c>
      <c r="D238" s="5">
        <v>34127.0</v>
      </c>
      <c r="E238" s="5">
        <v>12474.0</v>
      </c>
      <c r="F238" s="29" t="s">
        <v>1021</v>
      </c>
      <c r="G238" s="21" t="s">
        <v>1022</v>
      </c>
      <c r="H238" s="5" t="s">
        <v>709</v>
      </c>
      <c r="I238" s="5" t="s">
        <v>49</v>
      </c>
      <c r="J238" s="5" t="s">
        <v>1023</v>
      </c>
      <c r="K238" s="5">
        <v>1.0</v>
      </c>
      <c r="L238" s="5">
        <v>14496.0</v>
      </c>
      <c r="M238" s="29">
        <v>50.0223</v>
      </c>
      <c r="N238" s="29">
        <v>-117.18099</v>
      </c>
      <c r="O238" s="29" t="s">
        <v>170</v>
      </c>
      <c r="P238" s="29">
        <v>34127.0</v>
      </c>
      <c r="Q238" s="31">
        <v>8.0</v>
      </c>
      <c r="R238" s="29" t="s">
        <v>1024</v>
      </c>
      <c r="S238" s="32" t="s">
        <v>1025</v>
      </c>
      <c r="T238" s="29" t="s">
        <v>644</v>
      </c>
      <c r="U238" s="29">
        <v>2200.0</v>
      </c>
      <c r="V238" s="29"/>
      <c r="W238" s="29"/>
      <c r="X238" s="29"/>
      <c r="Y238" s="29"/>
      <c r="Z238" s="29"/>
      <c r="AA238" s="29" t="s">
        <v>1026</v>
      </c>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row>
    <row r="239" ht="14.25" customHeight="1">
      <c r="A239" s="6"/>
      <c r="B239" s="5">
        <v>2.0</v>
      </c>
      <c r="C239" s="5" t="s">
        <v>7661</v>
      </c>
      <c r="D239" s="5">
        <v>34128.0</v>
      </c>
      <c r="E239" s="5">
        <v>2772.0</v>
      </c>
      <c r="F239" s="5" t="s">
        <v>1027</v>
      </c>
      <c r="G239" s="21" t="s">
        <v>1028</v>
      </c>
      <c r="H239" s="5" t="s">
        <v>1029</v>
      </c>
      <c r="I239" s="5" t="s">
        <v>641</v>
      </c>
      <c r="J239" s="5" t="s">
        <v>825</v>
      </c>
      <c r="K239" s="5">
        <v>1.0</v>
      </c>
      <c r="L239" s="5">
        <v>3515.0</v>
      </c>
      <c r="M239" s="29">
        <v>50.04589</v>
      </c>
      <c r="N239" s="29">
        <v>-117.23481</v>
      </c>
      <c r="O239" s="29" t="s">
        <v>170</v>
      </c>
      <c r="P239" s="29">
        <v>34128.0</v>
      </c>
      <c r="Q239" s="31">
        <v>7.0</v>
      </c>
      <c r="R239" s="29" t="s">
        <v>1027</v>
      </c>
      <c r="S239" s="32" t="s">
        <v>1030</v>
      </c>
      <c r="T239" s="29" t="s">
        <v>644</v>
      </c>
      <c r="U239" s="29">
        <v>2070.0</v>
      </c>
      <c r="V239" s="29"/>
      <c r="W239" s="29"/>
      <c r="X239" s="29"/>
      <c r="Y239" s="29"/>
      <c r="Z239" s="29"/>
      <c r="AA239" s="29" t="s">
        <v>1031</v>
      </c>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row>
    <row r="240" ht="14.25" customHeight="1">
      <c r="A240" s="6"/>
      <c r="B240" s="5">
        <v>2.0</v>
      </c>
      <c r="C240" s="5" t="s">
        <v>7661</v>
      </c>
      <c r="D240" s="5">
        <v>34129.0</v>
      </c>
      <c r="E240" s="5">
        <v>2773.0</v>
      </c>
      <c r="F240" s="5" t="s">
        <v>1032</v>
      </c>
      <c r="G240" s="21" t="s">
        <v>1033</v>
      </c>
      <c r="H240" s="5" t="s">
        <v>1034</v>
      </c>
      <c r="I240" s="5" t="s">
        <v>641</v>
      </c>
      <c r="J240" s="5" t="s">
        <v>1035</v>
      </c>
      <c r="K240" s="5">
        <v>1.0</v>
      </c>
      <c r="L240" s="5">
        <v>3516.0</v>
      </c>
      <c r="Q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row>
    <row r="241" ht="14.25" customHeight="1">
      <c r="A241" s="6"/>
      <c r="B241" s="5">
        <v>2.0</v>
      </c>
      <c r="C241" s="5" t="s">
        <v>7661</v>
      </c>
      <c r="D241" s="5">
        <v>34224.0</v>
      </c>
      <c r="E241" s="5">
        <v>2775.0</v>
      </c>
      <c r="F241" s="5" t="s">
        <v>1036</v>
      </c>
      <c r="G241" s="21" t="s">
        <v>1037</v>
      </c>
      <c r="H241" s="5" t="s">
        <v>1038</v>
      </c>
      <c r="I241" s="5" t="s">
        <v>641</v>
      </c>
      <c r="J241" s="5" t="s">
        <v>825</v>
      </c>
      <c r="K241" s="5">
        <v>1.0</v>
      </c>
      <c r="L241" s="5">
        <v>3518.0</v>
      </c>
      <c r="M241" s="36">
        <v>50.15417</v>
      </c>
      <c r="N241" s="36">
        <v>-116.9675</v>
      </c>
      <c r="O241" s="37" t="s">
        <v>170</v>
      </c>
      <c r="P241" s="11">
        <v>34224.0</v>
      </c>
      <c r="Q241" s="22">
        <v>2.0</v>
      </c>
      <c r="R241" s="36" t="s">
        <v>1036</v>
      </c>
      <c r="S241" s="13" t="s">
        <v>1039</v>
      </c>
      <c r="T241" s="11" t="s">
        <v>644</v>
      </c>
      <c r="U241" s="11">
        <v>1095.0</v>
      </c>
      <c r="Z241" s="11" t="s">
        <v>645</v>
      </c>
      <c r="AA241" s="11" t="s">
        <v>1040</v>
      </c>
      <c r="AB241" s="11"/>
      <c r="AC241" s="11"/>
      <c r="AD241" s="11"/>
      <c r="AE241" s="11"/>
      <c r="AF241" s="11"/>
      <c r="AG241" s="11"/>
      <c r="AH241" s="11"/>
      <c r="AI241" s="11"/>
    </row>
    <row r="242" ht="14.25" customHeight="1">
      <c r="A242" s="6"/>
      <c r="B242" s="5">
        <v>2.0</v>
      </c>
      <c r="C242" s="5" t="s">
        <v>7661</v>
      </c>
      <c r="D242" s="5">
        <v>34225.0</v>
      </c>
      <c r="E242" s="5">
        <v>11024.0</v>
      </c>
      <c r="F242" s="29" t="s">
        <v>1041</v>
      </c>
      <c r="G242" s="21" t="s">
        <v>1042</v>
      </c>
      <c r="H242" s="5" t="s">
        <v>891</v>
      </c>
      <c r="I242" s="5" t="s">
        <v>49</v>
      </c>
      <c r="J242" s="5" t="s">
        <v>1023</v>
      </c>
      <c r="K242" s="5">
        <v>1.0</v>
      </c>
      <c r="L242" s="5">
        <v>13192.0</v>
      </c>
      <c r="M242" s="29">
        <v>50.24889</v>
      </c>
      <c r="N242" s="29">
        <v>-117.08028</v>
      </c>
      <c r="O242" s="29" t="s">
        <v>170</v>
      </c>
      <c r="P242" s="29">
        <v>34225.0</v>
      </c>
      <c r="Q242" s="31">
        <v>8.0</v>
      </c>
      <c r="R242" s="29" t="s">
        <v>1041</v>
      </c>
      <c r="S242" s="32" t="s">
        <v>1043</v>
      </c>
      <c r="T242" s="29" t="s">
        <v>644</v>
      </c>
      <c r="U242" s="29">
        <v>2518.0</v>
      </c>
      <c r="V242" s="29"/>
      <c r="W242" s="29"/>
      <c r="X242" s="29"/>
      <c r="Y242" s="29"/>
      <c r="Z242" s="29"/>
      <c r="AA242" s="29" t="s">
        <v>1044</v>
      </c>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row>
    <row r="243" ht="14.25" customHeight="1">
      <c r="A243" s="6"/>
      <c r="B243" s="5">
        <v>2.0</v>
      </c>
      <c r="C243" s="5" t="s">
        <v>7661</v>
      </c>
      <c r="D243" s="5">
        <v>34621.0</v>
      </c>
      <c r="E243" s="5">
        <v>2778.0</v>
      </c>
      <c r="F243" s="29" t="s">
        <v>1045</v>
      </c>
      <c r="G243" s="21" t="s">
        <v>1046</v>
      </c>
      <c r="H243" s="5" t="s">
        <v>1047</v>
      </c>
      <c r="I243" s="5" t="s">
        <v>641</v>
      </c>
      <c r="J243" s="5" t="s">
        <v>755</v>
      </c>
      <c r="K243" s="5">
        <v>1.0</v>
      </c>
      <c r="L243" s="5">
        <v>3521.0</v>
      </c>
      <c r="M243" s="38">
        <v>49.71441</v>
      </c>
      <c r="N243" s="38">
        <v>-116.90724</v>
      </c>
      <c r="O243" s="29" t="s">
        <v>170</v>
      </c>
      <c r="P243" s="29">
        <v>34621.0</v>
      </c>
      <c r="Q243" s="31">
        <v>1.0</v>
      </c>
      <c r="R243" s="29" t="s">
        <v>1045</v>
      </c>
      <c r="S243" s="32" t="s">
        <v>1048</v>
      </c>
      <c r="T243" s="29" t="s">
        <v>644</v>
      </c>
      <c r="U243" s="38">
        <v>610.0</v>
      </c>
      <c r="V243" s="29"/>
      <c r="W243" s="29"/>
      <c r="X243" s="29"/>
      <c r="Y243" s="29"/>
      <c r="Z243" s="29" t="s">
        <v>645</v>
      </c>
      <c r="AA243" s="29" t="s">
        <v>1049</v>
      </c>
      <c r="AB243" s="29"/>
      <c r="AC243" s="33"/>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row>
    <row r="244" ht="14.25" customHeight="1">
      <c r="A244" s="6"/>
      <c r="B244" s="5">
        <v>2.0</v>
      </c>
      <c r="C244" s="5" t="s">
        <v>7661</v>
      </c>
      <c r="D244" s="5">
        <v>34791.0</v>
      </c>
      <c r="E244" s="5">
        <v>2779.0</v>
      </c>
      <c r="F244" s="5" t="s">
        <v>1050</v>
      </c>
      <c r="G244" s="21" t="s">
        <v>1051</v>
      </c>
      <c r="H244" s="5" t="s">
        <v>1052</v>
      </c>
      <c r="I244" s="5" t="s">
        <v>641</v>
      </c>
      <c r="J244" s="5" t="s">
        <v>642</v>
      </c>
      <c r="K244" s="5">
        <v>1.0</v>
      </c>
      <c r="L244" s="5">
        <v>3522.0</v>
      </c>
      <c r="M244" s="36">
        <v>50.1475</v>
      </c>
      <c r="N244" s="36">
        <v>-117.5925</v>
      </c>
      <c r="O244" s="37" t="s">
        <v>170</v>
      </c>
      <c r="P244" s="11">
        <v>34791.0</v>
      </c>
      <c r="Q244" s="22">
        <v>1.0</v>
      </c>
      <c r="R244" s="36" t="s">
        <v>1050</v>
      </c>
      <c r="S244" s="13" t="s">
        <v>1053</v>
      </c>
      <c r="T244" s="11" t="s">
        <v>644</v>
      </c>
      <c r="U244" s="11">
        <v>780.0</v>
      </c>
      <c r="Z244" s="11"/>
      <c r="AA244" s="11" t="s">
        <v>1054</v>
      </c>
      <c r="AB244" s="11"/>
      <c r="AC244" s="23"/>
      <c r="AD244" s="11"/>
      <c r="AE244" s="11"/>
      <c r="AF244" s="11"/>
      <c r="AG244" s="11"/>
      <c r="AH244" s="11"/>
      <c r="AI244" s="11"/>
    </row>
    <row r="245" ht="14.25" customHeight="1">
      <c r="A245" s="6"/>
      <c r="B245" s="5">
        <v>2.0</v>
      </c>
      <c r="C245" s="5" t="s">
        <v>7661</v>
      </c>
      <c r="D245" s="5">
        <v>35091.0</v>
      </c>
      <c r="E245" s="5">
        <v>2783.0</v>
      </c>
      <c r="F245" s="5" t="s">
        <v>1055</v>
      </c>
      <c r="G245" s="21" t="s">
        <v>1056</v>
      </c>
      <c r="H245" s="5" t="s">
        <v>1057</v>
      </c>
      <c r="I245" s="5" t="s">
        <v>641</v>
      </c>
      <c r="J245" s="5" t="s">
        <v>755</v>
      </c>
      <c r="K245" s="5">
        <v>1.0</v>
      </c>
      <c r="L245" s="5">
        <v>3526.0</v>
      </c>
      <c r="M245" s="39">
        <v>49.99444</v>
      </c>
      <c r="N245" s="39">
        <v>-115.76111</v>
      </c>
      <c r="O245" s="37" t="s">
        <v>170</v>
      </c>
      <c r="P245" s="36">
        <v>35091.0</v>
      </c>
      <c r="Q245" s="22">
        <v>1.0</v>
      </c>
      <c r="R245" s="36" t="s">
        <v>1055</v>
      </c>
      <c r="S245" s="13" t="s">
        <v>1058</v>
      </c>
      <c r="T245" s="11" t="s">
        <v>644</v>
      </c>
      <c r="U245" s="11">
        <v>870.0</v>
      </c>
      <c r="Z245" s="11"/>
      <c r="AA245" s="11" t="s">
        <v>1059</v>
      </c>
      <c r="AB245" s="11"/>
      <c r="AC245" s="23"/>
      <c r="AD245" s="11"/>
      <c r="AE245" s="11"/>
      <c r="AF245" s="11"/>
      <c r="AG245" s="11"/>
      <c r="AH245" s="11"/>
      <c r="AI245" s="11"/>
    </row>
    <row r="246" ht="14.25" customHeight="1">
      <c r="A246" s="6"/>
      <c r="B246" s="5">
        <v>2.0</v>
      </c>
      <c r="C246" s="5" t="s">
        <v>7661</v>
      </c>
      <c r="D246" s="5">
        <v>35092.0</v>
      </c>
      <c r="E246" s="5">
        <v>2784.0</v>
      </c>
      <c r="F246" s="5" t="s">
        <v>1060</v>
      </c>
      <c r="G246" s="21" t="s">
        <v>1061</v>
      </c>
      <c r="H246" s="5" t="s">
        <v>1062</v>
      </c>
      <c r="I246" s="5" t="s">
        <v>641</v>
      </c>
      <c r="J246" s="5" t="s">
        <v>642</v>
      </c>
      <c r="K246" s="5">
        <v>1.0</v>
      </c>
      <c r="L246" s="5">
        <v>3527.0</v>
      </c>
      <c r="M246" s="36">
        <v>49.32611</v>
      </c>
      <c r="N246" s="36">
        <v>-115.82889</v>
      </c>
      <c r="O246" s="37" t="s">
        <v>170</v>
      </c>
      <c r="P246" s="36">
        <v>35092.0</v>
      </c>
      <c r="Q246" s="22">
        <v>2.0</v>
      </c>
      <c r="R246" s="36" t="s">
        <v>1060</v>
      </c>
      <c r="S246" s="13" t="s">
        <v>1063</v>
      </c>
      <c r="T246" s="11" t="s">
        <v>644</v>
      </c>
      <c r="U246" s="11">
        <v>975.0</v>
      </c>
      <c r="Z246" s="11"/>
      <c r="AA246" s="11" t="s">
        <v>1064</v>
      </c>
      <c r="AB246" s="11"/>
      <c r="AC246" s="23"/>
      <c r="AD246" s="11"/>
      <c r="AE246" s="11"/>
      <c r="AF246" s="11"/>
      <c r="AG246" s="11"/>
      <c r="AH246" s="11"/>
      <c r="AI246" s="11"/>
    </row>
    <row r="247" ht="14.25" customHeight="1">
      <c r="A247" s="6"/>
      <c r="B247" s="5">
        <v>2.0</v>
      </c>
      <c r="C247" s="5" t="s">
        <v>7661</v>
      </c>
      <c r="D247" s="5">
        <v>35093.0</v>
      </c>
      <c r="E247" s="5">
        <v>12475.0</v>
      </c>
      <c r="F247" s="29" t="s">
        <v>1065</v>
      </c>
      <c r="G247" s="21" t="s">
        <v>1066</v>
      </c>
      <c r="H247" s="5" t="s">
        <v>709</v>
      </c>
      <c r="I247" s="5" t="s">
        <v>49</v>
      </c>
      <c r="J247" s="5" t="s">
        <v>830</v>
      </c>
      <c r="K247" s="5">
        <v>1.0</v>
      </c>
      <c r="L247" s="5">
        <v>14497.0</v>
      </c>
      <c r="M247" s="29">
        <v>49.66115</v>
      </c>
      <c r="N247" s="29">
        <v>-115.96779</v>
      </c>
      <c r="O247" s="29" t="s">
        <v>170</v>
      </c>
      <c r="P247" s="29">
        <v>35093.0</v>
      </c>
      <c r="Q247" s="31">
        <v>2.0</v>
      </c>
      <c r="R247" s="29" t="s">
        <v>1065</v>
      </c>
      <c r="S247" s="32" t="s">
        <v>1067</v>
      </c>
      <c r="T247" s="29" t="s">
        <v>644</v>
      </c>
      <c r="U247" s="29">
        <v>1035.0</v>
      </c>
      <c r="V247" s="29"/>
      <c r="W247" s="29"/>
      <c r="X247" s="29"/>
      <c r="Y247" s="29"/>
      <c r="Z247" s="29"/>
      <c r="AA247" s="29" t="s">
        <v>1068</v>
      </c>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29"/>
      <c r="BT247" s="29"/>
    </row>
    <row r="248" ht="14.25" customHeight="1">
      <c r="A248" s="6"/>
      <c r="B248" s="5">
        <v>2.0</v>
      </c>
      <c r="C248" s="5" t="s">
        <v>7661</v>
      </c>
      <c r="D248" s="5">
        <v>35094.0</v>
      </c>
      <c r="E248" s="5">
        <v>12476.0</v>
      </c>
      <c r="F248" s="5" t="s">
        <v>1069</v>
      </c>
      <c r="G248" s="21" t="s">
        <v>1070</v>
      </c>
      <c r="H248" s="5" t="s">
        <v>709</v>
      </c>
      <c r="I248" s="5" t="s">
        <v>49</v>
      </c>
      <c r="J248" s="5" t="s">
        <v>799</v>
      </c>
      <c r="K248" s="5">
        <v>1.0</v>
      </c>
      <c r="L248" s="5">
        <v>14498.0</v>
      </c>
      <c r="M248" s="11">
        <v>49.17203</v>
      </c>
      <c r="N248" s="11">
        <v>-116.00877</v>
      </c>
      <c r="O248" s="11" t="s">
        <v>170</v>
      </c>
      <c r="P248" s="11">
        <v>35094.0</v>
      </c>
      <c r="Q248" s="22">
        <v>2.0</v>
      </c>
      <c r="R248" s="11" t="s">
        <v>1069</v>
      </c>
      <c r="S248" s="13" t="s">
        <v>1071</v>
      </c>
      <c r="T248" s="11" t="s">
        <v>644</v>
      </c>
      <c r="U248" s="11">
        <v>910.0</v>
      </c>
      <c r="Z248" s="11"/>
      <c r="AA248" s="11" t="s">
        <v>1072</v>
      </c>
      <c r="AB248" s="11"/>
      <c r="AC248" s="11"/>
      <c r="AD248" s="11"/>
      <c r="AE248" s="11"/>
      <c r="AF248" s="11"/>
      <c r="AG248" s="11"/>
      <c r="AH248" s="11"/>
      <c r="AI248" s="11"/>
    </row>
    <row r="249" ht="14.25" customHeight="1">
      <c r="A249" s="6"/>
      <c r="B249" s="5">
        <v>2.0</v>
      </c>
      <c r="C249" s="5" t="s">
        <v>7661</v>
      </c>
      <c r="D249" s="5">
        <v>36124.0</v>
      </c>
      <c r="E249" s="5">
        <v>2789.0</v>
      </c>
      <c r="F249" s="5" t="s">
        <v>1073</v>
      </c>
      <c r="G249" s="21" t="s">
        <v>1074</v>
      </c>
      <c r="H249" s="5" t="s">
        <v>1075</v>
      </c>
      <c r="I249" s="5" t="s">
        <v>641</v>
      </c>
      <c r="J249" s="5" t="s">
        <v>755</v>
      </c>
      <c r="K249" s="5">
        <v>1.0</v>
      </c>
      <c r="L249" s="5">
        <v>3532.0</v>
      </c>
      <c r="M249" s="11">
        <v>49.39</v>
      </c>
      <c r="N249" s="11">
        <v>-115.02306</v>
      </c>
      <c r="O249" s="11" t="s">
        <v>170</v>
      </c>
      <c r="P249" s="11">
        <v>36124.0</v>
      </c>
      <c r="Q249" s="22">
        <v>2.0</v>
      </c>
      <c r="R249" s="11" t="s">
        <v>1073</v>
      </c>
      <c r="S249" s="13" t="s">
        <v>1076</v>
      </c>
      <c r="T249" s="11" t="s">
        <v>644</v>
      </c>
      <c r="U249" s="11">
        <v>960.0</v>
      </c>
      <c r="Z249" s="11" t="s">
        <v>645</v>
      </c>
      <c r="AA249" s="11" t="s">
        <v>1077</v>
      </c>
      <c r="AB249" s="11"/>
      <c r="AC249" s="23"/>
      <c r="AD249" s="11"/>
      <c r="AE249" s="11"/>
      <c r="AF249" s="11"/>
      <c r="AG249" s="11"/>
      <c r="AH249" s="11"/>
      <c r="AI249" s="11"/>
    </row>
    <row r="250" ht="14.25" customHeight="1">
      <c r="A250" s="6" t="s">
        <v>88</v>
      </c>
      <c r="B250" s="5">
        <v>2.0</v>
      </c>
      <c r="C250" s="5" t="s">
        <v>7661</v>
      </c>
      <c r="D250" s="5">
        <v>36125.0</v>
      </c>
      <c r="E250" s="5">
        <v>13027.0</v>
      </c>
      <c r="F250" s="29" t="s">
        <v>1078</v>
      </c>
      <c r="G250" s="10" t="s">
        <v>1079</v>
      </c>
      <c r="H250" s="5" t="s">
        <v>775</v>
      </c>
      <c r="I250" s="5" t="s">
        <v>49</v>
      </c>
      <c r="J250" s="5" t="s">
        <v>1080</v>
      </c>
      <c r="K250" s="5">
        <v>1.0</v>
      </c>
      <c r="L250" s="5">
        <v>14959.0</v>
      </c>
      <c r="M250" s="29">
        <v>49.37254</v>
      </c>
      <c r="N250" s="29">
        <v>-115.04689</v>
      </c>
      <c r="O250" s="29" t="s">
        <v>170</v>
      </c>
      <c r="P250" s="29">
        <v>36125.0</v>
      </c>
      <c r="Q250" s="31">
        <v>7.0</v>
      </c>
      <c r="R250" s="29" t="s">
        <v>1078</v>
      </c>
      <c r="S250" s="32" t="s">
        <v>1081</v>
      </c>
      <c r="T250" s="29" t="s">
        <v>644</v>
      </c>
      <c r="U250" s="29">
        <v>1998.0</v>
      </c>
      <c r="V250" s="29"/>
      <c r="W250" s="29"/>
      <c r="X250" s="29"/>
      <c r="Y250" s="29"/>
      <c r="Z250" s="29"/>
      <c r="AA250" s="29" t="s">
        <v>1082</v>
      </c>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row>
    <row r="251" ht="14.25" customHeight="1">
      <c r="A251" s="6"/>
      <c r="B251" s="5">
        <v>2.0</v>
      </c>
      <c r="C251" s="5" t="s">
        <v>7661</v>
      </c>
      <c r="D251" s="5">
        <v>36191.0</v>
      </c>
      <c r="E251" s="5">
        <v>12477.0</v>
      </c>
      <c r="F251" s="5" t="s">
        <v>1083</v>
      </c>
      <c r="G251" s="10" t="s">
        <v>7663</v>
      </c>
      <c r="H251" s="5" t="s">
        <v>709</v>
      </c>
      <c r="I251" s="5" t="s">
        <v>49</v>
      </c>
      <c r="J251" s="5" t="s">
        <v>830</v>
      </c>
      <c r="K251" s="5">
        <v>1.0</v>
      </c>
      <c r="L251" s="5">
        <v>14499.0</v>
      </c>
      <c r="M251" s="16" t="s">
        <v>1085</v>
      </c>
      <c r="N251" s="41" t="s">
        <v>1086</v>
      </c>
      <c r="O251" s="11" t="s">
        <v>170</v>
      </c>
      <c r="P251" s="11">
        <v>36191.0</v>
      </c>
      <c r="Q251" s="22">
        <v>3.0</v>
      </c>
      <c r="R251" s="11" t="s">
        <v>1083</v>
      </c>
      <c r="S251" s="13" t="s">
        <v>1087</v>
      </c>
      <c r="T251" s="11" t="s">
        <v>644</v>
      </c>
      <c r="U251" s="11">
        <v>1246.0</v>
      </c>
      <c r="Z251" s="11"/>
      <c r="AA251" s="11" t="s">
        <v>1088</v>
      </c>
      <c r="AB251" s="11"/>
      <c r="AC251" s="11"/>
      <c r="AD251" s="11"/>
      <c r="AE251" s="11"/>
      <c r="AF251" s="11"/>
      <c r="AG251" s="11"/>
      <c r="AH251" s="11"/>
      <c r="AI251" s="11"/>
    </row>
    <row r="252" ht="14.25" customHeight="1">
      <c r="A252" s="6"/>
      <c r="B252" s="5">
        <v>2.0</v>
      </c>
      <c r="C252" s="5" t="s">
        <v>7661</v>
      </c>
      <c r="D252" s="5">
        <v>36192.0</v>
      </c>
      <c r="E252" s="5">
        <v>12478.0</v>
      </c>
      <c r="F252" s="29" t="s">
        <v>1089</v>
      </c>
      <c r="G252" s="21" t="s">
        <v>1090</v>
      </c>
      <c r="H252" s="5" t="s">
        <v>709</v>
      </c>
      <c r="I252" s="5" t="s">
        <v>49</v>
      </c>
      <c r="J252" s="5" t="s">
        <v>830</v>
      </c>
      <c r="K252" s="5">
        <v>1.0</v>
      </c>
      <c r="L252" s="5">
        <v>14500.0</v>
      </c>
      <c r="M252" s="29">
        <v>49.65019</v>
      </c>
      <c r="N252" s="29">
        <v>-114.71286</v>
      </c>
      <c r="O252" s="29" t="s">
        <v>170</v>
      </c>
      <c r="P252" s="29">
        <v>36192.0</v>
      </c>
      <c r="Q252" s="31">
        <v>4.0</v>
      </c>
      <c r="R252" s="29" t="s">
        <v>1089</v>
      </c>
      <c r="S252" s="32" t="s">
        <v>1091</v>
      </c>
      <c r="T252" s="29" t="s">
        <v>644</v>
      </c>
      <c r="U252" s="29">
        <v>1353.0</v>
      </c>
      <c r="V252" s="29"/>
      <c r="W252" s="29"/>
      <c r="X252" s="29"/>
      <c r="Y252" s="29"/>
      <c r="Z252" s="29"/>
      <c r="AA252" s="29" t="s">
        <v>1092</v>
      </c>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row>
    <row r="253" ht="14.25" customHeight="1">
      <c r="A253" s="6" t="s">
        <v>328</v>
      </c>
      <c r="B253" s="5">
        <v>2.0</v>
      </c>
      <c r="C253" s="12" t="s">
        <v>7662</v>
      </c>
      <c r="D253" s="12" t="s">
        <v>1093</v>
      </c>
      <c r="E253" s="11"/>
      <c r="F253" s="12" t="s">
        <v>1094</v>
      </c>
      <c r="G253" s="12" t="s">
        <v>1095</v>
      </c>
      <c r="I253" s="10" t="s">
        <v>927</v>
      </c>
      <c r="M253" s="11">
        <v>49.4744</v>
      </c>
      <c r="N253" s="11">
        <v>-115.52456</v>
      </c>
      <c r="O253" s="11" t="s">
        <v>170</v>
      </c>
      <c r="P253" s="11">
        <v>36195.0</v>
      </c>
      <c r="Q253" s="22">
        <v>1.0</v>
      </c>
      <c r="R253" s="11" t="s">
        <v>1096</v>
      </c>
      <c r="S253" s="13" t="s">
        <v>1097</v>
      </c>
      <c r="T253" s="11" t="s">
        <v>644</v>
      </c>
      <c r="U253" s="11">
        <v>822.0</v>
      </c>
      <c r="Z253" s="11"/>
      <c r="AA253" s="11" t="s">
        <v>1098</v>
      </c>
      <c r="AB253" s="11"/>
      <c r="AC253" s="11"/>
      <c r="AD253" s="11"/>
      <c r="AE253" s="11"/>
      <c r="AF253" s="11"/>
      <c r="AG253" s="11"/>
      <c r="AH253" s="11"/>
      <c r="AI253" s="11"/>
    </row>
    <row r="254" ht="14.25" customHeight="1">
      <c r="A254" s="6"/>
      <c r="B254" s="5">
        <v>2.0</v>
      </c>
      <c r="C254" s="5" t="s">
        <v>7661</v>
      </c>
      <c r="D254" s="5">
        <v>37091.0</v>
      </c>
      <c r="E254" s="5">
        <v>2793.0</v>
      </c>
      <c r="F254" s="5" t="s">
        <v>1099</v>
      </c>
      <c r="G254" s="21" t="s">
        <v>1100</v>
      </c>
      <c r="H254" s="5" t="s">
        <v>1062</v>
      </c>
      <c r="I254" s="5" t="s">
        <v>641</v>
      </c>
      <c r="J254" s="5" t="s">
        <v>642</v>
      </c>
      <c r="K254" s="5">
        <v>1.0</v>
      </c>
      <c r="L254" s="5">
        <v>3536.0</v>
      </c>
      <c r="M254" s="11">
        <v>50.73828</v>
      </c>
      <c r="N254" s="11">
        <v>-116.17647</v>
      </c>
      <c r="O254" s="11" t="s">
        <v>170</v>
      </c>
      <c r="P254" s="11">
        <v>37091.0</v>
      </c>
      <c r="Q254" s="22">
        <v>1.0</v>
      </c>
      <c r="R254" s="11" t="s">
        <v>1099</v>
      </c>
      <c r="S254" s="13" t="s">
        <v>1101</v>
      </c>
      <c r="T254" s="11" t="s">
        <v>644</v>
      </c>
      <c r="U254" s="11">
        <v>870.0</v>
      </c>
      <c r="Z254" s="11" t="s">
        <v>645</v>
      </c>
      <c r="AA254" s="11" t="s">
        <v>1102</v>
      </c>
      <c r="AB254" s="11"/>
      <c r="AC254" s="23"/>
      <c r="AD254" s="11"/>
      <c r="AE254" s="11"/>
      <c r="AF254" s="11"/>
      <c r="AG254" s="11"/>
      <c r="AH254" s="11"/>
      <c r="AI254" s="11"/>
    </row>
    <row r="255" ht="14.25" customHeight="1">
      <c r="A255" s="6"/>
      <c r="B255" s="5">
        <v>2.0</v>
      </c>
      <c r="C255" s="5" t="s">
        <v>7661</v>
      </c>
      <c r="D255" s="5">
        <v>37092.0</v>
      </c>
      <c r="E255" s="5">
        <v>2794.0</v>
      </c>
      <c r="F255" s="29" t="s">
        <v>1103</v>
      </c>
      <c r="G255" s="21" t="s">
        <v>1104</v>
      </c>
      <c r="H255" s="5" t="s">
        <v>1105</v>
      </c>
      <c r="I255" s="5" t="s">
        <v>641</v>
      </c>
      <c r="J255" s="5" t="s">
        <v>642</v>
      </c>
      <c r="K255" s="5">
        <v>1.0</v>
      </c>
      <c r="L255" s="5">
        <v>3537.0</v>
      </c>
      <c r="M255" s="11">
        <v>51.507</v>
      </c>
      <c r="N255" s="11">
        <v>-117.42179</v>
      </c>
      <c r="O255" s="11" t="s">
        <v>170</v>
      </c>
      <c r="P255" s="11">
        <v>37092.0</v>
      </c>
      <c r="Q255" s="22">
        <v>2.0</v>
      </c>
      <c r="R255" s="11" t="s">
        <v>1103</v>
      </c>
      <c r="S255" s="13" t="s">
        <v>1106</v>
      </c>
      <c r="T255" s="11" t="s">
        <v>644</v>
      </c>
      <c r="U255" s="38">
        <v>1041.0</v>
      </c>
      <c r="V255" s="29"/>
      <c r="W255" s="29"/>
      <c r="X255" s="29"/>
      <c r="Y255" s="29"/>
      <c r="Z255" s="29" t="s">
        <v>645</v>
      </c>
      <c r="AA255" s="29" t="s">
        <v>1107</v>
      </c>
      <c r="AB255" s="29"/>
      <c r="AC255" s="33"/>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row>
    <row r="256" ht="14.25" customHeight="1">
      <c r="A256" s="6"/>
      <c r="B256" s="5">
        <v>2.0</v>
      </c>
      <c r="C256" s="5" t="s">
        <v>7661</v>
      </c>
      <c r="D256" s="5">
        <v>37093.0</v>
      </c>
      <c r="E256" s="5">
        <v>11025.0</v>
      </c>
      <c r="F256" s="5" t="s">
        <v>1108</v>
      </c>
      <c r="G256" s="10" t="s">
        <v>1109</v>
      </c>
      <c r="H256" s="5" t="s">
        <v>891</v>
      </c>
      <c r="I256" s="5" t="s">
        <v>49</v>
      </c>
      <c r="J256" s="5" t="s">
        <v>1110</v>
      </c>
      <c r="K256" s="5">
        <v>1.0</v>
      </c>
      <c r="L256" s="5">
        <v>13193.0</v>
      </c>
      <c r="M256" s="16">
        <v>51.47995</v>
      </c>
      <c r="N256" s="16">
        <v>-117.35812</v>
      </c>
      <c r="O256" s="11" t="s">
        <v>170</v>
      </c>
      <c r="P256" s="11">
        <v>37093.0</v>
      </c>
      <c r="Q256" s="22">
        <v>2.0</v>
      </c>
      <c r="R256" s="11" t="s">
        <v>1108</v>
      </c>
      <c r="S256" s="13" t="s">
        <v>1111</v>
      </c>
      <c r="T256" s="11" t="s">
        <v>644</v>
      </c>
      <c r="U256" s="16">
        <v>1068.0</v>
      </c>
      <c r="Z256" s="11"/>
      <c r="AA256" s="16" t="s">
        <v>1112</v>
      </c>
      <c r="AB256" s="11"/>
      <c r="AC256" s="11"/>
      <c r="AD256" s="11"/>
      <c r="AE256" s="11"/>
      <c r="AF256" s="11"/>
      <c r="AG256" s="11"/>
      <c r="AH256" s="11"/>
      <c r="AI256" s="11"/>
    </row>
    <row r="257" ht="14.25" customHeight="1">
      <c r="A257" s="6"/>
      <c r="B257" s="5">
        <v>2.0</v>
      </c>
      <c r="C257" s="5" t="s">
        <v>7661</v>
      </c>
      <c r="D257" s="5">
        <v>37121.0</v>
      </c>
      <c r="E257" s="5">
        <v>2797.0</v>
      </c>
      <c r="F257" s="5" t="s">
        <v>1113</v>
      </c>
      <c r="G257" s="21" t="s">
        <v>1114</v>
      </c>
      <c r="H257" s="5" t="s">
        <v>1115</v>
      </c>
      <c r="I257" s="5" t="s">
        <v>641</v>
      </c>
      <c r="J257" s="5" t="s">
        <v>1116</v>
      </c>
      <c r="K257" s="5">
        <v>1.0</v>
      </c>
      <c r="L257" s="5">
        <v>3540.0</v>
      </c>
      <c r="M257" s="11">
        <v>51.31514</v>
      </c>
      <c r="N257" s="11">
        <v>-116.87847</v>
      </c>
      <c r="O257" s="11" t="s">
        <v>170</v>
      </c>
      <c r="P257" s="11">
        <v>37121.0</v>
      </c>
      <c r="Q257" s="22">
        <v>6.0</v>
      </c>
      <c r="R257" s="11" t="s">
        <v>1113</v>
      </c>
      <c r="S257" s="13" t="s">
        <v>1117</v>
      </c>
      <c r="T257" s="11" t="s">
        <v>644</v>
      </c>
      <c r="U257" s="11">
        <v>1844.0</v>
      </c>
      <c r="Z257" s="11"/>
      <c r="AA257" s="11" t="s">
        <v>1118</v>
      </c>
      <c r="AB257" s="11"/>
      <c r="AC257" s="11"/>
      <c r="AD257" s="11"/>
      <c r="AE257" s="11"/>
      <c r="AF257" s="11"/>
      <c r="AG257" s="11"/>
      <c r="AH257" s="11"/>
      <c r="AI257" s="11"/>
    </row>
    <row r="258" ht="14.25" customHeight="1">
      <c r="A258" s="6"/>
      <c r="B258" s="5">
        <v>2.0</v>
      </c>
      <c r="C258" s="5" t="s">
        <v>7661</v>
      </c>
      <c r="D258" s="5">
        <v>37122.0</v>
      </c>
      <c r="E258" s="5">
        <v>2798.0</v>
      </c>
      <c r="F258" s="29" t="s">
        <v>1119</v>
      </c>
      <c r="G258" s="21" t="s">
        <v>1120</v>
      </c>
      <c r="H258" s="5" t="s">
        <v>1121</v>
      </c>
      <c r="I258" s="5" t="s">
        <v>641</v>
      </c>
      <c r="J258" s="5" t="s">
        <v>1122</v>
      </c>
      <c r="K258" s="5">
        <v>1.0</v>
      </c>
      <c r="L258" s="5">
        <v>3541.0</v>
      </c>
      <c r="M258" s="29">
        <v>51.31056</v>
      </c>
      <c r="N258" s="29">
        <v>-116.88467</v>
      </c>
      <c r="O258" s="29" t="s">
        <v>170</v>
      </c>
      <c r="P258" s="29">
        <v>37122.0</v>
      </c>
      <c r="Q258" s="31">
        <v>4.0</v>
      </c>
      <c r="R258" s="29" t="s">
        <v>1119</v>
      </c>
      <c r="S258" s="32" t="s">
        <v>1123</v>
      </c>
      <c r="T258" s="29" t="s">
        <v>644</v>
      </c>
      <c r="U258" s="29">
        <v>1440.0</v>
      </c>
      <c r="V258" s="29"/>
      <c r="W258" s="29"/>
      <c r="X258" s="29"/>
      <c r="Y258" s="29"/>
      <c r="Z258" s="29"/>
      <c r="AA258" s="29" t="s">
        <v>1124</v>
      </c>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row>
    <row r="259" ht="14.25" customHeight="1">
      <c r="A259" s="6"/>
      <c r="B259" s="5">
        <v>2.0</v>
      </c>
      <c r="C259" s="5" t="s">
        <v>7661</v>
      </c>
      <c r="D259" s="5">
        <v>37124.0</v>
      </c>
      <c r="E259" s="5">
        <v>12479.0</v>
      </c>
      <c r="F259" s="29" t="s">
        <v>1125</v>
      </c>
      <c r="G259" s="24" t="s">
        <v>1126</v>
      </c>
      <c r="H259" s="5" t="s">
        <v>1127</v>
      </c>
      <c r="I259" s="5" t="s">
        <v>49</v>
      </c>
      <c r="J259" s="5" t="s">
        <v>1128</v>
      </c>
      <c r="K259" s="5">
        <v>1.0</v>
      </c>
      <c r="L259" s="5">
        <v>14501.0</v>
      </c>
      <c r="M259" s="29"/>
      <c r="N259" s="29"/>
      <c r="O259" s="29"/>
      <c r="P259" s="29"/>
      <c r="Q259" s="31"/>
      <c r="R259" s="29"/>
      <c r="S259" s="32"/>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c r="BR259" s="29"/>
      <c r="BS259" s="29"/>
      <c r="BT259" s="29"/>
    </row>
    <row r="260" ht="14.25" customHeight="1">
      <c r="A260" s="6" t="s">
        <v>328</v>
      </c>
      <c r="B260" s="5">
        <v>2.0</v>
      </c>
      <c r="C260" s="12" t="s">
        <v>7662</v>
      </c>
      <c r="D260" s="12" t="s">
        <v>1129</v>
      </c>
      <c r="F260" s="10" t="s">
        <v>1130</v>
      </c>
      <c r="G260" s="12" t="s">
        <v>1131</v>
      </c>
      <c r="I260" s="5" t="s">
        <v>641</v>
      </c>
      <c r="M260" s="11">
        <v>51.30397</v>
      </c>
      <c r="N260" s="11">
        <v>-116.89487</v>
      </c>
      <c r="O260" s="11" t="s">
        <v>170</v>
      </c>
      <c r="P260" s="11">
        <v>37127.0</v>
      </c>
      <c r="Q260" s="22">
        <v>2.0</v>
      </c>
      <c r="R260" s="11" t="s">
        <v>1130</v>
      </c>
      <c r="S260" s="13" t="s">
        <v>1132</v>
      </c>
      <c r="T260" s="11" t="s">
        <v>644</v>
      </c>
      <c r="U260" s="11">
        <v>1023.0</v>
      </c>
      <c r="Z260" s="11"/>
      <c r="AA260" s="11" t="s">
        <v>1133</v>
      </c>
      <c r="AB260" s="11"/>
      <c r="AC260" s="11"/>
      <c r="AD260" s="11"/>
      <c r="AE260" s="11"/>
      <c r="AF260" s="11"/>
      <c r="AG260" s="11"/>
      <c r="AH260" s="11"/>
      <c r="AI260" s="11"/>
    </row>
    <row r="261" ht="14.25" customHeight="1">
      <c r="A261" s="6"/>
      <c r="B261" s="5">
        <v>2.0</v>
      </c>
      <c r="C261" s="5" t="s">
        <v>7661</v>
      </c>
      <c r="D261" s="5">
        <v>37125.0</v>
      </c>
      <c r="E261" s="5">
        <v>2799.0</v>
      </c>
      <c r="F261" s="29" t="s">
        <v>1134</v>
      </c>
      <c r="G261" s="21" t="s">
        <v>1135</v>
      </c>
      <c r="H261" s="5" t="s">
        <v>1136</v>
      </c>
      <c r="I261" s="5" t="s">
        <v>641</v>
      </c>
      <c r="J261" s="5" t="s">
        <v>1137</v>
      </c>
      <c r="K261" s="5">
        <v>1.0</v>
      </c>
      <c r="L261" s="5">
        <v>3542.0</v>
      </c>
      <c r="M261" s="11"/>
      <c r="N261" s="11"/>
      <c r="O261" s="11"/>
      <c r="P261" s="11"/>
      <c r="Q261" s="22"/>
      <c r="R261" s="11"/>
      <c r="S261" s="13"/>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row>
    <row r="262" ht="14.25" customHeight="1">
      <c r="A262" s="6" t="s">
        <v>912</v>
      </c>
      <c r="B262" s="5">
        <v>2.0</v>
      </c>
      <c r="C262" s="5" t="s">
        <v>7661</v>
      </c>
      <c r="D262" s="5">
        <v>37126.0</v>
      </c>
      <c r="E262" s="5">
        <v>2800.0</v>
      </c>
      <c r="F262" s="29" t="s">
        <v>1138</v>
      </c>
      <c r="G262" s="10" t="s">
        <v>1139</v>
      </c>
      <c r="H262" s="5" t="s">
        <v>1140</v>
      </c>
      <c r="I262" s="5" t="s">
        <v>641</v>
      </c>
      <c r="J262" s="5" t="s">
        <v>642</v>
      </c>
      <c r="K262" s="5">
        <v>1.0</v>
      </c>
      <c r="L262" s="5">
        <v>3543.0</v>
      </c>
      <c r="M262" s="29">
        <v>51.27483</v>
      </c>
      <c r="N262" s="29">
        <v>-116.76653</v>
      </c>
      <c r="O262" s="29" t="s">
        <v>170</v>
      </c>
      <c r="P262" s="29">
        <v>37126.0</v>
      </c>
      <c r="Q262" s="31">
        <v>3.0</v>
      </c>
      <c r="R262" s="29" t="s">
        <v>1138</v>
      </c>
      <c r="S262" s="32" t="s">
        <v>1141</v>
      </c>
      <c r="T262" s="29" t="s">
        <v>644</v>
      </c>
      <c r="U262" s="29">
        <v>1140.0</v>
      </c>
      <c r="V262" s="29"/>
      <c r="W262" s="29"/>
      <c r="X262" s="29"/>
      <c r="Y262" s="29"/>
      <c r="Z262" s="29" t="s">
        <v>645</v>
      </c>
      <c r="AA262" s="29" t="s">
        <v>1142</v>
      </c>
      <c r="AB262" s="29"/>
      <c r="AC262" s="33"/>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row>
    <row r="263" ht="14.25" customHeight="1">
      <c r="A263" s="6"/>
      <c r="B263" s="5">
        <v>2.0</v>
      </c>
      <c r="C263" s="5" t="s">
        <v>7661</v>
      </c>
      <c r="D263" s="5">
        <v>37191.0</v>
      </c>
      <c r="E263" s="5">
        <v>12480.0</v>
      </c>
      <c r="F263" s="5" t="s">
        <v>1143</v>
      </c>
      <c r="G263" s="21" t="s">
        <v>1144</v>
      </c>
      <c r="H263" s="5" t="s">
        <v>709</v>
      </c>
      <c r="I263" s="5" t="s">
        <v>49</v>
      </c>
      <c r="J263" s="5" t="s">
        <v>799</v>
      </c>
      <c r="K263" s="5">
        <v>1.0</v>
      </c>
      <c r="L263" s="5">
        <v>14502.0</v>
      </c>
      <c r="M263" s="11">
        <v>51.4296</v>
      </c>
      <c r="N263" s="11">
        <v>-117.06427</v>
      </c>
      <c r="O263" s="11" t="s">
        <v>170</v>
      </c>
      <c r="P263" s="11">
        <v>37191.0</v>
      </c>
      <c r="Q263" s="22">
        <v>1.0</v>
      </c>
      <c r="R263" s="11" t="s">
        <v>1143</v>
      </c>
      <c r="S263" s="13" t="s">
        <v>1145</v>
      </c>
      <c r="T263" s="11" t="s">
        <v>644</v>
      </c>
      <c r="U263" s="11">
        <v>798.0</v>
      </c>
      <c r="Z263" s="11"/>
      <c r="AA263" s="11" t="s">
        <v>1146</v>
      </c>
      <c r="AB263" s="11"/>
      <c r="AC263" s="11"/>
      <c r="AD263" s="11"/>
      <c r="AE263" s="11"/>
      <c r="AF263" s="11"/>
      <c r="AG263" s="11"/>
      <c r="AH263" s="11"/>
      <c r="AI263" s="11"/>
    </row>
    <row r="264" ht="14.25" customHeight="1">
      <c r="A264" s="6" t="s">
        <v>88</v>
      </c>
      <c r="B264" s="5">
        <v>2.0</v>
      </c>
      <c r="C264" s="5" t="s">
        <v>7661</v>
      </c>
      <c r="D264" s="5">
        <v>37192.0</v>
      </c>
      <c r="E264" s="5">
        <v>12988.0</v>
      </c>
      <c r="F264" s="5" t="s">
        <v>1147</v>
      </c>
      <c r="G264" s="10" t="s">
        <v>1148</v>
      </c>
      <c r="H264" s="5" t="s">
        <v>1149</v>
      </c>
      <c r="I264" s="5" t="s">
        <v>49</v>
      </c>
      <c r="J264" s="5" t="s">
        <v>793</v>
      </c>
      <c r="K264" s="5">
        <v>1.0</v>
      </c>
      <c r="L264" s="5">
        <v>14920.0</v>
      </c>
      <c r="M264" s="11">
        <v>51.02732</v>
      </c>
      <c r="N264" s="11">
        <v>-116.53516</v>
      </c>
      <c r="O264" s="11" t="s">
        <v>170</v>
      </c>
      <c r="P264" s="11">
        <v>37192.0</v>
      </c>
      <c r="Q264" s="22">
        <v>1.0</v>
      </c>
      <c r="R264" s="11" t="s">
        <v>1150</v>
      </c>
      <c r="S264" s="13" t="s">
        <v>1147</v>
      </c>
      <c r="T264" s="11" t="s">
        <v>644</v>
      </c>
      <c r="U264" s="11">
        <v>797.0</v>
      </c>
      <c r="Z264" s="11"/>
      <c r="AA264" s="11" t="s">
        <v>1151</v>
      </c>
      <c r="AB264" s="11"/>
      <c r="AC264" s="11"/>
      <c r="AD264" s="11"/>
      <c r="AE264" s="11"/>
      <c r="AF264" s="11"/>
      <c r="AG264" s="11"/>
      <c r="AH264" s="11"/>
      <c r="AI264" s="11"/>
    </row>
    <row r="265" ht="14.25" customHeight="1">
      <c r="A265" s="6"/>
      <c r="B265" s="5">
        <v>2.0</v>
      </c>
      <c r="C265" s="5" t="s">
        <v>7661</v>
      </c>
      <c r="D265" s="5">
        <v>37221.0</v>
      </c>
      <c r="E265" s="5">
        <v>2803.0</v>
      </c>
      <c r="F265" s="5" t="s">
        <v>1152</v>
      </c>
      <c r="G265" s="21" t="s">
        <v>1153</v>
      </c>
      <c r="H265" s="5" t="s">
        <v>1154</v>
      </c>
      <c r="I265" s="5" t="s">
        <v>641</v>
      </c>
      <c r="J265" s="5" t="s">
        <v>1155</v>
      </c>
      <c r="K265" s="5">
        <v>1.0</v>
      </c>
      <c r="L265" s="5">
        <v>3546.0</v>
      </c>
      <c r="M265" s="11">
        <v>50.45472</v>
      </c>
      <c r="N265" s="11">
        <v>-116.252</v>
      </c>
      <c r="O265" s="11" t="s">
        <v>170</v>
      </c>
      <c r="P265" s="11">
        <v>37221.0</v>
      </c>
      <c r="Q265" s="22">
        <v>2.0</v>
      </c>
      <c r="R265" s="11" t="s">
        <v>1152</v>
      </c>
      <c r="S265" s="13" t="s">
        <v>1156</v>
      </c>
      <c r="T265" s="11" t="s">
        <v>644</v>
      </c>
      <c r="U265" s="11">
        <v>1130.0</v>
      </c>
      <c r="Z265" s="11"/>
      <c r="AA265" s="11" t="s">
        <v>1157</v>
      </c>
      <c r="AB265" s="11"/>
      <c r="AC265" s="11"/>
      <c r="AD265" s="11"/>
      <c r="AE265" s="11"/>
      <c r="AF265" s="11"/>
      <c r="AG265" s="11"/>
      <c r="AH265" s="11"/>
      <c r="AI265" s="11"/>
    </row>
    <row r="266" ht="14.25" customHeight="1">
      <c r="A266" s="6"/>
      <c r="B266" s="5">
        <v>2.0</v>
      </c>
      <c r="C266" s="5" t="s">
        <v>7661</v>
      </c>
      <c r="D266" s="5">
        <v>37222.0</v>
      </c>
      <c r="E266" s="5">
        <v>2804.0</v>
      </c>
      <c r="F266" s="29" t="s">
        <v>1158</v>
      </c>
      <c r="G266" s="21" t="s">
        <v>1159</v>
      </c>
      <c r="H266" s="5" t="s">
        <v>1160</v>
      </c>
      <c r="I266" s="5" t="s">
        <v>641</v>
      </c>
      <c r="J266" s="5" t="s">
        <v>1161</v>
      </c>
      <c r="K266" s="5">
        <v>1.0</v>
      </c>
      <c r="L266" s="5">
        <v>3547.0</v>
      </c>
      <c r="M266" s="11">
        <v>50.43361</v>
      </c>
      <c r="N266" s="11">
        <v>-116.32</v>
      </c>
      <c r="O266" s="11" t="s">
        <v>170</v>
      </c>
      <c r="P266" s="11">
        <v>37222.0</v>
      </c>
      <c r="Q266" s="22">
        <v>8.0</v>
      </c>
      <c r="R266" s="11" t="s">
        <v>1158</v>
      </c>
      <c r="S266" s="13" t="s">
        <v>1162</v>
      </c>
      <c r="T266" s="11" t="s">
        <v>644</v>
      </c>
      <c r="U266" s="29">
        <v>2380.0</v>
      </c>
      <c r="V266" s="29"/>
      <c r="W266" s="29"/>
      <c r="X266" s="29"/>
      <c r="Y266" s="29"/>
      <c r="Z266" s="29"/>
      <c r="AA266" s="29" t="s">
        <v>1163</v>
      </c>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row>
    <row r="267" ht="14.25" customHeight="1">
      <c r="A267" s="6" t="s">
        <v>88</v>
      </c>
      <c r="B267" s="5">
        <v>2.0</v>
      </c>
      <c r="C267" s="5" t="s">
        <v>7661</v>
      </c>
      <c r="D267" s="5">
        <v>37223.0</v>
      </c>
      <c r="E267" s="5">
        <v>12997.0</v>
      </c>
      <c r="F267" s="5" t="s">
        <v>1164</v>
      </c>
      <c r="G267" s="10" t="s">
        <v>1165</v>
      </c>
      <c r="H267" s="5" t="s">
        <v>720</v>
      </c>
      <c r="I267" s="5" t="s">
        <v>49</v>
      </c>
      <c r="J267" s="5" t="s">
        <v>1080</v>
      </c>
      <c r="K267" s="5">
        <v>1.0</v>
      </c>
      <c r="L267" s="5">
        <v>14929.0</v>
      </c>
      <c r="M267" s="11">
        <v>50.43048</v>
      </c>
      <c r="N267" s="11">
        <v>-116.3196</v>
      </c>
      <c r="P267" s="11">
        <v>37223.0</v>
      </c>
      <c r="R267" s="11" t="s">
        <v>1166</v>
      </c>
      <c r="U267" s="11">
        <v>2250.0</v>
      </c>
      <c r="AA267" s="11" t="s">
        <v>1167</v>
      </c>
    </row>
    <row r="268" ht="14.25" customHeight="1">
      <c r="A268" s="6"/>
      <c r="B268" s="5">
        <v>2.0</v>
      </c>
      <c r="C268" s="5" t="s">
        <v>7661</v>
      </c>
      <c r="D268" s="5">
        <v>37291.0</v>
      </c>
      <c r="E268" s="5">
        <v>12481.0</v>
      </c>
      <c r="F268" s="5" t="s">
        <v>1168</v>
      </c>
      <c r="G268" s="21" t="s">
        <v>1169</v>
      </c>
      <c r="H268" s="5" t="s">
        <v>709</v>
      </c>
      <c r="I268" s="5" t="s">
        <v>49</v>
      </c>
      <c r="J268" s="5" t="s">
        <v>1170</v>
      </c>
      <c r="K268" s="5">
        <v>1.0</v>
      </c>
      <c r="L268" s="5">
        <v>14503.0</v>
      </c>
      <c r="M268" s="11">
        <v>50.46343</v>
      </c>
      <c r="N268" s="11">
        <v>-116.23348</v>
      </c>
      <c r="O268" s="11" t="s">
        <v>170</v>
      </c>
      <c r="P268" s="11">
        <v>37291.0</v>
      </c>
      <c r="Q268" s="22">
        <v>3.0</v>
      </c>
      <c r="R268" s="11" t="s">
        <v>1168</v>
      </c>
      <c r="S268" s="13" t="s">
        <v>1171</v>
      </c>
      <c r="T268" s="11" t="s">
        <v>644</v>
      </c>
      <c r="U268" s="11">
        <v>1150.0</v>
      </c>
      <c r="Z268" s="11"/>
      <c r="AA268" s="11" t="s">
        <v>1172</v>
      </c>
      <c r="AB268" s="11"/>
      <c r="AC268" s="11"/>
      <c r="AD268" s="11"/>
      <c r="AE268" s="11"/>
      <c r="AF268" s="11"/>
    </row>
    <row r="269" ht="14.25" customHeight="1">
      <c r="A269" s="6"/>
      <c r="B269" s="5">
        <v>2.0</v>
      </c>
      <c r="C269" s="5" t="s">
        <v>7661</v>
      </c>
      <c r="D269" s="5">
        <v>38021.0</v>
      </c>
      <c r="E269" s="5">
        <v>12482.0</v>
      </c>
      <c r="F269" s="5" t="s">
        <v>1173</v>
      </c>
      <c r="G269" s="21" t="s">
        <v>1174</v>
      </c>
      <c r="H269" s="5" t="s">
        <v>709</v>
      </c>
      <c r="I269" s="5" t="s">
        <v>49</v>
      </c>
      <c r="J269" s="5" t="s">
        <v>1175</v>
      </c>
      <c r="K269" s="5">
        <v>1.0</v>
      </c>
      <c r="L269" s="5">
        <v>14504.0</v>
      </c>
      <c r="M269" s="11">
        <v>51.00006</v>
      </c>
      <c r="N269" s="11">
        <v>-118.22872</v>
      </c>
      <c r="O269" s="11" t="s">
        <v>170</v>
      </c>
      <c r="P269" s="11">
        <v>38021.0</v>
      </c>
      <c r="Q269" s="22">
        <v>1.0</v>
      </c>
      <c r="R269" s="11" t="s">
        <v>1173</v>
      </c>
      <c r="S269" s="13" t="s">
        <v>1176</v>
      </c>
      <c r="T269" s="11" t="s">
        <v>644</v>
      </c>
      <c r="U269" s="11">
        <v>448.0</v>
      </c>
      <c r="Z269" s="11"/>
      <c r="AA269" s="11" t="s">
        <v>1177</v>
      </c>
      <c r="AB269" s="11"/>
      <c r="AC269" s="11"/>
      <c r="AD269" s="11"/>
      <c r="AE269" s="11"/>
      <c r="AF269" s="11"/>
      <c r="AG269" s="11"/>
    </row>
    <row r="270" ht="14.25" customHeight="1">
      <c r="A270" s="6"/>
      <c r="B270" s="5">
        <v>2.0</v>
      </c>
      <c r="C270" s="5" t="s">
        <v>7661</v>
      </c>
      <c r="D270" s="5">
        <v>38121.0</v>
      </c>
      <c r="E270" s="5">
        <v>2807.0</v>
      </c>
      <c r="F270" s="5" t="s">
        <v>1178</v>
      </c>
      <c r="G270" s="21" t="s">
        <v>1179</v>
      </c>
      <c r="H270" s="5" t="s">
        <v>1180</v>
      </c>
      <c r="I270" s="5" t="s">
        <v>641</v>
      </c>
      <c r="J270" s="5" t="s">
        <v>1181</v>
      </c>
      <c r="K270" s="5">
        <v>1.0</v>
      </c>
      <c r="L270" s="5">
        <v>3550.0</v>
      </c>
      <c r="M270" s="11">
        <v>50.92666</v>
      </c>
      <c r="N270" s="11">
        <v>-118.44503</v>
      </c>
      <c r="O270" s="11" t="s">
        <v>170</v>
      </c>
      <c r="P270" s="11">
        <v>38121.0</v>
      </c>
      <c r="Q270" s="22">
        <v>3.0</v>
      </c>
      <c r="R270" s="11" t="s">
        <v>1178</v>
      </c>
      <c r="S270" s="13" t="s">
        <v>1182</v>
      </c>
      <c r="T270" s="11" t="s">
        <v>644</v>
      </c>
      <c r="U270" s="11">
        <v>1165.0</v>
      </c>
      <c r="Z270" s="11"/>
      <c r="AA270" s="11" t="s">
        <v>1183</v>
      </c>
      <c r="AB270" s="11"/>
      <c r="AC270" s="11"/>
      <c r="AD270" s="11"/>
      <c r="AE270" s="11"/>
      <c r="AF270" s="11"/>
      <c r="AG270" s="11"/>
      <c r="AH270" s="11"/>
      <c r="AI270" s="11"/>
    </row>
    <row r="271" ht="14.25" customHeight="1">
      <c r="A271" s="6"/>
      <c r="B271" s="5">
        <v>2.0</v>
      </c>
      <c r="C271" s="5" t="s">
        <v>7661</v>
      </c>
      <c r="D271" s="5">
        <v>38124.0</v>
      </c>
      <c r="E271" s="5">
        <v>2808.0</v>
      </c>
      <c r="F271" s="5" t="s">
        <v>1184</v>
      </c>
      <c r="G271" s="21" t="s">
        <v>1185</v>
      </c>
      <c r="H271" s="5" t="s">
        <v>1186</v>
      </c>
      <c r="I271" s="5" t="s">
        <v>641</v>
      </c>
      <c r="J271" s="5" t="s">
        <v>755</v>
      </c>
      <c r="K271" s="5">
        <v>1.0</v>
      </c>
      <c r="L271" s="5">
        <v>3551.0</v>
      </c>
      <c r="M271" s="11">
        <v>50.96248</v>
      </c>
      <c r="N271" s="11">
        <v>-118.37777</v>
      </c>
      <c r="O271" s="11" t="s">
        <v>170</v>
      </c>
      <c r="P271" s="11">
        <v>38124.0</v>
      </c>
      <c r="Q271" s="22">
        <v>1.0</v>
      </c>
      <c r="R271" s="11" t="s">
        <v>1184</v>
      </c>
      <c r="S271" s="13" t="s">
        <v>1187</v>
      </c>
      <c r="T271" s="11" t="s">
        <v>644</v>
      </c>
      <c r="U271" s="11">
        <v>610.0</v>
      </c>
      <c r="Z271" s="11" t="s">
        <v>645</v>
      </c>
      <c r="AA271" s="11" t="s">
        <v>1188</v>
      </c>
      <c r="AB271" s="11"/>
      <c r="AC271" s="23"/>
      <c r="AD271" s="11"/>
      <c r="AE271" s="11"/>
      <c r="AF271" s="11"/>
      <c r="AG271" s="11"/>
      <c r="AH271" s="11"/>
      <c r="AI271" s="11"/>
    </row>
    <row r="272" ht="14.25" customHeight="1">
      <c r="A272" s="6"/>
      <c r="B272" s="5">
        <v>2.0</v>
      </c>
      <c r="C272" s="5" t="s">
        <v>7661</v>
      </c>
      <c r="D272" s="5">
        <v>38222.0</v>
      </c>
      <c r="E272" s="5">
        <v>2810.0</v>
      </c>
      <c r="F272" s="5" t="s">
        <v>1189</v>
      </c>
      <c r="G272" s="21" t="s">
        <v>1190</v>
      </c>
      <c r="H272" s="5" t="s">
        <v>1180</v>
      </c>
      <c r="I272" s="5" t="s">
        <v>641</v>
      </c>
      <c r="J272" s="5" t="s">
        <v>909</v>
      </c>
      <c r="K272" s="5">
        <v>1.0</v>
      </c>
      <c r="L272" s="5">
        <v>3553.0</v>
      </c>
      <c r="M272" s="29">
        <v>51.19333</v>
      </c>
      <c r="N272" s="29">
        <v>-117.77111</v>
      </c>
      <c r="O272" s="29" t="s">
        <v>170</v>
      </c>
      <c r="P272" s="29">
        <v>38222.0</v>
      </c>
      <c r="Q272" s="31">
        <v>5.0</v>
      </c>
      <c r="R272" s="29" t="s">
        <v>1189</v>
      </c>
      <c r="S272" s="32" t="s">
        <v>1191</v>
      </c>
      <c r="T272" s="29" t="s">
        <v>644</v>
      </c>
      <c r="U272" s="29">
        <v>1615.0</v>
      </c>
      <c r="V272" s="29"/>
      <c r="W272" s="29"/>
      <c r="X272" s="29"/>
      <c r="Y272" s="29"/>
      <c r="Z272" s="29"/>
      <c r="AA272" s="29" t="s">
        <v>1192</v>
      </c>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row>
    <row r="273" ht="14.25" customHeight="1">
      <c r="A273" s="6"/>
      <c r="B273" s="5">
        <v>2.0</v>
      </c>
      <c r="C273" s="5" t="s">
        <v>7661</v>
      </c>
      <c r="D273" s="5">
        <v>38226.0</v>
      </c>
      <c r="E273" s="5">
        <v>2811.0</v>
      </c>
      <c r="F273" s="5" t="s">
        <v>1193</v>
      </c>
      <c r="G273" s="21" t="s">
        <v>1194</v>
      </c>
      <c r="H273" s="5" t="s">
        <v>1195</v>
      </c>
      <c r="I273" s="5" t="s">
        <v>641</v>
      </c>
      <c r="J273" s="5" t="s">
        <v>1196</v>
      </c>
      <c r="K273" s="5">
        <v>1.0</v>
      </c>
      <c r="L273" s="5">
        <v>3554.0</v>
      </c>
      <c r="M273" s="11">
        <v>51.20083</v>
      </c>
      <c r="N273" s="11">
        <v>-117.77778</v>
      </c>
      <c r="O273" s="11" t="s">
        <v>170</v>
      </c>
      <c r="P273" s="11">
        <v>38226.0</v>
      </c>
      <c r="Q273" s="22">
        <v>7.0</v>
      </c>
      <c r="R273" s="11" t="s">
        <v>1193</v>
      </c>
      <c r="S273" s="13" t="s">
        <v>1197</v>
      </c>
      <c r="T273" s="11" t="s">
        <v>644</v>
      </c>
      <c r="U273" s="11">
        <v>2135.0</v>
      </c>
      <c r="Z273" s="11"/>
      <c r="AA273" s="11" t="s">
        <v>1198</v>
      </c>
      <c r="AB273" s="11"/>
      <c r="AC273" s="11"/>
      <c r="AD273" s="11"/>
      <c r="AE273" s="11"/>
      <c r="AF273" s="11"/>
      <c r="AG273" s="11"/>
      <c r="AH273" s="11"/>
      <c r="AI273" s="11"/>
    </row>
    <row r="274" ht="14.25" customHeight="1">
      <c r="A274" s="6" t="s">
        <v>88</v>
      </c>
      <c r="B274" s="5">
        <v>2.0</v>
      </c>
      <c r="C274" s="5" t="s">
        <v>7661</v>
      </c>
      <c r="D274" s="5">
        <v>38227.0</v>
      </c>
      <c r="E274" s="5">
        <v>2812.0</v>
      </c>
      <c r="F274" s="29" t="s">
        <v>1199</v>
      </c>
      <c r="G274" s="10" t="s">
        <v>1200</v>
      </c>
      <c r="H274" s="5" t="s">
        <v>1201</v>
      </c>
      <c r="I274" s="5" t="s">
        <v>641</v>
      </c>
      <c r="J274" s="5" t="s">
        <v>755</v>
      </c>
      <c r="K274" s="5">
        <v>1.0</v>
      </c>
      <c r="L274" s="5">
        <v>3555.0</v>
      </c>
      <c r="M274" s="11">
        <v>51.18808</v>
      </c>
      <c r="N274" s="11">
        <v>-117.75616</v>
      </c>
      <c r="O274" s="11" t="s">
        <v>170</v>
      </c>
      <c r="P274" s="11">
        <v>38227.0</v>
      </c>
      <c r="Q274" s="22">
        <v>1.0</v>
      </c>
      <c r="R274" s="11" t="s">
        <v>1199</v>
      </c>
      <c r="S274" s="13" t="s">
        <v>1202</v>
      </c>
      <c r="T274" s="11" t="s">
        <v>644</v>
      </c>
      <c r="U274" s="29">
        <v>999.0</v>
      </c>
      <c r="V274" s="29"/>
      <c r="W274" s="29"/>
      <c r="X274" s="29"/>
      <c r="Y274" s="29"/>
      <c r="Z274" s="29"/>
      <c r="AA274" s="29" t="s">
        <v>1203</v>
      </c>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row>
    <row r="275" ht="14.25" customHeight="1">
      <c r="A275" s="6"/>
      <c r="B275" s="5">
        <v>2.0</v>
      </c>
      <c r="C275" s="5" t="s">
        <v>7661</v>
      </c>
      <c r="D275" s="5">
        <v>38228.0</v>
      </c>
      <c r="E275" s="5">
        <v>2813.0</v>
      </c>
      <c r="F275" s="29" t="s">
        <v>1204</v>
      </c>
      <c r="G275" s="21" t="s">
        <v>1205</v>
      </c>
      <c r="H275" s="5" t="s">
        <v>1206</v>
      </c>
      <c r="I275" s="5" t="s">
        <v>641</v>
      </c>
      <c r="J275" s="5" t="s">
        <v>1207</v>
      </c>
      <c r="K275" s="5">
        <v>1.0</v>
      </c>
      <c r="L275" s="5">
        <v>3556.0</v>
      </c>
      <c r="M275" s="11">
        <v>51.18992</v>
      </c>
      <c r="N275" s="11">
        <v>-117.71083</v>
      </c>
      <c r="O275" s="11" t="s">
        <v>170</v>
      </c>
      <c r="P275" s="11">
        <v>38228.0</v>
      </c>
      <c r="Q275" s="22">
        <v>8.0</v>
      </c>
      <c r="R275" s="11" t="s">
        <v>1204</v>
      </c>
      <c r="S275" s="13" t="s">
        <v>1208</v>
      </c>
      <c r="T275" s="11" t="s">
        <v>644</v>
      </c>
      <c r="U275" s="29">
        <v>2260.0</v>
      </c>
      <c r="V275" s="29"/>
      <c r="W275" s="29"/>
      <c r="X275" s="29"/>
      <c r="Y275" s="29"/>
      <c r="Z275" s="29"/>
      <c r="AA275" s="29" t="s">
        <v>1209</v>
      </c>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row>
    <row r="276" ht="14.25" customHeight="1">
      <c r="A276" s="6"/>
      <c r="B276" s="5">
        <v>2.0</v>
      </c>
      <c r="C276" s="5" t="s">
        <v>7661</v>
      </c>
      <c r="D276" s="5">
        <v>38323.0</v>
      </c>
      <c r="E276" s="5">
        <v>2816.0</v>
      </c>
      <c r="F276" s="5" t="s">
        <v>1210</v>
      </c>
      <c r="G276" s="21" t="s">
        <v>1211</v>
      </c>
      <c r="H276" s="5" t="s">
        <v>1212</v>
      </c>
      <c r="I276" s="5" t="s">
        <v>641</v>
      </c>
      <c r="J276" s="5" t="s">
        <v>1213</v>
      </c>
      <c r="K276" s="5">
        <v>1.0</v>
      </c>
      <c r="L276" s="5">
        <v>3559.0</v>
      </c>
      <c r="M276" s="11">
        <v>51.51833</v>
      </c>
      <c r="N276" s="11">
        <v>-118.46167</v>
      </c>
      <c r="O276" s="11" t="s">
        <v>170</v>
      </c>
      <c r="P276" s="11">
        <v>38323.0</v>
      </c>
      <c r="Q276" s="22">
        <v>6.0</v>
      </c>
      <c r="R276" s="11" t="s">
        <v>1210</v>
      </c>
      <c r="S276" s="13" t="s">
        <v>1214</v>
      </c>
      <c r="T276" s="11" t="s">
        <v>644</v>
      </c>
      <c r="U276" s="11">
        <v>1740.0</v>
      </c>
      <c r="Z276" s="11"/>
      <c r="AA276" s="11" t="s">
        <v>1215</v>
      </c>
      <c r="AB276" s="11"/>
      <c r="AC276" s="11"/>
      <c r="AD276" s="11"/>
      <c r="AE276" s="11"/>
      <c r="AF276" s="11"/>
      <c r="AG276" s="11"/>
      <c r="AH276" s="11"/>
      <c r="AI276" s="11"/>
    </row>
    <row r="277" ht="14.25" customHeight="1">
      <c r="A277" s="6"/>
      <c r="B277" s="5">
        <v>2.0</v>
      </c>
      <c r="C277" s="5" t="s">
        <v>7661</v>
      </c>
      <c r="D277" s="5">
        <v>38324.0</v>
      </c>
      <c r="E277" s="5">
        <v>2817.0</v>
      </c>
      <c r="F277" s="5" t="s">
        <v>1216</v>
      </c>
      <c r="G277" s="21" t="s">
        <v>1217</v>
      </c>
      <c r="H277" s="5" t="s">
        <v>1218</v>
      </c>
      <c r="I277" s="5" t="s">
        <v>641</v>
      </c>
      <c r="J277" s="5" t="s">
        <v>642</v>
      </c>
      <c r="K277" s="5">
        <v>1.0</v>
      </c>
      <c r="L277" s="5">
        <v>3560.0</v>
      </c>
      <c r="M277" s="36">
        <v>51.59917</v>
      </c>
      <c r="N277" s="36">
        <v>-118.60111</v>
      </c>
      <c r="O277" s="37" t="s">
        <v>170</v>
      </c>
      <c r="P277" s="11">
        <v>38324.0</v>
      </c>
      <c r="Q277" s="22">
        <v>1.0</v>
      </c>
      <c r="R277" s="36" t="s">
        <v>1216</v>
      </c>
      <c r="S277" s="13" t="s">
        <v>1219</v>
      </c>
      <c r="T277" s="11" t="s">
        <v>644</v>
      </c>
      <c r="U277" s="11">
        <v>650.0</v>
      </c>
      <c r="Z277" s="11" t="s">
        <v>645</v>
      </c>
      <c r="AA277" s="11" t="s">
        <v>1220</v>
      </c>
      <c r="AB277" s="11"/>
      <c r="AC277" s="23"/>
      <c r="AD277" s="11"/>
      <c r="AE277" s="11"/>
      <c r="AF277" s="11"/>
      <c r="AG277" s="11"/>
      <c r="AH277" s="11"/>
      <c r="AI277" s="11"/>
    </row>
    <row r="278" ht="14.25" customHeight="1">
      <c r="A278" s="6"/>
      <c r="B278" s="5">
        <v>2.0</v>
      </c>
      <c r="C278" s="5" t="s">
        <v>7661</v>
      </c>
      <c r="D278" s="5">
        <v>38325.0</v>
      </c>
      <c r="E278" s="5">
        <v>2818.0</v>
      </c>
      <c r="F278" s="29" t="s">
        <v>1221</v>
      </c>
      <c r="G278" s="21" t="s">
        <v>1222</v>
      </c>
      <c r="H278" s="5" t="s">
        <v>1223</v>
      </c>
      <c r="I278" s="5" t="s">
        <v>641</v>
      </c>
      <c r="J278" s="5" t="s">
        <v>1224</v>
      </c>
      <c r="K278" s="5">
        <v>1.0</v>
      </c>
      <c r="L278" s="5">
        <v>3561.0</v>
      </c>
      <c r="M278" s="29">
        <v>52.04028</v>
      </c>
      <c r="N278" s="29">
        <v>-118.57083</v>
      </c>
      <c r="O278" s="29" t="s">
        <v>170</v>
      </c>
      <c r="P278" s="29">
        <v>38325.0</v>
      </c>
      <c r="Q278" s="31">
        <v>2.0</v>
      </c>
      <c r="R278" s="29" t="s">
        <v>1221</v>
      </c>
      <c r="S278" s="32" t="s">
        <v>1225</v>
      </c>
      <c r="T278" s="29" t="s">
        <v>644</v>
      </c>
      <c r="U278" s="29">
        <v>1080.0</v>
      </c>
      <c r="V278" s="29"/>
      <c r="W278" s="29"/>
      <c r="X278" s="29"/>
      <c r="Y278" s="29"/>
      <c r="Z278" s="29"/>
      <c r="AA278" s="29" t="s">
        <v>1226</v>
      </c>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row>
    <row r="279" ht="14.25" customHeight="1">
      <c r="A279" s="6"/>
      <c r="B279" s="5">
        <v>2.0</v>
      </c>
      <c r="C279" s="5" t="s">
        <v>7661</v>
      </c>
      <c r="D279" s="5">
        <v>38326.0</v>
      </c>
      <c r="E279" s="5">
        <v>2819.0</v>
      </c>
      <c r="F279" s="29" t="s">
        <v>1227</v>
      </c>
      <c r="G279" s="21" t="s">
        <v>1228</v>
      </c>
      <c r="H279" s="5" t="s">
        <v>1229</v>
      </c>
      <c r="I279" s="5" t="s">
        <v>641</v>
      </c>
      <c r="J279" s="5" t="s">
        <v>755</v>
      </c>
      <c r="K279" s="5">
        <v>1.0</v>
      </c>
      <c r="L279" s="5">
        <v>3562.0</v>
      </c>
      <c r="M279" s="11">
        <v>51.95778</v>
      </c>
      <c r="N279" s="11">
        <v>-118.56222</v>
      </c>
      <c r="O279" s="11" t="s">
        <v>170</v>
      </c>
      <c r="P279" s="11">
        <v>38326.0</v>
      </c>
      <c r="Q279" s="22">
        <v>1.0</v>
      </c>
      <c r="R279" s="11" t="s">
        <v>1227</v>
      </c>
      <c r="S279" s="13" t="s">
        <v>1230</v>
      </c>
      <c r="T279" s="11" t="s">
        <v>644</v>
      </c>
      <c r="U279" s="29">
        <v>565.0</v>
      </c>
      <c r="V279" s="29"/>
      <c r="W279" s="29"/>
      <c r="X279" s="29"/>
      <c r="Y279" s="29"/>
      <c r="Z279" s="29"/>
      <c r="AA279" s="29" t="s">
        <v>1231</v>
      </c>
      <c r="AB279" s="29"/>
      <c r="AC279" s="33"/>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row>
    <row r="280" ht="14.25" customHeight="1">
      <c r="A280" s="6"/>
      <c r="B280" s="5">
        <v>2.0</v>
      </c>
      <c r="C280" s="5" t="s">
        <v>7661</v>
      </c>
      <c r="D280" s="5">
        <v>38327.0</v>
      </c>
      <c r="E280" s="5">
        <v>11026.0</v>
      </c>
      <c r="F280" s="5" t="s">
        <v>1232</v>
      </c>
      <c r="G280" s="21" t="s">
        <v>1233</v>
      </c>
      <c r="H280" s="5" t="s">
        <v>891</v>
      </c>
      <c r="I280" s="5" t="s">
        <v>49</v>
      </c>
      <c r="J280" s="5" t="s">
        <v>1234</v>
      </c>
      <c r="K280" s="5">
        <v>1.0</v>
      </c>
      <c r="L280" s="5">
        <v>13194.0</v>
      </c>
      <c r="M280" s="11">
        <v>52.05307</v>
      </c>
      <c r="N280" s="11">
        <v>-118.58543</v>
      </c>
      <c r="O280" s="11" t="s">
        <v>170</v>
      </c>
      <c r="P280" s="11">
        <v>38327.0</v>
      </c>
      <c r="Q280" s="22">
        <v>1.0</v>
      </c>
      <c r="R280" s="11" t="s">
        <v>1232</v>
      </c>
      <c r="S280" s="13" t="s">
        <v>1235</v>
      </c>
      <c r="T280" s="11" t="s">
        <v>644</v>
      </c>
      <c r="U280" s="11">
        <v>570.0</v>
      </c>
      <c r="Z280" s="11" t="s">
        <v>645</v>
      </c>
      <c r="AA280" s="11" t="s">
        <v>1236</v>
      </c>
      <c r="AB280" s="11"/>
      <c r="AC280" s="23"/>
      <c r="AD280" s="11"/>
      <c r="AE280" s="11"/>
      <c r="AF280" s="11"/>
      <c r="AG280" s="11"/>
      <c r="AH280" s="11"/>
      <c r="AI280" s="11"/>
    </row>
    <row r="281" ht="14.25" customHeight="1">
      <c r="A281" s="6"/>
      <c r="B281" s="5">
        <v>2.0</v>
      </c>
      <c r="C281" s="5" t="s">
        <v>7661</v>
      </c>
      <c r="D281" s="5">
        <v>38424.0</v>
      </c>
      <c r="E281" s="5">
        <v>2821.0</v>
      </c>
      <c r="F281" s="5" t="s">
        <v>1237</v>
      </c>
      <c r="G281" s="21" t="s">
        <v>1238</v>
      </c>
      <c r="H281" s="5" t="s">
        <v>1239</v>
      </c>
      <c r="I281" s="5" t="s">
        <v>641</v>
      </c>
      <c r="J281" s="5" t="s">
        <v>1181</v>
      </c>
      <c r="K281" s="5">
        <v>1.0</v>
      </c>
      <c r="L281" s="5">
        <v>3564.0</v>
      </c>
      <c r="M281" s="11">
        <v>50.70806</v>
      </c>
      <c r="N281" s="11">
        <v>-117.755</v>
      </c>
      <c r="O281" s="11" t="s">
        <v>170</v>
      </c>
      <c r="P281" s="11">
        <v>38424.0</v>
      </c>
      <c r="Q281" s="22">
        <v>5.0</v>
      </c>
      <c r="R281" s="11" t="s">
        <v>1237</v>
      </c>
      <c r="S281" s="13" t="s">
        <v>1240</v>
      </c>
      <c r="T281" s="11" t="s">
        <v>644</v>
      </c>
      <c r="U281" s="11">
        <v>1570.0</v>
      </c>
      <c r="Z281" s="11"/>
      <c r="AA281" s="11" t="s">
        <v>1241</v>
      </c>
      <c r="AB281" s="11"/>
      <c r="AC281" s="11"/>
      <c r="AD281" s="11"/>
      <c r="AE281" s="11"/>
      <c r="AF281" s="11"/>
      <c r="AG281" s="11"/>
      <c r="AH281" s="11"/>
      <c r="AI281" s="11"/>
    </row>
    <row r="282" ht="14.25" customHeight="1">
      <c r="A282" s="6" t="s">
        <v>328</v>
      </c>
      <c r="B282" s="5">
        <v>2.0</v>
      </c>
      <c r="C282" s="12" t="s">
        <v>7662</v>
      </c>
      <c r="D282" s="12" t="s">
        <v>1242</v>
      </c>
      <c r="F282" s="35" t="s">
        <v>1243</v>
      </c>
      <c r="G282" s="12" t="s">
        <v>1244</v>
      </c>
      <c r="M282" s="29">
        <v>49.6725</v>
      </c>
      <c r="N282" s="29">
        <v>-120.60468</v>
      </c>
      <c r="O282" s="29" t="s">
        <v>142</v>
      </c>
      <c r="P282" s="29">
        <v>24094.0</v>
      </c>
      <c r="Q282" s="31">
        <v>2.0</v>
      </c>
      <c r="R282" s="29" t="s">
        <v>1245</v>
      </c>
      <c r="S282" s="32" t="s">
        <v>1246</v>
      </c>
      <c r="T282" s="29" t="s">
        <v>644</v>
      </c>
      <c r="U282" s="29">
        <v>877.0</v>
      </c>
      <c r="V282" s="29"/>
      <c r="W282" s="29"/>
      <c r="X282" s="29"/>
      <c r="Y282" s="29"/>
      <c r="Z282" s="29"/>
      <c r="AA282" s="29" t="s">
        <v>1247</v>
      </c>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row>
    <row r="283" ht="14.25" customHeight="1">
      <c r="A283" s="6" t="s">
        <v>88</v>
      </c>
      <c r="B283" s="5">
        <v>2.0</v>
      </c>
      <c r="C283" s="5" t="s">
        <v>7661</v>
      </c>
      <c r="D283" s="5">
        <v>38491.0</v>
      </c>
      <c r="E283" s="5">
        <v>12989.0</v>
      </c>
      <c r="F283" s="5" t="s">
        <v>1248</v>
      </c>
      <c r="G283" s="10" t="s">
        <v>1249</v>
      </c>
      <c r="H283" s="5" t="s">
        <v>1149</v>
      </c>
      <c r="I283" s="5" t="s">
        <v>49</v>
      </c>
      <c r="J283" s="5" t="s">
        <v>793</v>
      </c>
      <c r="K283" s="5">
        <v>1.0</v>
      </c>
      <c r="L283" s="5">
        <v>14921.0</v>
      </c>
      <c r="M283" s="5">
        <v>50.80856</v>
      </c>
      <c r="N283" s="5">
        <v>-118.06795</v>
      </c>
      <c r="O283" s="5" t="s">
        <v>170</v>
      </c>
      <c r="P283" s="5">
        <v>38491.0</v>
      </c>
      <c r="Q283" s="5">
        <v>1.0</v>
      </c>
      <c r="R283" s="5" t="s">
        <v>1250</v>
      </c>
      <c r="S283" s="5" t="s">
        <v>1248</v>
      </c>
      <c r="T283" s="5" t="s">
        <v>644</v>
      </c>
      <c r="U283" s="10">
        <v>700.0</v>
      </c>
      <c r="AA283" s="5" t="s">
        <v>1251</v>
      </c>
    </row>
    <row r="284" ht="14.25" customHeight="1">
      <c r="A284" s="6" t="s">
        <v>328</v>
      </c>
      <c r="B284" s="5">
        <v>2.0</v>
      </c>
      <c r="C284" s="12" t="s">
        <v>7662</v>
      </c>
      <c r="D284" s="12" t="s">
        <v>1252</v>
      </c>
      <c r="F284" s="12" t="s">
        <v>1253</v>
      </c>
      <c r="G284" s="12" t="s">
        <v>1254</v>
      </c>
      <c r="M284" s="11">
        <v>50.70195</v>
      </c>
      <c r="N284" s="11">
        <v>-117.74273</v>
      </c>
      <c r="O284" s="11" t="s">
        <v>170</v>
      </c>
      <c r="P284" s="11">
        <v>38495.0</v>
      </c>
      <c r="Q284" s="22">
        <v>1.0</v>
      </c>
      <c r="R284" s="11" t="s">
        <v>1255</v>
      </c>
      <c r="S284" s="13" t="s">
        <v>1256</v>
      </c>
      <c r="T284" s="11" t="s">
        <v>644</v>
      </c>
      <c r="U284" s="11">
        <v>884.0</v>
      </c>
      <c r="Z284" s="11"/>
      <c r="AA284" s="11" t="s">
        <v>1257</v>
      </c>
      <c r="AB284" s="11"/>
      <c r="AC284" s="11"/>
      <c r="AD284" s="11"/>
      <c r="AE284" s="11"/>
      <c r="AF284" s="11"/>
      <c r="AG284" s="11"/>
      <c r="AH284" s="11"/>
      <c r="AI284" s="11"/>
    </row>
    <row r="285" ht="14.25" customHeight="1">
      <c r="A285" s="6"/>
      <c r="B285" s="5">
        <v>2.0</v>
      </c>
      <c r="C285" s="5" t="s">
        <v>7661</v>
      </c>
      <c r="D285" s="5">
        <v>39121.0</v>
      </c>
      <c r="E285" s="5">
        <v>2825.0</v>
      </c>
      <c r="F285" s="5" t="s">
        <v>1258</v>
      </c>
      <c r="G285" s="21" t="s">
        <v>1259</v>
      </c>
      <c r="H285" s="5" t="s">
        <v>1260</v>
      </c>
      <c r="I285" s="5" t="s">
        <v>641</v>
      </c>
      <c r="J285" s="5" t="s">
        <v>1261</v>
      </c>
      <c r="K285" s="5">
        <v>1.0</v>
      </c>
      <c r="L285" s="5">
        <v>3568.0</v>
      </c>
      <c r="M285" s="11">
        <v>49.05806</v>
      </c>
      <c r="N285" s="11">
        <v>-117.04</v>
      </c>
      <c r="O285" s="11" t="s">
        <v>170</v>
      </c>
      <c r="P285" s="11">
        <v>39121.0</v>
      </c>
      <c r="Q285" s="22">
        <v>6.0</v>
      </c>
      <c r="R285" s="11" t="s">
        <v>1258</v>
      </c>
      <c r="S285" s="13" t="s">
        <v>1262</v>
      </c>
      <c r="T285" s="11" t="s">
        <v>644</v>
      </c>
      <c r="U285" s="11">
        <v>1780.0</v>
      </c>
      <c r="Z285" s="11" t="s">
        <v>645</v>
      </c>
      <c r="AA285" s="11" t="s">
        <v>1263</v>
      </c>
      <c r="AB285" s="11"/>
      <c r="AC285" s="23"/>
      <c r="AD285" s="11"/>
      <c r="AE285" s="11"/>
      <c r="AF285" s="11"/>
      <c r="AG285" s="11"/>
      <c r="AH285" s="11"/>
      <c r="AI285" s="11"/>
    </row>
    <row r="286" ht="14.25" customHeight="1">
      <c r="A286" s="6"/>
      <c r="B286" s="5">
        <v>2.0</v>
      </c>
      <c r="C286" s="5" t="s">
        <v>7661</v>
      </c>
      <c r="D286" s="5">
        <v>39123.0</v>
      </c>
      <c r="E286" s="5">
        <v>2826.0</v>
      </c>
      <c r="F286" s="5" t="s">
        <v>1264</v>
      </c>
      <c r="G286" s="21" t="s">
        <v>1265</v>
      </c>
      <c r="H286" s="5" t="s">
        <v>1266</v>
      </c>
      <c r="I286" s="5" t="s">
        <v>641</v>
      </c>
      <c r="J286" s="5" t="s">
        <v>1267</v>
      </c>
      <c r="K286" s="5">
        <v>1.0</v>
      </c>
      <c r="L286" s="5">
        <v>3569.0</v>
      </c>
      <c r="M286" s="11">
        <v>49.07161</v>
      </c>
      <c r="N286" s="11">
        <v>-117.08389</v>
      </c>
      <c r="O286" s="11" t="s">
        <v>170</v>
      </c>
      <c r="P286" s="11">
        <v>39123.0</v>
      </c>
      <c r="Q286" s="22">
        <v>8.0</v>
      </c>
      <c r="R286" s="11" t="s">
        <v>1264</v>
      </c>
      <c r="S286" s="13" t="s">
        <v>1268</v>
      </c>
      <c r="T286" s="11" t="s">
        <v>644</v>
      </c>
      <c r="U286" s="11">
        <v>2140.0</v>
      </c>
      <c r="Z286" s="11"/>
      <c r="AA286" s="11" t="s">
        <v>1269</v>
      </c>
      <c r="AB286" s="11"/>
      <c r="AC286" s="11"/>
      <c r="AD286" s="11"/>
      <c r="AE286" s="11"/>
      <c r="AF286" s="11"/>
      <c r="AG286" s="11"/>
      <c r="AH286" s="11"/>
      <c r="AI286" s="11"/>
    </row>
    <row r="287" ht="14.25" customHeight="1">
      <c r="A287" s="6"/>
      <c r="B287" s="5">
        <v>2.0</v>
      </c>
      <c r="C287" s="5" t="s">
        <v>7661</v>
      </c>
      <c r="D287" s="5">
        <v>39124.0</v>
      </c>
      <c r="E287" s="5">
        <v>12483.0</v>
      </c>
      <c r="F287" s="5" t="s">
        <v>1270</v>
      </c>
      <c r="G287" s="21" t="s">
        <v>1271</v>
      </c>
      <c r="H287" s="5" t="s">
        <v>709</v>
      </c>
      <c r="I287" s="5" t="s">
        <v>49</v>
      </c>
      <c r="J287" s="5" t="s">
        <v>1023</v>
      </c>
      <c r="K287" s="5">
        <v>1.0</v>
      </c>
      <c r="L287" s="5">
        <v>14505.0</v>
      </c>
      <c r="M287" s="11">
        <v>49.07644</v>
      </c>
      <c r="N287" s="11">
        <v>-117.00218</v>
      </c>
      <c r="O287" s="11" t="s">
        <v>170</v>
      </c>
      <c r="P287" s="11">
        <v>39124.0</v>
      </c>
      <c r="Q287" s="22">
        <v>7.0</v>
      </c>
      <c r="R287" s="11" t="s">
        <v>1270</v>
      </c>
      <c r="S287" s="13" t="s">
        <v>1272</v>
      </c>
      <c r="T287" s="11" t="s">
        <v>644</v>
      </c>
      <c r="U287" s="11">
        <v>2054.0</v>
      </c>
      <c r="Z287" s="11"/>
      <c r="AA287" s="11" t="s">
        <v>1273</v>
      </c>
      <c r="AB287" s="11"/>
      <c r="AC287" s="11"/>
      <c r="AD287" s="11"/>
      <c r="AE287" s="11"/>
      <c r="AF287" s="11"/>
      <c r="AG287" s="11"/>
      <c r="AH287" s="11"/>
      <c r="AI287" s="11"/>
    </row>
    <row r="288" ht="14.25" customHeight="1">
      <c r="A288" s="6"/>
      <c r="B288" s="5">
        <v>2.0</v>
      </c>
      <c r="C288" s="5" t="s">
        <v>7661</v>
      </c>
      <c r="D288" s="5">
        <v>39129.0</v>
      </c>
      <c r="E288" s="5">
        <v>2827.0</v>
      </c>
      <c r="F288" s="5" t="s">
        <v>1274</v>
      </c>
      <c r="G288" s="24" t="s">
        <v>1275</v>
      </c>
      <c r="H288" s="5" t="s">
        <v>1276</v>
      </c>
      <c r="I288" s="5" t="s">
        <v>641</v>
      </c>
      <c r="J288" s="5" t="s">
        <v>1277</v>
      </c>
      <c r="K288" s="5">
        <v>1.0</v>
      </c>
      <c r="L288" s="5">
        <v>3570.0</v>
      </c>
      <c r="M288" s="11"/>
      <c r="N288" s="11"/>
      <c r="O288" s="11"/>
      <c r="P288" s="11"/>
      <c r="Q288" s="22"/>
      <c r="R288" s="11"/>
      <c r="S288" s="13"/>
      <c r="T288" s="11"/>
      <c r="U288" s="11"/>
      <c r="Z288" s="11"/>
      <c r="AA288" s="11"/>
      <c r="AB288" s="11"/>
      <c r="AC288" s="11"/>
      <c r="AD288" s="11"/>
      <c r="AE288" s="11"/>
      <c r="AF288" s="11"/>
      <c r="AG288" s="11"/>
      <c r="AH288" s="11"/>
      <c r="AI288" s="11"/>
    </row>
    <row r="289" ht="14.25" customHeight="1">
      <c r="A289" s="6" t="s">
        <v>88</v>
      </c>
      <c r="B289" s="5">
        <v>2.0</v>
      </c>
      <c r="C289" s="5" t="s">
        <v>7661</v>
      </c>
      <c r="D289" s="5">
        <v>39291.0</v>
      </c>
      <c r="E289" s="5">
        <v>12990.0</v>
      </c>
      <c r="F289" s="5" t="s">
        <v>1278</v>
      </c>
      <c r="G289" s="10" t="s">
        <v>1279</v>
      </c>
      <c r="H289" s="5" t="s">
        <v>1149</v>
      </c>
      <c r="I289" s="5" t="s">
        <v>49</v>
      </c>
      <c r="J289" s="5" t="s">
        <v>793</v>
      </c>
      <c r="K289" s="5">
        <v>1.0</v>
      </c>
      <c r="L289" s="5">
        <v>14922.0</v>
      </c>
      <c r="M289" s="29">
        <v>49.10933</v>
      </c>
      <c r="N289" s="29">
        <v>-116.16947</v>
      </c>
      <c r="O289" s="29" t="s">
        <v>170</v>
      </c>
      <c r="P289" s="29">
        <v>39291.0</v>
      </c>
      <c r="Q289" s="31">
        <v>1.0</v>
      </c>
      <c r="R289" s="29" t="s">
        <v>1280</v>
      </c>
      <c r="S289" s="32" t="s">
        <v>1278</v>
      </c>
      <c r="T289" s="29" t="s">
        <v>644</v>
      </c>
      <c r="U289" s="29">
        <v>893.0</v>
      </c>
      <c r="V289" s="29"/>
      <c r="W289" s="29"/>
      <c r="X289" s="29"/>
      <c r="Y289" s="29"/>
      <c r="Z289" s="29"/>
      <c r="AA289" s="29" t="s">
        <v>1281</v>
      </c>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row>
    <row r="290" ht="14.25" customHeight="1">
      <c r="A290" s="6" t="s">
        <v>88</v>
      </c>
      <c r="B290" s="5">
        <v>2.0</v>
      </c>
      <c r="C290" s="5" t="s">
        <v>7661</v>
      </c>
      <c r="D290" s="5">
        <v>41091.0</v>
      </c>
      <c r="E290" s="5">
        <v>2834.0</v>
      </c>
      <c r="F290" s="5" t="s">
        <v>1282</v>
      </c>
      <c r="G290" s="10" t="s">
        <v>1283</v>
      </c>
      <c r="H290" s="5" t="s">
        <v>1284</v>
      </c>
      <c r="I290" s="5" t="s">
        <v>641</v>
      </c>
      <c r="J290" s="5" t="s">
        <v>642</v>
      </c>
      <c r="K290" s="5">
        <v>1.0</v>
      </c>
      <c r="L290" s="5">
        <v>3577.0</v>
      </c>
      <c r="M290" s="10">
        <v>53.43988</v>
      </c>
      <c r="N290" s="10">
        <v>-120.50709</v>
      </c>
      <c r="O290" s="5" t="s">
        <v>170</v>
      </c>
      <c r="P290" s="5">
        <v>41091.0</v>
      </c>
      <c r="Q290" s="5">
        <v>1.0</v>
      </c>
      <c r="R290" s="5" t="s">
        <v>1282</v>
      </c>
      <c r="S290" s="5" t="s">
        <v>1285</v>
      </c>
      <c r="T290" s="5" t="s">
        <v>644</v>
      </c>
      <c r="U290" s="10">
        <v>895.0</v>
      </c>
      <c r="AA290" s="5" t="s">
        <v>1286</v>
      </c>
    </row>
    <row r="291" ht="14.25" customHeight="1">
      <c r="A291" s="6"/>
      <c r="B291" s="5">
        <v>2.0</v>
      </c>
      <c r="C291" s="5" t="s">
        <v>7661</v>
      </c>
      <c r="D291" s="5">
        <v>41092.0</v>
      </c>
      <c r="E291" s="5">
        <v>2835.0</v>
      </c>
      <c r="F291" s="5" t="s">
        <v>1287</v>
      </c>
      <c r="G291" s="21" t="s">
        <v>1288</v>
      </c>
      <c r="H291" s="5" t="s">
        <v>1289</v>
      </c>
      <c r="I291" s="5" t="s">
        <v>641</v>
      </c>
      <c r="J291" s="5" t="s">
        <v>642</v>
      </c>
      <c r="K291" s="5">
        <v>1.0</v>
      </c>
      <c r="L291" s="5">
        <v>3578.0</v>
      </c>
      <c r="M291" s="29">
        <v>55.50111</v>
      </c>
      <c r="N291" s="29">
        <v>-122.65694</v>
      </c>
      <c r="O291" s="29" t="s">
        <v>1290</v>
      </c>
      <c r="P291" s="29">
        <v>41092.0</v>
      </c>
      <c r="Q291" s="31">
        <v>1.0</v>
      </c>
      <c r="R291" s="29" t="s">
        <v>1287</v>
      </c>
      <c r="S291" s="32" t="s">
        <v>1291</v>
      </c>
      <c r="T291" s="11" t="s">
        <v>644</v>
      </c>
      <c r="U291" s="29">
        <v>730.0</v>
      </c>
      <c r="V291" s="29"/>
      <c r="W291" s="29"/>
      <c r="X291" s="29"/>
      <c r="Y291" s="29"/>
      <c r="Z291" s="29" t="s">
        <v>645</v>
      </c>
      <c r="AA291" s="29" t="s">
        <v>1292</v>
      </c>
      <c r="AB291" s="29"/>
      <c r="AC291" s="33"/>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row>
    <row r="292" ht="14.25" customHeight="1">
      <c r="A292" s="6"/>
      <c r="B292" s="5">
        <v>2.0</v>
      </c>
      <c r="C292" s="5" t="s">
        <v>7661</v>
      </c>
      <c r="D292" s="5">
        <v>41093.0</v>
      </c>
      <c r="E292" s="5">
        <v>2836.0</v>
      </c>
      <c r="F292" s="5" t="s">
        <v>1293</v>
      </c>
      <c r="G292" s="21" t="s">
        <v>1294</v>
      </c>
      <c r="H292" s="5" t="s">
        <v>1295</v>
      </c>
      <c r="I292" s="5" t="s">
        <v>641</v>
      </c>
      <c r="J292" s="5" t="s">
        <v>642</v>
      </c>
      <c r="K292" s="5">
        <v>1.0</v>
      </c>
      <c r="L292" s="5">
        <v>3579.0</v>
      </c>
      <c r="M292" s="11">
        <v>54.90389</v>
      </c>
      <c r="N292" s="11">
        <v>-122.9275</v>
      </c>
      <c r="O292" s="11" t="s">
        <v>1290</v>
      </c>
      <c r="P292" s="11">
        <v>41093.0</v>
      </c>
      <c r="Q292" s="22">
        <v>1.0</v>
      </c>
      <c r="R292" s="11" t="s">
        <v>1293</v>
      </c>
      <c r="S292" s="13" t="s">
        <v>1296</v>
      </c>
      <c r="T292" s="11" t="s">
        <v>644</v>
      </c>
      <c r="U292" s="11">
        <v>710.0</v>
      </c>
      <c r="Z292" s="11"/>
      <c r="AA292" s="11" t="s">
        <v>1297</v>
      </c>
      <c r="AB292" s="11"/>
      <c r="AC292" s="23"/>
      <c r="AD292" s="11"/>
      <c r="AE292" s="11"/>
      <c r="AF292" s="11"/>
      <c r="AG292" s="11"/>
      <c r="AH292" s="11"/>
      <c r="AI292" s="11"/>
    </row>
    <row r="293" ht="14.25" customHeight="1">
      <c r="A293" s="6"/>
      <c r="B293" s="5">
        <v>2.0</v>
      </c>
      <c r="C293" s="5" t="s">
        <v>7661</v>
      </c>
      <c r="D293" s="5">
        <v>41094.0</v>
      </c>
      <c r="E293" s="5">
        <v>2837.0</v>
      </c>
      <c r="F293" s="29" t="s">
        <v>1298</v>
      </c>
      <c r="G293" s="21" t="s">
        <v>1299</v>
      </c>
      <c r="H293" s="5" t="s">
        <v>1300</v>
      </c>
      <c r="I293" s="5" t="s">
        <v>641</v>
      </c>
      <c r="J293" s="5" t="s">
        <v>642</v>
      </c>
      <c r="K293" s="5">
        <v>1.0</v>
      </c>
      <c r="L293" s="5">
        <v>3580.0</v>
      </c>
      <c r="M293" s="29">
        <v>53.83139</v>
      </c>
      <c r="N293" s="29">
        <v>-123.13222</v>
      </c>
      <c r="O293" s="29" t="s">
        <v>1290</v>
      </c>
      <c r="P293" s="29">
        <v>41094.0</v>
      </c>
      <c r="Q293" s="31">
        <v>1.0</v>
      </c>
      <c r="R293" s="29" t="s">
        <v>1301</v>
      </c>
      <c r="S293" s="32" t="s">
        <v>1302</v>
      </c>
      <c r="T293" s="29" t="s">
        <v>644</v>
      </c>
      <c r="U293" s="29">
        <v>715.0</v>
      </c>
      <c r="V293" s="29"/>
      <c r="W293" s="29"/>
      <c r="X293" s="29"/>
      <c r="Y293" s="29"/>
      <c r="Z293" s="29"/>
      <c r="AA293" s="29" t="s">
        <v>1303</v>
      </c>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row>
    <row r="294" ht="14.25" customHeight="1">
      <c r="A294" s="6"/>
      <c r="B294" s="5">
        <v>2.0</v>
      </c>
      <c r="C294" s="5" t="s">
        <v>7661</v>
      </c>
      <c r="D294" s="5">
        <v>41095.0</v>
      </c>
      <c r="E294" s="5">
        <v>12484.0</v>
      </c>
      <c r="F294" s="5" t="s">
        <v>1304</v>
      </c>
      <c r="G294" s="21" t="s">
        <v>1305</v>
      </c>
      <c r="H294" s="5" t="s">
        <v>709</v>
      </c>
      <c r="I294" s="5" t="s">
        <v>49</v>
      </c>
      <c r="J294" s="5" t="s">
        <v>799</v>
      </c>
      <c r="K294" s="5">
        <v>1.0</v>
      </c>
      <c r="L294" s="5">
        <v>14506.0</v>
      </c>
      <c r="M294" s="10">
        <v>53.72531</v>
      </c>
      <c r="N294" s="10">
        <v>-121.13636</v>
      </c>
      <c r="P294" s="10">
        <v>41095.0</v>
      </c>
      <c r="R294" s="10" t="s">
        <v>1304</v>
      </c>
      <c r="U294" s="10">
        <v>726.0</v>
      </c>
      <c r="AA294" s="10" t="s">
        <v>1306</v>
      </c>
    </row>
    <row r="295" ht="14.25" customHeight="1">
      <c r="A295" s="6"/>
      <c r="B295" s="5">
        <v>2.0</v>
      </c>
      <c r="C295" s="5" t="s">
        <v>7661</v>
      </c>
      <c r="D295" s="5">
        <v>42091.0</v>
      </c>
      <c r="E295" s="5">
        <v>2841.0</v>
      </c>
      <c r="F295" s="5" t="s">
        <v>1307</v>
      </c>
      <c r="G295" s="21" t="s">
        <v>1308</v>
      </c>
      <c r="H295" s="5" t="s">
        <v>1309</v>
      </c>
      <c r="I295" s="5" t="s">
        <v>641</v>
      </c>
      <c r="J295" s="5" t="s">
        <v>642</v>
      </c>
      <c r="K295" s="5">
        <v>1.0</v>
      </c>
      <c r="L295" s="5">
        <v>3584.0</v>
      </c>
      <c r="M295" s="11">
        <v>52.93078</v>
      </c>
      <c r="N295" s="11">
        <v>-122.43881</v>
      </c>
      <c r="O295" s="11" t="s">
        <v>148</v>
      </c>
      <c r="P295" s="11">
        <v>42091.0</v>
      </c>
      <c r="Q295" s="22">
        <v>1.0</v>
      </c>
      <c r="R295" s="11" t="s">
        <v>1307</v>
      </c>
      <c r="S295" s="13" t="s">
        <v>1310</v>
      </c>
      <c r="T295" s="11" t="s">
        <v>644</v>
      </c>
      <c r="U295" s="11">
        <v>659.0</v>
      </c>
      <c r="Z295" s="11"/>
      <c r="AA295" s="11" t="s">
        <v>1311</v>
      </c>
      <c r="AB295" s="11"/>
      <c r="AC295" s="23"/>
      <c r="AD295" s="11"/>
      <c r="AE295" s="11"/>
      <c r="AF295" s="11"/>
      <c r="AG295" s="11"/>
      <c r="AH295" s="11"/>
      <c r="AI295" s="11"/>
    </row>
    <row r="296" ht="14.25" customHeight="1">
      <c r="A296" s="6"/>
      <c r="B296" s="5">
        <v>2.0</v>
      </c>
      <c r="C296" s="5" t="s">
        <v>7661</v>
      </c>
      <c r="D296" s="5">
        <v>42092.0</v>
      </c>
      <c r="E296" s="5">
        <v>11027.0</v>
      </c>
      <c r="F296" s="5" t="s">
        <v>1312</v>
      </c>
      <c r="G296" s="21" t="s">
        <v>1313</v>
      </c>
      <c r="H296" s="5" t="s">
        <v>969</v>
      </c>
      <c r="I296" s="5" t="s">
        <v>49</v>
      </c>
      <c r="J296" s="5" t="s">
        <v>710</v>
      </c>
      <c r="K296" s="5">
        <v>1.0</v>
      </c>
      <c r="L296" s="5">
        <v>13195.0</v>
      </c>
      <c r="M296" s="11">
        <v>53.158</v>
      </c>
      <c r="N296" s="11">
        <v>-122.36442</v>
      </c>
      <c r="O296" s="11" t="s">
        <v>148</v>
      </c>
      <c r="P296" s="11">
        <v>42092.0</v>
      </c>
      <c r="Q296" s="22">
        <v>2.0</v>
      </c>
      <c r="R296" s="11" t="s">
        <v>1312</v>
      </c>
      <c r="S296" s="13" t="s">
        <v>1314</v>
      </c>
      <c r="T296" s="11" t="s">
        <v>644</v>
      </c>
      <c r="U296" s="11">
        <v>855.0</v>
      </c>
      <c r="Z296" s="11"/>
      <c r="AA296" s="11" t="s">
        <v>1315</v>
      </c>
      <c r="AB296" s="11"/>
      <c r="AC296" s="23"/>
      <c r="AD296" s="11"/>
      <c r="AE296" s="11"/>
      <c r="AF296" s="11"/>
      <c r="AG296" s="11"/>
      <c r="AH296" s="11"/>
      <c r="AI296" s="11"/>
    </row>
    <row r="297" ht="14.25" customHeight="1">
      <c r="A297" s="6"/>
      <c r="B297" s="5">
        <v>2.0</v>
      </c>
      <c r="C297" s="5" t="s">
        <v>7661</v>
      </c>
      <c r="D297" s="5">
        <v>42121.0</v>
      </c>
      <c r="E297" s="5">
        <v>2843.0</v>
      </c>
      <c r="F297" s="5" t="s">
        <v>1316</v>
      </c>
      <c r="G297" s="21" t="s">
        <v>1317</v>
      </c>
      <c r="H297" s="5" t="s">
        <v>1318</v>
      </c>
      <c r="I297" s="5" t="s">
        <v>641</v>
      </c>
      <c r="J297" s="5" t="s">
        <v>1319</v>
      </c>
      <c r="K297" s="5">
        <v>1.0</v>
      </c>
      <c r="L297" s="5">
        <v>3586.0</v>
      </c>
      <c r="M297" s="11">
        <v>53.15667</v>
      </c>
      <c r="N297" s="11">
        <v>-121.47889</v>
      </c>
      <c r="O297" s="11" t="s">
        <v>170</v>
      </c>
      <c r="P297" s="11">
        <v>42121.0</v>
      </c>
      <c r="Q297" s="22">
        <v>5.0</v>
      </c>
      <c r="R297" s="11" t="s">
        <v>1316</v>
      </c>
      <c r="S297" s="13" t="s">
        <v>1320</v>
      </c>
      <c r="T297" s="11" t="s">
        <v>644</v>
      </c>
      <c r="U297" s="11">
        <v>1675.0</v>
      </c>
      <c r="Z297" s="11"/>
      <c r="AA297" s="11" t="s">
        <v>1321</v>
      </c>
      <c r="AB297" s="11"/>
      <c r="AC297" s="11"/>
      <c r="AD297" s="11"/>
      <c r="AE297" s="11"/>
      <c r="AF297" s="11"/>
      <c r="AG297" s="11"/>
      <c r="AH297" s="11"/>
      <c r="AI297" s="11"/>
    </row>
    <row r="298" ht="14.25" customHeight="1">
      <c r="A298" s="6" t="s">
        <v>912</v>
      </c>
      <c r="B298" s="5">
        <v>2.0</v>
      </c>
      <c r="C298" s="5" t="s">
        <v>7661</v>
      </c>
      <c r="D298" s="5">
        <v>42122.0</v>
      </c>
      <c r="E298" s="5">
        <v>12485.0</v>
      </c>
      <c r="F298" s="29" t="s">
        <v>1322</v>
      </c>
      <c r="G298" s="10" t="s">
        <v>1323</v>
      </c>
      <c r="H298" s="5" t="s">
        <v>709</v>
      </c>
      <c r="I298" s="5" t="s">
        <v>49</v>
      </c>
      <c r="J298" s="5" t="s">
        <v>896</v>
      </c>
      <c r="K298" s="5">
        <v>1.0</v>
      </c>
      <c r="L298" s="5">
        <v>14507.0</v>
      </c>
      <c r="M298" s="29">
        <v>53.15434</v>
      </c>
      <c r="N298" s="29">
        <v>-121.50459</v>
      </c>
      <c r="O298" s="29" t="s">
        <v>170</v>
      </c>
      <c r="P298" s="29">
        <v>42122.0</v>
      </c>
      <c r="Q298" s="31">
        <v>3.0</v>
      </c>
      <c r="R298" s="29" t="s">
        <v>1322</v>
      </c>
      <c r="S298" s="32" t="s">
        <v>1324</v>
      </c>
      <c r="T298" s="29" t="s">
        <v>644</v>
      </c>
      <c r="U298" s="29">
        <v>1199.0</v>
      </c>
      <c r="V298" s="29"/>
      <c r="W298" s="29"/>
      <c r="X298" s="29"/>
      <c r="Y298" s="29"/>
      <c r="Z298" s="29"/>
      <c r="AA298" s="29" t="s">
        <v>1325</v>
      </c>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c r="BR298" s="29"/>
      <c r="BS298" s="29"/>
      <c r="BT298" s="29"/>
    </row>
    <row r="299" ht="14.25" customHeight="1">
      <c r="A299" s="6"/>
      <c r="B299" s="5">
        <v>2.0</v>
      </c>
      <c r="C299" s="5" t="s">
        <v>7661</v>
      </c>
      <c r="D299" s="5">
        <v>43091.0</v>
      </c>
      <c r="E299" s="5">
        <v>2846.0</v>
      </c>
      <c r="F299" s="5" t="s">
        <v>1326</v>
      </c>
      <c r="G299" s="21" t="s">
        <v>1327</v>
      </c>
      <c r="H299" s="5" t="s">
        <v>1328</v>
      </c>
      <c r="I299" s="5" t="s">
        <v>641</v>
      </c>
      <c r="J299" s="5" t="s">
        <v>642</v>
      </c>
      <c r="K299" s="5">
        <v>1.0</v>
      </c>
      <c r="L299" s="5">
        <v>3589.0</v>
      </c>
      <c r="M299" s="11">
        <v>55.7815</v>
      </c>
      <c r="N299" s="11">
        <v>-120.76256</v>
      </c>
      <c r="O299" s="11" t="s">
        <v>153</v>
      </c>
      <c r="P299" s="11">
        <v>43091.0</v>
      </c>
      <c r="Q299" s="22">
        <v>4.0</v>
      </c>
      <c r="R299" s="11" t="s">
        <v>1326</v>
      </c>
      <c r="S299" s="13" t="s">
        <v>1329</v>
      </c>
      <c r="T299" s="11" t="s">
        <v>644</v>
      </c>
      <c r="U299" s="11">
        <v>760.0</v>
      </c>
      <c r="Z299" s="11" t="s">
        <v>645</v>
      </c>
      <c r="AA299" s="11" t="s">
        <v>1330</v>
      </c>
      <c r="AB299" s="11"/>
      <c r="AC299" s="23"/>
      <c r="AD299" s="11"/>
      <c r="AE299" s="11"/>
      <c r="AF299" s="11"/>
      <c r="AG299" s="11"/>
      <c r="AH299" s="11"/>
      <c r="AI299" s="11"/>
    </row>
    <row r="300" ht="14.25" customHeight="1">
      <c r="A300" s="6" t="s">
        <v>88</v>
      </c>
      <c r="B300" s="5">
        <v>2.0</v>
      </c>
      <c r="C300" s="5" t="s">
        <v>7661</v>
      </c>
      <c r="D300" s="5">
        <v>43092.0</v>
      </c>
      <c r="E300" s="5">
        <v>12486.0</v>
      </c>
      <c r="F300" s="29" t="s">
        <v>1331</v>
      </c>
      <c r="G300" s="10" t="s">
        <v>1332</v>
      </c>
      <c r="H300" s="5" t="s">
        <v>709</v>
      </c>
      <c r="I300" s="5" t="s">
        <v>49</v>
      </c>
      <c r="J300" s="5" t="s">
        <v>799</v>
      </c>
      <c r="K300" s="5">
        <v>1.0</v>
      </c>
      <c r="L300" s="5">
        <v>14508.0</v>
      </c>
      <c r="M300" s="38">
        <v>55.4858</v>
      </c>
      <c r="N300" s="38">
        <v>-120.03095</v>
      </c>
      <c r="O300" s="29"/>
      <c r="P300" s="38">
        <v>43092.0</v>
      </c>
      <c r="Q300" s="29"/>
      <c r="R300" s="38" t="s">
        <v>1331</v>
      </c>
      <c r="S300" s="29"/>
      <c r="T300" s="29"/>
      <c r="U300" s="38">
        <v>755.0</v>
      </c>
      <c r="V300" s="29"/>
      <c r="W300" s="29"/>
      <c r="X300" s="29"/>
      <c r="Y300" s="29"/>
      <c r="Z300" s="29"/>
      <c r="AA300" s="38" t="s">
        <v>1333</v>
      </c>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row>
    <row r="301" ht="14.25" customHeight="1">
      <c r="A301" s="6"/>
      <c r="B301" s="5">
        <v>2.0</v>
      </c>
      <c r="C301" s="5" t="s">
        <v>7661</v>
      </c>
      <c r="D301" s="5">
        <v>43126.0</v>
      </c>
      <c r="E301" s="5">
        <v>2848.0</v>
      </c>
      <c r="F301" s="5" t="s">
        <v>1334</v>
      </c>
      <c r="G301" s="24" t="s">
        <v>1335</v>
      </c>
      <c r="H301" s="5" t="s">
        <v>1336</v>
      </c>
      <c r="I301" s="5" t="s">
        <v>641</v>
      </c>
      <c r="J301" s="5" t="s">
        <v>1337</v>
      </c>
      <c r="K301" s="5">
        <v>1.0</v>
      </c>
      <c r="L301" s="5">
        <v>3591.0</v>
      </c>
    </row>
    <row r="302" ht="14.25" customHeight="1">
      <c r="A302" s="6"/>
      <c r="B302" s="5">
        <v>2.0</v>
      </c>
      <c r="C302" s="5" t="s">
        <v>7661</v>
      </c>
      <c r="D302" s="5">
        <v>43127.0</v>
      </c>
      <c r="E302" s="5">
        <v>2849.0</v>
      </c>
      <c r="F302" s="29" t="s">
        <v>1338</v>
      </c>
      <c r="G302" s="24" t="s">
        <v>1339</v>
      </c>
      <c r="H302" s="5" t="s">
        <v>1340</v>
      </c>
      <c r="I302" s="5" t="s">
        <v>641</v>
      </c>
      <c r="J302" s="5" t="s">
        <v>1341</v>
      </c>
      <c r="K302" s="5">
        <v>1.0</v>
      </c>
      <c r="L302" s="5">
        <v>3592.0</v>
      </c>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c r="BR302" s="29"/>
      <c r="BS302" s="29"/>
      <c r="BT302" s="29"/>
    </row>
    <row r="303" ht="14.25" customHeight="1">
      <c r="A303" s="6" t="s">
        <v>88</v>
      </c>
      <c r="B303" s="5">
        <v>2.0</v>
      </c>
      <c r="C303" s="5" t="s">
        <v>7661</v>
      </c>
      <c r="D303" s="5">
        <v>44091.0</v>
      </c>
      <c r="E303" s="5">
        <v>2854.0</v>
      </c>
      <c r="F303" s="5" t="s">
        <v>1342</v>
      </c>
      <c r="G303" s="10" t="s">
        <v>1343</v>
      </c>
      <c r="H303" s="5" t="s">
        <v>1344</v>
      </c>
      <c r="I303" s="5" t="s">
        <v>641</v>
      </c>
      <c r="J303" s="5" t="s">
        <v>642</v>
      </c>
      <c r="K303" s="5">
        <v>1.0</v>
      </c>
      <c r="L303" s="5">
        <v>3597.0</v>
      </c>
      <c r="M303" s="11">
        <v>56.54111</v>
      </c>
      <c r="N303" s="11">
        <v>-121.25264</v>
      </c>
      <c r="O303" s="11" t="s">
        <v>153</v>
      </c>
      <c r="P303" s="11">
        <v>44091.0</v>
      </c>
      <c r="Q303" s="22">
        <v>6.0</v>
      </c>
      <c r="R303" s="11" t="s">
        <v>1342</v>
      </c>
      <c r="S303" s="13" t="s">
        <v>1345</v>
      </c>
      <c r="T303" s="11" t="s">
        <v>644</v>
      </c>
      <c r="U303" s="11">
        <v>850.0</v>
      </c>
      <c r="Z303" s="11" t="s">
        <v>645</v>
      </c>
      <c r="AA303" s="11" t="s">
        <v>1346</v>
      </c>
      <c r="AB303" s="11"/>
      <c r="AC303" s="23"/>
      <c r="AD303" s="11"/>
      <c r="AE303" s="11"/>
      <c r="AF303" s="11"/>
      <c r="AG303" s="11"/>
      <c r="AH303" s="11"/>
      <c r="AI303" s="11"/>
    </row>
    <row r="304" ht="14.25" customHeight="1">
      <c r="A304" s="42"/>
      <c r="B304" s="29">
        <v>2.0</v>
      </c>
      <c r="C304" s="29" t="s">
        <v>7661</v>
      </c>
      <c r="D304" s="29">
        <v>44092.0</v>
      </c>
      <c r="E304" s="29">
        <v>12487.0</v>
      </c>
      <c r="F304" s="29" t="s">
        <v>1347</v>
      </c>
      <c r="G304" s="30" t="s">
        <v>1348</v>
      </c>
      <c r="H304" s="5" t="s">
        <v>709</v>
      </c>
      <c r="I304" s="5" t="s">
        <v>49</v>
      </c>
      <c r="J304" s="5" t="s">
        <v>799</v>
      </c>
      <c r="K304" s="5">
        <v>1.0</v>
      </c>
      <c r="L304" s="5">
        <v>14509.0</v>
      </c>
      <c r="M304" s="38">
        <v>50.07938</v>
      </c>
      <c r="N304" s="38">
        <v>-120.64055</v>
      </c>
      <c r="O304" s="29"/>
      <c r="P304" s="38">
        <v>44092.0</v>
      </c>
      <c r="Q304" s="29"/>
      <c r="R304" s="38" t="s">
        <v>1347</v>
      </c>
      <c r="S304" s="29"/>
      <c r="T304" s="29"/>
      <c r="U304" s="38">
        <v>750.0</v>
      </c>
      <c r="V304" s="29"/>
      <c r="W304" s="29"/>
      <c r="X304" s="29"/>
      <c r="Y304" s="29"/>
      <c r="Z304" s="29"/>
      <c r="AA304" s="38" t="s">
        <v>1349</v>
      </c>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row>
    <row r="305" ht="14.25" customHeight="1">
      <c r="A305" s="42"/>
      <c r="B305" s="29">
        <v>2.0</v>
      </c>
      <c r="C305" s="29" t="s">
        <v>7661</v>
      </c>
      <c r="D305" s="29">
        <v>44093.0</v>
      </c>
      <c r="E305" s="29">
        <v>12488.0</v>
      </c>
      <c r="F305" s="29" t="s">
        <v>1350</v>
      </c>
      <c r="G305" s="30" t="s">
        <v>1351</v>
      </c>
      <c r="H305" s="5" t="s">
        <v>709</v>
      </c>
      <c r="I305" s="5" t="s">
        <v>49</v>
      </c>
      <c r="J305" s="5" t="s">
        <v>799</v>
      </c>
      <c r="K305" s="5">
        <v>1.0</v>
      </c>
      <c r="L305" s="5">
        <v>14510.0</v>
      </c>
      <c r="M305" s="38">
        <v>56.04469</v>
      </c>
      <c r="N305" s="38">
        <v>-121.88913</v>
      </c>
      <c r="O305" s="29"/>
      <c r="P305" s="38">
        <v>44093.0</v>
      </c>
      <c r="Q305" s="29"/>
      <c r="R305" s="38" t="s">
        <v>1350</v>
      </c>
      <c r="S305" s="29"/>
      <c r="T305" s="29"/>
      <c r="U305" s="38">
        <v>527.0</v>
      </c>
      <c r="V305" s="29"/>
      <c r="W305" s="29"/>
      <c r="X305" s="29"/>
      <c r="Y305" s="29"/>
      <c r="Z305" s="29"/>
      <c r="AA305" s="38" t="s">
        <v>1352</v>
      </c>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row>
    <row r="306" ht="14.25" customHeight="1">
      <c r="A306" s="6"/>
      <c r="B306" s="5">
        <v>2.0</v>
      </c>
      <c r="C306" s="5" t="s">
        <v>7661</v>
      </c>
      <c r="D306" s="5">
        <v>45091.0</v>
      </c>
      <c r="E306" s="5">
        <v>12495.0</v>
      </c>
      <c r="F306" s="5" t="s">
        <v>1353</v>
      </c>
      <c r="G306" s="21" t="s">
        <v>1354</v>
      </c>
      <c r="H306" s="5" t="s">
        <v>709</v>
      </c>
      <c r="I306" s="5" t="s">
        <v>49</v>
      </c>
      <c r="J306" s="5" t="s">
        <v>799</v>
      </c>
      <c r="K306" s="5">
        <v>1.0</v>
      </c>
      <c r="L306" s="5">
        <v>14517.0</v>
      </c>
      <c r="M306" s="11">
        <v>54.05579</v>
      </c>
      <c r="N306" s="11">
        <v>-124.4777</v>
      </c>
      <c r="O306" s="11" t="s">
        <v>148</v>
      </c>
      <c r="P306" s="11">
        <v>45091.0</v>
      </c>
      <c r="Q306" s="22">
        <v>1.0</v>
      </c>
      <c r="R306" s="11" t="s">
        <v>1353</v>
      </c>
      <c r="S306" s="13" t="s">
        <v>1355</v>
      </c>
      <c r="T306" s="11" t="s">
        <v>644</v>
      </c>
      <c r="U306" s="11">
        <v>800.0</v>
      </c>
      <c r="Z306" s="11"/>
      <c r="AA306" s="11" t="s">
        <v>1356</v>
      </c>
      <c r="AB306" s="11"/>
      <c r="AC306" s="11"/>
      <c r="AD306" s="11"/>
      <c r="AE306" s="11"/>
      <c r="AF306" s="11"/>
      <c r="AG306" s="11"/>
      <c r="AH306" s="11"/>
      <c r="AI306" s="11"/>
    </row>
    <row r="307" ht="14.25" customHeight="1">
      <c r="A307" s="6"/>
      <c r="B307" s="5">
        <v>2.0</v>
      </c>
      <c r="C307" s="5" t="s">
        <v>7661</v>
      </c>
      <c r="D307" s="5">
        <v>45092.0</v>
      </c>
      <c r="E307" s="5">
        <v>12489.0</v>
      </c>
      <c r="F307" s="5" t="s">
        <v>1357</v>
      </c>
      <c r="G307" s="21" t="s">
        <v>1358</v>
      </c>
      <c r="H307" s="5" t="s">
        <v>709</v>
      </c>
      <c r="I307" s="5" t="s">
        <v>49</v>
      </c>
      <c r="J307" s="5" t="s">
        <v>799</v>
      </c>
      <c r="K307" s="5">
        <v>1.0</v>
      </c>
      <c r="L307" s="5">
        <v>14511.0</v>
      </c>
      <c r="M307" s="10">
        <v>54.3456</v>
      </c>
      <c r="N307" s="10">
        <v>124.27644</v>
      </c>
      <c r="P307" s="10">
        <v>45092.0</v>
      </c>
      <c r="Q307" s="10"/>
      <c r="R307" s="10" t="s">
        <v>1357</v>
      </c>
      <c r="U307" s="10">
        <v>727.0</v>
      </c>
      <c r="AA307" s="10" t="s">
        <v>1359</v>
      </c>
    </row>
    <row r="308" ht="14.25" customHeight="1">
      <c r="A308" s="6"/>
      <c r="B308" s="5">
        <v>2.0</v>
      </c>
      <c r="C308" s="5" t="s">
        <v>7661</v>
      </c>
      <c r="D308" s="5">
        <v>46094.0</v>
      </c>
      <c r="E308" s="5">
        <v>2860.0</v>
      </c>
      <c r="F308" s="5" t="s">
        <v>1360</v>
      </c>
      <c r="G308" s="21" t="s">
        <v>1361</v>
      </c>
      <c r="H308" s="5" t="s">
        <v>1362</v>
      </c>
      <c r="I308" s="5" t="s">
        <v>641</v>
      </c>
      <c r="J308" s="5" t="s">
        <v>755</v>
      </c>
      <c r="K308" s="5">
        <v>1.0</v>
      </c>
      <c r="L308" s="5">
        <v>3603.0</v>
      </c>
      <c r="M308" s="11">
        <v>52.38556</v>
      </c>
      <c r="N308" s="11">
        <v>-119.18008</v>
      </c>
      <c r="O308" s="11" t="s">
        <v>170</v>
      </c>
      <c r="P308" s="11">
        <v>46094.0</v>
      </c>
      <c r="Q308" s="22">
        <v>1.0</v>
      </c>
      <c r="R308" s="11" t="s">
        <v>1360</v>
      </c>
      <c r="S308" s="13" t="s">
        <v>1363</v>
      </c>
      <c r="T308" s="11" t="s">
        <v>644</v>
      </c>
      <c r="U308" s="11">
        <v>786.0</v>
      </c>
      <c r="Z308" s="11"/>
      <c r="AA308" s="11" t="s">
        <v>1364</v>
      </c>
      <c r="AB308" s="11"/>
      <c r="AC308" s="23"/>
      <c r="AD308" s="11"/>
      <c r="AE308" s="11"/>
      <c r="AF308" s="11"/>
      <c r="AG308" s="11"/>
      <c r="AH308" s="11"/>
      <c r="AI308" s="11"/>
    </row>
    <row r="309" ht="14.25" customHeight="1">
      <c r="A309" s="6"/>
      <c r="B309" s="5">
        <v>2.0</v>
      </c>
      <c r="C309" s="5" t="s">
        <v>7661</v>
      </c>
      <c r="D309" s="5">
        <v>46125.0</v>
      </c>
      <c r="E309" s="5">
        <v>2862.0</v>
      </c>
      <c r="F309" s="5" t="s">
        <v>1365</v>
      </c>
      <c r="G309" s="24" t="s">
        <v>1366</v>
      </c>
      <c r="H309" s="5" t="s">
        <v>1367</v>
      </c>
      <c r="I309" s="5" t="s">
        <v>641</v>
      </c>
      <c r="J309" s="5" t="s">
        <v>867</v>
      </c>
      <c r="K309" s="5">
        <v>1.0</v>
      </c>
      <c r="L309" s="5">
        <v>3605.0</v>
      </c>
    </row>
    <row r="310" ht="14.25" customHeight="1">
      <c r="A310" s="6"/>
      <c r="B310" s="5">
        <v>2.0</v>
      </c>
      <c r="C310" s="5" t="s">
        <v>7661</v>
      </c>
      <c r="D310" s="5">
        <v>46126.0</v>
      </c>
      <c r="E310" s="5">
        <v>2863.0</v>
      </c>
      <c r="F310" s="29" t="s">
        <v>1368</v>
      </c>
      <c r="G310" s="24" t="s">
        <v>1369</v>
      </c>
      <c r="H310" s="5" t="s">
        <v>1370</v>
      </c>
      <c r="I310" s="5" t="s">
        <v>641</v>
      </c>
      <c r="J310" s="5" t="s">
        <v>1371</v>
      </c>
      <c r="K310" s="5">
        <v>1.0</v>
      </c>
      <c r="L310" s="5">
        <v>3606.0</v>
      </c>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row>
    <row r="311" ht="14.25" customHeight="1">
      <c r="A311" s="6"/>
      <c r="B311" s="5">
        <v>2.0</v>
      </c>
      <c r="C311" s="5" t="s">
        <v>7661</v>
      </c>
      <c r="D311" s="5">
        <v>46127.0</v>
      </c>
      <c r="E311" s="5">
        <v>2864.0</v>
      </c>
      <c r="F311" s="29" t="s">
        <v>1372</v>
      </c>
      <c r="G311" s="21" t="s">
        <v>1373</v>
      </c>
      <c r="H311" s="5" t="s">
        <v>1374</v>
      </c>
      <c r="I311" s="5" t="s">
        <v>641</v>
      </c>
      <c r="J311" s="5" t="s">
        <v>755</v>
      </c>
      <c r="K311" s="5">
        <v>1.0</v>
      </c>
      <c r="L311" s="5">
        <v>3607.0</v>
      </c>
      <c r="M311" s="29">
        <v>53.03303</v>
      </c>
      <c r="N311" s="29">
        <v>-119.2003</v>
      </c>
      <c r="O311" s="29" t="s">
        <v>170</v>
      </c>
      <c r="P311" s="29">
        <v>46127.0</v>
      </c>
      <c r="Q311" s="31">
        <v>2.0</v>
      </c>
      <c r="R311" s="29" t="s">
        <v>1372</v>
      </c>
      <c r="S311" s="32" t="s">
        <v>1375</v>
      </c>
      <c r="T311" s="29" t="s">
        <v>644</v>
      </c>
      <c r="U311" s="29">
        <v>944.0</v>
      </c>
      <c r="V311" s="29"/>
      <c r="W311" s="29"/>
      <c r="X311" s="29"/>
      <c r="Y311" s="29"/>
      <c r="Z311" s="29"/>
      <c r="AA311" s="29" t="s">
        <v>1376</v>
      </c>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row>
    <row r="312" ht="14.25" customHeight="1">
      <c r="A312" s="6"/>
      <c r="B312" s="5">
        <v>2.0</v>
      </c>
      <c r="C312" s="5" t="s">
        <v>7661</v>
      </c>
      <c r="D312" s="5">
        <v>46191.0</v>
      </c>
      <c r="E312" s="5">
        <v>12490.0</v>
      </c>
      <c r="F312" s="5" t="s">
        <v>1377</v>
      </c>
      <c r="G312" s="21" t="s">
        <v>1378</v>
      </c>
      <c r="H312" s="5" t="s">
        <v>1379</v>
      </c>
      <c r="I312" s="5" t="s">
        <v>49</v>
      </c>
      <c r="J312" s="5" t="s">
        <v>1380</v>
      </c>
      <c r="K312" s="5">
        <v>1.0</v>
      </c>
      <c r="L312" s="5">
        <v>14512.0</v>
      </c>
      <c r="M312" s="11">
        <v>52.88428</v>
      </c>
      <c r="N312" s="11">
        <v>-118.46087</v>
      </c>
      <c r="O312" s="11" t="s">
        <v>170</v>
      </c>
      <c r="P312" s="11">
        <v>46191.0</v>
      </c>
      <c r="Q312" s="22">
        <v>3.0</v>
      </c>
      <c r="R312" s="11" t="s">
        <v>1377</v>
      </c>
      <c r="S312" s="13" t="s">
        <v>1381</v>
      </c>
      <c r="T312" s="11" t="s">
        <v>644</v>
      </c>
      <c r="U312" s="11">
        <v>1145.0</v>
      </c>
      <c r="Z312" s="11"/>
      <c r="AA312" s="11" t="s">
        <v>1382</v>
      </c>
      <c r="AB312" s="11"/>
      <c r="AC312" s="11"/>
      <c r="AD312" s="11"/>
      <c r="AE312" s="11"/>
      <c r="AF312" s="11"/>
      <c r="AG312" s="11"/>
      <c r="AH312" s="11"/>
      <c r="AI312" s="11"/>
    </row>
    <row r="313" ht="14.25" customHeight="1">
      <c r="A313" s="6"/>
      <c r="B313" s="5">
        <v>2.0</v>
      </c>
      <c r="C313" s="5" t="s">
        <v>7661</v>
      </c>
      <c r="D313" s="5">
        <v>47091.0</v>
      </c>
      <c r="E313" s="5">
        <v>2869.0</v>
      </c>
      <c r="F313" s="29" t="s">
        <v>1383</v>
      </c>
      <c r="G313" s="21" t="s">
        <v>1384</v>
      </c>
      <c r="H313" s="5" t="s">
        <v>1385</v>
      </c>
      <c r="I313" s="5" t="s">
        <v>641</v>
      </c>
      <c r="J313" s="5" t="s">
        <v>755</v>
      </c>
      <c r="K313" s="5">
        <v>1.0</v>
      </c>
      <c r="L313" s="5">
        <v>3612.0</v>
      </c>
      <c r="M313" s="29">
        <v>51.93747</v>
      </c>
      <c r="N313" s="29">
        <v>-122.98586</v>
      </c>
      <c r="O313" s="29" t="s">
        <v>148</v>
      </c>
      <c r="P313" s="29">
        <v>47091.0</v>
      </c>
      <c r="Q313" s="31">
        <v>4.0</v>
      </c>
      <c r="R313" s="29" t="s">
        <v>1383</v>
      </c>
      <c r="S313" s="32" t="s">
        <v>1386</v>
      </c>
      <c r="T313" s="29" t="s">
        <v>644</v>
      </c>
      <c r="U313" s="29">
        <v>1090.0</v>
      </c>
      <c r="V313" s="29"/>
      <c r="W313" s="29"/>
      <c r="X313" s="29"/>
      <c r="Y313" s="29"/>
      <c r="Z313" s="29" t="s">
        <v>645</v>
      </c>
      <c r="AA313" s="29" t="s">
        <v>1387</v>
      </c>
      <c r="AB313" s="29"/>
      <c r="AC313" s="33"/>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row>
    <row r="314" ht="14.25" customHeight="1">
      <c r="A314" s="6" t="s">
        <v>88</v>
      </c>
      <c r="B314" s="5">
        <v>2.0</v>
      </c>
      <c r="C314" s="5" t="s">
        <v>7661</v>
      </c>
      <c r="D314" s="5">
        <v>47092.0</v>
      </c>
      <c r="E314" s="5">
        <v>2870.0</v>
      </c>
      <c r="F314" s="5" t="s">
        <v>1388</v>
      </c>
      <c r="G314" s="10" t="s">
        <v>1389</v>
      </c>
      <c r="H314" s="5" t="s">
        <v>1390</v>
      </c>
      <c r="I314" s="5" t="s">
        <v>641</v>
      </c>
      <c r="J314" s="5" t="s">
        <v>642</v>
      </c>
      <c r="K314" s="5">
        <v>1.0</v>
      </c>
      <c r="L314" s="5">
        <v>3613.0</v>
      </c>
      <c r="M314" s="11">
        <v>51.96181</v>
      </c>
      <c r="N314" s="11">
        <v>-121.79314</v>
      </c>
      <c r="O314" s="11" t="s">
        <v>148</v>
      </c>
      <c r="P314" s="11">
        <v>47092.0</v>
      </c>
      <c r="Q314" s="22">
        <v>1.0</v>
      </c>
      <c r="R314" s="11" t="s">
        <v>1388</v>
      </c>
      <c r="S314" s="13" t="s">
        <v>1391</v>
      </c>
      <c r="T314" s="11" t="s">
        <v>644</v>
      </c>
      <c r="U314" s="11">
        <v>730.0</v>
      </c>
      <c r="Z314" s="11" t="s">
        <v>645</v>
      </c>
      <c r="AA314" s="11" t="s">
        <v>1392</v>
      </c>
      <c r="AB314" s="11"/>
      <c r="AC314" s="23"/>
      <c r="AD314" s="11"/>
      <c r="AE314" s="11"/>
      <c r="AF314" s="11"/>
      <c r="AG314" s="11"/>
      <c r="AH314" s="11"/>
      <c r="AI314" s="11"/>
    </row>
    <row r="315" ht="14.25" customHeight="1">
      <c r="A315" s="6" t="s">
        <v>772</v>
      </c>
      <c r="B315" s="5">
        <v>2.0</v>
      </c>
      <c r="C315" s="5" t="s">
        <v>7661</v>
      </c>
      <c r="D315" s="5">
        <v>47094.0</v>
      </c>
      <c r="E315" s="5">
        <v>13018.0</v>
      </c>
      <c r="F315" s="12" t="s">
        <v>1393</v>
      </c>
      <c r="G315" s="10" t="s">
        <v>1394</v>
      </c>
      <c r="H315" s="5" t="s">
        <v>792</v>
      </c>
      <c r="I315" s="5" t="s">
        <v>49</v>
      </c>
      <c r="J315" s="5" t="s">
        <v>793</v>
      </c>
      <c r="K315" s="5">
        <v>1.0</v>
      </c>
      <c r="L315" s="5">
        <v>14950.0</v>
      </c>
      <c r="M315" s="11">
        <v>52.24473</v>
      </c>
      <c r="N315" s="11">
        <v>-122.11796</v>
      </c>
      <c r="O315" s="11" t="s">
        <v>148</v>
      </c>
      <c r="P315" s="11">
        <v>47094.0</v>
      </c>
      <c r="Q315" s="22">
        <v>1.0</v>
      </c>
      <c r="R315" s="11" t="s">
        <v>1395</v>
      </c>
      <c r="S315" s="13" t="s">
        <v>1396</v>
      </c>
      <c r="T315" s="11" t="s">
        <v>644</v>
      </c>
      <c r="U315" s="11">
        <v>799.0</v>
      </c>
      <c r="Z315" s="11"/>
      <c r="AA315" s="11" t="s">
        <v>1397</v>
      </c>
      <c r="AB315" s="11"/>
      <c r="AC315" s="11"/>
      <c r="AD315" s="11"/>
      <c r="AE315" s="11"/>
      <c r="AF315" s="11"/>
      <c r="AG315" s="11"/>
      <c r="AH315" s="11"/>
      <c r="AI315" s="11"/>
    </row>
    <row r="316" ht="14.25" customHeight="1">
      <c r="A316" s="6"/>
      <c r="B316" s="5">
        <v>2.0</v>
      </c>
      <c r="C316" s="5" t="s">
        <v>7661</v>
      </c>
      <c r="D316" s="5">
        <v>47121.0</v>
      </c>
      <c r="E316" s="5">
        <v>2873.0</v>
      </c>
      <c r="F316" s="5" t="s">
        <v>1398</v>
      </c>
      <c r="G316" s="21" t="s">
        <v>1399</v>
      </c>
      <c r="H316" s="5" t="s">
        <v>1400</v>
      </c>
      <c r="I316" s="5" t="s">
        <v>49</v>
      </c>
      <c r="J316" s="5" t="s">
        <v>1401</v>
      </c>
      <c r="K316" s="5">
        <v>1.0</v>
      </c>
      <c r="L316" s="5">
        <v>3616.0</v>
      </c>
      <c r="M316" s="11">
        <v>52.35569</v>
      </c>
      <c r="N316" s="11">
        <v>-126.77178</v>
      </c>
      <c r="O316" s="11" t="s">
        <v>51</v>
      </c>
      <c r="P316" s="11">
        <v>47121.0</v>
      </c>
      <c r="Q316" s="22">
        <v>6.0</v>
      </c>
      <c r="R316" s="11" t="s">
        <v>1402</v>
      </c>
      <c r="S316" s="13" t="s">
        <v>1403</v>
      </c>
      <c r="T316" s="11" t="s">
        <v>644</v>
      </c>
      <c r="U316" s="11">
        <v>1160.0</v>
      </c>
      <c r="Z316" s="11"/>
      <c r="AA316" s="11" t="s">
        <v>1404</v>
      </c>
      <c r="AB316" s="11"/>
      <c r="AC316" s="11"/>
      <c r="AD316" s="11"/>
      <c r="AE316" s="11"/>
      <c r="AF316" s="11"/>
      <c r="AG316" s="11"/>
      <c r="AH316" s="11"/>
      <c r="AI316" s="11"/>
    </row>
    <row r="317" ht="14.25" customHeight="1">
      <c r="A317" s="6"/>
      <c r="B317" s="5">
        <v>2.0</v>
      </c>
      <c r="C317" s="5" t="s">
        <v>7661</v>
      </c>
      <c r="D317" s="5">
        <v>47122.0</v>
      </c>
      <c r="E317" s="5">
        <v>2874.0</v>
      </c>
      <c r="F317" s="29" t="s">
        <v>1405</v>
      </c>
      <c r="G317" s="21" t="s">
        <v>1406</v>
      </c>
      <c r="H317" s="5" t="s">
        <v>1407</v>
      </c>
      <c r="I317" s="5" t="s">
        <v>641</v>
      </c>
      <c r="J317" s="5" t="s">
        <v>1408</v>
      </c>
      <c r="K317" s="5">
        <v>1.0</v>
      </c>
      <c r="L317" s="5">
        <v>3617.0</v>
      </c>
      <c r="M317" s="29">
        <v>52.4347</v>
      </c>
      <c r="N317" s="29">
        <v>-125.87449</v>
      </c>
      <c r="O317" s="29" t="s">
        <v>148</v>
      </c>
      <c r="P317" s="29">
        <v>47122.0</v>
      </c>
      <c r="Q317" s="31">
        <v>3.0</v>
      </c>
      <c r="R317" s="29" t="s">
        <v>1405</v>
      </c>
      <c r="S317" s="32" t="s">
        <v>1409</v>
      </c>
      <c r="T317" s="29" t="s">
        <v>644</v>
      </c>
      <c r="U317" s="29">
        <v>975.0</v>
      </c>
      <c r="V317" s="29"/>
      <c r="W317" s="29"/>
      <c r="X317" s="29"/>
      <c r="Y317" s="29"/>
      <c r="Z317" s="29" t="s">
        <v>645</v>
      </c>
      <c r="AA317" s="29" t="s">
        <v>1410</v>
      </c>
      <c r="AB317" s="29"/>
      <c r="AC317" s="33"/>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row>
    <row r="318" ht="14.25" customHeight="1">
      <c r="A318" s="6"/>
      <c r="B318" s="5">
        <v>2.0</v>
      </c>
      <c r="C318" s="5" t="s">
        <v>7661</v>
      </c>
      <c r="D318" s="5">
        <v>47123.0</v>
      </c>
      <c r="E318" s="5">
        <v>11028.0</v>
      </c>
      <c r="F318" s="5" t="s">
        <v>1411</v>
      </c>
      <c r="G318" s="21" t="s">
        <v>1412</v>
      </c>
      <c r="H318" s="5" t="s">
        <v>891</v>
      </c>
      <c r="I318" s="5" t="s">
        <v>49</v>
      </c>
      <c r="J318" s="5" t="s">
        <v>1413</v>
      </c>
      <c r="K318" s="5">
        <v>1.0</v>
      </c>
      <c r="L318" s="5">
        <v>13196.0</v>
      </c>
      <c r="M318" s="11">
        <v>52.37055</v>
      </c>
      <c r="N318" s="11">
        <v>-126.75435</v>
      </c>
      <c r="O318" s="11" t="s">
        <v>51</v>
      </c>
      <c r="P318" s="11">
        <v>47123.0</v>
      </c>
      <c r="Q318" s="22">
        <v>1.0</v>
      </c>
      <c r="R318" s="11" t="s">
        <v>1411</v>
      </c>
      <c r="S318" s="13" t="s">
        <v>1414</v>
      </c>
      <c r="T318" s="11" t="s">
        <v>644</v>
      </c>
      <c r="U318" s="11">
        <v>20.0</v>
      </c>
      <c r="Z318" s="11"/>
      <c r="AA318" s="11" t="s">
        <v>1415</v>
      </c>
      <c r="AB318" s="11"/>
      <c r="AC318" s="23"/>
      <c r="AD318" s="11"/>
      <c r="AE318" s="11"/>
      <c r="AF318" s="11"/>
      <c r="AG318" s="11"/>
    </row>
    <row r="319" ht="14.25" customHeight="1">
      <c r="A319" s="6"/>
      <c r="B319" s="5">
        <v>2.0</v>
      </c>
      <c r="C319" s="5" t="s">
        <v>7661</v>
      </c>
      <c r="D319" s="5">
        <v>51121.0</v>
      </c>
      <c r="E319" s="5">
        <v>2886.0</v>
      </c>
      <c r="F319" s="5" t="s">
        <v>1416</v>
      </c>
      <c r="G319" s="24" t="s">
        <v>1417</v>
      </c>
      <c r="H319" s="5" t="s">
        <v>1418</v>
      </c>
      <c r="I319" s="5" t="s">
        <v>641</v>
      </c>
      <c r="J319" s="5" t="s">
        <v>670</v>
      </c>
      <c r="K319" s="5">
        <v>1.0</v>
      </c>
      <c r="L319" s="5">
        <v>3629.0</v>
      </c>
    </row>
    <row r="320" ht="14.25" customHeight="1">
      <c r="A320" s="6"/>
      <c r="B320" s="5">
        <v>2.0</v>
      </c>
      <c r="C320" s="5" t="s">
        <v>7661</v>
      </c>
      <c r="D320" s="5">
        <v>51122.0</v>
      </c>
      <c r="E320" s="5">
        <v>2887.0</v>
      </c>
      <c r="F320" s="5" t="s">
        <v>1419</v>
      </c>
      <c r="G320" s="24" t="s">
        <v>1420</v>
      </c>
      <c r="H320" s="5" t="s">
        <v>1421</v>
      </c>
      <c r="I320" s="5" t="s">
        <v>641</v>
      </c>
      <c r="J320" s="5" t="s">
        <v>1371</v>
      </c>
      <c r="K320" s="5">
        <v>1.0</v>
      </c>
      <c r="L320" s="5">
        <v>3630.0</v>
      </c>
    </row>
    <row r="321" ht="14.25" customHeight="1">
      <c r="A321" s="6"/>
      <c r="B321" s="5">
        <v>2.0</v>
      </c>
      <c r="C321" s="5" t="s">
        <v>7661</v>
      </c>
      <c r="D321" s="5">
        <v>51123.0</v>
      </c>
      <c r="E321" s="5">
        <v>2888.0</v>
      </c>
      <c r="F321" s="5" t="s">
        <v>1422</v>
      </c>
      <c r="G321" s="24" t="s">
        <v>1423</v>
      </c>
      <c r="H321" s="5" t="s">
        <v>1424</v>
      </c>
      <c r="I321" s="5" t="s">
        <v>641</v>
      </c>
      <c r="J321" s="5" t="s">
        <v>674</v>
      </c>
      <c r="K321" s="5">
        <v>1.0</v>
      </c>
      <c r="L321" s="5">
        <v>3631.0</v>
      </c>
    </row>
    <row r="322" ht="14.25" customHeight="1">
      <c r="A322" s="6" t="s">
        <v>88</v>
      </c>
      <c r="B322" s="5">
        <v>2.0</v>
      </c>
      <c r="C322" s="5" t="s">
        <v>7661</v>
      </c>
      <c r="D322" s="5">
        <v>51124.0</v>
      </c>
      <c r="E322" s="5">
        <v>2889.0</v>
      </c>
      <c r="F322" s="5" t="s">
        <v>1425</v>
      </c>
      <c r="G322" s="10" t="s">
        <v>1426</v>
      </c>
      <c r="H322" s="5" t="s">
        <v>1427</v>
      </c>
      <c r="I322" s="5" t="s">
        <v>641</v>
      </c>
      <c r="J322" s="5" t="s">
        <v>662</v>
      </c>
      <c r="K322" s="5">
        <v>1.0</v>
      </c>
      <c r="L322" s="5">
        <v>3632.0</v>
      </c>
      <c r="M322" s="11">
        <v>56.12</v>
      </c>
      <c r="N322" s="11">
        <v>-129.52642</v>
      </c>
      <c r="O322" s="11" t="s">
        <v>51</v>
      </c>
      <c r="P322" s="11">
        <v>51124.0</v>
      </c>
      <c r="Q322" s="22">
        <v>7.0</v>
      </c>
      <c r="R322" s="11" t="s">
        <v>1425</v>
      </c>
      <c r="S322" s="13" t="s">
        <v>1428</v>
      </c>
      <c r="T322" s="11" t="s">
        <v>644</v>
      </c>
      <c r="U322" s="11">
        <v>1490.0</v>
      </c>
      <c r="Z322" s="11"/>
      <c r="AA322" s="11" t="s">
        <v>1429</v>
      </c>
      <c r="AB322" s="11"/>
      <c r="AC322" s="11"/>
      <c r="AD322" s="11"/>
      <c r="AE322" s="11"/>
      <c r="AF322" s="11"/>
      <c r="AG322" s="11"/>
      <c r="AH322" s="11"/>
      <c r="AI322" s="11"/>
    </row>
    <row r="323" ht="14.25" customHeight="1">
      <c r="A323" s="6"/>
      <c r="B323" s="5">
        <v>2.0</v>
      </c>
      <c r="C323" s="5" t="s">
        <v>7661</v>
      </c>
      <c r="D323" s="5">
        <v>51125.0</v>
      </c>
      <c r="E323" s="5">
        <v>2890.0</v>
      </c>
      <c r="F323" s="5" t="s">
        <v>1430</v>
      </c>
      <c r="G323" s="21" t="s">
        <v>1431</v>
      </c>
      <c r="H323" s="5" t="s">
        <v>1432</v>
      </c>
      <c r="I323" s="5" t="s">
        <v>641</v>
      </c>
      <c r="J323" s="5" t="s">
        <v>1224</v>
      </c>
      <c r="K323" s="5">
        <v>1.0</v>
      </c>
      <c r="L323" s="5">
        <v>3633.0</v>
      </c>
      <c r="M323" s="11">
        <v>56.09972</v>
      </c>
      <c r="N323" s="11">
        <v>-129.75167</v>
      </c>
      <c r="O323" s="11" t="s">
        <v>51</v>
      </c>
      <c r="P323" s="11">
        <v>51125.0</v>
      </c>
      <c r="Q323" s="22">
        <v>8.0</v>
      </c>
      <c r="R323" s="11" t="s">
        <v>1430</v>
      </c>
      <c r="S323" s="13" t="s">
        <v>1433</v>
      </c>
      <c r="T323" s="11" t="s">
        <v>644</v>
      </c>
      <c r="U323" s="11">
        <v>2000.0</v>
      </c>
      <c r="Z323" s="11"/>
      <c r="AA323" s="11" t="s">
        <v>1434</v>
      </c>
      <c r="AB323" s="11"/>
      <c r="AC323" s="11"/>
      <c r="AD323" s="11"/>
      <c r="AE323" s="11"/>
      <c r="AF323" s="11"/>
      <c r="AG323" s="11"/>
      <c r="AH323" s="11"/>
      <c r="AI323" s="11"/>
    </row>
    <row r="324" ht="14.25" customHeight="1">
      <c r="A324" s="6" t="s">
        <v>88</v>
      </c>
      <c r="B324" s="5">
        <v>2.0</v>
      </c>
      <c r="C324" s="5" t="s">
        <v>7661</v>
      </c>
      <c r="D324" s="5">
        <v>51126.0</v>
      </c>
      <c r="E324" s="5">
        <v>2891.0</v>
      </c>
      <c r="F324" s="5" t="s">
        <v>1435</v>
      </c>
      <c r="G324" s="10" t="s">
        <v>1436</v>
      </c>
      <c r="H324" s="5" t="s">
        <v>1437</v>
      </c>
      <c r="I324" s="5" t="s">
        <v>641</v>
      </c>
      <c r="J324" s="5" t="s">
        <v>1438</v>
      </c>
      <c r="K324" s="5">
        <v>1.0</v>
      </c>
      <c r="L324" s="5">
        <v>3634.0</v>
      </c>
      <c r="M324" s="11">
        <v>56.09987</v>
      </c>
      <c r="N324" s="11">
        <v>-129.51218</v>
      </c>
      <c r="O324" s="11" t="s">
        <v>51</v>
      </c>
      <c r="P324" s="11">
        <v>51126.0</v>
      </c>
      <c r="Q324" s="22">
        <v>3.0</v>
      </c>
      <c r="R324" s="11" t="s">
        <v>1435</v>
      </c>
      <c r="S324" s="13" t="s">
        <v>1439</v>
      </c>
      <c r="T324" s="11" t="s">
        <v>644</v>
      </c>
      <c r="U324" s="11">
        <v>370.0</v>
      </c>
      <c r="Z324" s="11" t="s">
        <v>645</v>
      </c>
      <c r="AA324" s="11" t="s">
        <v>1440</v>
      </c>
      <c r="AB324" s="11"/>
      <c r="AC324" s="23"/>
      <c r="AD324" s="11"/>
      <c r="AE324" s="11"/>
      <c r="AF324" s="11"/>
      <c r="AG324" s="11"/>
      <c r="AH324" s="11"/>
      <c r="AI324" s="11"/>
    </row>
    <row r="325" ht="14.25" customHeight="1">
      <c r="A325" s="6"/>
      <c r="B325" s="5">
        <v>2.0</v>
      </c>
      <c r="C325" s="5" t="s">
        <v>7661</v>
      </c>
      <c r="D325" s="5">
        <v>51127.0</v>
      </c>
      <c r="E325" s="5">
        <v>2892.0</v>
      </c>
      <c r="F325" s="5" t="s">
        <v>1441</v>
      </c>
      <c r="G325" s="21" t="s">
        <v>1442</v>
      </c>
      <c r="H325" s="5" t="s">
        <v>1195</v>
      </c>
      <c r="I325" s="5" t="s">
        <v>641</v>
      </c>
      <c r="J325" s="5" t="s">
        <v>1224</v>
      </c>
      <c r="K325" s="5">
        <v>1.0</v>
      </c>
      <c r="L325" s="5">
        <v>3635.0</v>
      </c>
      <c r="M325" s="11">
        <v>56.10631</v>
      </c>
      <c r="N325" s="11">
        <v>-129.65389</v>
      </c>
      <c r="O325" s="11" t="s">
        <v>51</v>
      </c>
      <c r="P325" s="11">
        <v>51127.0</v>
      </c>
      <c r="Q325" s="22">
        <v>4.0</v>
      </c>
      <c r="R325" s="11" t="s">
        <v>1441</v>
      </c>
      <c r="S325" s="13" t="s">
        <v>1443</v>
      </c>
      <c r="T325" s="11" t="s">
        <v>644</v>
      </c>
      <c r="U325" s="11">
        <v>540.0</v>
      </c>
      <c r="Z325" s="11"/>
      <c r="AA325" s="11" t="s">
        <v>1444</v>
      </c>
      <c r="AB325" s="11"/>
      <c r="AC325" s="11"/>
      <c r="AD325" s="11"/>
      <c r="AE325" s="11"/>
      <c r="AF325" s="11"/>
      <c r="AG325" s="11"/>
      <c r="AH325" s="11"/>
      <c r="AI325" s="11"/>
    </row>
    <row r="326" ht="14.25" customHeight="1">
      <c r="A326" s="6"/>
      <c r="B326" s="5">
        <v>2.0</v>
      </c>
      <c r="C326" s="5" t="s">
        <v>7661</v>
      </c>
      <c r="D326" s="5">
        <v>51128.0</v>
      </c>
      <c r="E326" s="5">
        <v>2893.0</v>
      </c>
      <c r="F326" s="5" t="s">
        <v>1445</v>
      </c>
      <c r="G326" s="21" t="s">
        <v>1446</v>
      </c>
      <c r="H326" s="5" t="s">
        <v>1447</v>
      </c>
      <c r="I326" s="5" t="s">
        <v>641</v>
      </c>
      <c r="J326" s="5" t="s">
        <v>909</v>
      </c>
      <c r="K326" s="5">
        <v>1.0</v>
      </c>
      <c r="L326" s="5">
        <v>3636.0</v>
      </c>
      <c r="M326" s="11">
        <v>56.10347</v>
      </c>
      <c r="N326" s="11">
        <v>-129.63297</v>
      </c>
      <c r="O326" s="11" t="s">
        <v>51</v>
      </c>
      <c r="P326" s="11">
        <v>51128.0</v>
      </c>
      <c r="Q326" s="22">
        <v>3.0</v>
      </c>
      <c r="R326" s="11" t="s">
        <v>1445</v>
      </c>
      <c r="S326" s="13" t="s">
        <v>1448</v>
      </c>
      <c r="T326" s="11" t="s">
        <v>644</v>
      </c>
      <c r="U326" s="11">
        <v>440.0</v>
      </c>
      <c r="Z326" s="11"/>
      <c r="AA326" s="11" t="s">
        <v>1449</v>
      </c>
      <c r="AB326" s="11"/>
      <c r="AC326" s="23"/>
      <c r="AD326" s="11"/>
      <c r="AE326" s="11"/>
      <c r="AF326" s="11"/>
      <c r="AG326" s="11"/>
      <c r="AH326" s="11"/>
      <c r="AI326" s="11"/>
    </row>
    <row r="327" ht="14.25" customHeight="1">
      <c r="A327" s="6"/>
      <c r="B327" s="5">
        <v>2.0</v>
      </c>
      <c r="C327" s="5" t="s">
        <v>7661</v>
      </c>
      <c r="D327" s="5">
        <v>51129.0</v>
      </c>
      <c r="E327" s="5">
        <v>2894.0</v>
      </c>
      <c r="F327" s="5" t="s">
        <v>1450</v>
      </c>
      <c r="G327" s="21" t="s">
        <v>1451</v>
      </c>
      <c r="H327" s="5" t="s">
        <v>1452</v>
      </c>
      <c r="I327" s="5" t="s">
        <v>641</v>
      </c>
      <c r="J327" s="5" t="s">
        <v>1453</v>
      </c>
      <c r="K327" s="5">
        <v>1.0</v>
      </c>
      <c r="L327" s="5">
        <v>3637.0</v>
      </c>
      <c r="M327" s="11">
        <v>55.94808</v>
      </c>
      <c r="N327" s="11">
        <v>-129.98264</v>
      </c>
      <c r="O327" s="11" t="s">
        <v>51</v>
      </c>
      <c r="P327" s="11">
        <v>51129.0</v>
      </c>
      <c r="Q327" s="22">
        <v>1.0</v>
      </c>
      <c r="R327" s="11" t="s">
        <v>1450</v>
      </c>
      <c r="S327" s="13" t="s">
        <v>1454</v>
      </c>
      <c r="T327" s="11" t="s">
        <v>644</v>
      </c>
      <c r="U327" s="11">
        <v>15.0</v>
      </c>
      <c r="Z327" s="11" t="s">
        <v>645</v>
      </c>
      <c r="AA327" s="11" t="s">
        <v>1455</v>
      </c>
      <c r="AB327" s="11"/>
      <c r="AC327" s="11"/>
      <c r="AD327" s="11"/>
      <c r="AE327" s="11"/>
      <c r="AF327" s="11"/>
      <c r="AG327" s="11"/>
      <c r="AH327" s="11"/>
      <c r="AI327" s="11"/>
    </row>
    <row r="328" ht="14.25" customHeight="1">
      <c r="A328" s="6"/>
      <c r="B328" s="5">
        <v>2.0</v>
      </c>
      <c r="C328" s="5" t="s">
        <v>7661</v>
      </c>
      <c r="D328" s="5">
        <v>51130.0</v>
      </c>
      <c r="E328" s="5">
        <v>2895.0</v>
      </c>
      <c r="F328" s="5" t="s">
        <v>1456</v>
      </c>
      <c r="G328" s="24" t="s">
        <v>1457</v>
      </c>
      <c r="H328" s="5" t="s">
        <v>1458</v>
      </c>
      <c r="I328" s="5" t="s">
        <v>641</v>
      </c>
      <c r="J328" s="5" t="s">
        <v>1459</v>
      </c>
      <c r="K328" s="5">
        <v>1.0</v>
      </c>
      <c r="L328" s="5">
        <v>3638.0</v>
      </c>
    </row>
    <row r="329" ht="14.25" customHeight="1">
      <c r="A329" s="6"/>
      <c r="B329" s="5">
        <v>2.0</v>
      </c>
      <c r="C329" s="5" t="s">
        <v>7661</v>
      </c>
      <c r="D329" s="5">
        <v>51137.0</v>
      </c>
      <c r="E329" s="5">
        <v>12507.0</v>
      </c>
      <c r="F329" s="29" t="s">
        <v>1460</v>
      </c>
      <c r="G329" s="21" t="s">
        <v>1461</v>
      </c>
      <c r="H329" s="5" t="s">
        <v>679</v>
      </c>
      <c r="I329" s="5" t="s">
        <v>49</v>
      </c>
      <c r="J329" s="5" t="s">
        <v>1462</v>
      </c>
      <c r="K329" s="5">
        <v>1.0</v>
      </c>
      <c r="L329" s="5">
        <v>14529.0</v>
      </c>
      <c r="M329" s="11">
        <v>56.11024</v>
      </c>
      <c r="N329" s="11">
        <v>-129.51527</v>
      </c>
      <c r="O329" s="11" t="s">
        <v>51</v>
      </c>
      <c r="P329" s="11">
        <v>51137.0</v>
      </c>
      <c r="Q329" s="22">
        <v>5.0</v>
      </c>
      <c r="R329" s="11" t="s">
        <v>1460</v>
      </c>
      <c r="S329" s="13" t="s">
        <v>1463</v>
      </c>
      <c r="T329" s="11" t="s">
        <v>644</v>
      </c>
      <c r="U329" s="11">
        <v>1028.0</v>
      </c>
      <c r="V329" s="29"/>
      <c r="W329" s="29"/>
      <c r="X329" s="29"/>
      <c r="Y329" s="29"/>
      <c r="Z329" s="29"/>
      <c r="AA329" s="29" t="s">
        <v>1464</v>
      </c>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c r="BR329" s="29"/>
      <c r="BS329" s="29"/>
      <c r="BT329" s="29"/>
    </row>
    <row r="330" ht="14.25" customHeight="1">
      <c r="A330" s="6"/>
      <c r="B330" s="5">
        <v>2.0</v>
      </c>
      <c r="C330" s="5" t="s">
        <v>7661</v>
      </c>
      <c r="D330" s="5">
        <v>51191.0</v>
      </c>
      <c r="E330" s="5">
        <v>2896.0</v>
      </c>
      <c r="F330" s="5" t="s">
        <v>1465</v>
      </c>
      <c r="G330" s="21" t="s">
        <v>1466</v>
      </c>
      <c r="H330" s="5" t="s">
        <v>1467</v>
      </c>
      <c r="I330" s="5" t="s">
        <v>641</v>
      </c>
      <c r="J330" s="5" t="s">
        <v>642</v>
      </c>
      <c r="K330" s="5">
        <v>1.0</v>
      </c>
      <c r="L330" s="5">
        <v>3639.0</v>
      </c>
      <c r="M330" s="11">
        <v>55.63222</v>
      </c>
      <c r="N330" s="11">
        <v>-128.67278</v>
      </c>
      <c r="O330" s="11" t="s">
        <v>51</v>
      </c>
      <c r="P330" s="11">
        <v>51191.0</v>
      </c>
      <c r="Q330" s="22">
        <v>3.0</v>
      </c>
      <c r="R330" s="11" t="s">
        <v>1465</v>
      </c>
      <c r="S330" s="13" t="s">
        <v>1468</v>
      </c>
      <c r="T330" s="11" t="s">
        <v>644</v>
      </c>
      <c r="U330" s="11">
        <v>356.0</v>
      </c>
      <c r="Z330" s="11"/>
      <c r="AA330" s="11" t="s">
        <v>1469</v>
      </c>
      <c r="AB330" s="11"/>
      <c r="AC330" s="23"/>
      <c r="AD330" s="11"/>
      <c r="AE330" s="11"/>
      <c r="AF330" s="11"/>
      <c r="AG330" s="11"/>
      <c r="AH330" s="11"/>
      <c r="AI330" s="11"/>
    </row>
    <row r="331" ht="14.25" customHeight="1">
      <c r="A331" s="6" t="s">
        <v>772</v>
      </c>
      <c r="B331" s="5">
        <v>2.0</v>
      </c>
      <c r="C331" s="5" t="s">
        <v>7661</v>
      </c>
      <c r="D331" s="5">
        <v>51193.0</v>
      </c>
      <c r="E331" s="5">
        <v>13019.0</v>
      </c>
      <c r="F331" s="35" t="s">
        <v>1470</v>
      </c>
      <c r="G331" s="10" t="s">
        <v>1471</v>
      </c>
      <c r="H331" s="5" t="s">
        <v>792</v>
      </c>
      <c r="I331" s="5" t="s">
        <v>49</v>
      </c>
      <c r="J331" s="5" t="s">
        <v>793</v>
      </c>
      <c r="K331" s="5">
        <v>1.0</v>
      </c>
      <c r="L331" s="5">
        <v>14951.0</v>
      </c>
      <c r="M331" s="5">
        <v>55.24679</v>
      </c>
      <c r="N331" s="5">
        <v>-128.05074</v>
      </c>
      <c r="O331" s="5" t="s">
        <v>51</v>
      </c>
      <c r="P331" s="5">
        <v>51193.0</v>
      </c>
      <c r="Q331" s="5">
        <v>3.0</v>
      </c>
      <c r="R331" s="5" t="s">
        <v>1472</v>
      </c>
      <c r="S331" s="5" t="s">
        <v>1473</v>
      </c>
      <c r="T331" s="5" t="s">
        <v>644</v>
      </c>
      <c r="U331" s="5">
        <v>320.0</v>
      </c>
      <c r="V331" s="29"/>
      <c r="W331" s="29"/>
      <c r="X331" s="29"/>
      <c r="Y331" s="29"/>
      <c r="Z331" s="29"/>
      <c r="AA331" s="29" t="s">
        <v>1474</v>
      </c>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c r="BR331" s="29"/>
      <c r="BS331" s="29"/>
      <c r="BT331" s="29"/>
    </row>
    <row r="332" ht="14.25" customHeight="1">
      <c r="A332" s="6"/>
      <c r="B332" s="5">
        <v>2.0</v>
      </c>
      <c r="C332" s="5" t="s">
        <v>7661</v>
      </c>
      <c r="D332" s="5">
        <v>52091.0</v>
      </c>
      <c r="E332" s="5">
        <v>2900.0</v>
      </c>
      <c r="F332" s="5" t="s">
        <v>1475</v>
      </c>
      <c r="G332" s="21" t="s">
        <v>1476</v>
      </c>
      <c r="H332" s="5" t="s">
        <v>1477</v>
      </c>
      <c r="I332" s="5" t="s">
        <v>641</v>
      </c>
      <c r="J332" s="5" t="s">
        <v>755</v>
      </c>
      <c r="K332" s="5">
        <v>1.0</v>
      </c>
      <c r="L332" s="5">
        <v>3643.0</v>
      </c>
      <c r="M332" s="11">
        <v>54.74639</v>
      </c>
      <c r="N332" s="11">
        <v>-128.26111</v>
      </c>
      <c r="O332" s="11" t="s">
        <v>51</v>
      </c>
      <c r="P332" s="11">
        <v>52091.0</v>
      </c>
      <c r="Q332" s="22">
        <v>2.0</v>
      </c>
      <c r="R332" s="11" t="s">
        <v>1475</v>
      </c>
      <c r="S332" s="13" t="s">
        <v>1478</v>
      </c>
      <c r="T332" s="11" t="s">
        <v>644</v>
      </c>
      <c r="U332" s="11">
        <v>130.0</v>
      </c>
      <c r="Z332" s="11" t="s">
        <v>645</v>
      </c>
      <c r="AA332" s="11" t="s">
        <v>1479</v>
      </c>
      <c r="AB332" s="11"/>
      <c r="AC332" s="23"/>
      <c r="AD332" s="11"/>
      <c r="AE332" s="11"/>
      <c r="AF332" s="11"/>
      <c r="AG332" s="11"/>
      <c r="AH332" s="11"/>
      <c r="AI332" s="11"/>
    </row>
    <row r="333" ht="14.25" customHeight="1">
      <c r="A333" s="6"/>
      <c r="B333" s="5">
        <v>2.0</v>
      </c>
      <c r="C333" s="5" t="s">
        <v>7661</v>
      </c>
      <c r="D333" s="5">
        <v>52092.0</v>
      </c>
      <c r="E333" s="5">
        <v>2901.0</v>
      </c>
      <c r="F333" s="5" t="s">
        <v>1480</v>
      </c>
      <c r="G333" s="21" t="s">
        <v>1481</v>
      </c>
      <c r="H333" s="5" t="s">
        <v>1482</v>
      </c>
      <c r="I333" s="5" t="s">
        <v>641</v>
      </c>
      <c r="J333" s="5" t="s">
        <v>755</v>
      </c>
      <c r="K333" s="5">
        <v>1.0</v>
      </c>
      <c r="L333" s="5">
        <v>3644.0</v>
      </c>
      <c r="M333" s="11">
        <v>54.93722</v>
      </c>
      <c r="N333" s="11">
        <v>-128.89361</v>
      </c>
      <c r="O333" s="11" t="s">
        <v>51</v>
      </c>
      <c r="P333" s="11">
        <v>52092.0</v>
      </c>
      <c r="Q333" s="22">
        <v>2.0</v>
      </c>
      <c r="R333" s="11" t="s">
        <v>1480</v>
      </c>
      <c r="S333" s="13" t="s">
        <v>1483</v>
      </c>
      <c r="T333" s="11" t="s">
        <v>644</v>
      </c>
      <c r="U333" s="11">
        <v>280.0</v>
      </c>
      <c r="Z333" s="11" t="s">
        <v>645</v>
      </c>
      <c r="AA333" s="11" t="s">
        <v>1484</v>
      </c>
      <c r="AB333" s="11"/>
      <c r="AC333" s="23"/>
      <c r="AD333" s="11"/>
      <c r="AE333" s="11"/>
      <c r="AF333" s="11"/>
      <c r="AG333" s="11"/>
      <c r="AH333" s="11"/>
      <c r="AI333" s="11"/>
    </row>
    <row r="334" ht="14.25" customHeight="1">
      <c r="A334" s="6"/>
      <c r="B334" s="5">
        <v>2.0</v>
      </c>
      <c r="C334" s="5" t="s">
        <v>7661</v>
      </c>
      <c r="D334" s="5">
        <v>52093.0</v>
      </c>
      <c r="E334" s="5">
        <v>2902.0</v>
      </c>
      <c r="F334" s="5" t="s">
        <v>1485</v>
      </c>
      <c r="G334" s="21" t="s">
        <v>1486</v>
      </c>
      <c r="H334" s="5" t="s">
        <v>1487</v>
      </c>
      <c r="I334" s="5" t="s">
        <v>641</v>
      </c>
      <c r="J334" s="5" t="s">
        <v>755</v>
      </c>
      <c r="K334" s="5">
        <v>1.0</v>
      </c>
      <c r="L334" s="5">
        <v>3645.0</v>
      </c>
      <c r="M334" s="11">
        <v>54.30222</v>
      </c>
      <c r="N334" s="11">
        <v>-128.53778</v>
      </c>
      <c r="O334" s="11" t="s">
        <v>51</v>
      </c>
      <c r="P334" s="11">
        <v>52093.0</v>
      </c>
      <c r="Q334" s="22">
        <v>2.0</v>
      </c>
      <c r="R334" s="11" t="s">
        <v>1485</v>
      </c>
      <c r="S334" s="13" t="s">
        <v>1488</v>
      </c>
      <c r="T334" s="11" t="s">
        <v>644</v>
      </c>
      <c r="U334" s="11">
        <v>220.0</v>
      </c>
      <c r="Z334" s="11" t="s">
        <v>645</v>
      </c>
      <c r="AA334" s="11" t="s">
        <v>1489</v>
      </c>
      <c r="AB334" s="11"/>
      <c r="AC334" s="23"/>
      <c r="AD334" s="11"/>
      <c r="AE334" s="11"/>
      <c r="AF334" s="11"/>
      <c r="AG334" s="11"/>
      <c r="AH334" s="11"/>
      <c r="AI334" s="11"/>
    </row>
    <row r="335" ht="14.25" customHeight="1">
      <c r="A335" s="6"/>
      <c r="B335" s="5">
        <v>2.0</v>
      </c>
      <c r="C335" s="5" t="s">
        <v>7661</v>
      </c>
      <c r="D335" s="5">
        <v>52322.0</v>
      </c>
      <c r="E335" s="5">
        <v>2904.0</v>
      </c>
      <c r="F335" s="5" t="s">
        <v>1490</v>
      </c>
      <c r="G335" s="21" t="s">
        <v>1491</v>
      </c>
      <c r="H335" s="5" t="s">
        <v>1492</v>
      </c>
      <c r="I335" s="5" t="s">
        <v>641</v>
      </c>
      <c r="J335" s="5" t="s">
        <v>662</v>
      </c>
      <c r="K335" s="5">
        <v>1.0</v>
      </c>
      <c r="L335" s="5">
        <v>3647.0</v>
      </c>
      <c r="M335" s="36">
        <v>54.30161</v>
      </c>
      <c r="N335" s="36">
        <v>-129.44333</v>
      </c>
      <c r="O335" s="37" t="s">
        <v>51</v>
      </c>
      <c r="P335" s="11">
        <v>52322.0</v>
      </c>
      <c r="Q335" s="22">
        <v>7.0</v>
      </c>
      <c r="R335" s="36" t="s">
        <v>1490</v>
      </c>
      <c r="S335" s="13" t="s">
        <v>1493</v>
      </c>
      <c r="T335" s="11" t="s">
        <v>644</v>
      </c>
      <c r="U335" s="11">
        <v>1435.0</v>
      </c>
      <c r="Z335" s="11"/>
      <c r="AA335" s="11" t="s">
        <v>1494</v>
      </c>
      <c r="AB335" s="11"/>
      <c r="AC335" s="11"/>
      <c r="AD335" s="11"/>
      <c r="AE335" s="11"/>
      <c r="AF335" s="11"/>
      <c r="AG335" s="11"/>
      <c r="AH335" s="11"/>
      <c r="AI335" s="11"/>
    </row>
    <row r="336" ht="14.25" customHeight="1">
      <c r="A336" s="6" t="s">
        <v>88</v>
      </c>
      <c r="B336" s="5">
        <v>2.0</v>
      </c>
      <c r="C336" s="5" t="s">
        <v>7661</v>
      </c>
      <c r="D336" s="5">
        <v>52325.0</v>
      </c>
      <c r="E336" s="5">
        <v>2905.0</v>
      </c>
      <c r="F336" s="5" t="s">
        <v>1495</v>
      </c>
      <c r="G336" s="10" t="s">
        <v>1496</v>
      </c>
      <c r="H336" s="5" t="s">
        <v>1497</v>
      </c>
      <c r="I336" s="5" t="s">
        <v>641</v>
      </c>
      <c r="J336" s="5" t="s">
        <v>1224</v>
      </c>
      <c r="K336" s="5">
        <v>1.0</v>
      </c>
      <c r="L336" s="5">
        <v>3648.0</v>
      </c>
      <c r="M336" s="11">
        <v>54.30361</v>
      </c>
      <c r="N336" s="11">
        <v>-129.41833</v>
      </c>
      <c r="O336" s="11" t="s">
        <v>51</v>
      </c>
      <c r="P336" s="11">
        <v>52325.0</v>
      </c>
      <c r="Q336" s="22">
        <v>4.0</v>
      </c>
      <c r="R336" s="11" t="s">
        <v>1495</v>
      </c>
      <c r="S336" s="13" t="s">
        <v>1498</v>
      </c>
      <c r="T336" s="11" t="s">
        <v>644</v>
      </c>
      <c r="U336" s="11">
        <v>730.0</v>
      </c>
      <c r="Z336" s="11"/>
      <c r="AA336" s="11" t="s">
        <v>1499</v>
      </c>
      <c r="AB336" s="11"/>
      <c r="AC336" s="11"/>
      <c r="AD336" s="11"/>
      <c r="AE336" s="11"/>
      <c r="AF336" s="11"/>
      <c r="AG336" s="11"/>
      <c r="AH336" s="11"/>
      <c r="AI336" s="11"/>
    </row>
    <row r="337" ht="14.25" customHeight="1">
      <c r="A337" s="6" t="s">
        <v>88</v>
      </c>
      <c r="B337" s="5">
        <v>2.0</v>
      </c>
      <c r="C337" s="5" t="s">
        <v>7661</v>
      </c>
      <c r="D337" s="5">
        <v>52326.0</v>
      </c>
      <c r="E337" s="5">
        <v>2906.0</v>
      </c>
      <c r="F337" s="5" t="s">
        <v>1500</v>
      </c>
      <c r="G337" s="10" t="s">
        <v>1501</v>
      </c>
      <c r="H337" s="5" t="s">
        <v>1502</v>
      </c>
      <c r="I337" s="5" t="s">
        <v>641</v>
      </c>
      <c r="J337" s="5" t="s">
        <v>755</v>
      </c>
      <c r="K337" s="5">
        <v>1.0</v>
      </c>
      <c r="L337" s="5">
        <v>3649.0</v>
      </c>
      <c r="M337" s="10">
        <v>54.31355</v>
      </c>
      <c r="N337" s="10">
        <v>-129.35075</v>
      </c>
      <c r="O337" s="5" t="s">
        <v>51</v>
      </c>
      <c r="P337" s="5">
        <v>52326.0</v>
      </c>
      <c r="Q337" s="5">
        <v>1.0</v>
      </c>
      <c r="R337" s="5" t="s">
        <v>1500</v>
      </c>
      <c r="S337" s="5" t="s">
        <v>1503</v>
      </c>
      <c r="T337" s="5" t="s">
        <v>644</v>
      </c>
      <c r="U337" s="5">
        <v>12.0</v>
      </c>
      <c r="Z337" s="5" t="s">
        <v>645</v>
      </c>
      <c r="AA337" s="5" t="s">
        <v>1504</v>
      </c>
    </row>
    <row r="338" ht="14.25" customHeight="1">
      <c r="A338" s="6" t="s">
        <v>88</v>
      </c>
      <c r="B338" s="5">
        <v>2.0</v>
      </c>
      <c r="C338" s="5" t="s">
        <v>7661</v>
      </c>
      <c r="D338" s="5">
        <v>52327.0</v>
      </c>
      <c r="E338" s="5">
        <v>2907.0</v>
      </c>
      <c r="F338" s="5" t="s">
        <v>1505</v>
      </c>
      <c r="G338" s="10" t="s">
        <v>1506</v>
      </c>
      <c r="H338" s="5" t="s">
        <v>1507</v>
      </c>
      <c r="I338" s="5" t="s">
        <v>641</v>
      </c>
      <c r="J338" s="5" t="s">
        <v>1137</v>
      </c>
      <c r="K338" s="5">
        <v>1.0</v>
      </c>
      <c r="L338" s="5">
        <v>3650.0</v>
      </c>
      <c r="M338" s="11"/>
      <c r="N338" s="11"/>
      <c r="O338" s="11"/>
      <c r="P338" s="11"/>
      <c r="Q338" s="22"/>
      <c r="R338" s="11"/>
      <c r="S338" s="13"/>
      <c r="T338" s="11"/>
      <c r="U338" s="11"/>
      <c r="Z338" s="11"/>
      <c r="AA338" s="11"/>
      <c r="AB338" s="11"/>
      <c r="AC338" s="23"/>
      <c r="AD338" s="11"/>
      <c r="AE338" s="11"/>
      <c r="AF338" s="11"/>
      <c r="AG338" s="11"/>
      <c r="AH338" s="11"/>
      <c r="AI338" s="11"/>
    </row>
    <row r="339" ht="14.25" customHeight="1">
      <c r="A339" s="6"/>
      <c r="B339" s="5">
        <v>2.0</v>
      </c>
      <c r="C339" s="5" t="s">
        <v>7661</v>
      </c>
      <c r="D339" s="5">
        <v>52391.0</v>
      </c>
      <c r="E339" s="5">
        <v>11029.0</v>
      </c>
      <c r="F339" s="5" t="s">
        <v>1508</v>
      </c>
      <c r="G339" s="21" t="s">
        <v>1509</v>
      </c>
      <c r="H339" s="5" t="s">
        <v>891</v>
      </c>
      <c r="I339" s="5" t="s">
        <v>49</v>
      </c>
      <c r="J339" s="5" t="s">
        <v>710</v>
      </c>
      <c r="K339" s="5">
        <v>1.0</v>
      </c>
      <c r="L339" s="5">
        <v>13197.0</v>
      </c>
      <c r="M339" s="11">
        <v>54.20842</v>
      </c>
      <c r="N339" s="11">
        <v>-129.98169</v>
      </c>
      <c r="O339" s="11" t="s">
        <v>51</v>
      </c>
      <c r="P339" s="11">
        <v>52391.0</v>
      </c>
      <c r="Q339" s="22">
        <v>1.0</v>
      </c>
      <c r="R339" s="11" t="s">
        <v>1508</v>
      </c>
      <c r="S339" s="13" t="s">
        <v>1510</v>
      </c>
      <c r="T339" s="11" t="s">
        <v>644</v>
      </c>
      <c r="U339" s="11">
        <v>12.0</v>
      </c>
      <c r="Z339" s="11"/>
      <c r="AA339" s="11" t="s">
        <v>1511</v>
      </c>
      <c r="AB339" s="11"/>
      <c r="AC339" s="23"/>
      <c r="AD339" s="11"/>
      <c r="AE339" s="11"/>
      <c r="AF339" s="11"/>
      <c r="AG339" s="11"/>
      <c r="AH339" s="11"/>
      <c r="AI339" s="11"/>
    </row>
    <row r="340" ht="14.25" customHeight="1">
      <c r="A340" s="6" t="s">
        <v>88</v>
      </c>
      <c r="B340" s="5">
        <v>2.0</v>
      </c>
      <c r="C340" s="5" t="s">
        <v>7661</v>
      </c>
      <c r="D340" s="5">
        <v>52401.0</v>
      </c>
      <c r="E340" s="5">
        <v>2908.0</v>
      </c>
      <c r="F340" s="5" t="s">
        <v>1512</v>
      </c>
      <c r="G340" s="10" t="s">
        <v>1513</v>
      </c>
      <c r="H340" s="5" t="s">
        <v>1514</v>
      </c>
      <c r="I340" s="5" t="s">
        <v>641</v>
      </c>
      <c r="J340" s="5" t="s">
        <v>1515</v>
      </c>
      <c r="K340" s="5">
        <v>1.0</v>
      </c>
      <c r="L340" s="5">
        <v>3651.0</v>
      </c>
      <c r="M340" s="11">
        <v>54.48671</v>
      </c>
      <c r="N340" s="11">
        <v>-128.95367</v>
      </c>
      <c r="O340" s="11" t="s">
        <v>51</v>
      </c>
      <c r="P340" s="11">
        <v>52401.0</v>
      </c>
      <c r="Q340" s="22">
        <v>4.0</v>
      </c>
      <c r="R340" s="11" t="s">
        <v>1512</v>
      </c>
      <c r="S340" s="13" t="s">
        <v>1516</v>
      </c>
      <c r="T340" s="11" t="s">
        <v>644</v>
      </c>
      <c r="U340" s="11">
        <v>742.0</v>
      </c>
      <c r="Z340" s="11" t="s">
        <v>645</v>
      </c>
      <c r="AA340" s="11" t="s">
        <v>1517</v>
      </c>
      <c r="AB340" s="11"/>
      <c r="AC340" s="23"/>
      <c r="AD340" s="11"/>
      <c r="AE340" s="11"/>
      <c r="AF340" s="11"/>
      <c r="AG340" s="11"/>
      <c r="AH340" s="11"/>
      <c r="AI340" s="11"/>
    </row>
    <row r="341" ht="14.25" customHeight="1">
      <c r="A341" s="6"/>
      <c r="B341" s="5">
        <v>2.0</v>
      </c>
      <c r="C341" s="5" t="s">
        <v>7661</v>
      </c>
      <c r="D341" s="5">
        <v>52521.0</v>
      </c>
      <c r="E341" s="5">
        <v>2910.0</v>
      </c>
      <c r="F341" s="5" t="s">
        <v>1518</v>
      </c>
      <c r="G341" s="21" t="s">
        <v>1519</v>
      </c>
      <c r="H341" s="5" t="s">
        <v>1520</v>
      </c>
      <c r="I341" s="5" t="s">
        <v>641</v>
      </c>
      <c r="J341" s="5" t="s">
        <v>1521</v>
      </c>
      <c r="K341" s="5">
        <v>1.0</v>
      </c>
      <c r="L341" s="5">
        <v>3653.0</v>
      </c>
      <c r="M341" s="11">
        <v>55.01033</v>
      </c>
      <c r="N341" s="11">
        <v>-129.77636</v>
      </c>
      <c r="O341" s="11" t="s">
        <v>51</v>
      </c>
      <c r="P341" s="11">
        <v>52521.0</v>
      </c>
      <c r="Q341" s="22">
        <v>5.0</v>
      </c>
      <c r="R341" s="11" t="s">
        <v>1518</v>
      </c>
      <c r="S341" s="13" t="s">
        <v>1522</v>
      </c>
      <c r="T341" s="11" t="s">
        <v>644</v>
      </c>
      <c r="U341" s="11">
        <v>860.0</v>
      </c>
      <c r="Z341" s="11"/>
      <c r="AA341" s="11" t="s">
        <v>1523</v>
      </c>
      <c r="AB341" s="11"/>
      <c r="AC341" s="11"/>
      <c r="AD341" s="11"/>
      <c r="AE341" s="11"/>
      <c r="AF341" s="11"/>
      <c r="AG341" s="11"/>
      <c r="AH341" s="11"/>
      <c r="AI341" s="11"/>
    </row>
    <row r="342" ht="14.25" customHeight="1">
      <c r="A342" s="6"/>
      <c r="B342" s="5">
        <v>2.0</v>
      </c>
      <c r="C342" s="5" t="s">
        <v>7661</v>
      </c>
      <c r="D342" s="5">
        <v>52522.0</v>
      </c>
      <c r="E342" s="5">
        <v>2911.0</v>
      </c>
      <c r="F342" s="29" t="s">
        <v>1524</v>
      </c>
      <c r="G342" s="21" t="s">
        <v>1525</v>
      </c>
      <c r="H342" s="5" t="s">
        <v>1526</v>
      </c>
      <c r="I342" s="5" t="s">
        <v>641</v>
      </c>
      <c r="J342" s="5" t="s">
        <v>1527</v>
      </c>
      <c r="K342" s="5">
        <v>1.0</v>
      </c>
      <c r="L342" s="5">
        <v>3654.0</v>
      </c>
      <c r="M342" s="29">
        <v>55.00186</v>
      </c>
      <c r="N342" s="29">
        <v>-129.88126</v>
      </c>
      <c r="O342" s="29" t="s">
        <v>51</v>
      </c>
      <c r="P342" s="29">
        <v>52522.0</v>
      </c>
      <c r="Q342" s="31">
        <v>1.0</v>
      </c>
      <c r="R342" s="29" t="s">
        <v>1524</v>
      </c>
      <c r="S342" s="32" t="s">
        <v>1528</v>
      </c>
      <c r="T342" s="29" t="s">
        <v>644</v>
      </c>
      <c r="U342" s="29">
        <v>30.0</v>
      </c>
      <c r="V342" s="29"/>
      <c r="W342" s="29"/>
      <c r="X342" s="29"/>
      <c r="Y342" s="29"/>
      <c r="Z342" s="29" t="s">
        <v>645</v>
      </c>
      <c r="AA342" s="29" t="s">
        <v>1529</v>
      </c>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row>
    <row r="343" ht="14.25" customHeight="1">
      <c r="A343" s="6"/>
      <c r="B343" s="5">
        <v>2.0</v>
      </c>
      <c r="C343" s="5" t="s">
        <v>7661</v>
      </c>
      <c r="D343" s="5">
        <v>52591.0</v>
      </c>
      <c r="E343" s="5">
        <v>12491.0</v>
      </c>
      <c r="F343" s="5" t="s">
        <v>1530</v>
      </c>
      <c r="G343" s="24" t="s">
        <v>1531</v>
      </c>
      <c r="H343" s="5" t="s">
        <v>709</v>
      </c>
      <c r="I343" s="5" t="s">
        <v>49</v>
      </c>
      <c r="J343" s="5" t="s">
        <v>710</v>
      </c>
      <c r="K343" s="5">
        <v>1.0</v>
      </c>
      <c r="L343" s="5">
        <v>14513.0</v>
      </c>
    </row>
    <row r="344" ht="14.25" customHeight="1">
      <c r="A344" s="6"/>
      <c r="B344" s="5">
        <v>2.0</v>
      </c>
      <c r="C344" s="5" t="s">
        <v>7661</v>
      </c>
      <c r="D344" s="5">
        <v>53121.0</v>
      </c>
      <c r="E344" s="5">
        <v>2919.0</v>
      </c>
      <c r="F344" s="29" t="s">
        <v>1532</v>
      </c>
      <c r="G344" s="24" t="s">
        <v>1533</v>
      </c>
      <c r="H344" s="5" t="s">
        <v>1534</v>
      </c>
      <c r="I344" s="5" t="s">
        <v>641</v>
      </c>
      <c r="J344" s="5" t="s">
        <v>1035</v>
      </c>
      <c r="K344" s="5">
        <v>1.0</v>
      </c>
      <c r="L344" s="5">
        <v>3662.0</v>
      </c>
      <c r="M344" s="11">
        <v>55.01849</v>
      </c>
      <c r="N344" s="11">
        <v>-129.61817</v>
      </c>
      <c r="O344" s="11" t="s">
        <v>51</v>
      </c>
      <c r="P344" s="11">
        <v>52591.0</v>
      </c>
      <c r="Q344" s="22">
        <v>2.0</v>
      </c>
      <c r="R344" s="11" t="s">
        <v>1530</v>
      </c>
      <c r="S344" s="13" t="s">
        <v>1535</v>
      </c>
      <c r="T344" s="11" t="s">
        <v>644</v>
      </c>
      <c r="U344" s="11">
        <v>120.0</v>
      </c>
      <c r="X344" s="29"/>
      <c r="Y344" s="29"/>
      <c r="Z344" s="29"/>
      <c r="AA344" s="29" t="s">
        <v>1536</v>
      </c>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row>
    <row r="345" ht="14.25" customHeight="1">
      <c r="A345" s="6"/>
      <c r="B345" s="5">
        <v>2.0</v>
      </c>
      <c r="C345" s="5" t="s">
        <v>7661</v>
      </c>
      <c r="D345" s="5">
        <v>53122.0</v>
      </c>
      <c r="E345" s="5">
        <v>2920.0</v>
      </c>
      <c r="F345" s="5" t="s">
        <v>1537</v>
      </c>
      <c r="G345" s="21" t="s">
        <v>1538</v>
      </c>
      <c r="H345" s="5" t="s">
        <v>1539</v>
      </c>
      <c r="I345" s="5" t="s">
        <v>641</v>
      </c>
      <c r="J345" s="5" t="s">
        <v>1224</v>
      </c>
      <c r="K345" s="5">
        <v>1.0</v>
      </c>
      <c r="L345" s="5">
        <v>3663.0</v>
      </c>
      <c r="M345" s="29">
        <v>56.77667</v>
      </c>
      <c r="N345" s="29">
        <v>-129.97253</v>
      </c>
      <c r="O345" s="29" t="s">
        <v>1290</v>
      </c>
      <c r="P345" s="29">
        <v>53122.0</v>
      </c>
      <c r="Q345" s="31">
        <v>4.0</v>
      </c>
      <c r="R345" s="29" t="s">
        <v>1537</v>
      </c>
      <c r="S345" s="32" t="s">
        <v>1540</v>
      </c>
      <c r="T345" s="29" t="s">
        <v>644</v>
      </c>
      <c r="U345" s="29">
        <v>1065.0</v>
      </c>
      <c r="V345" s="29"/>
      <c r="W345" s="29"/>
      <c r="X345" s="29"/>
      <c r="Y345" s="29"/>
      <c r="Z345" s="29"/>
      <c r="AA345" s="29" t="s">
        <v>1541</v>
      </c>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row>
    <row r="346" ht="14.25" customHeight="1">
      <c r="A346" s="6"/>
      <c r="B346" s="5">
        <v>2.0</v>
      </c>
      <c r="C346" s="5" t="s">
        <v>7661</v>
      </c>
      <c r="D346" s="5">
        <v>53123.0</v>
      </c>
      <c r="E346" s="5">
        <v>2921.0</v>
      </c>
      <c r="F346" s="5" t="s">
        <v>1542</v>
      </c>
      <c r="G346" s="21" t="s">
        <v>1543</v>
      </c>
      <c r="H346" s="5" t="s">
        <v>1544</v>
      </c>
      <c r="I346" s="5" t="s">
        <v>641</v>
      </c>
      <c r="J346" s="5" t="s">
        <v>1224</v>
      </c>
      <c r="K346" s="5">
        <v>1.0</v>
      </c>
      <c r="L346" s="5">
        <v>3664.0</v>
      </c>
      <c r="M346" s="11">
        <v>56.94667</v>
      </c>
      <c r="N346" s="11">
        <v>-130.10694</v>
      </c>
      <c r="O346" s="11" t="s">
        <v>1290</v>
      </c>
      <c r="P346" s="29">
        <v>53123.0</v>
      </c>
      <c r="Q346" s="31">
        <v>5.0</v>
      </c>
      <c r="R346" s="29" t="s">
        <v>1542</v>
      </c>
      <c r="S346" s="32" t="s">
        <v>1545</v>
      </c>
      <c r="T346" s="29" t="s">
        <v>644</v>
      </c>
      <c r="U346" s="29">
        <v>1175.0</v>
      </c>
      <c r="V346" s="29"/>
      <c r="W346" s="29"/>
      <c r="X346" s="29"/>
      <c r="Y346" s="29"/>
      <c r="Z346" s="29"/>
      <c r="AA346" s="29" t="s">
        <v>1546</v>
      </c>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row>
    <row r="347" ht="14.25" customHeight="1">
      <c r="A347" s="6"/>
      <c r="B347" s="5">
        <v>2.0</v>
      </c>
      <c r="C347" s="5" t="s">
        <v>7661</v>
      </c>
      <c r="D347" s="5">
        <v>53124.0</v>
      </c>
      <c r="E347" s="5">
        <v>2922.0</v>
      </c>
      <c r="F347" s="29" t="s">
        <v>1547</v>
      </c>
      <c r="G347" s="24" t="s">
        <v>1548</v>
      </c>
      <c r="H347" s="5" t="s">
        <v>1549</v>
      </c>
      <c r="I347" s="5" t="s">
        <v>641</v>
      </c>
      <c r="J347" s="5" t="s">
        <v>1550</v>
      </c>
      <c r="K347" s="5">
        <v>1.0</v>
      </c>
      <c r="L347" s="5">
        <v>3665.0</v>
      </c>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row>
    <row r="348" ht="14.25" customHeight="1">
      <c r="A348" s="6"/>
      <c r="B348" s="5">
        <v>2.0</v>
      </c>
      <c r="C348" s="5" t="s">
        <v>7661</v>
      </c>
      <c r="D348" s="5">
        <v>53125.0</v>
      </c>
      <c r="E348" s="5">
        <v>2923.0</v>
      </c>
      <c r="F348" s="5" t="s">
        <v>1551</v>
      </c>
      <c r="G348" s="21" t="s">
        <v>1552</v>
      </c>
      <c r="H348" s="5" t="s">
        <v>1553</v>
      </c>
      <c r="I348" s="5" t="s">
        <v>641</v>
      </c>
      <c r="J348" s="5" t="s">
        <v>1554</v>
      </c>
      <c r="K348" s="5">
        <v>1.0</v>
      </c>
      <c r="L348" s="5">
        <v>3666.0</v>
      </c>
      <c r="M348" s="11">
        <v>56.75389</v>
      </c>
      <c r="N348" s="11">
        <v>-129.935</v>
      </c>
      <c r="O348" s="11" t="s">
        <v>1290</v>
      </c>
      <c r="P348" s="11">
        <v>53125.0</v>
      </c>
      <c r="Q348" s="22">
        <v>1.0</v>
      </c>
      <c r="R348" s="11" t="s">
        <v>1551</v>
      </c>
      <c r="S348" s="13" t="s">
        <v>1555</v>
      </c>
      <c r="T348" s="11" t="s">
        <v>644</v>
      </c>
      <c r="U348" s="11">
        <v>588.0</v>
      </c>
      <c r="Z348" s="11"/>
      <c r="AA348" s="11" t="s">
        <v>1556</v>
      </c>
      <c r="AB348" s="11"/>
      <c r="AC348" s="11"/>
      <c r="AD348" s="11"/>
      <c r="AE348" s="11"/>
      <c r="AF348" s="11"/>
      <c r="AG348" s="11"/>
      <c r="AH348" s="11"/>
      <c r="AI348" s="11"/>
    </row>
    <row r="349" ht="14.25" customHeight="1">
      <c r="A349" s="6"/>
      <c r="B349" s="5">
        <v>2.0</v>
      </c>
      <c r="C349" s="5" t="s">
        <v>7661</v>
      </c>
      <c r="D349" s="5">
        <v>53126.0</v>
      </c>
      <c r="E349" s="5">
        <v>2924.0</v>
      </c>
      <c r="F349" s="5" t="s">
        <v>1557</v>
      </c>
      <c r="G349" s="21" t="s">
        <v>1558</v>
      </c>
      <c r="H349" s="5" t="s">
        <v>1553</v>
      </c>
      <c r="I349" s="5" t="s">
        <v>641</v>
      </c>
      <c r="J349" s="5" t="s">
        <v>1559</v>
      </c>
      <c r="K349" s="5">
        <v>1.0</v>
      </c>
      <c r="L349" s="5">
        <v>3667.0</v>
      </c>
      <c r="M349" s="11">
        <v>56.92867</v>
      </c>
      <c r="N349" s="11">
        <v>-130.0905</v>
      </c>
      <c r="O349" s="11" t="s">
        <v>1290</v>
      </c>
      <c r="P349" s="11">
        <v>53126.0</v>
      </c>
      <c r="Q349" s="22">
        <v>1.0</v>
      </c>
      <c r="R349" s="11" t="s">
        <v>1557</v>
      </c>
      <c r="S349" s="13" t="s">
        <v>1560</v>
      </c>
      <c r="T349" s="11" t="s">
        <v>644</v>
      </c>
      <c r="U349" s="11">
        <v>504.0</v>
      </c>
      <c r="Z349" s="11"/>
      <c r="AA349" s="11" t="s">
        <v>1561</v>
      </c>
      <c r="AB349" s="11"/>
      <c r="AC349" s="11"/>
      <c r="AD349" s="11"/>
      <c r="AE349" s="11"/>
      <c r="AF349" s="11"/>
      <c r="AG349" s="11"/>
      <c r="AH349" s="11"/>
      <c r="AI349" s="11"/>
    </row>
    <row r="350" ht="14.25" customHeight="1">
      <c r="A350" s="6"/>
      <c r="B350" s="5">
        <v>2.0</v>
      </c>
      <c r="C350" s="5" t="s">
        <v>7661</v>
      </c>
      <c r="D350" s="5">
        <v>53127.0</v>
      </c>
      <c r="E350" s="5">
        <v>2925.0</v>
      </c>
      <c r="F350" s="5" t="s">
        <v>1562</v>
      </c>
      <c r="G350" s="21" t="s">
        <v>1563</v>
      </c>
      <c r="H350" s="5" t="s">
        <v>1564</v>
      </c>
      <c r="I350" s="5" t="s">
        <v>641</v>
      </c>
      <c r="J350" s="5" t="s">
        <v>1565</v>
      </c>
      <c r="K350" s="5">
        <v>1.0</v>
      </c>
      <c r="L350" s="5">
        <v>3668.0</v>
      </c>
      <c r="M350" s="11">
        <v>56.95083</v>
      </c>
      <c r="N350" s="11">
        <v>-130.095</v>
      </c>
      <c r="O350" s="11" t="s">
        <v>1290</v>
      </c>
      <c r="P350" s="11">
        <v>53127.0</v>
      </c>
      <c r="Q350" s="22">
        <v>7.0</v>
      </c>
      <c r="R350" s="11" t="s">
        <v>1562</v>
      </c>
      <c r="S350" s="13" t="s">
        <v>1566</v>
      </c>
      <c r="T350" s="11" t="s">
        <v>644</v>
      </c>
      <c r="U350" s="11">
        <v>1540.0</v>
      </c>
      <c r="V350" s="29"/>
      <c r="W350" s="29"/>
      <c r="X350" s="29"/>
      <c r="Y350" s="29"/>
      <c r="Z350" s="29"/>
      <c r="AA350" s="29" t="s">
        <v>1567</v>
      </c>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row>
    <row r="351" ht="14.25" customHeight="1">
      <c r="A351" s="6"/>
      <c r="B351" s="5">
        <v>2.0</v>
      </c>
      <c r="C351" s="5" t="s">
        <v>7661</v>
      </c>
      <c r="D351" s="5">
        <v>53128.0</v>
      </c>
      <c r="E351" s="5">
        <v>2926.0</v>
      </c>
      <c r="F351" s="5" t="s">
        <v>1568</v>
      </c>
      <c r="G351" s="21" t="s">
        <v>1569</v>
      </c>
      <c r="H351" s="5" t="s">
        <v>1570</v>
      </c>
      <c r="I351" s="5" t="s">
        <v>641</v>
      </c>
      <c r="J351" s="5" t="s">
        <v>1565</v>
      </c>
      <c r="K351" s="5">
        <v>1.0</v>
      </c>
      <c r="L351" s="5">
        <v>3669.0</v>
      </c>
      <c r="M351" s="11">
        <v>56.79544</v>
      </c>
      <c r="N351" s="11">
        <v>-129.97519</v>
      </c>
      <c r="O351" s="11" t="s">
        <v>1290</v>
      </c>
      <c r="P351" s="11">
        <v>53128.0</v>
      </c>
      <c r="Q351" s="22">
        <v>7.0</v>
      </c>
      <c r="R351" s="11" t="s">
        <v>1568</v>
      </c>
      <c r="S351" s="13" t="s">
        <v>1571</v>
      </c>
      <c r="T351" s="11" t="s">
        <v>644</v>
      </c>
      <c r="U351" s="10">
        <v>1500.0</v>
      </c>
      <c r="Z351" s="11"/>
      <c r="AA351" s="11" t="s">
        <v>1572</v>
      </c>
      <c r="AB351" s="11"/>
      <c r="AC351" s="11"/>
      <c r="AD351" s="11"/>
      <c r="AE351" s="11"/>
      <c r="AF351" s="11"/>
      <c r="AG351" s="11"/>
      <c r="AH351" s="11"/>
      <c r="AI351" s="11"/>
    </row>
    <row r="352" ht="14.25" customHeight="1">
      <c r="A352" s="6" t="s">
        <v>88</v>
      </c>
      <c r="B352" s="5">
        <v>2.0</v>
      </c>
      <c r="C352" s="5" t="s">
        <v>7661</v>
      </c>
      <c r="D352" s="5">
        <v>53129.0</v>
      </c>
      <c r="E352" s="5">
        <v>12492.0</v>
      </c>
      <c r="F352" s="29" t="s">
        <v>1573</v>
      </c>
      <c r="G352" s="10" t="s">
        <v>1574</v>
      </c>
      <c r="H352" s="5" t="s">
        <v>1575</v>
      </c>
      <c r="I352" s="5" t="s">
        <v>49</v>
      </c>
      <c r="J352" s="5" t="s">
        <v>1576</v>
      </c>
      <c r="K352" s="5">
        <v>1.0</v>
      </c>
      <c r="L352" s="5">
        <v>14514.0</v>
      </c>
      <c r="M352" s="11">
        <v>58.43425</v>
      </c>
      <c r="N352" s="11">
        <v>-129.98617</v>
      </c>
      <c r="O352" s="11" t="s">
        <v>1577</v>
      </c>
      <c r="P352" s="11">
        <v>53129.0</v>
      </c>
      <c r="Q352" s="22">
        <v>2.0</v>
      </c>
      <c r="R352" s="11" t="s">
        <v>1573</v>
      </c>
      <c r="S352" s="13" t="s">
        <v>1578</v>
      </c>
      <c r="T352" s="11" t="s">
        <v>644</v>
      </c>
      <c r="U352" s="11">
        <v>814.0</v>
      </c>
      <c r="W352" s="29"/>
      <c r="X352" s="29"/>
      <c r="Y352" s="29"/>
      <c r="Z352" s="29"/>
      <c r="AA352" s="29" t="s">
        <v>1579</v>
      </c>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row>
    <row r="353" ht="14.25" customHeight="1">
      <c r="A353" s="6" t="s">
        <v>772</v>
      </c>
      <c r="B353" s="5">
        <v>2.0</v>
      </c>
      <c r="C353" s="5" t="s">
        <v>7661</v>
      </c>
      <c r="D353" s="5">
        <v>53131.0</v>
      </c>
      <c r="E353" s="5">
        <v>13020.0</v>
      </c>
      <c r="F353" s="12" t="s">
        <v>1580</v>
      </c>
      <c r="G353" s="10" t="s">
        <v>1581</v>
      </c>
      <c r="H353" s="5" t="s">
        <v>792</v>
      </c>
      <c r="I353" s="5" t="s">
        <v>49</v>
      </c>
      <c r="J353" s="5" t="s">
        <v>1582</v>
      </c>
      <c r="K353" s="5">
        <v>1.0</v>
      </c>
      <c r="L353" s="5">
        <v>14952.0</v>
      </c>
      <c r="M353" s="11">
        <v>57.30477</v>
      </c>
      <c r="N353" s="11">
        <v>-130.25056</v>
      </c>
      <c r="O353" s="11" t="s">
        <v>1577</v>
      </c>
      <c r="P353" s="11">
        <v>53131.0</v>
      </c>
      <c r="Q353" s="22">
        <v>2.0</v>
      </c>
      <c r="R353" s="11" t="s">
        <v>1583</v>
      </c>
      <c r="S353" s="13" t="s">
        <v>1584</v>
      </c>
      <c r="T353" s="11" t="s">
        <v>644</v>
      </c>
      <c r="U353" s="10">
        <v>814.0</v>
      </c>
      <c r="Z353" s="11"/>
      <c r="AA353" s="11" t="s">
        <v>1585</v>
      </c>
      <c r="AB353" s="11"/>
      <c r="AC353" s="11"/>
      <c r="AD353" s="11"/>
      <c r="AE353" s="11"/>
      <c r="AF353" s="11"/>
      <c r="AG353" s="11"/>
      <c r="AH353" s="11"/>
      <c r="AI353" s="11"/>
    </row>
    <row r="354" ht="14.25" customHeight="1">
      <c r="A354" s="6"/>
      <c r="B354" s="5">
        <v>2.0</v>
      </c>
      <c r="C354" s="5" t="s">
        <v>7661</v>
      </c>
      <c r="D354" s="5">
        <v>53221.0</v>
      </c>
      <c r="E354" s="5">
        <v>2928.0</v>
      </c>
      <c r="F354" s="29" t="s">
        <v>1586</v>
      </c>
      <c r="G354" s="21" t="s">
        <v>1587</v>
      </c>
      <c r="H354" s="5" t="s">
        <v>1588</v>
      </c>
      <c r="I354" s="5" t="s">
        <v>641</v>
      </c>
      <c r="J354" s="5" t="s">
        <v>1453</v>
      </c>
      <c r="K354" s="5">
        <v>1.0</v>
      </c>
      <c r="L354" s="5">
        <v>3671.0</v>
      </c>
      <c r="M354" s="29">
        <v>59.24917</v>
      </c>
      <c r="N354" s="29">
        <v>-129.65722</v>
      </c>
      <c r="O354" s="29" t="s">
        <v>1577</v>
      </c>
      <c r="P354" s="29">
        <v>53221.0</v>
      </c>
      <c r="Q354" s="31">
        <v>2.0</v>
      </c>
      <c r="R354" s="29" t="s">
        <v>1586</v>
      </c>
      <c r="S354" s="32" t="s">
        <v>1589</v>
      </c>
      <c r="T354" s="29" t="s">
        <v>644</v>
      </c>
      <c r="U354" s="29">
        <v>940.0</v>
      </c>
      <c r="V354" s="29"/>
      <c r="W354" s="29"/>
      <c r="X354" s="29"/>
      <c r="Y354" s="29"/>
      <c r="Z354" s="29" t="s">
        <v>645</v>
      </c>
      <c r="AA354" s="29" t="s">
        <v>1590</v>
      </c>
      <c r="AB354" s="29"/>
      <c r="AC354" s="33"/>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row>
    <row r="355" ht="14.25" customHeight="1">
      <c r="A355" s="6"/>
      <c r="B355" s="5">
        <v>2.0</v>
      </c>
      <c r="C355" s="5" t="s">
        <v>7661</v>
      </c>
      <c r="D355" s="5">
        <v>53222.0</v>
      </c>
      <c r="E355" s="5">
        <v>12508.0</v>
      </c>
      <c r="F355" s="5" t="s">
        <v>1591</v>
      </c>
      <c r="G355" s="21" t="s">
        <v>1592</v>
      </c>
      <c r="H355" s="5" t="s">
        <v>1593</v>
      </c>
      <c r="I355" s="5" t="s">
        <v>49</v>
      </c>
      <c r="J355" s="5" t="s">
        <v>1594</v>
      </c>
      <c r="K355" s="5">
        <v>1.0</v>
      </c>
      <c r="L355" s="5">
        <v>14530.0</v>
      </c>
      <c r="M355" s="11">
        <v>59.25861</v>
      </c>
      <c r="N355" s="11">
        <v>-129.61833</v>
      </c>
      <c r="O355" s="11" t="s">
        <v>1577</v>
      </c>
      <c r="P355" s="11">
        <v>53222.0</v>
      </c>
      <c r="Q355" s="22">
        <v>2.0</v>
      </c>
      <c r="R355" s="11" t="s">
        <v>1595</v>
      </c>
      <c r="S355" s="13" t="s">
        <v>1596</v>
      </c>
      <c r="T355" s="11" t="s">
        <v>644</v>
      </c>
      <c r="U355" s="11">
        <v>915.0</v>
      </c>
      <c r="Z355" s="11"/>
      <c r="AA355" s="11" t="s">
        <v>1597</v>
      </c>
      <c r="AB355" s="11"/>
      <c r="AC355" s="11"/>
      <c r="AD355" s="11"/>
      <c r="AE355" s="11"/>
      <c r="AF355" s="11"/>
      <c r="AG355" s="11"/>
      <c r="AH355" s="11"/>
      <c r="AI355" s="11"/>
    </row>
    <row r="356" ht="14.25" customHeight="1">
      <c r="A356" s="6"/>
      <c r="B356" s="5">
        <v>2.0</v>
      </c>
      <c r="C356" s="5" t="s">
        <v>7661</v>
      </c>
      <c r="D356" s="5">
        <v>53321.0</v>
      </c>
      <c r="E356" s="5">
        <v>2930.0</v>
      </c>
      <c r="F356" s="5" t="s">
        <v>1598</v>
      </c>
      <c r="G356" s="21" t="s">
        <v>1599</v>
      </c>
      <c r="H356" s="5" t="s">
        <v>1309</v>
      </c>
      <c r="I356" s="5" t="s">
        <v>641</v>
      </c>
      <c r="J356" s="5" t="s">
        <v>1453</v>
      </c>
      <c r="K356" s="5">
        <v>1.0</v>
      </c>
      <c r="L356" s="5">
        <v>3673.0</v>
      </c>
      <c r="M356" s="11">
        <v>57.91278</v>
      </c>
      <c r="N356" s="11">
        <v>-131.13111</v>
      </c>
      <c r="O356" s="11" t="s">
        <v>1577</v>
      </c>
      <c r="P356" s="11">
        <v>53321.0</v>
      </c>
      <c r="Q356" s="22">
        <v>1.0</v>
      </c>
      <c r="R356" s="11" t="s">
        <v>1598</v>
      </c>
      <c r="S356" s="13" t="s">
        <v>1600</v>
      </c>
      <c r="T356" s="11" t="s">
        <v>644</v>
      </c>
      <c r="U356" s="11">
        <v>290.0</v>
      </c>
      <c r="Z356" s="11"/>
      <c r="AA356" s="11" t="s">
        <v>1601</v>
      </c>
      <c r="AB356" s="11"/>
      <c r="AC356" s="11"/>
      <c r="AD356" s="11"/>
      <c r="AE356" s="11"/>
      <c r="AF356" s="11"/>
      <c r="AG356" s="11"/>
      <c r="AH356" s="11"/>
      <c r="AI356" s="11"/>
    </row>
    <row r="357" ht="14.25" customHeight="1">
      <c r="A357" s="6"/>
      <c r="B357" s="5">
        <v>2.0</v>
      </c>
      <c r="C357" s="5" t="s">
        <v>7661</v>
      </c>
      <c r="D357" s="5">
        <v>54091.0</v>
      </c>
      <c r="E357" s="5">
        <v>2934.0</v>
      </c>
      <c r="F357" s="5" t="s">
        <v>1602</v>
      </c>
      <c r="G357" s="21" t="s">
        <v>1603</v>
      </c>
      <c r="H357" s="5" t="s">
        <v>1604</v>
      </c>
      <c r="I357" s="5" t="s">
        <v>641</v>
      </c>
      <c r="J357" s="5" t="s">
        <v>642</v>
      </c>
      <c r="K357" s="5">
        <v>1.0</v>
      </c>
      <c r="L357" s="5">
        <v>3677.0</v>
      </c>
      <c r="M357" s="11">
        <v>54.48194</v>
      </c>
      <c r="N357" s="11">
        <v>-126.74361</v>
      </c>
      <c r="O357" s="11" t="s">
        <v>148</v>
      </c>
      <c r="P357" s="11">
        <v>54091.0</v>
      </c>
      <c r="Q357" s="22">
        <v>1.0</v>
      </c>
      <c r="R357" s="11" t="s">
        <v>1602</v>
      </c>
      <c r="S357" s="13" t="s">
        <v>1605</v>
      </c>
      <c r="T357" s="11" t="s">
        <v>644</v>
      </c>
      <c r="U357" s="11">
        <v>820.0</v>
      </c>
      <c r="Z357" s="11" t="s">
        <v>645</v>
      </c>
      <c r="AA357" s="11" t="s">
        <v>1606</v>
      </c>
      <c r="AB357" s="11"/>
      <c r="AC357" s="23"/>
      <c r="AD357" s="11"/>
      <c r="AE357" s="11"/>
      <c r="AF357" s="11"/>
      <c r="AG357" s="11"/>
      <c r="AH357" s="11"/>
      <c r="AI357" s="11"/>
    </row>
    <row r="358" ht="14.25" customHeight="1">
      <c r="A358" s="6"/>
      <c r="B358" s="5">
        <v>2.0</v>
      </c>
      <c r="C358" s="5" t="s">
        <v>7661</v>
      </c>
      <c r="D358" s="5">
        <v>54092.0</v>
      </c>
      <c r="E358" s="5">
        <v>12493.0</v>
      </c>
      <c r="F358" s="29" t="s">
        <v>1607</v>
      </c>
      <c r="G358" s="21" t="s">
        <v>1608</v>
      </c>
      <c r="H358" s="5" t="s">
        <v>709</v>
      </c>
      <c r="I358" s="5" t="s">
        <v>49</v>
      </c>
      <c r="J358" s="5" t="s">
        <v>1170</v>
      </c>
      <c r="K358" s="5">
        <v>1.0</v>
      </c>
      <c r="L358" s="5">
        <v>14515.0</v>
      </c>
      <c r="M358" s="29">
        <v>54.94143</v>
      </c>
      <c r="N358" s="29">
        <v>-127.3261</v>
      </c>
      <c r="O358" s="29" t="s">
        <v>148</v>
      </c>
      <c r="P358" s="29">
        <v>54092.0</v>
      </c>
      <c r="Q358" s="31">
        <v>1.0</v>
      </c>
      <c r="R358" s="29" t="s">
        <v>1607</v>
      </c>
      <c r="S358" s="32" t="s">
        <v>1609</v>
      </c>
      <c r="T358" s="29" t="s">
        <v>644</v>
      </c>
      <c r="U358" s="29">
        <v>410.0</v>
      </c>
      <c r="V358" s="29"/>
      <c r="W358" s="29"/>
      <c r="X358" s="29"/>
      <c r="Y358" s="29"/>
      <c r="Z358" s="29"/>
      <c r="AA358" s="29" t="s">
        <v>1610</v>
      </c>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row>
    <row r="359" ht="14.25" customHeight="1">
      <c r="A359" s="6"/>
      <c r="B359" s="5">
        <v>2.0</v>
      </c>
      <c r="C359" s="5" t="s">
        <v>7661</v>
      </c>
      <c r="D359" s="5">
        <v>55091.0</v>
      </c>
      <c r="E359" s="5">
        <v>2938.0</v>
      </c>
      <c r="F359" s="5" t="s">
        <v>1611</v>
      </c>
      <c r="G359" s="21" t="s">
        <v>1612</v>
      </c>
      <c r="H359" s="5" t="s">
        <v>1613</v>
      </c>
      <c r="I359" s="5" t="s">
        <v>641</v>
      </c>
      <c r="J359" s="5" t="s">
        <v>642</v>
      </c>
      <c r="K359" s="5">
        <v>1.0</v>
      </c>
      <c r="L359" s="5">
        <v>3681.0</v>
      </c>
      <c r="M359" s="11">
        <v>54.19167</v>
      </c>
      <c r="N359" s="11">
        <v>-125.53639</v>
      </c>
      <c r="O359" s="11" t="s">
        <v>148</v>
      </c>
      <c r="P359" s="11">
        <v>55091.0</v>
      </c>
      <c r="Q359" s="22">
        <v>1.0</v>
      </c>
      <c r="R359" s="11" t="s">
        <v>1611</v>
      </c>
      <c r="S359" s="13" t="s">
        <v>1614</v>
      </c>
      <c r="T359" s="11" t="s">
        <v>644</v>
      </c>
      <c r="U359" s="11">
        <v>719.0</v>
      </c>
      <c r="V359" s="29"/>
      <c r="W359" s="29"/>
      <c r="X359" s="29"/>
      <c r="Y359" s="29"/>
      <c r="Z359" s="29"/>
      <c r="AA359" s="29" t="s">
        <v>1615</v>
      </c>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row>
    <row r="360" ht="14.25" customHeight="1">
      <c r="A360" s="6"/>
      <c r="B360" s="5">
        <v>2.0</v>
      </c>
      <c r="C360" s="5" t="s">
        <v>7661</v>
      </c>
      <c r="D360" s="5">
        <v>55092.0</v>
      </c>
      <c r="E360" s="5">
        <v>12494.0</v>
      </c>
      <c r="F360" s="5" t="s">
        <v>1616</v>
      </c>
      <c r="G360" s="21" t="s">
        <v>1617</v>
      </c>
      <c r="H360" s="5" t="s">
        <v>709</v>
      </c>
      <c r="I360" s="5" t="s">
        <v>49</v>
      </c>
      <c r="J360" s="5" t="s">
        <v>1170</v>
      </c>
      <c r="K360" s="5">
        <v>1.0</v>
      </c>
      <c r="L360" s="5">
        <v>14516.0</v>
      </c>
      <c r="M360" s="11">
        <v>54.45944</v>
      </c>
      <c r="N360" s="11">
        <v>-126.1961</v>
      </c>
      <c r="O360" s="11" t="s">
        <v>148</v>
      </c>
      <c r="P360" s="11">
        <v>55092.0</v>
      </c>
      <c r="Q360" s="22">
        <v>1.0</v>
      </c>
      <c r="R360" s="11" t="s">
        <v>1616</v>
      </c>
      <c r="S360" s="13" t="s">
        <v>1618</v>
      </c>
      <c r="T360" s="11" t="s">
        <v>644</v>
      </c>
      <c r="U360" s="11">
        <v>840.0</v>
      </c>
      <c r="V360" s="29"/>
      <c r="W360" s="29"/>
      <c r="X360" s="29"/>
      <c r="Y360" s="29"/>
      <c r="Z360" s="29"/>
      <c r="AA360" s="29" t="s">
        <v>1619</v>
      </c>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row>
    <row r="361" ht="14.25" customHeight="1">
      <c r="A361" s="6"/>
      <c r="B361" s="5">
        <v>2.0</v>
      </c>
      <c r="C361" s="5" t="s">
        <v>7661</v>
      </c>
      <c r="D361" s="5">
        <v>62091.0</v>
      </c>
      <c r="E361" s="5">
        <v>11030.0</v>
      </c>
      <c r="F361" s="5" t="s">
        <v>1620</v>
      </c>
      <c r="G361" s="21" t="s">
        <v>1621</v>
      </c>
      <c r="H361" s="5" t="s">
        <v>891</v>
      </c>
      <c r="I361" s="5" t="s">
        <v>49</v>
      </c>
      <c r="J361" s="5" t="s">
        <v>710</v>
      </c>
      <c r="K361" s="5">
        <v>1.0</v>
      </c>
      <c r="L361" s="5">
        <v>13198.0</v>
      </c>
      <c r="M361" s="11">
        <v>48.56794</v>
      </c>
      <c r="N361" s="11">
        <v>-123.54176</v>
      </c>
      <c r="O361" s="11" t="s">
        <v>183</v>
      </c>
      <c r="P361" s="11">
        <v>62091.0</v>
      </c>
      <c r="Q361" s="22">
        <v>5.0</v>
      </c>
      <c r="R361" s="11" t="s">
        <v>1620</v>
      </c>
      <c r="S361" s="13" t="s">
        <v>1622</v>
      </c>
      <c r="T361" s="11" t="s">
        <v>644</v>
      </c>
      <c r="U361" s="11">
        <v>340.0</v>
      </c>
      <c r="Z361" s="11" t="s">
        <v>645</v>
      </c>
      <c r="AA361" s="11" t="s">
        <v>1623</v>
      </c>
      <c r="AB361" s="11"/>
      <c r="AC361" s="23"/>
      <c r="AD361" s="11"/>
      <c r="AE361" s="11"/>
      <c r="AF361" s="11"/>
      <c r="AG361" s="11"/>
      <c r="AH361" s="11"/>
      <c r="AI361" s="11"/>
    </row>
    <row r="362" ht="14.25" customHeight="1">
      <c r="A362" s="6"/>
      <c r="B362" s="5">
        <v>2.0</v>
      </c>
      <c r="C362" s="5" t="s">
        <v>7661</v>
      </c>
      <c r="D362" s="5">
        <v>63093.0</v>
      </c>
      <c r="E362" s="5">
        <v>2944.0</v>
      </c>
      <c r="F362" s="5" t="s">
        <v>1624</v>
      </c>
      <c r="G362" s="21" t="s">
        <v>1625</v>
      </c>
      <c r="H362" s="5" t="s">
        <v>1626</v>
      </c>
      <c r="I362" s="5" t="s">
        <v>641</v>
      </c>
      <c r="J362" s="5" t="s">
        <v>755</v>
      </c>
      <c r="K362" s="5">
        <v>1.0</v>
      </c>
      <c r="L362" s="5">
        <v>3687.0</v>
      </c>
      <c r="M362" s="11">
        <v>49.37056</v>
      </c>
      <c r="N362" s="11">
        <v>-124.61611</v>
      </c>
      <c r="O362" s="11" t="s">
        <v>183</v>
      </c>
      <c r="P362" s="11">
        <v>63093.0</v>
      </c>
      <c r="Q362" s="22">
        <v>3.0</v>
      </c>
      <c r="R362" s="11" t="s">
        <v>1624</v>
      </c>
      <c r="S362" s="13" t="s">
        <v>1627</v>
      </c>
      <c r="T362" s="11" t="s">
        <v>644</v>
      </c>
      <c r="U362" s="11">
        <v>115.0</v>
      </c>
      <c r="Z362" s="11" t="s">
        <v>645</v>
      </c>
      <c r="AA362" s="11" t="s">
        <v>1628</v>
      </c>
      <c r="AB362" s="11"/>
      <c r="AC362" s="23"/>
      <c r="AD362" s="11"/>
      <c r="AE362" s="11"/>
      <c r="AF362" s="11"/>
      <c r="AG362" s="11"/>
      <c r="AH362" s="11"/>
      <c r="AI362" s="11"/>
    </row>
    <row r="363" ht="14.25" customHeight="1">
      <c r="A363" s="6"/>
      <c r="B363" s="5">
        <v>2.0</v>
      </c>
      <c r="C363" s="5" t="s">
        <v>7661</v>
      </c>
      <c r="D363" s="5">
        <v>63094.0</v>
      </c>
      <c r="E363" s="5">
        <v>2945.0</v>
      </c>
      <c r="F363" s="5" t="s">
        <v>1629</v>
      </c>
      <c r="G363" s="21" t="s">
        <v>1630</v>
      </c>
      <c r="H363" s="5" t="s">
        <v>1631</v>
      </c>
      <c r="I363" s="5" t="s">
        <v>641</v>
      </c>
      <c r="J363" s="5" t="s">
        <v>642</v>
      </c>
      <c r="K363" s="5">
        <v>1.0</v>
      </c>
      <c r="L363" s="5">
        <v>3688.0</v>
      </c>
      <c r="M363" s="11">
        <v>49.10056</v>
      </c>
      <c r="N363" s="11">
        <v>-125.4525</v>
      </c>
      <c r="O363" s="11" t="s">
        <v>51</v>
      </c>
      <c r="P363" s="11">
        <v>63094.0</v>
      </c>
      <c r="Q363" s="22">
        <v>1.0</v>
      </c>
      <c r="R363" s="11" t="s">
        <v>1629</v>
      </c>
      <c r="S363" s="13" t="s">
        <v>1632</v>
      </c>
      <c r="T363" s="11" t="s">
        <v>644</v>
      </c>
      <c r="U363" s="11">
        <v>35.0</v>
      </c>
      <c r="Z363" s="11"/>
      <c r="AA363" s="11" t="s">
        <v>1633</v>
      </c>
      <c r="AB363" s="11"/>
      <c r="AC363" s="11"/>
      <c r="AD363" s="11"/>
      <c r="AE363" s="11"/>
      <c r="AF363" s="11"/>
      <c r="AG363" s="11"/>
      <c r="AH363" s="11"/>
      <c r="AI363" s="11"/>
    </row>
    <row r="364" ht="14.25" customHeight="1">
      <c r="A364" s="6" t="s">
        <v>912</v>
      </c>
      <c r="B364" s="5">
        <v>2.0</v>
      </c>
      <c r="C364" s="5" t="s">
        <v>7661</v>
      </c>
      <c r="D364" s="5">
        <v>64091.0</v>
      </c>
      <c r="E364" s="5">
        <v>2954.0</v>
      </c>
      <c r="F364" s="5" t="s">
        <v>1634</v>
      </c>
      <c r="G364" s="10" t="s">
        <v>1635</v>
      </c>
      <c r="H364" s="5" t="s">
        <v>1636</v>
      </c>
      <c r="I364" s="5" t="s">
        <v>641</v>
      </c>
      <c r="J364" s="5" t="s">
        <v>642</v>
      </c>
      <c r="K364" s="5">
        <v>1.0</v>
      </c>
      <c r="L364" s="5">
        <v>3697.0</v>
      </c>
      <c r="M364" s="29">
        <v>50.28236</v>
      </c>
      <c r="N364" s="29">
        <v>-126.35528</v>
      </c>
      <c r="O364" s="29" t="s">
        <v>51</v>
      </c>
      <c r="P364" s="29">
        <v>64091.0</v>
      </c>
      <c r="Q364" s="31">
        <v>3.0</v>
      </c>
      <c r="R364" s="29" t="s">
        <v>1634</v>
      </c>
      <c r="S364" s="32" t="s">
        <v>1637</v>
      </c>
      <c r="T364" s="29" t="s">
        <v>644</v>
      </c>
      <c r="U364" s="29">
        <v>436.0</v>
      </c>
      <c r="V364" s="29"/>
      <c r="W364" s="29"/>
      <c r="X364" s="29"/>
      <c r="Y364" s="29"/>
      <c r="Z364" s="29" t="s">
        <v>645</v>
      </c>
      <c r="AA364" s="29" t="s">
        <v>1638</v>
      </c>
      <c r="AB364" s="29"/>
      <c r="AC364" s="33"/>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row>
    <row r="365" ht="14.25" customHeight="1">
      <c r="A365" s="6" t="s">
        <v>88</v>
      </c>
      <c r="B365" s="5">
        <v>2.0</v>
      </c>
      <c r="C365" s="5" t="s">
        <v>7661</v>
      </c>
      <c r="D365" s="5">
        <v>64092.0</v>
      </c>
      <c r="E365" s="5">
        <v>12991.0</v>
      </c>
      <c r="F365" s="5" t="s">
        <v>1639</v>
      </c>
      <c r="G365" s="10" t="s">
        <v>1640</v>
      </c>
      <c r="H365" s="5" t="s">
        <v>1149</v>
      </c>
      <c r="I365" s="5" t="s">
        <v>49</v>
      </c>
      <c r="J365" s="5" t="s">
        <v>793</v>
      </c>
      <c r="K365" s="5">
        <v>1.0</v>
      </c>
      <c r="L365" s="5">
        <v>14923.0</v>
      </c>
      <c r="M365" s="11">
        <v>50.17186</v>
      </c>
      <c r="N365" s="11">
        <v>-125.4792</v>
      </c>
      <c r="O365" s="11" t="s">
        <v>183</v>
      </c>
      <c r="P365" s="11">
        <v>64092.0</v>
      </c>
      <c r="Q365" s="22">
        <v>5.0</v>
      </c>
      <c r="R365" s="11" t="s">
        <v>1641</v>
      </c>
      <c r="S365" s="13" t="s">
        <v>1639</v>
      </c>
      <c r="T365" s="11" t="s">
        <v>644</v>
      </c>
      <c r="U365" s="11">
        <v>300.0</v>
      </c>
      <c r="Z365" s="11"/>
      <c r="AA365" s="11" t="s">
        <v>1642</v>
      </c>
      <c r="AB365" s="11"/>
      <c r="AC365" s="11"/>
      <c r="AD365" s="11"/>
      <c r="AE365" s="11"/>
      <c r="AF365" s="11"/>
      <c r="AG365" s="11"/>
      <c r="AH365" s="11"/>
      <c r="AI365" s="11"/>
    </row>
    <row r="366" ht="14.25" customHeight="1">
      <c r="A366" s="6"/>
      <c r="B366" s="5">
        <v>2.0</v>
      </c>
      <c r="C366" s="5" t="s">
        <v>7661</v>
      </c>
      <c r="D366" s="5">
        <v>64093.0</v>
      </c>
      <c r="E366" s="5">
        <v>2955.0</v>
      </c>
      <c r="F366" s="5" t="s">
        <v>1643</v>
      </c>
      <c r="G366" s="21" t="s">
        <v>1644</v>
      </c>
      <c r="H366" s="5" t="s">
        <v>1645</v>
      </c>
      <c r="I366" s="5" t="s">
        <v>641</v>
      </c>
      <c r="J366" s="5" t="s">
        <v>642</v>
      </c>
      <c r="K366" s="5">
        <v>1.0</v>
      </c>
      <c r="L366" s="5">
        <v>3698.0</v>
      </c>
      <c r="M366" s="11">
        <v>49.83003</v>
      </c>
      <c r="N366" s="11">
        <v>-125.19006</v>
      </c>
      <c r="O366" s="11" t="s">
        <v>183</v>
      </c>
      <c r="P366" s="11">
        <v>64093.0</v>
      </c>
      <c r="Q366" s="22">
        <v>3.0</v>
      </c>
      <c r="R366" s="11" t="s">
        <v>1643</v>
      </c>
      <c r="S366" s="13" t="s">
        <v>1646</v>
      </c>
      <c r="T366" s="11" t="s">
        <v>644</v>
      </c>
      <c r="U366" s="11">
        <v>100.0</v>
      </c>
      <c r="Z366" s="11"/>
      <c r="AA366" s="11" t="s">
        <v>1647</v>
      </c>
      <c r="AB366" s="11"/>
      <c r="AC366" s="23"/>
      <c r="AD366" s="11"/>
      <c r="AE366" s="11"/>
      <c r="AF366" s="11"/>
      <c r="AG366" s="11"/>
      <c r="AH366" s="11"/>
      <c r="AI366" s="11"/>
    </row>
    <row r="367" ht="14.25" customHeight="1">
      <c r="A367" s="43" t="s">
        <v>422</v>
      </c>
      <c r="B367" s="44">
        <v>2.0</v>
      </c>
      <c r="C367" s="44" t="s">
        <v>7661</v>
      </c>
      <c r="D367" s="44" t="s">
        <v>1648</v>
      </c>
      <c r="E367" s="44">
        <v>12521.0</v>
      </c>
      <c r="F367" s="44" t="s">
        <v>1649</v>
      </c>
      <c r="G367" s="44" t="s">
        <v>113</v>
      </c>
      <c r="H367" s="44" t="s">
        <v>1650</v>
      </c>
      <c r="I367" s="44" t="s">
        <v>49</v>
      </c>
      <c r="J367" s="44" t="s">
        <v>1651</v>
      </c>
      <c r="K367" s="44">
        <v>1.0</v>
      </c>
      <c r="L367" s="44">
        <v>14543.0</v>
      </c>
      <c r="M367" s="45"/>
      <c r="N367" s="45"/>
      <c r="O367" s="45"/>
      <c r="P367" s="46"/>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row>
    <row r="368" ht="14.25" customHeight="1">
      <c r="A368" s="6" t="s">
        <v>328</v>
      </c>
      <c r="B368" s="5">
        <v>2.0</v>
      </c>
      <c r="C368" s="12" t="s">
        <v>7662</v>
      </c>
      <c r="D368" s="12" t="s">
        <v>1652</v>
      </c>
      <c r="F368" s="12" t="s">
        <v>1653</v>
      </c>
      <c r="G368" s="12" t="s">
        <v>1654</v>
      </c>
      <c r="M368" s="47">
        <v>49.87759</v>
      </c>
      <c r="N368" s="47">
        <v>-117.39829</v>
      </c>
      <c r="O368" s="5" t="s">
        <v>170</v>
      </c>
      <c r="P368" s="5">
        <v>34891.0</v>
      </c>
      <c r="Q368" s="22">
        <v>1.0</v>
      </c>
      <c r="R368" s="48" t="s">
        <v>1655</v>
      </c>
      <c r="S368" s="13" t="s">
        <v>1656</v>
      </c>
      <c r="T368" s="5" t="s">
        <v>644</v>
      </c>
      <c r="U368" s="5">
        <v>808.0</v>
      </c>
      <c r="V368" s="23">
        <v>45890.0</v>
      </c>
      <c r="W368" s="44"/>
      <c r="X368" s="44"/>
      <c r="AA368" s="49" t="s">
        <v>1657</v>
      </c>
      <c r="AD368" s="11"/>
      <c r="AE368" s="11"/>
      <c r="AI368" s="11"/>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row>
    <row r="369" ht="14.25" customHeight="1">
      <c r="A369" s="6" t="s">
        <v>1658</v>
      </c>
      <c r="B369" s="5">
        <v>6.0</v>
      </c>
      <c r="C369" s="5" t="s">
        <v>1659</v>
      </c>
      <c r="D369" s="5" t="s">
        <v>1660</v>
      </c>
      <c r="E369" s="5">
        <v>2422.0</v>
      </c>
      <c r="F369" s="5" t="s">
        <v>1661</v>
      </c>
      <c r="G369" s="10" t="s">
        <v>1662</v>
      </c>
      <c r="H369" s="5" t="s">
        <v>1663</v>
      </c>
      <c r="I369" s="5" t="s">
        <v>1664</v>
      </c>
      <c r="J369" s="5" t="s">
        <v>1665</v>
      </c>
      <c r="M369" s="11">
        <v>53.5803</v>
      </c>
      <c r="N369" s="11">
        <v>-124.94605</v>
      </c>
      <c r="O369" s="11" t="s">
        <v>148</v>
      </c>
      <c r="P369" s="10" t="s">
        <v>1666</v>
      </c>
      <c r="Q369" s="5">
        <v>2.0</v>
      </c>
      <c r="R369" s="5" t="s">
        <v>1661</v>
      </c>
      <c r="S369" s="5" t="str">
        <f t="shared" ref="S369:S374" si="3">UPPER(R369)</f>
        <v>KENNEY DAM</v>
      </c>
      <c r="T369" s="5" t="s">
        <v>1659</v>
      </c>
      <c r="U369" s="5">
        <v>858.0</v>
      </c>
    </row>
    <row r="370" ht="14.25" customHeight="1">
      <c r="A370" s="6" t="s">
        <v>1658</v>
      </c>
      <c r="B370" s="5">
        <v>6.0</v>
      </c>
      <c r="C370" s="5" t="s">
        <v>1659</v>
      </c>
      <c r="D370" s="5" t="s">
        <v>1667</v>
      </c>
      <c r="E370" s="5">
        <v>2423.0</v>
      </c>
      <c r="F370" s="29" t="s">
        <v>1668</v>
      </c>
      <c r="G370" s="10" t="s">
        <v>1669</v>
      </c>
      <c r="H370" s="5" t="s">
        <v>1670</v>
      </c>
      <c r="I370" s="5" t="s">
        <v>1664</v>
      </c>
      <c r="J370" s="5" t="s">
        <v>1671</v>
      </c>
      <c r="M370" s="29">
        <v>53.23395</v>
      </c>
      <c r="N370" s="29">
        <v>-126.1132667</v>
      </c>
      <c r="O370" s="29" t="s">
        <v>148</v>
      </c>
      <c r="P370" s="38" t="s">
        <v>1672</v>
      </c>
      <c r="Q370" s="29">
        <v>2.0</v>
      </c>
      <c r="R370" s="29" t="s">
        <v>1668</v>
      </c>
      <c r="S370" s="29" t="str">
        <f t="shared" si="3"/>
        <v>EUTSUK</v>
      </c>
      <c r="T370" s="29" t="s">
        <v>1659</v>
      </c>
      <c r="U370" s="29">
        <v>863.0</v>
      </c>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row>
    <row r="371" ht="14.25" customHeight="1">
      <c r="A371" s="6" t="s">
        <v>1658</v>
      </c>
      <c r="B371" s="5">
        <v>6.0</v>
      </c>
      <c r="C371" s="5" t="s">
        <v>1659</v>
      </c>
      <c r="D371" s="5" t="s">
        <v>1673</v>
      </c>
      <c r="E371" s="5">
        <v>2424.0</v>
      </c>
      <c r="F371" s="5" t="s">
        <v>1674</v>
      </c>
      <c r="G371" s="10" t="s">
        <v>1675</v>
      </c>
      <c r="H371" s="5" t="s">
        <v>1676</v>
      </c>
      <c r="I371" s="5" t="s">
        <v>1664</v>
      </c>
      <c r="J371" s="5" t="s">
        <v>1677</v>
      </c>
      <c r="M371" s="10">
        <v>53.6171</v>
      </c>
      <c r="N371" s="10">
        <v>-127.696397</v>
      </c>
      <c r="O371" s="11" t="s">
        <v>148</v>
      </c>
      <c r="P371" s="10" t="s">
        <v>1678</v>
      </c>
      <c r="Q371" s="5">
        <v>2.0</v>
      </c>
      <c r="R371" s="5" t="s">
        <v>1674</v>
      </c>
      <c r="S371" s="5" t="str">
        <f t="shared" si="3"/>
        <v>TAHTSA INTAKE</v>
      </c>
      <c r="T371" s="5" t="s">
        <v>1659</v>
      </c>
      <c r="U371" s="5">
        <v>880.0</v>
      </c>
    </row>
    <row r="372" ht="14.25" customHeight="1">
      <c r="A372" s="6"/>
      <c r="B372" s="5">
        <v>6.0</v>
      </c>
      <c r="C372" s="5" t="s">
        <v>1659</v>
      </c>
      <c r="D372" s="5" t="s">
        <v>1679</v>
      </c>
      <c r="E372" s="5">
        <v>2425.0</v>
      </c>
      <c r="F372" s="5" t="s">
        <v>1680</v>
      </c>
      <c r="G372" s="5" t="s">
        <v>1681</v>
      </c>
      <c r="H372" s="5" t="s">
        <v>1663</v>
      </c>
      <c r="I372" s="5" t="s">
        <v>1664</v>
      </c>
      <c r="J372" s="5" t="s">
        <v>1682</v>
      </c>
      <c r="M372" s="11">
        <v>53.72923333</v>
      </c>
      <c r="N372" s="11">
        <v>-126.4179333</v>
      </c>
      <c r="O372" s="11" t="s">
        <v>148</v>
      </c>
      <c r="P372" s="10" t="s">
        <v>1683</v>
      </c>
      <c r="Q372" s="5">
        <v>7.0</v>
      </c>
      <c r="R372" s="5" t="s">
        <v>1680</v>
      </c>
      <c r="S372" s="5" t="str">
        <f t="shared" si="3"/>
        <v>MOUNT WELLS</v>
      </c>
      <c r="T372" s="5" t="s">
        <v>1659</v>
      </c>
      <c r="U372" s="5">
        <v>1490.0</v>
      </c>
    </row>
    <row r="373" ht="14.25" customHeight="1">
      <c r="A373" s="6"/>
      <c r="B373" s="5">
        <v>6.0</v>
      </c>
      <c r="C373" s="5" t="s">
        <v>1659</v>
      </c>
      <c r="D373" s="5" t="s">
        <v>1684</v>
      </c>
      <c r="E373" s="5">
        <v>2426.0</v>
      </c>
      <c r="F373" s="5" t="s">
        <v>1685</v>
      </c>
      <c r="G373" s="5" t="s">
        <v>1686</v>
      </c>
      <c r="H373" s="5" t="s">
        <v>1663</v>
      </c>
      <c r="I373" s="5" t="s">
        <v>1664</v>
      </c>
      <c r="J373" s="5" t="s">
        <v>1682</v>
      </c>
      <c r="M373" s="11">
        <v>53.58741667</v>
      </c>
      <c r="N373" s="11">
        <v>-127.6505667</v>
      </c>
      <c r="O373" s="11" t="s">
        <v>51</v>
      </c>
      <c r="P373" s="10" t="s">
        <v>1687</v>
      </c>
      <c r="Q373" s="5">
        <v>6.0</v>
      </c>
      <c r="R373" s="5" t="s">
        <v>1685</v>
      </c>
      <c r="S373" s="5" t="str">
        <f t="shared" si="3"/>
        <v>TAHTSA LAKE</v>
      </c>
      <c r="T373" s="5" t="s">
        <v>1659</v>
      </c>
      <c r="U373" s="5">
        <v>1300.0</v>
      </c>
    </row>
    <row r="374" ht="14.25" customHeight="1">
      <c r="A374" s="6"/>
      <c r="B374" s="5">
        <v>6.0</v>
      </c>
      <c r="C374" s="5" t="s">
        <v>1659</v>
      </c>
      <c r="D374" s="5" t="s">
        <v>1688</v>
      </c>
      <c r="E374" s="5">
        <v>2427.0</v>
      </c>
      <c r="F374" s="5" t="s">
        <v>1689</v>
      </c>
      <c r="G374" s="5" t="s">
        <v>1690</v>
      </c>
      <c r="H374" s="5" t="s">
        <v>1663</v>
      </c>
      <c r="I374" s="5" t="s">
        <v>1664</v>
      </c>
      <c r="J374" s="5" t="s">
        <v>1682</v>
      </c>
      <c r="M374" s="11">
        <v>53.16476667</v>
      </c>
      <c r="N374" s="11">
        <v>-126.8755167</v>
      </c>
      <c r="O374" s="11" t="s">
        <v>51</v>
      </c>
      <c r="P374" s="10" t="s">
        <v>1691</v>
      </c>
      <c r="Q374" s="5">
        <v>7.0</v>
      </c>
      <c r="R374" s="5" t="s">
        <v>1689</v>
      </c>
      <c r="S374" s="5" t="str">
        <f t="shared" si="3"/>
        <v>MOUNT PONDOSY</v>
      </c>
      <c r="T374" s="5" t="s">
        <v>1659</v>
      </c>
      <c r="U374" s="5">
        <v>1400.0</v>
      </c>
    </row>
    <row r="375" ht="14.25" customHeight="1">
      <c r="A375" s="5" t="s">
        <v>1692</v>
      </c>
      <c r="B375" s="5">
        <v>12.0</v>
      </c>
      <c r="C375" s="10" t="s">
        <v>7664</v>
      </c>
      <c r="D375" s="10" t="s">
        <v>1694</v>
      </c>
      <c r="E375" s="5">
        <v>12960.0</v>
      </c>
      <c r="F375" s="12" t="s">
        <v>1695</v>
      </c>
      <c r="G375" s="12" t="s">
        <v>1696</v>
      </c>
      <c r="H375" s="5" t="s">
        <v>1697</v>
      </c>
      <c r="I375" s="5" t="s">
        <v>49</v>
      </c>
      <c r="J375" s="5" t="s">
        <v>1698</v>
      </c>
      <c r="K375" s="5">
        <v>1.0</v>
      </c>
      <c r="L375" s="5">
        <v>14892.0</v>
      </c>
      <c r="AO375" s="50" t="s">
        <v>1699</v>
      </c>
      <c r="AP375" s="50">
        <v>1.0</v>
      </c>
      <c r="AQ375" s="50" t="s">
        <v>1700</v>
      </c>
      <c r="AR375" s="50" t="s">
        <v>1701</v>
      </c>
      <c r="AS375" s="50" t="s">
        <v>1702</v>
      </c>
      <c r="AT375" s="50" t="s">
        <v>1703</v>
      </c>
      <c r="AU375" s="50" t="s">
        <v>1704</v>
      </c>
      <c r="AV375" s="50" t="s">
        <v>1702</v>
      </c>
      <c r="AW375" s="50" t="s">
        <v>1705</v>
      </c>
      <c r="AX375" s="50" t="s">
        <v>1706</v>
      </c>
      <c r="AY375" s="50">
        <v>49.0781</v>
      </c>
      <c r="AZ375" s="50">
        <v>-125.7696</v>
      </c>
      <c r="BA375" s="50">
        <v>24.0</v>
      </c>
    </row>
    <row r="376" ht="14.25" customHeight="1">
      <c r="A376" s="5" t="s">
        <v>422</v>
      </c>
      <c r="B376" s="5">
        <v>12.0</v>
      </c>
      <c r="C376" s="5" t="s">
        <v>7665</v>
      </c>
      <c r="D376" s="5">
        <v>2.0</v>
      </c>
      <c r="E376" s="5">
        <v>12961.0</v>
      </c>
      <c r="F376" s="51" t="s">
        <v>1708</v>
      </c>
      <c r="G376" s="51" t="s">
        <v>127</v>
      </c>
      <c r="H376" s="5" t="s">
        <v>1697</v>
      </c>
      <c r="I376" s="5" t="s">
        <v>49</v>
      </c>
      <c r="J376" s="5" t="s">
        <v>1698</v>
      </c>
      <c r="K376" s="5">
        <v>1.0</v>
      </c>
      <c r="L376" s="5">
        <v>14893.0</v>
      </c>
      <c r="AO376" s="50" t="s">
        <v>1709</v>
      </c>
      <c r="AP376" s="50">
        <v>2.0</v>
      </c>
      <c r="AQ376" s="50" t="s">
        <v>1700</v>
      </c>
      <c r="AR376" s="50" t="s">
        <v>1701</v>
      </c>
      <c r="AS376" s="50" t="s">
        <v>1702</v>
      </c>
      <c r="AT376" s="50" t="s">
        <v>1703</v>
      </c>
      <c r="AU376" s="50" t="s">
        <v>1704</v>
      </c>
      <c r="AV376" s="50" t="s">
        <v>1702</v>
      </c>
      <c r="AW376" s="50" t="s">
        <v>1705</v>
      </c>
      <c r="AX376" s="50" t="s">
        <v>1710</v>
      </c>
      <c r="AY376" s="50">
        <v>50.7</v>
      </c>
      <c r="AZ376" s="50">
        <v>-127.4</v>
      </c>
      <c r="BA376" s="50">
        <v>22.0</v>
      </c>
    </row>
    <row r="377" ht="14.25" customHeight="1">
      <c r="B377" s="5">
        <v>12.0</v>
      </c>
      <c r="C377" s="5" t="s">
        <v>7666</v>
      </c>
      <c r="D377" s="5">
        <v>3.0</v>
      </c>
      <c r="E377" s="5">
        <v>1603.0</v>
      </c>
      <c r="F377" s="18" t="s">
        <v>1712</v>
      </c>
      <c r="G377" s="51" t="s">
        <v>1713</v>
      </c>
      <c r="H377" s="5" t="s">
        <v>1714</v>
      </c>
      <c r="I377" s="5" t="s">
        <v>1664</v>
      </c>
      <c r="J377" s="5" t="s">
        <v>1715</v>
      </c>
      <c r="K377" s="5">
        <v>1.0</v>
      </c>
      <c r="L377" s="5">
        <v>2006.0</v>
      </c>
      <c r="AO377" s="5" t="s">
        <v>1712</v>
      </c>
      <c r="AP377" s="5">
        <v>3.0</v>
      </c>
      <c r="AQ377" s="5" t="s">
        <v>1716</v>
      </c>
      <c r="AR377" s="5" t="s">
        <v>1717</v>
      </c>
      <c r="AS377" s="5" t="s">
        <v>1718</v>
      </c>
      <c r="AT377" s="5" t="s">
        <v>1719</v>
      </c>
      <c r="AU377" s="5" t="s">
        <v>1703</v>
      </c>
      <c r="AV377" s="5" t="s">
        <v>1720</v>
      </c>
      <c r="AW377" s="5" t="s">
        <v>1705</v>
      </c>
      <c r="AX377" s="5" t="s">
        <v>1706</v>
      </c>
      <c r="AY377" s="5">
        <v>49.0</v>
      </c>
      <c r="AZ377" s="5">
        <v>-124.7</v>
      </c>
      <c r="BA377" s="5">
        <v>5.0</v>
      </c>
    </row>
    <row r="378" ht="14.25" customHeight="1">
      <c r="B378" s="5">
        <v>12.0</v>
      </c>
      <c r="C378" s="5" t="s">
        <v>7666</v>
      </c>
      <c r="D378" s="5">
        <v>4.0</v>
      </c>
      <c r="E378" s="5">
        <v>1607.0</v>
      </c>
      <c r="F378" s="18" t="s">
        <v>1721</v>
      </c>
      <c r="G378" s="51" t="s">
        <v>1722</v>
      </c>
      <c r="H378" s="5" t="s">
        <v>1714</v>
      </c>
      <c r="I378" s="5" t="s">
        <v>1664</v>
      </c>
      <c r="J378" s="5" t="s">
        <v>1715</v>
      </c>
      <c r="K378" s="5">
        <v>1.0</v>
      </c>
      <c r="L378" s="5">
        <v>2010.0</v>
      </c>
      <c r="AO378" s="5" t="s">
        <v>1721</v>
      </c>
      <c r="AP378" s="5">
        <v>4.0</v>
      </c>
      <c r="AQ378" s="5" t="s">
        <v>1716</v>
      </c>
      <c r="AR378" s="5" t="s">
        <v>1717</v>
      </c>
      <c r="AS378" s="5" t="s">
        <v>1718</v>
      </c>
      <c r="AT378" s="5" t="s">
        <v>1719</v>
      </c>
      <c r="AU378" s="5" t="s">
        <v>1703</v>
      </c>
      <c r="AV378" s="5" t="s">
        <v>1720</v>
      </c>
      <c r="AW378" s="5" t="s">
        <v>1705</v>
      </c>
      <c r="AX378" s="5" t="s">
        <v>1723</v>
      </c>
      <c r="AY378" s="5">
        <v>50.0</v>
      </c>
      <c r="AZ378" s="5">
        <v>-126.8</v>
      </c>
      <c r="BA378" s="5">
        <v>2.0</v>
      </c>
    </row>
    <row r="379" ht="14.25" customHeight="1">
      <c r="B379" s="5">
        <v>12.0</v>
      </c>
      <c r="C379" s="5" t="s">
        <v>7666</v>
      </c>
      <c r="D379" s="5">
        <v>8.0</v>
      </c>
      <c r="E379" s="5">
        <v>1608.0</v>
      </c>
      <c r="F379" s="18" t="s">
        <v>1724</v>
      </c>
      <c r="G379" s="51" t="s">
        <v>1725</v>
      </c>
      <c r="H379" s="5" t="s">
        <v>1726</v>
      </c>
      <c r="I379" s="5" t="s">
        <v>1664</v>
      </c>
      <c r="J379" s="5" t="s">
        <v>1715</v>
      </c>
      <c r="K379" s="5">
        <v>1.0</v>
      </c>
      <c r="L379" s="5">
        <v>2011.0</v>
      </c>
      <c r="AO379" s="5" t="s">
        <v>1724</v>
      </c>
      <c r="AP379" s="5">
        <v>8.0</v>
      </c>
      <c r="AQ379" s="5" t="s">
        <v>1716</v>
      </c>
      <c r="AR379" s="5" t="s">
        <v>1717</v>
      </c>
      <c r="AS379" s="5" t="s">
        <v>1718</v>
      </c>
      <c r="AT379" s="5" t="s">
        <v>1719</v>
      </c>
      <c r="AU379" s="5" t="s">
        <v>1703</v>
      </c>
      <c r="AV379" s="5" t="s">
        <v>1720</v>
      </c>
      <c r="AW379" s="5" t="s">
        <v>1705</v>
      </c>
      <c r="AX379" s="5" t="s">
        <v>1706</v>
      </c>
      <c r="AY379" s="5">
        <v>48.8</v>
      </c>
      <c r="AZ379" s="5">
        <v>-124.9</v>
      </c>
      <c r="BA379" s="5">
        <v>3.0</v>
      </c>
    </row>
    <row r="380" ht="14.25" customHeight="1">
      <c r="B380" s="5">
        <v>12.0</v>
      </c>
      <c r="C380" s="5" t="s">
        <v>7666</v>
      </c>
      <c r="D380" s="5">
        <v>9.0</v>
      </c>
      <c r="E380" s="5">
        <v>1609.0</v>
      </c>
      <c r="F380" s="18" t="s">
        <v>1727</v>
      </c>
      <c r="G380" s="51" t="s">
        <v>1728</v>
      </c>
      <c r="H380" s="5" t="s">
        <v>1729</v>
      </c>
      <c r="I380" s="5" t="s">
        <v>1664</v>
      </c>
      <c r="J380" s="5" t="s">
        <v>1715</v>
      </c>
      <c r="K380" s="5">
        <v>1.0</v>
      </c>
      <c r="L380" s="5">
        <v>2012.0</v>
      </c>
      <c r="AO380" s="5" t="s">
        <v>1727</v>
      </c>
      <c r="AP380" s="5">
        <v>9.0</v>
      </c>
      <c r="AQ380" s="5" t="s">
        <v>1716</v>
      </c>
      <c r="AR380" s="5" t="s">
        <v>1717</v>
      </c>
      <c r="AS380" s="5" t="s">
        <v>1718</v>
      </c>
      <c r="AT380" s="5" t="s">
        <v>1719</v>
      </c>
      <c r="AU380" s="5" t="s">
        <v>1703</v>
      </c>
      <c r="AV380" s="5" t="s">
        <v>1720</v>
      </c>
      <c r="AW380" s="5" t="s">
        <v>1705</v>
      </c>
      <c r="AX380" s="5" t="s">
        <v>1706</v>
      </c>
      <c r="AY380" s="5">
        <v>48.8</v>
      </c>
      <c r="AZ380" s="5">
        <v>-125.0</v>
      </c>
      <c r="BA380" s="5">
        <v>1.0</v>
      </c>
    </row>
    <row r="381" ht="14.25" customHeight="1">
      <c r="B381" s="5">
        <v>12.0</v>
      </c>
      <c r="C381" s="5" t="s">
        <v>7666</v>
      </c>
      <c r="D381" s="5">
        <v>10.0</v>
      </c>
      <c r="E381" s="5">
        <v>1610.0</v>
      </c>
      <c r="F381" s="18" t="s">
        <v>1730</v>
      </c>
      <c r="G381" s="51" t="s">
        <v>1731</v>
      </c>
      <c r="H381" s="5" t="s">
        <v>1732</v>
      </c>
      <c r="I381" s="5" t="s">
        <v>1664</v>
      </c>
      <c r="J381" s="5" t="s">
        <v>1715</v>
      </c>
      <c r="K381" s="5">
        <v>1.0</v>
      </c>
      <c r="L381" s="5">
        <v>2013.0</v>
      </c>
      <c r="AO381" s="5" t="s">
        <v>1730</v>
      </c>
      <c r="AP381" s="5">
        <v>10.0</v>
      </c>
      <c r="AQ381" s="5" t="s">
        <v>1716</v>
      </c>
      <c r="AR381" s="5" t="s">
        <v>1717</v>
      </c>
      <c r="AS381" s="5" t="s">
        <v>1718</v>
      </c>
      <c r="AT381" s="5" t="s">
        <v>1719</v>
      </c>
      <c r="AU381" s="5" t="s">
        <v>1703</v>
      </c>
      <c r="AV381" s="5" t="s">
        <v>1720</v>
      </c>
      <c r="AW381" s="5" t="s">
        <v>1705</v>
      </c>
      <c r="AX381" s="5" t="s">
        <v>1710</v>
      </c>
      <c r="AY381" s="5">
        <v>50.7</v>
      </c>
      <c r="AZ381" s="5">
        <v>-126.3</v>
      </c>
      <c r="BA381" s="5">
        <v>7.0</v>
      </c>
    </row>
    <row r="382" ht="14.25" customHeight="1">
      <c r="A382" s="5" t="s">
        <v>88</v>
      </c>
      <c r="B382" s="5">
        <v>12.0</v>
      </c>
      <c r="C382" s="5" t="s">
        <v>7666</v>
      </c>
      <c r="D382" s="5">
        <v>11.0</v>
      </c>
      <c r="E382" s="5">
        <v>1611.0</v>
      </c>
      <c r="F382" s="5" t="s">
        <v>1733</v>
      </c>
      <c r="G382" s="12" t="s">
        <v>1734</v>
      </c>
      <c r="H382" s="5" t="s">
        <v>1735</v>
      </c>
      <c r="I382" s="5" t="s">
        <v>641</v>
      </c>
      <c r="J382" s="5" t="s">
        <v>1736</v>
      </c>
      <c r="K382" s="5">
        <v>1.0</v>
      </c>
      <c r="L382" s="5">
        <v>2014.0</v>
      </c>
      <c r="M382" s="11">
        <v>48.92757</v>
      </c>
      <c r="N382" s="11">
        <v>-124.6469</v>
      </c>
      <c r="O382" s="11" t="s">
        <v>51</v>
      </c>
      <c r="P382" s="16">
        <v>11.0</v>
      </c>
      <c r="Q382" s="5">
        <v>4.0</v>
      </c>
      <c r="R382" s="5" t="s">
        <v>1733</v>
      </c>
      <c r="S382" s="5" t="s">
        <v>1737</v>
      </c>
      <c r="T382" s="5">
        <v>680.0</v>
      </c>
      <c r="W382" s="5">
        <v>31048.0</v>
      </c>
      <c r="X382" s="5" t="s">
        <v>1738</v>
      </c>
      <c r="AO382" s="16" t="s">
        <v>1733</v>
      </c>
      <c r="AP382" s="16">
        <v>11.0</v>
      </c>
      <c r="AQ382" s="16" t="s">
        <v>1716</v>
      </c>
      <c r="AR382" s="16" t="s">
        <v>1739</v>
      </c>
      <c r="AS382" s="16" t="s">
        <v>1740</v>
      </c>
      <c r="AT382" s="16" t="s">
        <v>1741</v>
      </c>
      <c r="AU382" s="16" t="s">
        <v>1742</v>
      </c>
      <c r="AV382" s="16" t="s">
        <v>1720</v>
      </c>
      <c r="AW382" s="16" t="s">
        <v>1705</v>
      </c>
      <c r="AX382" s="16" t="s">
        <v>1706</v>
      </c>
      <c r="AY382" s="16">
        <v>48.9276</v>
      </c>
      <c r="AZ382" s="16">
        <v>-124.6469</v>
      </c>
      <c r="BA382" s="16">
        <v>671.0</v>
      </c>
    </row>
    <row r="383" ht="14.25" customHeight="1">
      <c r="B383" s="5">
        <v>12.0</v>
      </c>
      <c r="C383" s="5" t="s">
        <v>7666</v>
      </c>
      <c r="D383" s="5">
        <v>12.0</v>
      </c>
      <c r="E383" s="5">
        <v>1612.0</v>
      </c>
      <c r="F383" s="18" t="s">
        <v>1743</v>
      </c>
      <c r="G383" s="51" t="s">
        <v>1744</v>
      </c>
      <c r="H383" s="5" t="s">
        <v>1745</v>
      </c>
      <c r="I383" s="5" t="s">
        <v>1664</v>
      </c>
      <c r="J383" s="5" t="s">
        <v>1746</v>
      </c>
      <c r="K383" s="5">
        <v>1.0</v>
      </c>
      <c r="L383" s="5">
        <v>2015.0</v>
      </c>
      <c r="AO383" s="5" t="s">
        <v>1743</v>
      </c>
      <c r="AP383" s="5">
        <v>12.0</v>
      </c>
      <c r="AQ383" s="5" t="s">
        <v>1716</v>
      </c>
      <c r="AR383" s="5" t="s">
        <v>1717</v>
      </c>
      <c r="AS383" s="5" t="s">
        <v>1718</v>
      </c>
      <c r="AT383" s="5" t="s">
        <v>1719</v>
      </c>
      <c r="AU383" s="5" t="s">
        <v>1703</v>
      </c>
      <c r="AV383" s="5" t="s">
        <v>1720</v>
      </c>
      <c r="AW383" s="5" t="s">
        <v>1705</v>
      </c>
      <c r="AX383" s="5" t="s">
        <v>1747</v>
      </c>
      <c r="AY383" s="5">
        <v>48.5</v>
      </c>
      <c r="AZ383" s="5">
        <v>-124.3</v>
      </c>
      <c r="BA383" s="5">
        <v>4.0</v>
      </c>
    </row>
    <row r="384" ht="14.25" customHeight="1">
      <c r="B384" s="5">
        <v>12.0</v>
      </c>
      <c r="C384" s="5" t="s">
        <v>7666</v>
      </c>
      <c r="D384" s="5">
        <v>13.0</v>
      </c>
      <c r="E384" s="5">
        <v>1613.0</v>
      </c>
      <c r="F384" s="18" t="s">
        <v>1748</v>
      </c>
      <c r="G384" s="51" t="s">
        <v>1749</v>
      </c>
      <c r="H384" s="5" t="s">
        <v>1750</v>
      </c>
      <c r="I384" s="5" t="s">
        <v>1664</v>
      </c>
      <c r="J384" s="5" t="s">
        <v>1715</v>
      </c>
      <c r="K384" s="5">
        <v>1.0</v>
      </c>
      <c r="L384" s="5">
        <v>2016.0</v>
      </c>
      <c r="AO384" s="5" t="s">
        <v>1748</v>
      </c>
      <c r="AP384" s="5">
        <v>13.0</v>
      </c>
      <c r="AQ384" s="5" t="s">
        <v>1716</v>
      </c>
      <c r="AR384" s="5" t="s">
        <v>1717</v>
      </c>
      <c r="AS384" s="5" t="s">
        <v>1718</v>
      </c>
      <c r="AT384" s="5" t="s">
        <v>1719</v>
      </c>
      <c r="AU384" s="5" t="s">
        <v>1703</v>
      </c>
      <c r="AV384" s="5" t="s">
        <v>1720</v>
      </c>
      <c r="AW384" s="5" t="s">
        <v>1705</v>
      </c>
      <c r="AX384" s="5" t="s">
        <v>1706</v>
      </c>
      <c r="AY384" s="5">
        <v>48.8</v>
      </c>
      <c r="AZ384" s="5">
        <v>-124.8</v>
      </c>
      <c r="BA384" s="5">
        <v>2.0</v>
      </c>
    </row>
    <row r="385" ht="14.25" customHeight="1">
      <c r="B385" s="5">
        <v>12.0</v>
      </c>
      <c r="C385" s="5" t="s">
        <v>7666</v>
      </c>
      <c r="D385" s="5">
        <v>14.0</v>
      </c>
      <c r="E385" s="5">
        <v>1614.0</v>
      </c>
      <c r="F385" s="18" t="s">
        <v>1751</v>
      </c>
      <c r="G385" s="51" t="s">
        <v>1752</v>
      </c>
      <c r="H385" s="5" t="s">
        <v>1753</v>
      </c>
      <c r="I385" s="5" t="s">
        <v>1664</v>
      </c>
      <c r="J385" s="5" t="s">
        <v>1715</v>
      </c>
      <c r="K385" s="5">
        <v>1.0</v>
      </c>
      <c r="L385" s="5">
        <v>2017.0</v>
      </c>
      <c r="AO385" s="5" t="s">
        <v>1751</v>
      </c>
      <c r="AP385" s="5">
        <v>14.0</v>
      </c>
      <c r="AQ385" s="5" t="s">
        <v>1716</v>
      </c>
      <c r="AR385" s="5" t="s">
        <v>1717</v>
      </c>
      <c r="AS385" s="5" t="s">
        <v>1718</v>
      </c>
      <c r="AT385" s="5" t="s">
        <v>1719</v>
      </c>
      <c r="AU385" s="5" t="s">
        <v>1703</v>
      </c>
      <c r="AV385" s="5" t="s">
        <v>1720</v>
      </c>
      <c r="AW385" s="5" t="s">
        <v>1705</v>
      </c>
      <c r="AX385" s="5" t="s">
        <v>1747</v>
      </c>
      <c r="AY385" s="5">
        <v>48.9</v>
      </c>
      <c r="AZ385" s="5">
        <v>-124.5</v>
      </c>
      <c r="BA385" s="5">
        <v>4.0</v>
      </c>
    </row>
    <row r="386" ht="14.25" customHeight="1">
      <c r="B386" s="5">
        <v>12.0</v>
      </c>
      <c r="C386" s="5" t="s">
        <v>7666</v>
      </c>
      <c r="D386" s="5">
        <v>15.0</v>
      </c>
      <c r="E386" s="5">
        <v>1615.0</v>
      </c>
      <c r="F386" s="18" t="s">
        <v>1754</v>
      </c>
      <c r="G386" s="51" t="s">
        <v>1755</v>
      </c>
      <c r="H386" s="5" t="s">
        <v>1756</v>
      </c>
      <c r="I386" s="5" t="s">
        <v>1664</v>
      </c>
      <c r="J386" s="5" t="s">
        <v>1715</v>
      </c>
      <c r="K386" s="5">
        <v>1.0</v>
      </c>
      <c r="L386" s="5">
        <v>2018.0</v>
      </c>
      <c r="AO386" s="5" t="s">
        <v>1754</v>
      </c>
      <c r="AP386" s="5">
        <v>15.0</v>
      </c>
      <c r="AQ386" s="5" t="s">
        <v>1716</v>
      </c>
      <c r="AR386" s="5" t="s">
        <v>1717</v>
      </c>
      <c r="AS386" s="5" t="s">
        <v>1718</v>
      </c>
      <c r="AT386" s="5" t="s">
        <v>1719</v>
      </c>
      <c r="AU386" s="5" t="s">
        <v>1703</v>
      </c>
      <c r="AV386" s="5" t="s">
        <v>1720</v>
      </c>
      <c r="AW386" s="5" t="s">
        <v>1705</v>
      </c>
      <c r="AX386" s="5" t="s">
        <v>1706</v>
      </c>
      <c r="AY386" s="5">
        <v>48.7</v>
      </c>
      <c r="AZ386" s="5">
        <v>-125.0</v>
      </c>
      <c r="BA386" s="5">
        <v>2.0</v>
      </c>
    </row>
    <row r="387" ht="14.25" customHeight="1">
      <c r="B387" s="5">
        <v>12.0</v>
      </c>
      <c r="C387" s="5" t="s">
        <v>7666</v>
      </c>
      <c r="D387" s="5">
        <v>16.0</v>
      </c>
      <c r="E387" s="5">
        <v>1616.0</v>
      </c>
      <c r="F387" s="18" t="s">
        <v>1757</v>
      </c>
      <c r="G387" s="51" t="s">
        <v>1758</v>
      </c>
      <c r="H387" s="5" t="s">
        <v>1759</v>
      </c>
      <c r="I387" s="5" t="s">
        <v>641</v>
      </c>
      <c r="J387" s="5" t="s">
        <v>1715</v>
      </c>
      <c r="K387" s="5">
        <v>1.0</v>
      </c>
      <c r="L387" s="5">
        <v>2019.0</v>
      </c>
      <c r="AO387" s="5" t="s">
        <v>1757</v>
      </c>
      <c r="AP387" s="5">
        <v>16.0</v>
      </c>
      <c r="AQ387" s="5" t="s">
        <v>1716</v>
      </c>
      <c r="AR387" s="5" t="s">
        <v>1717</v>
      </c>
      <c r="AS387" s="5" t="s">
        <v>1718</v>
      </c>
      <c r="AT387" s="5" t="s">
        <v>1703</v>
      </c>
      <c r="AU387" s="5" t="s">
        <v>1703</v>
      </c>
      <c r="AV387" s="5" t="s">
        <v>1720</v>
      </c>
      <c r="AW387" s="5" t="s">
        <v>1705</v>
      </c>
      <c r="AX387" s="5" t="s">
        <v>1747</v>
      </c>
      <c r="AY387" s="5">
        <v>48.5783</v>
      </c>
      <c r="AZ387" s="5">
        <v>-124.41</v>
      </c>
      <c r="BA387" s="5">
        <v>300.0</v>
      </c>
    </row>
    <row r="388" ht="14.25" customHeight="1">
      <c r="B388" s="5">
        <v>12.0</v>
      </c>
      <c r="C388" s="5" t="s">
        <v>7666</v>
      </c>
      <c r="D388" s="5">
        <v>18.0</v>
      </c>
      <c r="E388" s="5">
        <v>1617.0</v>
      </c>
      <c r="F388" s="18" t="s">
        <v>1760</v>
      </c>
      <c r="G388" s="51" t="s">
        <v>1761</v>
      </c>
      <c r="H388" s="5" t="s">
        <v>1762</v>
      </c>
      <c r="I388" s="5" t="s">
        <v>1664</v>
      </c>
      <c r="J388" s="5" t="s">
        <v>1715</v>
      </c>
      <c r="K388" s="5">
        <v>1.0</v>
      </c>
      <c r="L388" s="5">
        <v>2020.0</v>
      </c>
      <c r="AO388" s="5" t="s">
        <v>1760</v>
      </c>
      <c r="AP388" s="5">
        <v>18.0</v>
      </c>
      <c r="AQ388" s="5" t="s">
        <v>1716</v>
      </c>
      <c r="AR388" s="5" t="s">
        <v>1717</v>
      </c>
      <c r="AS388" s="5" t="s">
        <v>1718</v>
      </c>
      <c r="AT388" s="5" t="s">
        <v>1719</v>
      </c>
      <c r="AU388" s="5" t="s">
        <v>1703</v>
      </c>
      <c r="AV388" s="5" t="s">
        <v>1720</v>
      </c>
      <c r="AW388" s="5" t="s">
        <v>1705</v>
      </c>
      <c r="AX388" s="5" t="s">
        <v>1747</v>
      </c>
      <c r="AY388" s="5">
        <v>48.8</v>
      </c>
      <c r="AZ388" s="5">
        <v>-124.5</v>
      </c>
      <c r="BA388" s="5">
        <v>4.0</v>
      </c>
    </row>
    <row r="389" ht="14.25" customHeight="1">
      <c r="A389" s="5" t="s">
        <v>88</v>
      </c>
      <c r="B389" s="5">
        <v>12.0</v>
      </c>
      <c r="C389" s="5" t="s">
        <v>7666</v>
      </c>
      <c r="D389" s="5">
        <v>19.0</v>
      </c>
      <c r="E389" s="5">
        <v>1618.0</v>
      </c>
      <c r="F389" s="5" t="s">
        <v>1763</v>
      </c>
      <c r="G389" s="12" t="s">
        <v>1764</v>
      </c>
      <c r="H389" s="5" t="s">
        <v>1765</v>
      </c>
      <c r="I389" s="5" t="s">
        <v>641</v>
      </c>
      <c r="J389" s="5" t="s">
        <v>1736</v>
      </c>
      <c r="K389" s="5">
        <v>1.0</v>
      </c>
      <c r="L389" s="5">
        <v>2021.0</v>
      </c>
      <c r="M389" s="11">
        <v>50.04863</v>
      </c>
      <c r="N389" s="11">
        <v>-125.78867</v>
      </c>
      <c r="O389" s="11" t="s">
        <v>183</v>
      </c>
      <c r="P389" s="16">
        <v>19.0</v>
      </c>
      <c r="Q389" s="5">
        <v>6.0</v>
      </c>
      <c r="R389" s="5" t="s">
        <v>1763</v>
      </c>
      <c r="S389" s="5" t="s">
        <v>1737</v>
      </c>
      <c r="T389" s="5">
        <v>438.0</v>
      </c>
      <c r="W389" s="5">
        <v>25569.0</v>
      </c>
      <c r="X389" s="5" t="s">
        <v>1738</v>
      </c>
      <c r="AO389" s="16" t="s">
        <v>1763</v>
      </c>
      <c r="AP389" s="16">
        <v>19.0</v>
      </c>
      <c r="AQ389" s="16" t="s">
        <v>1716</v>
      </c>
      <c r="AR389" s="16" t="s">
        <v>1739</v>
      </c>
      <c r="AS389" s="16" t="s">
        <v>1740</v>
      </c>
      <c r="AT389" s="16" t="s">
        <v>1741</v>
      </c>
      <c r="AU389" s="16" t="s">
        <v>1742</v>
      </c>
      <c r="AV389" s="16" t="s">
        <v>1720</v>
      </c>
      <c r="AW389" s="16" t="s">
        <v>1705</v>
      </c>
      <c r="AX389" s="16" t="s">
        <v>1723</v>
      </c>
      <c r="AY389" s="16">
        <v>50.0486</v>
      </c>
      <c r="AZ389" s="16">
        <v>-125.7887</v>
      </c>
      <c r="BA389" s="16">
        <v>435.0</v>
      </c>
    </row>
    <row r="390" ht="14.25" customHeight="1">
      <c r="B390" s="5">
        <v>12.0</v>
      </c>
      <c r="C390" s="5" t="s">
        <v>7666</v>
      </c>
      <c r="D390" s="5">
        <v>20.0</v>
      </c>
      <c r="E390" s="5">
        <v>1619.0</v>
      </c>
      <c r="F390" s="18" t="s">
        <v>1766</v>
      </c>
      <c r="G390" s="51" t="s">
        <v>1767</v>
      </c>
      <c r="H390" s="5" t="s">
        <v>1714</v>
      </c>
      <c r="I390" s="5" t="s">
        <v>1664</v>
      </c>
      <c r="J390" s="5" t="s">
        <v>1715</v>
      </c>
      <c r="K390" s="5">
        <v>1.0</v>
      </c>
      <c r="L390" s="5">
        <v>2022.0</v>
      </c>
      <c r="AO390" s="5" t="s">
        <v>1766</v>
      </c>
      <c r="AP390" s="5">
        <v>20.0</v>
      </c>
      <c r="AQ390" s="5" t="s">
        <v>1716</v>
      </c>
      <c r="AR390" s="5" t="s">
        <v>1717</v>
      </c>
      <c r="AS390" s="5" t="s">
        <v>1718</v>
      </c>
      <c r="AT390" s="5" t="s">
        <v>1719</v>
      </c>
      <c r="AU390" s="5" t="s">
        <v>1703</v>
      </c>
      <c r="AV390" s="5" t="s">
        <v>1720</v>
      </c>
      <c r="AW390" s="5" t="s">
        <v>1705</v>
      </c>
      <c r="AX390" s="5" t="s">
        <v>1723</v>
      </c>
      <c r="AY390" s="5">
        <v>49.8</v>
      </c>
      <c r="AZ390" s="5">
        <v>-126.1</v>
      </c>
      <c r="BA390" s="5">
        <v>6.0</v>
      </c>
    </row>
    <row r="391" ht="14.25" customHeight="1">
      <c r="A391" s="5" t="s">
        <v>88</v>
      </c>
      <c r="B391" s="5">
        <v>12.0</v>
      </c>
      <c r="C391" s="5" t="s">
        <v>7666</v>
      </c>
      <c r="D391" s="5">
        <v>21.0</v>
      </c>
      <c r="E391" s="5">
        <v>1620.0</v>
      </c>
      <c r="F391" s="5" t="s">
        <v>1768</v>
      </c>
      <c r="G391" s="12" t="s">
        <v>1769</v>
      </c>
      <c r="H391" s="5" t="s">
        <v>1770</v>
      </c>
      <c r="I391" s="5" t="s">
        <v>641</v>
      </c>
      <c r="J391" s="5" t="s">
        <v>1736</v>
      </c>
      <c r="K391" s="5">
        <v>1.0</v>
      </c>
      <c r="L391" s="5">
        <v>2023.0</v>
      </c>
      <c r="M391" s="11">
        <v>50.21312</v>
      </c>
      <c r="N391" s="11">
        <v>-126.60705</v>
      </c>
      <c r="O391" s="11" t="s">
        <v>51</v>
      </c>
      <c r="P391" s="16">
        <v>21.0</v>
      </c>
      <c r="Q391" s="5">
        <v>2.0</v>
      </c>
      <c r="R391" s="5" t="s">
        <v>1768</v>
      </c>
      <c r="S391" s="5" t="s">
        <v>1737</v>
      </c>
      <c r="T391" s="5">
        <v>156.0</v>
      </c>
      <c r="U391" s="5" t="s">
        <v>645</v>
      </c>
      <c r="V391" s="5" t="s">
        <v>1771</v>
      </c>
      <c r="W391" s="5">
        <v>25569.0</v>
      </c>
      <c r="X391" s="5" t="s">
        <v>1738</v>
      </c>
      <c r="AO391" s="16" t="s">
        <v>1768</v>
      </c>
      <c r="AP391" s="16">
        <v>21.0</v>
      </c>
      <c r="AQ391" s="16" t="s">
        <v>1716</v>
      </c>
      <c r="AR391" s="16" t="s">
        <v>1739</v>
      </c>
      <c r="AS391" s="16" t="s">
        <v>1740</v>
      </c>
      <c r="AT391" s="16" t="s">
        <v>1741</v>
      </c>
      <c r="AU391" s="16" t="s">
        <v>1772</v>
      </c>
      <c r="AV391" s="16" t="s">
        <v>1720</v>
      </c>
      <c r="AW391" s="16" t="s">
        <v>1705</v>
      </c>
      <c r="AX391" s="16" t="s">
        <v>1710</v>
      </c>
      <c r="AY391" s="16">
        <v>50.2132</v>
      </c>
      <c r="AZ391" s="16">
        <v>-126.6071</v>
      </c>
      <c r="BA391" s="16">
        <v>151.0</v>
      </c>
    </row>
    <row r="392" ht="14.25" customHeight="1">
      <c r="B392" s="5">
        <v>12.0</v>
      </c>
      <c r="C392" s="5" t="s">
        <v>7666</v>
      </c>
      <c r="D392" s="5">
        <v>23.0</v>
      </c>
      <c r="E392" s="5">
        <v>1621.0</v>
      </c>
      <c r="F392" s="18" t="s">
        <v>1773</v>
      </c>
      <c r="G392" s="51" t="s">
        <v>1774</v>
      </c>
      <c r="H392" s="5" t="s">
        <v>1775</v>
      </c>
      <c r="I392" s="5" t="s">
        <v>641</v>
      </c>
      <c r="J392" s="5" t="s">
        <v>1715</v>
      </c>
      <c r="K392" s="5">
        <v>1.0</v>
      </c>
      <c r="L392" s="5">
        <v>2024.0</v>
      </c>
      <c r="AO392" s="5" t="s">
        <v>1773</v>
      </c>
      <c r="AP392" s="5">
        <v>23.0</v>
      </c>
      <c r="AQ392" s="5" t="s">
        <v>1716</v>
      </c>
      <c r="AR392" s="5" t="s">
        <v>1717</v>
      </c>
      <c r="AS392" s="5" t="s">
        <v>1718</v>
      </c>
      <c r="AT392" s="5" t="s">
        <v>1703</v>
      </c>
      <c r="AU392" s="5" t="s">
        <v>1703</v>
      </c>
      <c r="AV392" s="5" t="s">
        <v>1720</v>
      </c>
      <c r="AW392" s="5" t="s">
        <v>1705</v>
      </c>
      <c r="AX392" s="5" t="s">
        <v>1706</v>
      </c>
      <c r="AY392" s="5">
        <v>49.2267</v>
      </c>
      <c r="AZ392" s="5">
        <v>-124.9083</v>
      </c>
      <c r="BA392" s="5">
        <v>455.0</v>
      </c>
    </row>
    <row r="393" ht="14.25" customHeight="1">
      <c r="B393" s="5">
        <v>12.0</v>
      </c>
      <c r="C393" s="5" t="s">
        <v>7666</v>
      </c>
      <c r="D393" s="5">
        <v>24.0</v>
      </c>
      <c r="E393" s="5">
        <v>1622.0</v>
      </c>
      <c r="F393" s="18" t="s">
        <v>1776</v>
      </c>
      <c r="G393" s="51" t="s">
        <v>1777</v>
      </c>
      <c r="H393" s="5" t="s">
        <v>1778</v>
      </c>
      <c r="I393" s="5" t="s">
        <v>1664</v>
      </c>
      <c r="J393" s="5" t="s">
        <v>1715</v>
      </c>
      <c r="K393" s="5">
        <v>1.0</v>
      </c>
      <c r="L393" s="5">
        <v>2025.0</v>
      </c>
      <c r="AO393" s="5" t="s">
        <v>1776</v>
      </c>
      <c r="AP393" s="5">
        <v>24.0</v>
      </c>
      <c r="AQ393" s="5" t="s">
        <v>1716</v>
      </c>
      <c r="AR393" s="5" t="s">
        <v>1717</v>
      </c>
      <c r="AS393" s="5" t="s">
        <v>1718</v>
      </c>
      <c r="AT393" s="5" t="s">
        <v>1719</v>
      </c>
      <c r="AU393" s="5" t="s">
        <v>1703</v>
      </c>
      <c r="AV393" s="5" t="s">
        <v>1720</v>
      </c>
      <c r="AW393" s="5" t="s">
        <v>1705</v>
      </c>
      <c r="AX393" s="5" t="s">
        <v>1706</v>
      </c>
      <c r="AY393" s="5">
        <v>49.2</v>
      </c>
      <c r="AZ393" s="5">
        <v>-124.6</v>
      </c>
      <c r="BA393" s="5">
        <v>7.0</v>
      </c>
    </row>
    <row r="394" ht="14.25" customHeight="1">
      <c r="B394" s="5">
        <v>12.0</v>
      </c>
      <c r="C394" s="5" t="s">
        <v>7666</v>
      </c>
      <c r="D394" s="5">
        <v>25.0</v>
      </c>
      <c r="E394" s="5">
        <v>1623.0</v>
      </c>
      <c r="F394" s="18" t="s">
        <v>1779</v>
      </c>
      <c r="G394" s="51" t="s">
        <v>1780</v>
      </c>
      <c r="H394" s="5" t="s">
        <v>1781</v>
      </c>
      <c r="I394" s="5" t="s">
        <v>641</v>
      </c>
      <c r="J394" s="5" t="s">
        <v>1715</v>
      </c>
      <c r="K394" s="5">
        <v>1.0</v>
      </c>
      <c r="L394" s="5">
        <v>2026.0</v>
      </c>
      <c r="AO394" s="5" t="s">
        <v>1779</v>
      </c>
      <c r="AP394" s="5">
        <v>25.0</v>
      </c>
      <c r="AQ394" s="5" t="s">
        <v>1716</v>
      </c>
      <c r="AR394" s="5" t="s">
        <v>1717</v>
      </c>
      <c r="AS394" s="5" t="s">
        <v>1718</v>
      </c>
      <c r="AT394" s="5" t="s">
        <v>1703</v>
      </c>
      <c r="AU394" s="5" t="s">
        <v>1703</v>
      </c>
      <c r="AV394" s="5" t="s">
        <v>1720</v>
      </c>
      <c r="AW394" s="5" t="s">
        <v>1705</v>
      </c>
      <c r="AX394" s="5" t="s">
        <v>1747</v>
      </c>
      <c r="AY394" s="5">
        <v>48.9417</v>
      </c>
      <c r="AZ394" s="5">
        <v>-124.1067</v>
      </c>
      <c r="BA394" s="5">
        <v>710.0</v>
      </c>
    </row>
    <row r="395" ht="14.25" customHeight="1">
      <c r="A395" s="5" t="s">
        <v>422</v>
      </c>
      <c r="B395" s="5">
        <v>12.0</v>
      </c>
      <c r="C395" s="5" t="s">
        <v>7667</v>
      </c>
      <c r="D395" s="5">
        <v>26.0</v>
      </c>
      <c r="E395" s="5">
        <v>12962.0</v>
      </c>
      <c r="F395" s="51" t="s">
        <v>1783</v>
      </c>
      <c r="G395" s="51" t="s">
        <v>127</v>
      </c>
      <c r="H395" s="5" t="s">
        <v>1697</v>
      </c>
      <c r="I395" s="5" t="s">
        <v>49</v>
      </c>
      <c r="J395" s="5" t="s">
        <v>1698</v>
      </c>
      <c r="K395" s="5">
        <v>1.0</v>
      </c>
      <c r="L395" s="5">
        <v>14894.0</v>
      </c>
      <c r="AO395" s="50" t="s">
        <v>1784</v>
      </c>
      <c r="AP395" s="50" t="s">
        <v>1784</v>
      </c>
      <c r="AQ395" s="50" t="s">
        <v>1784</v>
      </c>
      <c r="AR395" s="50" t="s">
        <v>1784</v>
      </c>
      <c r="AS395" s="50" t="s">
        <v>1784</v>
      </c>
      <c r="AT395" s="50" t="s">
        <v>1784</v>
      </c>
      <c r="AU395" s="50" t="s">
        <v>1784</v>
      </c>
      <c r="AV395" s="50" t="s">
        <v>1784</v>
      </c>
      <c r="AW395" s="50" t="s">
        <v>1784</v>
      </c>
      <c r="AX395" s="50" t="s">
        <v>1784</v>
      </c>
      <c r="AY395" s="50" t="s">
        <v>1784</v>
      </c>
      <c r="AZ395" s="50" t="s">
        <v>1784</v>
      </c>
      <c r="BA395" s="50" t="s">
        <v>1784</v>
      </c>
    </row>
    <row r="396" ht="14.25" customHeight="1">
      <c r="B396" s="5">
        <v>12.0</v>
      </c>
      <c r="C396" s="5" t="s">
        <v>7666</v>
      </c>
      <c r="D396" s="5">
        <v>28.0</v>
      </c>
      <c r="E396" s="5">
        <v>1624.0</v>
      </c>
      <c r="F396" s="18" t="s">
        <v>1785</v>
      </c>
      <c r="G396" s="51" t="s">
        <v>1786</v>
      </c>
      <c r="H396" s="5" t="s">
        <v>1787</v>
      </c>
      <c r="I396" s="5" t="s">
        <v>1664</v>
      </c>
      <c r="J396" s="5" t="s">
        <v>1715</v>
      </c>
      <c r="K396" s="5">
        <v>1.0</v>
      </c>
      <c r="L396" s="5">
        <v>2027.0</v>
      </c>
      <c r="AO396" s="5" t="s">
        <v>1785</v>
      </c>
      <c r="AP396" s="5">
        <v>28.0</v>
      </c>
      <c r="AQ396" s="5" t="s">
        <v>1716</v>
      </c>
      <c r="AR396" s="5" t="s">
        <v>1717</v>
      </c>
      <c r="AS396" s="5" t="s">
        <v>1718</v>
      </c>
      <c r="AT396" s="5" t="s">
        <v>1719</v>
      </c>
      <c r="AU396" s="5" t="s">
        <v>1703</v>
      </c>
      <c r="AV396" s="5" t="s">
        <v>1720</v>
      </c>
      <c r="AW396" s="5" t="s">
        <v>1705</v>
      </c>
      <c r="AX396" s="5" t="s">
        <v>1723</v>
      </c>
      <c r="AY396" s="5">
        <v>50.5</v>
      </c>
      <c r="AZ396" s="5">
        <v>-126.0</v>
      </c>
      <c r="BA396" s="5">
        <v>0.0</v>
      </c>
    </row>
    <row r="397" ht="14.25" customHeight="1">
      <c r="B397" s="5">
        <v>12.0</v>
      </c>
      <c r="C397" s="5" t="s">
        <v>7666</v>
      </c>
      <c r="D397" s="5">
        <v>29.0</v>
      </c>
      <c r="E397" s="5">
        <v>1625.0</v>
      </c>
      <c r="F397" s="18" t="s">
        <v>1788</v>
      </c>
      <c r="G397" s="51" t="s">
        <v>1789</v>
      </c>
      <c r="H397" s="5" t="s">
        <v>1790</v>
      </c>
      <c r="I397" s="5" t="s">
        <v>641</v>
      </c>
      <c r="J397" s="5" t="s">
        <v>1715</v>
      </c>
      <c r="K397" s="5">
        <v>1.0</v>
      </c>
      <c r="L397" s="5">
        <v>2028.0</v>
      </c>
      <c r="AO397" s="5" t="s">
        <v>1791</v>
      </c>
      <c r="AP397" s="5">
        <v>29.0</v>
      </c>
      <c r="AQ397" s="5" t="s">
        <v>1716</v>
      </c>
      <c r="AR397" s="5" t="s">
        <v>1717</v>
      </c>
      <c r="AS397" s="5" t="s">
        <v>1718</v>
      </c>
      <c r="AT397" s="5" t="s">
        <v>1703</v>
      </c>
      <c r="AU397" s="5" t="s">
        <v>1703</v>
      </c>
      <c r="AV397" s="5" t="s">
        <v>1720</v>
      </c>
      <c r="AW397" s="5" t="s">
        <v>1705</v>
      </c>
      <c r="AX397" s="5" t="s">
        <v>1706</v>
      </c>
      <c r="AY397" s="5">
        <v>49.3883</v>
      </c>
      <c r="AZ397" s="5">
        <v>-125.3333</v>
      </c>
      <c r="BA397" s="5">
        <v>300.0</v>
      </c>
    </row>
    <row r="398" ht="14.25" customHeight="1">
      <c r="B398" s="5">
        <v>12.0</v>
      </c>
      <c r="C398" s="5" t="s">
        <v>7666</v>
      </c>
      <c r="D398" s="5">
        <v>30.0</v>
      </c>
      <c r="E398" s="5">
        <v>1626.0</v>
      </c>
      <c r="F398" s="18" t="s">
        <v>1792</v>
      </c>
      <c r="G398" s="51" t="s">
        <v>1793</v>
      </c>
      <c r="H398" s="5" t="s">
        <v>1794</v>
      </c>
      <c r="I398" s="5" t="s">
        <v>1664</v>
      </c>
      <c r="J398" s="5" t="s">
        <v>1715</v>
      </c>
      <c r="K398" s="5">
        <v>1.0</v>
      </c>
      <c r="L398" s="5">
        <v>2029.0</v>
      </c>
      <c r="AO398" s="5" t="s">
        <v>1792</v>
      </c>
      <c r="AP398" s="5">
        <v>30.0</v>
      </c>
      <c r="AQ398" s="5" t="s">
        <v>1716</v>
      </c>
      <c r="AR398" s="5" t="s">
        <v>1717</v>
      </c>
      <c r="AS398" s="5" t="s">
        <v>1718</v>
      </c>
      <c r="AT398" s="5" t="s">
        <v>1719</v>
      </c>
      <c r="AU398" s="5" t="s">
        <v>1703</v>
      </c>
      <c r="AV398" s="5" t="s">
        <v>1720</v>
      </c>
      <c r="AW398" s="5" t="s">
        <v>1705</v>
      </c>
      <c r="AX398" s="5" t="s">
        <v>1723</v>
      </c>
      <c r="AY398" s="5">
        <v>50.3</v>
      </c>
      <c r="AZ398" s="5">
        <v>-126.0</v>
      </c>
      <c r="BA398" s="5">
        <v>0.0</v>
      </c>
    </row>
    <row r="399" ht="14.25" customHeight="1">
      <c r="B399" s="5">
        <v>12.0</v>
      </c>
      <c r="C399" s="5" t="s">
        <v>7666</v>
      </c>
      <c r="D399" s="5">
        <v>31.0</v>
      </c>
      <c r="E399" s="5">
        <v>1627.0</v>
      </c>
      <c r="F399" s="18" t="s">
        <v>1795</v>
      </c>
      <c r="G399" s="51" t="s">
        <v>1796</v>
      </c>
      <c r="H399" s="5" t="s">
        <v>1797</v>
      </c>
      <c r="I399" s="5" t="s">
        <v>1664</v>
      </c>
      <c r="J399" s="5" t="s">
        <v>1715</v>
      </c>
      <c r="K399" s="5">
        <v>1.0</v>
      </c>
      <c r="L399" s="5">
        <v>2030.0</v>
      </c>
      <c r="AO399" s="5" t="s">
        <v>1795</v>
      </c>
      <c r="AP399" s="5">
        <v>31.0</v>
      </c>
      <c r="AQ399" s="5" t="s">
        <v>1716</v>
      </c>
      <c r="AR399" s="5" t="s">
        <v>1717</v>
      </c>
      <c r="AS399" s="5" t="s">
        <v>1718</v>
      </c>
      <c r="AT399" s="5" t="s">
        <v>1719</v>
      </c>
      <c r="AU399" s="5" t="s">
        <v>1703</v>
      </c>
      <c r="AV399" s="5" t="s">
        <v>1720</v>
      </c>
      <c r="AW399" s="5" t="s">
        <v>1705</v>
      </c>
      <c r="AX399" s="5" t="s">
        <v>1723</v>
      </c>
      <c r="AY399" s="5">
        <v>50.1</v>
      </c>
      <c r="AZ399" s="5">
        <v>-125.7</v>
      </c>
      <c r="BA399" s="5">
        <v>0.0</v>
      </c>
    </row>
    <row r="400" ht="14.25" customHeight="1">
      <c r="B400" s="5">
        <v>12.0</v>
      </c>
      <c r="C400" s="5" t="s">
        <v>7666</v>
      </c>
      <c r="D400" s="5">
        <v>32.0</v>
      </c>
      <c r="E400" s="5">
        <v>1628.0</v>
      </c>
      <c r="F400" s="18" t="s">
        <v>1798</v>
      </c>
      <c r="G400" s="51" t="s">
        <v>1799</v>
      </c>
      <c r="H400" s="5" t="s">
        <v>1800</v>
      </c>
      <c r="I400" s="5" t="s">
        <v>1664</v>
      </c>
      <c r="J400" s="5" t="s">
        <v>1715</v>
      </c>
      <c r="K400" s="5">
        <v>1.0</v>
      </c>
      <c r="L400" s="5">
        <v>2031.0</v>
      </c>
      <c r="AO400" s="5" t="s">
        <v>1798</v>
      </c>
      <c r="AP400" s="5">
        <v>32.0</v>
      </c>
      <c r="AQ400" s="5" t="s">
        <v>1716</v>
      </c>
      <c r="AR400" s="5" t="s">
        <v>1717</v>
      </c>
      <c r="AS400" s="5" t="s">
        <v>1718</v>
      </c>
      <c r="AT400" s="5" t="s">
        <v>1719</v>
      </c>
      <c r="AU400" s="5" t="s">
        <v>1703</v>
      </c>
      <c r="AV400" s="5" t="s">
        <v>1720</v>
      </c>
      <c r="AW400" s="5" t="s">
        <v>1705</v>
      </c>
      <c r="AX400" s="5" t="s">
        <v>1747</v>
      </c>
      <c r="AY400" s="5">
        <v>48.6</v>
      </c>
      <c r="AZ400" s="5">
        <v>-123.8</v>
      </c>
      <c r="BA400" s="5">
        <v>0.0</v>
      </c>
    </row>
    <row r="401" ht="14.25" customHeight="1">
      <c r="B401" s="5">
        <v>12.0</v>
      </c>
      <c r="C401" s="5" t="s">
        <v>7666</v>
      </c>
      <c r="D401" s="5">
        <v>34.0</v>
      </c>
      <c r="E401" s="5">
        <v>1629.0</v>
      </c>
      <c r="F401" s="18" t="s">
        <v>1801</v>
      </c>
      <c r="G401" s="51" t="s">
        <v>1802</v>
      </c>
      <c r="H401" s="5" t="s">
        <v>1803</v>
      </c>
      <c r="I401" s="5" t="s">
        <v>1664</v>
      </c>
      <c r="J401" s="5" t="s">
        <v>1715</v>
      </c>
      <c r="K401" s="5">
        <v>1.0</v>
      </c>
      <c r="L401" s="5">
        <v>2032.0</v>
      </c>
      <c r="AO401" s="16" t="s">
        <v>1801</v>
      </c>
      <c r="AP401" s="16">
        <v>34.0</v>
      </c>
      <c r="AQ401" s="16" t="s">
        <v>1716</v>
      </c>
      <c r="AR401" s="16" t="s">
        <v>1717</v>
      </c>
      <c r="AS401" s="16" t="s">
        <v>1718</v>
      </c>
      <c r="AT401" s="16" t="s">
        <v>1719</v>
      </c>
      <c r="AU401" s="16" t="s">
        <v>1703</v>
      </c>
      <c r="AV401" s="16" t="s">
        <v>1720</v>
      </c>
      <c r="AW401" s="16" t="s">
        <v>1705</v>
      </c>
      <c r="AX401" s="16" t="s">
        <v>1747</v>
      </c>
      <c r="AY401" s="16">
        <v>48.6</v>
      </c>
      <c r="AZ401" s="16">
        <v>-124.3</v>
      </c>
      <c r="BA401" s="52">
        <v>6.0</v>
      </c>
    </row>
    <row r="402" ht="14.25" customHeight="1">
      <c r="B402" s="5">
        <v>12.0</v>
      </c>
      <c r="C402" s="5" t="s">
        <v>7666</v>
      </c>
      <c r="D402" s="5">
        <v>35.0</v>
      </c>
      <c r="E402" s="5">
        <v>1630.0</v>
      </c>
      <c r="F402" s="18" t="s">
        <v>1804</v>
      </c>
      <c r="G402" s="51" t="s">
        <v>1805</v>
      </c>
      <c r="H402" s="5" t="s">
        <v>1806</v>
      </c>
      <c r="I402" s="5" t="s">
        <v>1664</v>
      </c>
      <c r="J402" s="5" t="s">
        <v>1715</v>
      </c>
      <c r="K402" s="5">
        <v>1.0</v>
      </c>
      <c r="L402" s="5">
        <v>2033.0</v>
      </c>
      <c r="AO402" s="5" t="s">
        <v>1804</v>
      </c>
      <c r="AP402" s="5">
        <v>35.0</v>
      </c>
      <c r="AQ402" s="5" t="s">
        <v>1716</v>
      </c>
      <c r="AR402" s="5" t="s">
        <v>1717</v>
      </c>
      <c r="AS402" s="5" t="s">
        <v>1718</v>
      </c>
      <c r="AT402" s="5" t="s">
        <v>1719</v>
      </c>
      <c r="AU402" s="5" t="s">
        <v>1703</v>
      </c>
      <c r="AV402" s="5" t="s">
        <v>1720</v>
      </c>
      <c r="AW402" s="5" t="s">
        <v>1705</v>
      </c>
      <c r="AX402" s="5" t="s">
        <v>1723</v>
      </c>
      <c r="AY402" s="5">
        <v>50.2</v>
      </c>
      <c r="AZ402" s="5">
        <v>-126.1</v>
      </c>
      <c r="BA402" s="5">
        <v>6.0</v>
      </c>
    </row>
    <row r="403" ht="14.25" customHeight="1">
      <c r="B403" s="5">
        <v>12.0</v>
      </c>
      <c r="C403" s="5" t="s">
        <v>7666</v>
      </c>
      <c r="D403" s="5">
        <v>36.0</v>
      </c>
      <c r="E403" s="5">
        <v>1631.0</v>
      </c>
      <c r="F403" s="18" t="s">
        <v>1807</v>
      </c>
      <c r="G403" s="51" t="s">
        <v>1808</v>
      </c>
      <c r="H403" s="5" t="s">
        <v>1809</v>
      </c>
      <c r="I403" s="5" t="s">
        <v>641</v>
      </c>
      <c r="J403" s="5" t="s">
        <v>1715</v>
      </c>
      <c r="K403" s="5">
        <v>1.0</v>
      </c>
      <c r="L403" s="5">
        <v>2034.0</v>
      </c>
      <c r="AO403" s="5" t="s">
        <v>1807</v>
      </c>
      <c r="AP403" s="5">
        <v>36.0</v>
      </c>
      <c r="AQ403" s="5" t="s">
        <v>1716</v>
      </c>
      <c r="AR403" s="5" t="s">
        <v>1717</v>
      </c>
      <c r="AS403" s="5" t="s">
        <v>1718</v>
      </c>
      <c r="AT403" s="5" t="s">
        <v>1703</v>
      </c>
      <c r="AU403" s="5" t="s">
        <v>1703</v>
      </c>
      <c r="AV403" s="5" t="s">
        <v>1720</v>
      </c>
      <c r="AW403" s="5" t="s">
        <v>1705</v>
      </c>
      <c r="AX403" s="5" t="s">
        <v>1706</v>
      </c>
      <c r="AY403" s="5">
        <v>49.2717</v>
      </c>
      <c r="AZ403" s="5">
        <v>-124.6483</v>
      </c>
      <c r="BA403" s="5">
        <v>974.0</v>
      </c>
    </row>
    <row r="404" ht="14.25" customHeight="1">
      <c r="A404" s="5" t="s">
        <v>88</v>
      </c>
      <c r="B404" s="5">
        <v>12.0</v>
      </c>
      <c r="C404" s="5" t="s">
        <v>7666</v>
      </c>
      <c r="D404" s="5">
        <v>37.0</v>
      </c>
      <c r="E404" s="5">
        <v>1632.0</v>
      </c>
      <c r="F404" s="5" t="s">
        <v>1810</v>
      </c>
      <c r="G404" s="12" t="s">
        <v>1811</v>
      </c>
      <c r="H404" s="5" t="s">
        <v>1812</v>
      </c>
      <c r="I404" s="5" t="s">
        <v>641</v>
      </c>
      <c r="J404" s="5" t="s">
        <v>1736</v>
      </c>
      <c r="K404" s="5">
        <v>1.0</v>
      </c>
      <c r="L404" s="5">
        <v>2035.0</v>
      </c>
      <c r="M404" s="11">
        <v>49.37748</v>
      </c>
      <c r="N404" s="11">
        <v>-124.93327</v>
      </c>
      <c r="O404" s="11" t="s">
        <v>183</v>
      </c>
      <c r="P404" s="16">
        <v>37.0</v>
      </c>
      <c r="Q404" s="5">
        <v>3.0</v>
      </c>
      <c r="R404" s="5" t="s">
        <v>1810</v>
      </c>
      <c r="S404" s="5" t="s">
        <v>1737</v>
      </c>
      <c r="T404" s="5">
        <v>100.0</v>
      </c>
      <c r="U404" s="5" t="s">
        <v>645</v>
      </c>
      <c r="V404" s="5" t="s">
        <v>1813</v>
      </c>
      <c r="W404" s="5">
        <v>31778.0</v>
      </c>
      <c r="X404" s="5" t="s">
        <v>1738</v>
      </c>
      <c r="AO404" s="16" t="s">
        <v>1810</v>
      </c>
      <c r="AP404" s="16">
        <v>37.0</v>
      </c>
      <c r="AQ404" s="16" t="s">
        <v>1716</v>
      </c>
      <c r="AR404" s="16" t="s">
        <v>1739</v>
      </c>
      <c r="AS404" s="16" t="s">
        <v>1740</v>
      </c>
      <c r="AT404" s="16" t="s">
        <v>1741</v>
      </c>
      <c r="AU404" s="16" t="s">
        <v>1742</v>
      </c>
      <c r="AV404" s="16" t="s">
        <v>1720</v>
      </c>
      <c r="AW404" s="16" t="s">
        <v>1705</v>
      </c>
      <c r="AX404" s="16" t="s">
        <v>1706</v>
      </c>
      <c r="AY404" s="16">
        <v>49.3776</v>
      </c>
      <c r="AZ404" s="16">
        <v>-124.9337</v>
      </c>
      <c r="BA404" s="16">
        <v>121.0</v>
      </c>
    </row>
    <row r="405" ht="14.25" customHeight="1">
      <c r="B405" s="5">
        <v>12.0</v>
      </c>
      <c r="C405" s="5" t="s">
        <v>7666</v>
      </c>
      <c r="D405" s="5">
        <v>39.0</v>
      </c>
      <c r="E405" s="5">
        <v>1633.0</v>
      </c>
      <c r="F405" s="18" t="s">
        <v>1814</v>
      </c>
      <c r="G405" s="51" t="s">
        <v>1815</v>
      </c>
      <c r="H405" s="5" t="s">
        <v>1816</v>
      </c>
      <c r="I405" s="5" t="s">
        <v>641</v>
      </c>
      <c r="J405" s="5" t="s">
        <v>1715</v>
      </c>
      <c r="K405" s="5">
        <v>1.0</v>
      </c>
      <c r="L405" s="5">
        <v>2036.0</v>
      </c>
      <c r="AO405" s="5" t="s">
        <v>1817</v>
      </c>
      <c r="AP405" s="5">
        <v>39.0</v>
      </c>
      <c r="AQ405" s="5" t="s">
        <v>1716</v>
      </c>
      <c r="AR405" s="5" t="s">
        <v>1717</v>
      </c>
      <c r="AS405" s="5" t="s">
        <v>1718</v>
      </c>
      <c r="AT405" s="5" t="s">
        <v>1703</v>
      </c>
      <c r="AU405" s="5" t="s">
        <v>1703</v>
      </c>
      <c r="AV405" s="5" t="s">
        <v>1720</v>
      </c>
      <c r="AW405" s="5" t="s">
        <v>1705</v>
      </c>
      <c r="AX405" s="5" t="s">
        <v>1706</v>
      </c>
      <c r="AY405" s="5">
        <v>49.1933</v>
      </c>
      <c r="AZ405" s="5">
        <v>-125.385</v>
      </c>
      <c r="BA405" s="5">
        <v>500.0</v>
      </c>
    </row>
    <row r="406" ht="14.25" customHeight="1">
      <c r="B406" s="5">
        <v>12.0</v>
      </c>
      <c r="C406" s="5" t="s">
        <v>7666</v>
      </c>
      <c r="D406" s="5">
        <v>40.0</v>
      </c>
      <c r="E406" s="5">
        <v>1634.0</v>
      </c>
      <c r="F406" s="18" t="s">
        <v>1818</v>
      </c>
      <c r="G406" s="51" t="s">
        <v>1819</v>
      </c>
      <c r="H406" s="5" t="s">
        <v>1820</v>
      </c>
      <c r="I406" s="5" t="s">
        <v>641</v>
      </c>
      <c r="J406" s="5" t="s">
        <v>1715</v>
      </c>
      <c r="K406" s="5">
        <v>1.0</v>
      </c>
      <c r="L406" s="5">
        <v>2037.0</v>
      </c>
      <c r="M406" s="11"/>
      <c r="N406" s="11"/>
      <c r="O406" s="11"/>
      <c r="P406" s="11"/>
      <c r="AO406" s="5" t="s">
        <v>1818</v>
      </c>
      <c r="AP406" s="5">
        <v>40.0</v>
      </c>
      <c r="AQ406" s="5" t="s">
        <v>1716</v>
      </c>
      <c r="AR406" s="5" t="s">
        <v>1717</v>
      </c>
      <c r="AS406" s="5" t="s">
        <v>1718</v>
      </c>
      <c r="AT406" s="5" t="s">
        <v>1703</v>
      </c>
      <c r="AU406" s="5" t="s">
        <v>1703</v>
      </c>
      <c r="AV406" s="5" t="s">
        <v>1720</v>
      </c>
      <c r="AW406" s="5" t="s">
        <v>1705</v>
      </c>
      <c r="AX406" s="5" t="s">
        <v>1747</v>
      </c>
      <c r="AY406" s="5">
        <v>48.4067</v>
      </c>
      <c r="AZ406" s="5">
        <v>-123.76</v>
      </c>
      <c r="BA406" s="5">
        <v>23.0</v>
      </c>
    </row>
    <row r="407" ht="14.25" customHeight="1">
      <c r="B407" s="5">
        <v>12.0</v>
      </c>
      <c r="C407" s="5" t="s">
        <v>7666</v>
      </c>
      <c r="D407" s="5">
        <v>41.0</v>
      </c>
      <c r="E407" s="5">
        <v>1635.0</v>
      </c>
      <c r="F407" s="18" t="s">
        <v>1821</v>
      </c>
      <c r="G407" s="51" t="s">
        <v>1822</v>
      </c>
      <c r="H407" s="5" t="s">
        <v>1823</v>
      </c>
      <c r="I407" s="5" t="s">
        <v>641</v>
      </c>
      <c r="J407" s="5" t="s">
        <v>1715</v>
      </c>
      <c r="K407" s="5">
        <v>1.0</v>
      </c>
      <c r="L407" s="5">
        <v>2038.0</v>
      </c>
      <c r="AO407" s="5" t="s">
        <v>1821</v>
      </c>
      <c r="AP407" s="5">
        <v>41.0</v>
      </c>
      <c r="AQ407" s="5" t="s">
        <v>1716</v>
      </c>
      <c r="AR407" s="5" t="s">
        <v>1717</v>
      </c>
      <c r="AS407" s="5" t="s">
        <v>1718</v>
      </c>
      <c r="AT407" s="5" t="s">
        <v>1703</v>
      </c>
      <c r="AU407" s="5" t="s">
        <v>1703</v>
      </c>
      <c r="AV407" s="5" t="s">
        <v>1720</v>
      </c>
      <c r="AW407" s="5" t="s">
        <v>1705</v>
      </c>
      <c r="AX407" s="5" t="s">
        <v>1723</v>
      </c>
      <c r="AY407" s="5">
        <v>50.3117</v>
      </c>
      <c r="AZ407" s="5">
        <v>-125.5867</v>
      </c>
      <c r="BA407" s="5">
        <v>224.0</v>
      </c>
    </row>
    <row r="408" ht="14.25" customHeight="1">
      <c r="B408" s="5">
        <v>12.0</v>
      </c>
      <c r="C408" s="5" t="s">
        <v>7666</v>
      </c>
      <c r="D408" s="5">
        <v>43.0</v>
      </c>
      <c r="E408" s="5">
        <v>1636.0</v>
      </c>
      <c r="F408" s="18" t="s">
        <v>1824</v>
      </c>
      <c r="G408" s="51" t="s">
        <v>1825</v>
      </c>
      <c r="H408" s="5" t="s">
        <v>1714</v>
      </c>
      <c r="I408" s="5" t="s">
        <v>1664</v>
      </c>
      <c r="J408" s="5" t="s">
        <v>1715</v>
      </c>
      <c r="K408" s="5">
        <v>1.0</v>
      </c>
      <c r="L408" s="5">
        <v>2039.0</v>
      </c>
      <c r="AO408" s="5" t="s">
        <v>1824</v>
      </c>
      <c r="AP408" s="5">
        <v>43.0</v>
      </c>
      <c r="AQ408" s="5" t="s">
        <v>1716</v>
      </c>
      <c r="AR408" s="5" t="s">
        <v>1717</v>
      </c>
      <c r="AS408" s="5" t="s">
        <v>1718</v>
      </c>
      <c r="AT408" s="5" t="s">
        <v>1719</v>
      </c>
      <c r="AU408" s="5" t="s">
        <v>1703</v>
      </c>
      <c r="AV408" s="5" t="s">
        <v>1720</v>
      </c>
      <c r="AW408" s="5" t="s">
        <v>1705</v>
      </c>
      <c r="AX408" s="5" t="s">
        <v>1706</v>
      </c>
      <c r="AY408" s="5">
        <v>49.3</v>
      </c>
      <c r="AZ408" s="5">
        <v>-124.2</v>
      </c>
      <c r="BA408" s="5">
        <v>1.0</v>
      </c>
    </row>
    <row r="409" ht="14.25" customHeight="1">
      <c r="A409" s="5" t="s">
        <v>88</v>
      </c>
      <c r="B409" s="5">
        <v>12.0</v>
      </c>
      <c r="C409" s="5" t="s">
        <v>7666</v>
      </c>
      <c r="D409" s="5">
        <v>45.0</v>
      </c>
      <c r="E409" s="5">
        <v>1637.0</v>
      </c>
      <c r="F409" s="5" t="s">
        <v>1826</v>
      </c>
      <c r="G409" s="12" t="s">
        <v>1827</v>
      </c>
      <c r="H409" s="5" t="s">
        <v>1828</v>
      </c>
      <c r="I409" s="5" t="s">
        <v>641</v>
      </c>
      <c r="J409" s="5" t="s">
        <v>1829</v>
      </c>
      <c r="K409" s="5">
        <v>1.0</v>
      </c>
      <c r="L409" s="5">
        <v>2040.0</v>
      </c>
      <c r="M409" s="11">
        <v>48.77395</v>
      </c>
      <c r="N409" s="11">
        <v>-123.4735</v>
      </c>
      <c r="O409" s="11" t="s">
        <v>183</v>
      </c>
      <c r="P409" s="16">
        <v>45.0</v>
      </c>
      <c r="Q409" s="5">
        <v>1.0</v>
      </c>
      <c r="R409" s="5" t="s">
        <v>1826</v>
      </c>
      <c r="S409" s="5" t="s">
        <v>1737</v>
      </c>
      <c r="T409" s="5">
        <v>15.0</v>
      </c>
      <c r="U409" s="5" t="s">
        <v>645</v>
      </c>
      <c r="V409" s="5" t="s">
        <v>1830</v>
      </c>
      <c r="W409" s="5">
        <v>36892.0</v>
      </c>
      <c r="X409" s="5" t="s">
        <v>1738</v>
      </c>
      <c r="AO409" s="5" t="s">
        <v>1826</v>
      </c>
      <c r="AP409" s="5">
        <v>45.0</v>
      </c>
      <c r="AQ409" s="5" t="s">
        <v>1716</v>
      </c>
      <c r="AR409" s="5" t="s">
        <v>1739</v>
      </c>
      <c r="AS409" s="5" t="s">
        <v>1740</v>
      </c>
      <c r="AT409" s="5" t="s">
        <v>1741</v>
      </c>
      <c r="AU409" s="5" t="s">
        <v>1742</v>
      </c>
      <c r="AV409" s="5" t="s">
        <v>1720</v>
      </c>
      <c r="AW409" s="5" t="s">
        <v>1705</v>
      </c>
      <c r="AX409" s="5" t="s">
        <v>1747</v>
      </c>
      <c r="AY409" s="5">
        <v>48.7729</v>
      </c>
      <c r="AZ409" s="5">
        <v>-123.4745</v>
      </c>
      <c r="BA409" s="5">
        <v>15.0</v>
      </c>
    </row>
    <row r="410" ht="14.25" customHeight="1">
      <c r="B410" s="5">
        <v>12.0</v>
      </c>
      <c r="C410" s="5" t="s">
        <v>7666</v>
      </c>
      <c r="D410" s="5">
        <v>46.0</v>
      </c>
      <c r="E410" s="5">
        <v>1638.0</v>
      </c>
      <c r="F410" s="5" t="s">
        <v>1831</v>
      </c>
      <c r="G410" s="51" t="s">
        <v>1832</v>
      </c>
      <c r="H410" s="5" t="s">
        <v>1833</v>
      </c>
      <c r="I410" s="5" t="s">
        <v>641</v>
      </c>
      <c r="J410" s="5" t="s">
        <v>1715</v>
      </c>
      <c r="K410" s="5">
        <v>1.0</v>
      </c>
      <c r="L410" s="5">
        <v>2041.0</v>
      </c>
      <c r="M410" s="11"/>
      <c r="N410" s="11"/>
      <c r="O410" s="11"/>
      <c r="P410" s="11"/>
      <c r="AO410" s="5" t="s">
        <v>1834</v>
      </c>
      <c r="AP410" s="5">
        <v>46.0</v>
      </c>
      <c r="AQ410" s="5" t="s">
        <v>1716</v>
      </c>
      <c r="AR410" s="5" t="s">
        <v>1717</v>
      </c>
      <c r="AS410" s="5" t="s">
        <v>1718</v>
      </c>
      <c r="AT410" s="5" t="s">
        <v>1835</v>
      </c>
      <c r="AU410" s="5" t="s">
        <v>1836</v>
      </c>
      <c r="AV410" s="5" t="s">
        <v>1720</v>
      </c>
      <c r="AW410" s="5" t="s">
        <v>1705</v>
      </c>
      <c r="AX410" s="5" t="s">
        <v>1837</v>
      </c>
      <c r="AY410" s="5">
        <v>49.4497</v>
      </c>
      <c r="AZ410" s="5">
        <v>-123.72</v>
      </c>
      <c r="BA410" s="5">
        <v>75.0</v>
      </c>
    </row>
    <row r="411" ht="14.25" customHeight="1">
      <c r="B411" s="5">
        <v>12.0</v>
      </c>
      <c r="C411" s="5" t="s">
        <v>7666</v>
      </c>
      <c r="D411" s="5">
        <v>47.0</v>
      </c>
      <c r="E411" s="5">
        <v>1639.0</v>
      </c>
      <c r="F411" s="18" t="s">
        <v>1838</v>
      </c>
      <c r="G411" s="51" t="s">
        <v>1839</v>
      </c>
      <c r="H411" s="5" t="s">
        <v>1840</v>
      </c>
      <c r="I411" s="5" t="s">
        <v>641</v>
      </c>
      <c r="J411" s="5" t="s">
        <v>1715</v>
      </c>
      <c r="K411" s="5">
        <v>1.0</v>
      </c>
      <c r="L411" s="5">
        <v>2042.0</v>
      </c>
      <c r="AO411" s="5" t="s">
        <v>1838</v>
      </c>
      <c r="AP411" s="5">
        <v>47.0</v>
      </c>
      <c r="AQ411" s="5" t="s">
        <v>1716</v>
      </c>
      <c r="AR411" s="5" t="s">
        <v>1717</v>
      </c>
      <c r="AS411" s="5" t="s">
        <v>1718</v>
      </c>
      <c r="AT411" s="5" t="s">
        <v>1841</v>
      </c>
      <c r="AU411" s="5" t="s">
        <v>1836</v>
      </c>
      <c r="AV411" s="5" t="s">
        <v>1720</v>
      </c>
      <c r="AW411" s="5" t="s">
        <v>1705</v>
      </c>
      <c r="AX411" s="5" t="s">
        <v>1837</v>
      </c>
      <c r="AY411" s="5">
        <v>49.5</v>
      </c>
      <c r="AZ411" s="5">
        <v>-123.7</v>
      </c>
      <c r="BA411" s="5">
        <v>100.0</v>
      </c>
    </row>
    <row r="412" ht="14.25" customHeight="1">
      <c r="A412" s="5" t="s">
        <v>422</v>
      </c>
      <c r="B412" s="5">
        <v>12.0</v>
      </c>
      <c r="C412" s="5" t="s">
        <v>7668</v>
      </c>
      <c r="D412" s="5">
        <v>49.0</v>
      </c>
      <c r="E412" s="5">
        <v>12963.0</v>
      </c>
      <c r="F412" s="51" t="s">
        <v>1843</v>
      </c>
      <c r="G412" s="51" t="s">
        <v>1844</v>
      </c>
      <c r="H412" s="5" t="s">
        <v>1697</v>
      </c>
      <c r="I412" s="5" t="s">
        <v>49</v>
      </c>
      <c r="J412" s="5" t="s">
        <v>1698</v>
      </c>
      <c r="K412" s="5">
        <v>1.0</v>
      </c>
      <c r="L412" s="5">
        <v>14895.0</v>
      </c>
      <c r="AO412" s="50" t="s">
        <v>1845</v>
      </c>
      <c r="AP412" s="50">
        <v>49.0</v>
      </c>
      <c r="AQ412" s="50" t="s">
        <v>1700</v>
      </c>
      <c r="AR412" s="50" t="s">
        <v>1701</v>
      </c>
      <c r="AS412" s="50" t="s">
        <v>1702</v>
      </c>
      <c r="AT412" s="50" t="s">
        <v>1703</v>
      </c>
      <c r="AU412" s="50" t="s">
        <v>1704</v>
      </c>
      <c r="AV412" s="50" t="s">
        <v>1702</v>
      </c>
      <c r="AW412" s="50" t="s">
        <v>1705</v>
      </c>
      <c r="AX412" s="50" t="s">
        <v>1747</v>
      </c>
      <c r="AY412" s="50">
        <v>48.6482</v>
      </c>
      <c r="AZ412" s="50">
        <v>-123.4288</v>
      </c>
      <c r="BA412" s="50">
        <v>19.0</v>
      </c>
    </row>
    <row r="413" ht="14.25" customHeight="1">
      <c r="A413" s="5" t="s">
        <v>422</v>
      </c>
      <c r="B413" s="5">
        <v>12.0</v>
      </c>
      <c r="C413" s="5" t="s">
        <v>7666</v>
      </c>
      <c r="D413" s="5">
        <v>50.0</v>
      </c>
      <c r="E413" s="5">
        <v>1640.0</v>
      </c>
      <c r="F413" s="18" t="s">
        <v>1846</v>
      </c>
      <c r="G413" s="5" t="s">
        <v>1847</v>
      </c>
      <c r="H413" s="5" t="s">
        <v>1848</v>
      </c>
      <c r="I413" s="5" t="s">
        <v>641</v>
      </c>
      <c r="J413" s="5" t="s">
        <v>1746</v>
      </c>
      <c r="K413" s="5">
        <v>1.0</v>
      </c>
      <c r="L413" s="5">
        <v>2043.0</v>
      </c>
      <c r="AO413" s="5" t="s">
        <v>1846</v>
      </c>
      <c r="AP413" s="5">
        <v>50.0</v>
      </c>
      <c r="AQ413" s="5" t="s">
        <v>1716</v>
      </c>
      <c r="AR413" s="5" t="s">
        <v>1717</v>
      </c>
      <c r="AS413" s="5" t="s">
        <v>1718</v>
      </c>
      <c r="AT413" s="5" t="s">
        <v>1703</v>
      </c>
      <c r="AU413" s="5" t="s">
        <v>1703</v>
      </c>
      <c r="AV413" s="5" t="s">
        <v>1720</v>
      </c>
      <c r="AW413" s="5" t="s">
        <v>1705</v>
      </c>
      <c r="AX413" s="5" t="s">
        <v>1747</v>
      </c>
      <c r="AY413" s="5">
        <v>48.6</v>
      </c>
      <c r="AZ413" s="5">
        <v>-123.9</v>
      </c>
      <c r="BA413" s="5">
        <v>4.0</v>
      </c>
    </row>
    <row r="414" ht="14.25" customHeight="1">
      <c r="B414" s="5">
        <v>12.0</v>
      </c>
      <c r="C414" s="5" t="s">
        <v>7666</v>
      </c>
      <c r="D414" s="5">
        <v>51.0</v>
      </c>
      <c r="E414" s="5">
        <v>1641.0</v>
      </c>
      <c r="F414" s="18" t="s">
        <v>1849</v>
      </c>
      <c r="G414" s="5" t="s">
        <v>1850</v>
      </c>
      <c r="H414" s="5" t="s">
        <v>1787</v>
      </c>
      <c r="I414" s="5" t="s">
        <v>1664</v>
      </c>
      <c r="J414" s="5" t="s">
        <v>1715</v>
      </c>
      <c r="K414" s="5">
        <v>1.0</v>
      </c>
      <c r="L414" s="5">
        <v>2044.0</v>
      </c>
      <c r="AO414" s="5" t="s">
        <v>1849</v>
      </c>
      <c r="AP414" s="5">
        <v>51.0</v>
      </c>
      <c r="AQ414" s="5" t="s">
        <v>1716</v>
      </c>
      <c r="AR414" s="5" t="s">
        <v>1717</v>
      </c>
      <c r="AS414" s="5" t="s">
        <v>1718</v>
      </c>
      <c r="AT414" s="5" t="s">
        <v>1719</v>
      </c>
      <c r="AU414" s="5" t="s">
        <v>1703</v>
      </c>
      <c r="AV414" s="5" t="s">
        <v>1720</v>
      </c>
      <c r="AW414" s="5" t="s">
        <v>1705</v>
      </c>
      <c r="AX414" s="5" t="s">
        <v>1706</v>
      </c>
      <c r="AY414" s="5">
        <v>49.2</v>
      </c>
      <c r="AZ414" s="5">
        <v>-124.4</v>
      </c>
      <c r="BA414" s="5">
        <v>7.0</v>
      </c>
    </row>
    <row r="415" ht="14.25" customHeight="1">
      <c r="B415" s="5">
        <v>12.0</v>
      </c>
      <c r="C415" s="5" t="s">
        <v>7666</v>
      </c>
      <c r="D415" s="5">
        <v>52.0</v>
      </c>
      <c r="E415" s="5">
        <v>1642.0</v>
      </c>
      <c r="F415" s="18" t="s">
        <v>1851</v>
      </c>
      <c r="G415" s="5" t="s">
        <v>1852</v>
      </c>
      <c r="H415" s="5" t="s">
        <v>1853</v>
      </c>
      <c r="I415" s="5" t="s">
        <v>1664</v>
      </c>
      <c r="J415" s="5" t="s">
        <v>1715</v>
      </c>
      <c r="K415" s="5">
        <v>1.0</v>
      </c>
      <c r="L415" s="5">
        <v>2045.0</v>
      </c>
      <c r="AO415" s="5" t="s">
        <v>1851</v>
      </c>
      <c r="AP415" s="5">
        <v>52.0</v>
      </c>
      <c r="AQ415" s="5" t="s">
        <v>1716</v>
      </c>
      <c r="AR415" s="5" t="s">
        <v>1717</v>
      </c>
      <c r="AS415" s="5" t="s">
        <v>1718</v>
      </c>
      <c r="AT415" s="5" t="s">
        <v>1719</v>
      </c>
      <c r="AU415" s="5" t="s">
        <v>1703</v>
      </c>
      <c r="AV415" s="5" t="s">
        <v>1720</v>
      </c>
      <c r="AW415" s="5" t="s">
        <v>1705</v>
      </c>
      <c r="AX415" s="5" t="s">
        <v>1706</v>
      </c>
      <c r="AY415" s="5">
        <v>49.3</v>
      </c>
      <c r="AZ415" s="5">
        <v>-124.3</v>
      </c>
      <c r="BA415" s="5">
        <v>1.0</v>
      </c>
    </row>
    <row r="416" ht="14.25" customHeight="1">
      <c r="A416" s="5" t="s">
        <v>422</v>
      </c>
      <c r="B416" s="5">
        <v>12.0</v>
      </c>
      <c r="C416" s="5" t="s">
        <v>7666</v>
      </c>
      <c r="D416" s="5">
        <v>53.0</v>
      </c>
      <c r="E416" s="5">
        <v>1643.0</v>
      </c>
      <c r="F416" s="18" t="s">
        <v>1854</v>
      </c>
      <c r="G416" s="5" t="s">
        <v>1855</v>
      </c>
      <c r="H416" s="5" t="s">
        <v>1856</v>
      </c>
      <c r="I416" s="5" t="s">
        <v>641</v>
      </c>
      <c r="J416" s="5" t="s">
        <v>1746</v>
      </c>
      <c r="K416" s="5">
        <v>1.0</v>
      </c>
      <c r="L416" s="5">
        <v>2046.0</v>
      </c>
      <c r="AO416" s="5" t="s">
        <v>1854</v>
      </c>
      <c r="AP416" s="5">
        <v>53.0</v>
      </c>
      <c r="AQ416" s="5" t="s">
        <v>1716</v>
      </c>
      <c r="AR416" s="5" t="s">
        <v>1717</v>
      </c>
      <c r="AS416" s="5" t="s">
        <v>1718</v>
      </c>
      <c r="AT416" s="5" t="s">
        <v>1719</v>
      </c>
      <c r="AU416" s="5" t="s">
        <v>1703</v>
      </c>
      <c r="AV416" s="5" t="s">
        <v>1720</v>
      </c>
      <c r="AW416" s="5" t="s">
        <v>1705</v>
      </c>
      <c r="AX416" s="5" t="s">
        <v>1747</v>
      </c>
      <c r="AY416" s="5">
        <v>48.6</v>
      </c>
      <c r="AZ416" s="5">
        <v>-123.6</v>
      </c>
      <c r="BA416" s="5">
        <v>2.0</v>
      </c>
    </row>
    <row r="417" ht="14.25" customHeight="1">
      <c r="B417" s="5">
        <v>12.0</v>
      </c>
      <c r="C417" s="5" t="s">
        <v>7666</v>
      </c>
      <c r="D417" s="5">
        <v>54.0</v>
      </c>
      <c r="E417" s="5">
        <v>1644.0</v>
      </c>
      <c r="F417" s="18" t="s">
        <v>1857</v>
      </c>
      <c r="G417" s="5" t="s">
        <v>1858</v>
      </c>
      <c r="H417" s="5" t="s">
        <v>1859</v>
      </c>
      <c r="I417" s="5" t="s">
        <v>1664</v>
      </c>
      <c r="J417" s="5" t="s">
        <v>1715</v>
      </c>
      <c r="K417" s="5">
        <v>1.0</v>
      </c>
      <c r="L417" s="5">
        <v>2047.0</v>
      </c>
      <c r="AO417" s="5" t="s">
        <v>1857</v>
      </c>
      <c r="AP417" s="5">
        <v>54.0</v>
      </c>
      <c r="AQ417" s="5" t="s">
        <v>1716</v>
      </c>
      <c r="AR417" s="5" t="s">
        <v>1717</v>
      </c>
      <c r="AS417" s="5" t="s">
        <v>1718</v>
      </c>
      <c r="AT417" s="5" t="s">
        <v>1719</v>
      </c>
      <c r="AU417" s="5" t="s">
        <v>1703</v>
      </c>
      <c r="AV417" s="5" t="s">
        <v>1720</v>
      </c>
      <c r="AW417" s="5" t="s">
        <v>1705</v>
      </c>
      <c r="AX417" s="5" t="s">
        <v>1747</v>
      </c>
      <c r="AY417" s="5">
        <v>48.8</v>
      </c>
      <c r="AZ417" s="5">
        <v>-123.8</v>
      </c>
      <c r="BA417" s="5">
        <v>1.0</v>
      </c>
    </row>
    <row r="418" ht="14.25" customHeight="1">
      <c r="B418" s="5">
        <v>12.0</v>
      </c>
      <c r="C418" s="5" t="s">
        <v>7666</v>
      </c>
      <c r="D418" s="5">
        <v>55.0</v>
      </c>
      <c r="E418" s="5">
        <v>1645.0</v>
      </c>
      <c r="F418" s="18" t="s">
        <v>1860</v>
      </c>
      <c r="G418" s="5" t="s">
        <v>1861</v>
      </c>
      <c r="H418" s="5" t="s">
        <v>1859</v>
      </c>
      <c r="I418" s="5" t="s">
        <v>1664</v>
      </c>
      <c r="J418" s="5" t="s">
        <v>1715</v>
      </c>
      <c r="K418" s="5">
        <v>1.0</v>
      </c>
      <c r="L418" s="5">
        <v>2048.0</v>
      </c>
      <c r="AO418" s="5" t="s">
        <v>1860</v>
      </c>
      <c r="AP418" s="5">
        <v>55.0</v>
      </c>
      <c r="AQ418" s="5" t="s">
        <v>1716</v>
      </c>
      <c r="AR418" s="5" t="s">
        <v>1717</v>
      </c>
      <c r="AS418" s="5" t="s">
        <v>1718</v>
      </c>
      <c r="AT418" s="5" t="s">
        <v>1719</v>
      </c>
      <c r="AU418" s="5" t="s">
        <v>1703</v>
      </c>
      <c r="AV418" s="5" t="s">
        <v>1720</v>
      </c>
      <c r="AW418" s="5" t="s">
        <v>1705</v>
      </c>
      <c r="AX418" s="5" t="s">
        <v>1747</v>
      </c>
      <c r="AY418" s="5">
        <v>48.9</v>
      </c>
      <c r="AZ418" s="5">
        <v>-124.1</v>
      </c>
      <c r="BA418" s="5">
        <v>7.0</v>
      </c>
    </row>
    <row r="419" ht="14.25" customHeight="1">
      <c r="A419" s="5" t="s">
        <v>88</v>
      </c>
      <c r="B419" s="5">
        <v>12.0</v>
      </c>
      <c r="C419" s="5" t="s">
        <v>7666</v>
      </c>
      <c r="D419" s="5">
        <v>56.0</v>
      </c>
      <c r="E419" s="5">
        <v>1646.0</v>
      </c>
      <c r="F419" s="5" t="s">
        <v>1862</v>
      </c>
      <c r="G419" s="10" t="s">
        <v>1863</v>
      </c>
      <c r="H419" s="5" t="s">
        <v>1864</v>
      </c>
      <c r="I419" s="5" t="s">
        <v>641</v>
      </c>
      <c r="J419" s="5" t="s">
        <v>1865</v>
      </c>
      <c r="K419" s="5">
        <v>1.0</v>
      </c>
      <c r="L419" s="5">
        <v>2049.0</v>
      </c>
      <c r="M419" s="11">
        <v>49.43682</v>
      </c>
      <c r="N419" s="11">
        <v>-124.70223</v>
      </c>
      <c r="O419" s="11" t="s">
        <v>183</v>
      </c>
      <c r="P419" s="16">
        <v>56.0</v>
      </c>
      <c r="Q419" s="22">
        <v>3.0</v>
      </c>
      <c r="R419" s="11" t="s">
        <v>1862</v>
      </c>
      <c r="S419" s="11" t="s">
        <v>1737</v>
      </c>
      <c r="T419" s="11">
        <v>112.0</v>
      </c>
      <c r="U419" s="11"/>
      <c r="V419" s="11"/>
      <c r="W419" s="23">
        <v>31048.0</v>
      </c>
      <c r="X419" s="11" t="s">
        <v>1738</v>
      </c>
      <c r="AO419" s="5" t="s">
        <v>1862</v>
      </c>
      <c r="AP419" s="5">
        <v>56.0</v>
      </c>
      <c r="AQ419" s="5" t="s">
        <v>1700</v>
      </c>
      <c r="AR419" s="5" t="s">
        <v>1739</v>
      </c>
      <c r="AS419" s="5" t="s">
        <v>1740</v>
      </c>
      <c r="AT419" s="5" t="s">
        <v>1741</v>
      </c>
      <c r="AU419" s="5" t="s">
        <v>1772</v>
      </c>
      <c r="AV419" s="5" t="s">
        <v>1720</v>
      </c>
      <c r="AW419" s="5" t="s">
        <v>1705</v>
      </c>
      <c r="AX419" s="5" t="s">
        <v>1706</v>
      </c>
      <c r="AY419" s="5">
        <v>49.4368</v>
      </c>
      <c r="AZ419" s="5">
        <v>-124.7022</v>
      </c>
      <c r="BA419" s="10" t="s">
        <v>1866</v>
      </c>
    </row>
    <row r="420" ht="14.25" customHeight="1">
      <c r="B420" s="5">
        <v>12.0</v>
      </c>
      <c r="C420" s="5" t="s">
        <v>7666</v>
      </c>
      <c r="D420" s="5">
        <v>57.0</v>
      </c>
      <c r="E420" s="5">
        <v>1647.0</v>
      </c>
      <c r="F420" s="18" t="s">
        <v>1867</v>
      </c>
      <c r="G420" s="5" t="s">
        <v>1868</v>
      </c>
      <c r="H420" s="5" t="s">
        <v>1869</v>
      </c>
      <c r="I420" s="5" t="s">
        <v>1664</v>
      </c>
      <c r="J420" s="5" t="s">
        <v>1746</v>
      </c>
      <c r="K420" s="5">
        <v>1.0</v>
      </c>
      <c r="L420" s="5">
        <v>2050.0</v>
      </c>
      <c r="AO420" s="5" t="s">
        <v>1867</v>
      </c>
      <c r="AP420" s="5">
        <v>57.0</v>
      </c>
      <c r="AQ420" s="5" t="s">
        <v>1716</v>
      </c>
      <c r="AR420" s="5" t="s">
        <v>1717</v>
      </c>
      <c r="AS420" s="5" t="s">
        <v>1718</v>
      </c>
      <c r="AT420" s="5" t="s">
        <v>1719</v>
      </c>
      <c r="AU420" s="5" t="s">
        <v>1703</v>
      </c>
      <c r="AV420" s="5" t="s">
        <v>1720</v>
      </c>
      <c r="AW420" s="5" t="s">
        <v>1705</v>
      </c>
      <c r="AX420" s="5" t="s">
        <v>1747</v>
      </c>
      <c r="AY420" s="5">
        <v>48.9</v>
      </c>
      <c r="AZ420" s="5">
        <v>-123.5</v>
      </c>
      <c r="BA420" s="5">
        <v>1.0</v>
      </c>
    </row>
    <row r="421" ht="14.25" customHeight="1">
      <c r="A421" s="5" t="s">
        <v>88</v>
      </c>
      <c r="B421" s="5">
        <v>12.0</v>
      </c>
      <c r="C421" s="5" t="s">
        <v>7666</v>
      </c>
      <c r="D421" s="5">
        <v>59.0</v>
      </c>
      <c r="E421" s="5">
        <v>1648.0</v>
      </c>
      <c r="F421" s="5" t="s">
        <v>1870</v>
      </c>
      <c r="G421" s="10" t="s">
        <v>1871</v>
      </c>
      <c r="H421" s="5" t="s">
        <v>1872</v>
      </c>
      <c r="I421" s="5" t="s">
        <v>641</v>
      </c>
      <c r="J421" s="5" t="s">
        <v>1865</v>
      </c>
      <c r="K421" s="5">
        <v>1.0</v>
      </c>
      <c r="L421" s="5">
        <v>2051.0</v>
      </c>
      <c r="M421" s="11">
        <v>49.04762</v>
      </c>
      <c r="N421" s="11">
        <v>-123.87473</v>
      </c>
      <c r="O421" s="11" t="s">
        <v>183</v>
      </c>
      <c r="P421" s="11">
        <v>59.0</v>
      </c>
      <c r="Q421" s="22">
        <v>1.0</v>
      </c>
      <c r="R421" s="11" t="s">
        <v>1870</v>
      </c>
      <c r="S421" s="11" t="s">
        <v>1737</v>
      </c>
      <c r="T421" s="11">
        <v>30.0</v>
      </c>
      <c r="U421" s="11" t="s">
        <v>645</v>
      </c>
      <c r="V421" s="11" t="s">
        <v>1813</v>
      </c>
      <c r="W421" s="23">
        <v>32509.0</v>
      </c>
      <c r="X421" s="11" t="s">
        <v>1738</v>
      </c>
      <c r="AO421" s="5" t="s">
        <v>1870</v>
      </c>
      <c r="AP421" s="5">
        <v>59.0</v>
      </c>
      <c r="AQ421" s="5" t="s">
        <v>1700</v>
      </c>
      <c r="AR421" s="5" t="s">
        <v>1739</v>
      </c>
      <c r="AS421" s="5" t="s">
        <v>1740</v>
      </c>
      <c r="AT421" s="5" t="s">
        <v>1741</v>
      </c>
      <c r="AU421" s="5" t="s">
        <v>1772</v>
      </c>
      <c r="AV421" s="5" t="s">
        <v>1720</v>
      </c>
      <c r="AW421" s="5" t="s">
        <v>1705</v>
      </c>
      <c r="AX421" s="5" t="s">
        <v>1706</v>
      </c>
      <c r="AY421" s="5">
        <v>49.0476</v>
      </c>
      <c r="AZ421" s="5">
        <v>-123.8747</v>
      </c>
      <c r="BA421" s="5">
        <v>31.0</v>
      </c>
    </row>
    <row r="422" ht="14.25" customHeight="1">
      <c r="B422" s="5">
        <v>12.0</v>
      </c>
      <c r="C422" s="5" t="s">
        <v>7666</v>
      </c>
      <c r="D422" s="5">
        <v>60.0</v>
      </c>
      <c r="E422" s="5">
        <v>1649.0</v>
      </c>
      <c r="F422" s="18" t="s">
        <v>1873</v>
      </c>
      <c r="G422" s="5" t="s">
        <v>1874</v>
      </c>
      <c r="H422" s="5" t="s">
        <v>1875</v>
      </c>
      <c r="I422" s="5" t="s">
        <v>641</v>
      </c>
      <c r="J422" s="5" t="s">
        <v>1715</v>
      </c>
      <c r="K422" s="5">
        <v>1.0</v>
      </c>
      <c r="L422" s="5">
        <v>2052.0</v>
      </c>
      <c r="AO422" s="5" t="s">
        <v>1873</v>
      </c>
      <c r="AP422" s="5">
        <v>60.0</v>
      </c>
      <c r="AQ422" s="5" t="s">
        <v>1716</v>
      </c>
      <c r="AR422" s="5" t="s">
        <v>1717</v>
      </c>
      <c r="AS422" s="5" t="s">
        <v>1718</v>
      </c>
      <c r="AT422" s="5" t="s">
        <v>1703</v>
      </c>
      <c r="AU422" s="5" t="s">
        <v>1703</v>
      </c>
      <c r="AV422" s="5" t="s">
        <v>1720</v>
      </c>
      <c r="AW422" s="5" t="s">
        <v>1705</v>
      </c>
      <c r="AX422" s="5" t="s">
        <v>1747</v>
      </c>
      <c r="AY422" s="5">
        <v>48.7783</v>
      </c>
      <c r="AZ422" s="5">
        <v>-123.4533</v>
      </c>
      <c r="BA422" s="5">
        <v>150.0</v>
      </c>
    </row>
    <row r="423" ht="14.25" customHeight="1">
      <c r="B423" s="5">
        <v>12.0</v>
      </c>
      <c r="C423" s="5" t="s">
        <v>7666</v>
      </c>
      <c r="D423" s="5">
        <v>63.0</v>
      </c>
      <c r="E423" s="5">
        <v>1650.0</v>
      </c>
      <c r="F423" s="18" t="s">
        <v>1876</v>
      </c>
      <c r="G423" s="5" t="s">
        <v>1877</v>
      </c>
      <c r="H423" s="5" t="s">
        <v>1878</v>
      </c>
      <c r="I423" s="5" t="s">
        <v>641</v>
      </c>
      <c r="J423" s="5" t="s">
        <v>1715</v>
      </c>
      <c r="K423" s="5">
        <v>1.0</v>
      </c>
      <c r="L423" s="5">
        <v>2053.0</v>
      </c>
      <c r="AO423" s="5" t="s">
        <v>1876</v>
      </c>
      <c r="AP423" s="5">
        <v>63.0</v>
      </c>
      <c r="AQ423" s="5" t="s">
        <v>1716</v>
      </c>
      <c r="AR423" s="5" t="s">
        <v>1717</v>
      </c>
      <c r="AS423" s="5" t="s">
        <v>1718</v>
      </c>
      <c r="AT423" s="5" t="s">
        <v>1703</v>
      </c>
      <c r="AU423" s="5" t="s">
        <v>1703</v>
      </c>
      <c r="AV423" s="5" t="s">
        <v>1720</v>
      </c>
      <c r="AW423" s="5" t="s">
        <v>1705</v>
      </c>
      <c r="AX423" s="5" t="s">
        <v>1879</v>
      </c>
      <c r="AY423" s="5">
        <v>50.1167</v>
      </c>
      <c r="AZ423" s="5">
        <v>-123.3967</v>
      </c>
      <c r="BA423" s="5">
        <v>200.0</v>
      </c>
    </row>
    <row r="424" ht="14.25" customHeight="1">
      <c r="B424" s="5">
        <v>12.0</v>
      </c>
      <c r="C424" s="5" t="s">
        <v>7666</v>
      </c>
      <c r="D424" s="5">
        <v>65.0</v>
      </c>
      <c r="E424" s="5">
        <v>1651.0</v>
      </c>
      <c r="F424" s="18" t="s">
        <v>1880</v>
      </c>
      <c r="G424" s="5" t="s">
        <v>1881</v>
      </c>
      <c r="H424" s="5" t="s">
        <v>1882</v>
      </c>
      <c r="I424" s="5" t="s">
        <v>1664</v>
      </c>
      <c r="J424" s="5" t="s">
        <v>1715</v>
      </c>
      <c r="K424" s="5">
        <v>1.0</v>
      </c>
      <c r="L424" s="5">
        <v>2054.0</v>
      </c>
      <c r="AO424" s="5" t="s">
        <v>1880</v>
      </c>
      <c r="AP424" s="5">
        <v>65.0</v>
      </c>
      <c r="AQ424" s="5" t="s">
        <v>1716</v>
      </c>
      <c r="AR424" s="5" t="s">
        <v>1717</v>
      </c>
      <c r="AS424" s="5" t="s">
        <v>1718</v>
      </c>
      <c r="AT424" s="5" t="s">
        <v>1719</v>
      </c>
      <c r="AU424" s="5" t="s">
        <v>1703</v>
      </c>
      <c r="AV424" s="5" t="s">
        <v>1720</v>
      </c>
      <c r="AW424" s="5" t="s">
        <v>1705</v>
      </c>
      <c r="AX424" s="5" t="s">
        <v>1883</v>
      </c>
      <c r="AY424" s="5">
        <v>49.4</v>
      </c>
      <c r="AZ424" s="5">
        <v>-123.1</v>
      </c>
      <c r="BA424" s="5">
        <v>11.0</v>
      </c>
    </row>
    <row r="425" ht="14.25" customHeight="1">
      <c r="B425" s="5">
        <v>12.0</v>
      </c>
      <c r="C425" s="5" t="s">
        <v>7666</v>
      </c>
      <c r="D425" s="5">
        <v>66.0</v>
      </c>
      <c r="E425" s="5">
        <v>1652.0</v>
      </c>
      <c r="F425" s="5" t="s">
        <v>1884</v>
      </c>
      <c r="G425" s="10" t="s">
        <v>1885</v>
      </c>
      <c r="H425" s="5" t="s">
        <v>1886</v>
      </c>
      <c r="I425" s="5" t="s">
        <v>641</v>
      </c>
      <c r="J425" s="5" t="s">
        <v>1715</v>
      </c>
      <c r="K425" s="5">
        <v>1.0</v>
      </c>
      <c r="L425" s="5">
        <v>2055.0</v>
      </c>
      <c r="M425" s="11"/>
      <c r="N425" s="11"/>
      <c r="O425" s="11"/>
      <c r="P425" s="11"/>
      <c r="Q425" s="22"/>
      <c r="R425" s="11"/>
      <c r="S425" s="11"/>
      <c r="T425" s="11"/>
      <c r="U425" s="11"/>
      <c r="V425" s="11"/>
      <c r="W425" s="23"/>
      <c r="X425" s="11"/>
      <c r="AO425" s="5" t="s">
        <v>1887</v>
      </c>
      <c r="AP425" s="5">
        <v>66.0</v>
      </c>
      <c r="AQ425" s="5" t="s">
        <v>1716</v>
      </c>
      <c r="AR425" s="5" t="s">
        <v>1717</v>
      </c>
      <c r="AS425" s="5" t="s">
        <v>1718</v>
      </c>
      <c r="AT425" s="5" t="s">
        <v>1835</v>
      </c>
      <c r="AU425" s="5" t="s">
        <v>1836</v>
      </c>
      <c r="AV425" s="5" t="s">
        <v>1720</v>
      </c>
      <c r="AW425" s="5" t="s">
        <v>1705</v>
      </c>
      <c r="AX425" s="5" t="s">
        <v>1883</v>
      </c>
      <c r="AY425" s="5">
        <v>49.691</v>
      </c>
      <c r="AZ425" s="5">
        <v>-121.8596</v>
      </c>
      <c r="BA425" s="5">
        <v>152.0</v>
      </c>
    </row>
    <row r="426" ht="14.25" customHeight="1">
      <c r="A426" s="5" t="s">
        <v>88</v>
      </c>
      <c r="B426" s="5">
        <v>12.0</v>
      </c>
      <c r="C426" s="5" t="s">
        <v>7666</v>
      </c>
      <c r="D426" s="5">
        <v>67.0</v>
      </c>
      <c r="E426" s="5">
        <v>1653.0</v>
      </c>
      <c r="F426" s="5" t="s">
        <v>1888</v>
      </c>
      <c r="G426" s="10" t="s">
        <v>1889</v>
      </c>
      <c r="H426" s="5" t="s">
        <v>1890</v>
      </c>
      <c r="I426" s="5" t="s">
        <v>641</v>
      </c>
      <c r="J426" s="5" t="s">
        <v>1891</v>
      </c>
      <c r="K426" s="5">
        <v>1.0</v>
      </c>
      <c r="L426" s="5">
        <v>2056.0</v>
      </c>
      <c r="M426" s="11">
        <v>49.3806</v>
      </c>
      <c r="N426" s="11">
        <v>-121.52597</v>
      </c>
      <c r="O426" s="11" t="s">
        <v>51</v>
      </c>
      <c r="P426" s="11">
        <v>67.0</v>
      </c>
      <c r="Q426" s="22">
        <v>1.0</v>
      </c>
      <c r="R426" s="11" t="s">
        <v>1888</v>
      </c>
      <c r="S426" s="11" t="s">
        <v>1737</v>
      </c>
      <c r="T426" s="11">
        <v>38.0</v>
      </c>
      <c r="U426" s="11" t="s">
        <v>645</v>
      </c>
      <c r="V426" s="11"/>
      <c r="W426" s="23">
        <v>37257.0</v>
      </c>
      <c r="X426" s="11" t="s">
        <v>1738</v>
      </c>
      <c r="AO426" s="5" t="s">
        <v>1888</v>
      </c>
      <c r="AP426" s="5">
        <v>67.0</v>
      </c>
      <c r="AQ426" s="5" t="s">
        <v>1700</v>
      </c>
      <c r="AR426" s="5" t="s">
        <v>1739</v>
      </c>
      <c r="AS426" s="5" t="s">
        <v>1740</v>
      </c>
      <c r="AT426" s="5" t="s">
        <v>1741</v>
      </c>
      <c r="AU426" s="5" t="s">
        <v>1772</v>
      </c>
      <c r="AV426" s="5" t="s">
        <v>1720</v>
      </c>
      <c r="AW426" s="5" t="s">
        <v>1705</v>
      </c>
      <c r="AX426" s="5" t="s">
        <v>1883</v>
      </c>
      <c r="AY426" s="5">
        <v>49.3806</v>
      </c>
      <c r="AZ426" s="5">
        <v>-121.5259</v>
      </c>
      <c r="BA426" s="5">
        <v>42.0</v>
      </c>
    </row>
    <row r="427" ht="14.25" customHeight="1">
      <c r="B427" s="5">
        <v>12.0</v>
      </c>
      <c r="C427" s="5" t="s">
        <v>7666</v>
      </c>
      <c r="D427" s="5">
        <v>68.0</v>
      </c>
      <c r="E427" s="5">
        <v>1654.0</v>
      </c>
      <c r="F427" s="18" t="s">
        <v>1892</v>
      </c>
      <c r="G427" s="5" t="s">
        <v>1893</v>
      </c>
      <c r="H427" s="5" t="s">
        <v>1894</v>
      </c>
      <c r="I427" s="5" t="s">
        <v>641</v>
      </c>
      <c r="J427" s="5" t="s">
        <v>1715</v>
      </c>
      <c r="K427" s="5">
        <v>1.0</v>
      </c>
      <c r="L427" s="5">
        <v>2057.0</v>
      </c>
      <c r="AO427" s="5" t="s">
        <v>1892</v>
      </c>
      <c r="AP427" s="5">
        <v>68.0</v>
      </c>
      <c r="AQ427" s="5" t="s">
        <v>1716</v>
      </c>
      <c r="AR427" s="5" t="s">
        <v>1717</v>
      </c>
      <c r="AS427" s="5" t="s">
        <v>1718</v>
      </c>
      <c r="AT427" s="5" t="s">
        <v>1703</v>
      </c>
      <c r="AU427" s="5" t="s">
        <v>1703</v>
      </c>
      <c r="AV427" s="5" t="s">
        <v>1720</v>
      </c>
      <c r="AW427" s="5" t="s">
        <v>1705</v>
      </c>
      <c r="AX427" s="5" t="s">
        <v>1883</v>
      </c>
      <c r="AY427" s="5">
        <v>49.7017</v>
      </c>
      <c r="AZ427" s="5">
        <v>-122.7</v>
      </c>
      <c r="BA427" s="5">
        <v>401.0</v>
      </c>
    </row>
    <row r="428" ht="14.25" customHeight="1">
      <c r="A428" s="5" t="s">
        <v>422</v>
      </c>
      <c r="B428" s="5">
        <v>12.0</v>
      </c>
      <c r="C428" s="5" t="s">
        <v>7665</v>
      </c>
      <c r="D428" s="5">
        <v>69.0</v>
      </c>
      <c r="E428" s="5">
        <v>12984.0</v>
      </c>
      <c r="F428" s="51" t="s">
        <v>1895</v>
      </c>
      <c r="G428" s="51" t="s">
        <v>127</v>
      </c>
      <c r="H428" s="5" t="s">
        <v>1896</v>
      </c>
      <c r="I428" s="5" t="s">
        <v>49</v>
      </c>
      <c r="J428" s="5" t="s">
        <v>1698</v>
      </c>
      <c r="K428" s="5">
        <v>1.0</v>
      </c>
      <c r="L428" s="5">
        <v>14916.0</v>
      </c>
      <c r="AO428" s="50" t="s">
        <v>1897</v>
      </c>
      <c r="AP428" s="50">
        <v>69.0</v>
      </c>
      <c r="AQ428" s="50" t="s">
        <v>1700</v>
      </c>
      <c r="AR428" s="50" t="s">
        <v>1701</v>
      </c>
      <c r="AS428" s="50" t="s">
        <v>1702</v>
      </c>
      <c r="AT428" s="50" t="s">
        <v>1703</v>
      </c>
      <c r="AU428" s="50" t="s">
        <v>1704</v>
      </c>
      <c r="AV428" s="50" t="s">
        <v>1702</v>
      </c>
      <c r="AW428" s="50" t="s">
        <v>1705</v>
      </c>
      <c r="AX428" s="50" t="s">
        <v>1883</v>
      </c>
      <c r="AY428" s="50">
        <v>49.2</v>
      </c>
      <c r="AZ428" s="50">
        <v>-123.2</v>
      </c>
      <c r="BA428" s="50">
        <v>1.0</v>
      </c>
    </row>
    <row r="429" ht="14.25" customHeight="1">
      <c r="A429" s="5" t="s">
        <v>88</v>
      </c>
      <c r="B429" s="5">
        <v>12.0</v>
      </c>
      <c r="C429" s="5" t="s">
        <v>7666</v>
      </c>
      <c r="D429" s="5">
        <v>71.0</v>
      </c>
      <c r="E429" s="5">
        <v>1655.0</v>
      </c>
      <c r="F429" s="18" t="s">
        <v>1898</v>
      </c>
      <c r="G429" s="10" t="s">
        <v>1899</v>
      </c>
      <c r="H429" s="5" t="s">
        <v>1900</v>
      </c>
      <c r="I429" s="5" t="s">
        <v>1664</v>
      </c>
      <c r="J429" s="5" t="s">
        <v>1715</v>
      </c>
      <c r="K429" s="5">
        <v>1.0</v>
      </c>
      <c r="L429" s="5">
        <v>2058.0</v>
      </c>
      <c r="AO429" s="5" t="s">
        <v>1898</v>
      </c>
      <c r="AP429" s="5">
        <v>71.0</v>
      </c>
      <c r="AQ429" s="5" t="s">
        <v>1716</v>
      </c>
      <c r="AR429" s="5" t="s">
        <v>1717</v>
      </c>
      <c r="AS429" s="5" t="s">
        <v>1718</v>
      </c>
      <c r="AT429" s="5" t="s">
        <v>1719</v>
      </c>
      <c r="AU429" s="5" t="s">
        <v>1703</v>
      </c>
      <c r="AV429" s="5" t="s">
        <v>1720</v>
      </c>
      <c r="AW429" s="5" t="s">
        <v>1705</v>
      </c>
      <c r="AX429" s="5" t="s">
        <v>1879</v>
      </c>
      <c r="AY429" s="5">
        <v>50.2</v>
      </c>
      <c r="AZ429" s="5">
        <v>-122.5</v>
      </c>
      <c r="BA429" s="5">
        <v>2.0</v>
      </c>
    </row>
    <row r="430" ht="14.25" customHeight="1">
      <c r="A430" s="5" t="s">
        <v>88</v>
      </c>
      <c r="B430" s="5">
        <v>12.0</v>
      </c>
      <c r="C430" s="5" t="s">
        <v>7666</v>
      </c>
      <c r="D430" s="5">
        <v>72.0</v>
      </c>
      <c r="E430" s="5">
        <v>1656.0</v>
      </c>
      <c r="F430" s="5" t="s">
        <v>1901</v>
      </c>
      <c r="G430" s="10" t="s">
        <v>1902</v>
      </c>
      <c r="H430" s="5" t="s">
        <v>1903</v>
      </c>
      <c r="I430" s="5" t="s">
        <v>641</v>
      </c>
      <c r="J430" s="5" t="s">
        <v>1865</v>
      </c>
      <c r="K430" s="5">
        <v>1.0</v>
      </c>
      <c r="L430" s="5">
        <v>2059.0</v>
      </c>
      <c r="M430" s="11">
        <v>49.2645</v>
      </c>
      <c r="N430" s="11">
        <v>-122.57328</v>
      </c>
      <c r="O430" s="11" t="s">
        <v>183</v>
      </c>
      <c r="P430" s="11">
        <v>72.0</v>
      </c>
      <c r="Q430" s="22">
        <v>4.0</v>
      </c>
      <c r="R430" s="11" t="s">
        <v>1901</v>
      </c>
      <c r="S430" s="11" t="s">
        <v>1737</v>
      </c>
      <c r="T430" s="10" t="s">
        <v>1904</v>
      </c>
      <c r="U430" s="11" t="s">
        <v>645</v>
      </c>
      <c r="V430" s="11"/>
      <c r="W430" s="23">
        <v>29587.0</v>
      </c>
      <c r="X430" s="11" t="s">
        <v>1738</v>
      </c>
      <c r="AO430" s="5" t="s">
        <v>1901</v>
      </c>
      <c r="AP430" s="5">
        <v>72.0</v>
      </c>
      <c r="AQ430" s="5" t="s">
        <v>1700</v>
      </c>
      <c r="AR430" s="5" t="s">
        <v>1739</v>
      </c>
      <c r="AS430" s="5" t="s">
        <v>1740</v>
      </c>
      <c r="AT430" s="5" t="s">
        <v>1741</v>
      </c>
      <c r="AU430" s="5" t="s">
        <v>1772</v>
      </c>
      <c r="AV430" s="5" t="s">
        <v>1720</v>
      </c>
      <c r="AW430" s="5" t="s">
        <v>1705</v>
      </c>
      <c r="AX430" s="5" t="s">
        <v>1883</v>
      </c>
      <c r="AY430" s="5">
        <v>49.2645</v>
      </c>
      <c r="AZ430" s="5">
        <v>-122.5732</v>
      </c>
      <c r="BA430" s="5">
        <v>146.0</v>
      </c>
    </row>
    <row r="431" ht="14.25" customHeight="1">
      <c r="B431" s="5">
        <v>12.0</v>
      </c>
      <c r="C431" s="5" t="s">
        <v>7666</v>
      </c>
      <c r="D431" s="5">
        <v>73.0</v>
      </c>
      <c r="E431" s="5">
        <v>1657.0</v>
      </c>
      <c r="F431" s="18" t="s">
        <v>1905</v>
      </c>
      <c r="G431" s="5" t="s">
        <v>1906</v>
      </c>
      <c r="H431" s="5" t="s">
        <v>1907</v>
      </c>
      <c r="I431" s="5" t="s">
        <v>1664</v>
      </c>
      <c r="J431" s="5" t="s">
        <v>1715</v>
      </c>
      <c r="K431" s="5">
        <v>1.0</v>
      </c>
      <c r="L431" s="5">
        <v>2060.0</v>
      </c>
      <c r="AO431" s="5" t="s">
        <v>1905</v>
      </c>
      <c r="AP431" s="5">
        <v>73.0</v>
      </c>
      <c r="AQ431" s="5" t="s">
        <v>1716</v>
      </c>
      <c r="AR431" s="5" t="s">
        <v>1717</v>
      </c>
      <c r="AS431" s="5" t="s">
        <v>1718</v>
      </c>
      <c r="AT431" s="5" t="s">
        <v>1719</v>
      </c>
      <c r="AU431" s="5" t="s">
        <v>1703</v>
      </c>
      <c r="AV431" s="5" t="s">
        <v>1720</v>
      </c>
      <c r="AW431" s="5" t="s">
        <v>1705</v>
      </c>
      <c r="AX431" s="5" t="s">
        <v>1883</v>
      </c>
      <c r="AY431" s="5">
        <v>49.2</v>
      </c>
      <c r="AZ431" s="5">
        <v>-122.3</v>
      </c>
      <c r="BA431" s="5">
        <v>5.0</v>
      </c>
    </row>
    <row r="432" ht="14.25" customHeight="1">
      <c r="A432" s="5" t="s">
        <v>1908</v>
      </c>
      <c r="B432" s="5">
        <v>12.0</v>
      </c>
      <c r="C432" s="5" t="s">
        <v>7666</v>
      </c>
      <c r="D432" s="5">
        <v>74.0</v>
      </c>
      <c r="E432" s="5">
        <v>1658.0</v>
      </c>
      <c r="F432" s="5" t="s">
        <v>1909</v>
      </c>
      <c r="G432" s="10" t="s">
        <v>1910</v>
      </c>
      <c r="H432" s="5" t="s">
        <v>1911</v>
      </c>
      <c r="I432" s="5" t="s">
        <v>641</v>
      </c>
      <c r="J432" s="5" t="s">
        <v>1715</v>
      </c>
      <c r="K432" s="5">
        <v>1.0</v>
      </c>
      <c r="L432" s="5">
        <v>2061.0</v>
      </c>
      <c r="M432" s="13"/>
      <c r="N432" s="13"/>
      <c r="O432" s="13"/>
      <c r="P432" s="13"/>
      <c r="Q432" s="14"/>
      <c r="R432" s="13"/>
      <c r="S432" s="13"/>
      <c r="T432" s="13"/>
      <c r="U432" s="13"/>
      <c r="V432" s="13"/>
      <c r="W432" s="53"/>
      <c r="X432" s="13"/>
      <c r="AO432" s="5" t="s">
        <v>1912</v>
      </c>
      <c r="AP432" s="5">
        <v>74.0</v>
      </c>
      <c r="AQ432" s="5" t="s">
        <v>1716</v>
      </c>
      <c r="AR432" s="5" t="s">
        <v>1717</v>
      </c>
      <c r="AS432" s="5" t="s">
        <v>1718</v>
      </c>
      <c r="AT432" s="5" t="s">
        <v>1835</v>
      </c>
      <c r="AU432" s="5" t="s">
        <v>1836</v>
      </c>
      <c r="AV432" s="5" t="s">
        <v>1720</v>
      </c>
      <c r="AW432" s="5" t="s">
        <v>1705</v>
      </c>
      <c r="AX432" s="5" t="s">
        <v>1883</v>
      </c>
      <c r="AY432" s="5">
        <v>49.0953</v>
      </c>
      <c r="AZ432" s="5">
        <v>-121.6628</v>
      </c>
      <c r="BA432" s="5">
        <v>320.0</v>
      </c>
    </row>
    <row r="433" ht="14.25" customHeight="1">
      <c r="A433" s="5" t="s">
        <v>88</v>
      </c>
      <c r="B433" s="5">
        <v>12.0</v>
      </c>
      <c r="C433" s="5" t="s">
        <v>7666</v>
      </c>
      <c r="D433" s="5">
        <v>75.0</v>
      </c>
      <c r="E433" s="5">
        <v>1659.0</v>
      </c>
      <c r="F433" s="5" t="s">
        <v>1913</v>
      </c>
      <c r="G433" s="10" t="s">
        <v>1914</v>
      </c>
      <c r="H433" s="5" t="s">
        <v>1915</v>
      </c>
      <c r="I433" s="5" t="s">
        <v>641</v>
      </c>
      <c r="J433" s="5" t="s">
        <v>1736</v>
      </c>
      <c r="K433" s="5">
        <v>1.0</v>
      </c>
      <c r="L433" s="5">
        <v>2062.0</v>
      </c>
      <c r="M433" s="11">
        <v>50.568</v>
      </c>
      <c r="N433" s="11">
        <v>-124.073</v>
      </c>
      <c r="O433" s="11" t="s">
        <v>51</v>
      </c>
      <c r="P433" s="11">
        <v>75.0</v>
      </c>
      <c r="Q433" s="22">
        <v>1.0</v>
      </c>
      <c r="R433" s="11" t="s">
        <v>1913</v>
      </c>
      <c r="S433" s="11" t="s">
        <v>1737</v>
      </c>
      <c r="T433" s="11">
        <v>10.0</v>
      </c>
      <c r="U433" s="11"/>
      <c r="V433" s="11"/>
      <c r="W433" s="23">
        <v>35796.0</v>
      </c>
      <c r="X433" s="11" t="s">
        <v>1738</v>
      </c>
      <c r="AO433" s="5" t="s">
        <v>1913</v>
      </c>
      <c r="AP433" s="5">
        <v>75.0</v>
      </c>
      <c r="AQ433" s="5" t="s">
        <v>1716</v>
      </c>
      <c r="AR433" s="5" t="s">
        <v>1739</v>
      </c>
      <c r="AS433" s="5" t="s">
        <v>1740</v>
      </c>
      <c r="AT433" s="5" t="s">
        <v>1741</v>
      </c>
      <c r="AU433" s="5" t="s">
        <v>1742</v>
      </c>
      <c r="AV433" s="5" t="s">
        <v>1720</v>
      </c>
      <c r="AW433" s="5" t="s">
        <v>1705</v>
      </c>
      <c r="AX433" s="5" t="s">
        <v>1837</v>
      </c>
      <c r="AY433" s="5">
        <v>50.5711</v>
      </c>
      <c r="AZ433" s="5">
        <v>-124.0777</v>
      </c>
      <c r="BA433" s="5">
        <v>49.0</v>
      </c>
    </row>
    <row r="434" ht="14.25" customHeight="1">
      <c r="B434" s="5">
        <v>12.0</v>
      </c>
      <c r="C434" s="5" t="s">
        <v>7666</v>
      </c>
      <c r="D434" s="5">
        <v>76.0</v>
      </c>
      <c r="E434" s="5">
        <v>1660.0</v>
      </c>
      <c r="F434" s="18" t="s">
        <v>1916</v>
      </c>
      <c r="G434" s="5" t="s">
        <v>1917</v>
      </c>
      <c r="H434" s="5" t="s">
        <v>1714</v>
      </c>
      <c r="I434" s="5" t="s">
        <v>1664</v>
      </c>
      <c r="J434" s="5" t="s">
        <v>1715</v>
      </c>
      <c r="K434" s="5">
        <v>1.0</v>
      </c>
      <c r="L434" s="5">
        <v>2063.0</v>
      </c>
      <c r="AO434" s="5" t="s">
        <v>1916</v>
      </c>
      <c r="AP434" s="5">
        <v>76.0</v>
      </c>
      <c r="AQ434" s="5" t="s">
        <v>1716</v>
      </c>
      <c r="AR434" s="5" t="s">
        <v>1717</v>
      </c>
      <c r="AS434" s="5" t="s">
        <v>1718</v>
      </c>
      <c r="AT434" s="5" t="s">
        <v>1719</v>
      </c>
      <c r="AU434" s="5" t="s">
        <v>1703</v>
      </c>
      <c r="AV434" s="5" t="s">
        <v>1720</v>
      </c>
      <c r="AW434" s="5" t="s">
        <v>1705</v>
      </c>
      <c r="AX434" s="5" t="s">
        <v>1879</v>
      </c>
      <c r="AY434" s="5">
        <v>49.7</v>
      </c>
      <c r="AZ434" s="5">
        <v>-123.1</v>
      </c>
      <c r="BA434" s="5">
        <v>0.0</v>
      </c>
    </row>
    <row r="435" ht="14.25" customHeight="1">
      <c r="B435" s="5">
        <v>12.0</v>
      </c>
      <c r="C435" s="5" t="s">
        <v>7666</v>
      </c>
      <c r="D435" s="5">
        <v>78.0</v>
      </c>
      <c r="E435" s="5">
        <v>1661.0</v>
      </c>
      <c r="F435" s="18" t="s">
        <v>1918</v>
      </c>
      <c r="G435" s="5" t="s">
        <v>1919</v>
      </c>
      <c r="H435" s="5" t="s">
        <v>1920</v>
      </c>
      <c r="I435" s="5" t="s">
        <v>1664</v>
      </c>
      <c r="J435" s="5" t="s">
        <v>1715</v>
      </c>
      <c r="K435" s="5">
        <v>1.0</v>
      </c>
      <c r="L435" s="5">
        <v>2064.0</v>
      </c>
      <c r="AO435" s="5" t="s">
        <v>1918</v>
      </c>
      <c r="AP435" s="5">
        <v>78.0</v>
      </c>
      <c r="AQ435" s="5" t="s">
        <v>1716</v>
      </c>
      <c r="AR435" s="5" t="s">
        <v>1717</v>
      </c>
      <c r="AS435" s="5" t="s">
        <v>1718</v>
      </c>
      <c r="AT435" s="5" t="s">
        <v>1719</v>
      </c>
      <c r="AU435" s="5" t="s">
        <v>1703</v>
      </c>
      <c r="AV435" s="5" t="s">
        <v>1720</v>
      </c>
      <c r="AW435" s="5" t="s">
        <v>1705</v>
      </c>
      <c r="AX435" s="5" t="s">
        <v>1879</v>
      </c>
      <c r="AY435" s="5">
        <v>50.2</v>
      </c>
      <c r="AZ435" s="5">
        <v>-123.6</v>
      </c>
      <c r="BA435" s="5">
        <v>5.0</v>
      </c>
    </row>
    <row r="436" ht="14.25" customHeight="1">
      <c r="B436" s="5">
        <v>12.0</v>
      </c>
      <c r="C436" s="5" t="s">
        <v>7666</v>
      </c>
      <c r="D436" s="5">
        <v>79.0</v>
      </c>
      <c r="E436" s="5">
        <v>1662.0</v>
      </c>
      <c r="F436" s="18" t="s">
        <v>1921</v>
      </c>
      <c r="G436" s="5" t="s">
        <v>1922</v>
      </c>
      <c r="H436" s="5" t="s">
        <v>1714</v>
      </c>
      <c r="I436" s="5" t="s">
        <v>1664</v>
      </c>
      <c r="J436" s="5" t="s">
        <v>1715</v>
      </c>
      <c r="K436" s="5">
        <v>1.0</v>
      </c>
      <c r="L436" s="5">
        <v>2065.0</v>
      </c>
      <c r="AO436" s="5" t="s">
        <v>1921</v>
      </c>
      <c r="AP436" s="5">
        <v>79.0</v>
      </c>
      <c r="AQ436" s="5" t="s">
        <v>1716</v>
      </c>
      <c r="AR436" s="5" t="s">
        <v>1717</v>
      </c>
      <c r="AS436" s="5" t="s">
        <v>1718</v>
      </c>
      <c r="AT436" s="5" t="s">
        <v>1719</v>
      </c>
      <c r="AU436" s="5" t="s">
        <v>1703</v>
      </c>
      <c r="AV436" s="5" t="s">
        <v>1720</v>
      </c>
      <c r="AW436" s="5" t="s">
        <v>1705</v>
      </c>
      <c r="AX436" s="5" t="s">
        <v>1710</v>
      </c>
      <c r="AY436" s="5">
        <v>51.1</v>
      </c>
      <c r="AZ436" s="5">
        <v>-125.6</v>
      </c>
      <c r="BA436" s="5">
        <v>0.0</v>
      </c>
    </row>
    <row r="437" ht="14.25" customHeight="1">
      <c r="B437" s="5">
        <v>12.0</v>
      </c>
      <c r="C437" s="5" t="s">
        <v>7666</v>
      </c>
      <c r="D437" s="5">
        <v>80.0</v>
      </c>
      <c r="E437" s="5">
        <v>1663.0</v>
      </c>
      <c r="F437" s="18" t="s">
        <v>1923</v>
      </c>
      <c r="G437" s="5" t="s">
        <v>1924</v>
      </c>
      <c r="H437" s="5" t="s">
        <v>1794</v>
      </c>
      <c r="I437" s="5" t="s">
        <v>1664</v>
      </c>
      <c r="J437" s="5" t="s">
        <v>1715</v>
      </c>
      <c r="K437" s="5">
        <v>1.0</v>
      </c>
      <c r="L437" s="5">
        <v>2066.0</v>
      </c>
      <c r="AO437" s="5" t="s">
        <v>1923</v>
      </c>
      <c r="AP437" s="5">
        <v>80.0</v>
      </c>
      <c r="AQ437" s="5" t="s">
        <v>1716</v>
      </c>
      <c r="AR437" s="5" t="s">
        <v>1717</v>
      </c>
      <c r="AS437" s="5" t="s">
        <v>1718</v>
      </c>
      <c r="AT437" s="5" t="s">
        <v>1719</v>
      </c>
      <c r="AU437" s="5" t="s">
        <v>1703</v>
      </c>
      <c r="AV437" s="5" t="s">
        <v>1720</v>
      </c>
      <c r="AW437" s="5" t="s">
        <v>1705</v>
      </c>
      <c r="AX437" s="5" t="s">
        <v>1837</v>
      </c>
      <c r="AY437" s="5">
        <v>50.2</v>
      </c>
      <c r="AZ437" s="5">
        <v>-125.1</v>
      </c>
      <c r="BA437" s="5">
        <v>0.0</v>
      </c>
    </row>
    <row r="438" ht="14.25" customHeight="1">
      <c r="B438" s="5">
        <v>12.0</v>
      </c>
      <c r="C438" s="5" t="s">
        <v>7666</v>
      </c>
      <c r="D438" s="5">
        <v>81.0</v>
      </c>
      <c r="E438" s="5">
        <v>1664.0</v>
      </c>
      <c r="F438" s="18" t="s">
        <v>1925</v>
      </c>
      <c r="G438" s="5" t="s">
        <v>1926</v>
      </c>
      <c r="H438" s="5" t="s">
        <v>1800</v>
      </c>
      <c r="I438" s="5" t="s">
        <v>1664</v>
      </c>
      <c r="J438" s="5" t="s">
        <v>1715</v>
      </c>
      <c r="K438" s="5">
        <v>1.0</v>
      </c>
      <c r="L438" s="5">
        <v>2067.0</v>
      </c>
      <c r="AO438" s="5" t="s">
        <v>1925</v>
      </c>
      <c r="AP438" s="5">
        <v>81.0</v>
      </c>
      <c r="AQ438" s="5" t="s">
        <v>1716</v>
      </c>
      <c r="AR438" s="5" t="s">
        <v>1717</v>
      </c>
      <c r="AS438" s="5" t="s">
        <v>1718</v>
      </c>
      <c r="AT438" s="5" t="s">
        <v>1719</v>
      </c>
      <c r="AU438" s="5" t="s">
        <v>1703</v>
      </c>
      <c r="AV438" s="5" t="s">
        <v>1720</v>
      </c>
      <c r="AW438" s="5" t="s">
        <v>1705</v>
      </c>
      <c r="AX438" s="5" t="s">
        <v>1837</v>
      </c>
      <c r="AY438" s="5">
        <v>50.3</v>
      </c>
      <c r="AZ438" s="5">
        <v>-124.3</v>
      </c>
      <c r="BA438" s="5">
        <v>0.0</v>
      </c>
    </row>
    <row r="439" ht="14.25" customHeight="1">
      <c r="A439" s="5" t="s">
        <v>88</v>
      </c>
      <c r="B439" s="5">
        <v>12.0</v>
      </c>
      <c r="C439" s="5" t="s">
        <v>7666</v>
      </c>
      <c r="D439" s="5">
        <v>82.0</v>
      </c>
      <c r="E439" s="5">
        <v>1665.0</v>
      </c>
      <c r="F439" s="5" t="s">
        <v>1927</v>
      </c>
      <c r="G439" s="10" t="s">
        <v>1928</v>
      </c>
      <c r="H439" s="5" t="s">
        <v>1929</v>
      </c>
      <c r="I439" s="5" t="s">
        <v>641</v>
      </c>
      <c r="J439" s="5" t="s">
        <v>1736</v>
      </c>
      <c r="K439" s="5">
        <v>1.0</v>
      </c>
      <c r="L439" s="5">
        <v>2068.0</v>
      </c>
      <c r="M439" s="11">
        <v>51.18908</v>
      </c>
      <c r="N439" s="11">
        <v>-125.02807</v>
      </c>
      <c r="O439" s="11" t="s">
        <v>51</v>
      </c>
      <c r="P439" s="11">
        <v>82.0</v>
      </c>
      <c r="Q439" s="22">
        <v>2.0</v>
      </c>
      <c r="R439" s="11" t="s">
        <v>1927</v>
      </c>
      <c r="S439" s="11" t="s">
        <v>1737</v>
      </c>
      <c r="T439" s="11">
        <v>126.0</v>
      </c>
      <c r="U439" s="11"/>
      <c r="V439" s="11"/>
      <c r="W439" s="23">
        <v>29952.0</v>
      </c>
      <c r="X439" s="11" t="s">
        <v>1738</v>
      </c>
      <c r="AO439" s="5" t="s">
        <v>1927</v>
      </c>
      <c r="AP439" s="5">
        <v>82.0</v>
      </c>
      <c r="AQ439" s="5" t="s">
        <v>1716</v>
      </c>
      <c r="AR439" s="5" t="s">
        <v>1701</v>
      </c>
      <c r="AS439" s="5" t="s">
        <v>1740</v>
      </c>
      <c r="AT439" s="5" t="s">
        <v>1741</v>
      </c>
      <c r="AU439" s="5" t="s">
        <v>1742</v>
      </c>
      <c r="AV439" s="5" t="s">
        <v>1720</v>
      </c>
      <c r="AW439" s="5" t="s">
        <v>1705</v>
      </c>
      <c r="AX439" s="5" t="s">
        <v>1837</v>
      </c>
      <c r="AY439" s="5">
        <v>51.1891</v>
      </c>
      <c r="AZ439" s="5">
        <v>-125.0281</v>
      </c>
      <c r="BA439" s="5">
        <v>122.0</v>
      </c>
    </row>
    <row r="440" ht="14.25" customHeight="1">
      <c r="A440" s="5" t="s">
        <v>422</v>
      </c>
      <c r="B440" s="5">
        <v>12.0</v>
      </c>
      <c r="C440" s="5" t="s">
        <v>7665</v>
      </c>
      <c r="D440" s="5">
        <v>83.0</v>
      </c>
      <c r="E440" s="5">
        <v>12964.0</v>
      </c>
      <c r="F440" s="51" t="s">
        <v>1930</v>
      </c>
      <c r="G440" s="51" t="s">
        <v>127</v>
      </c>
      <c r="H440" s="5" t="s">
        <v>1697</v>
      </c>
      <c r="I440" s="5" t="s">
        <v>49</v>
      </c>
      <c r="J440" s="5" t="s">
        <v>1746</v>
      </c>
      <c r="K440" s="5">
        <v>1.0</v>
      </c>
      <c r="L440" s="5">
        <v>14896.0</v>
      </c>
      <c r="AO440" s="50" t="s">
        <v>1931</v>
      </c>
      <c r="AP440" s="50">
        <v>83.0</v>
      </c>
      <c r="AQ440" s="50" t="s">
        <v>1700</v>
      </c>
      <c r="AR440" s="50" t="s">
        <v>1739</v>
      </c>
      <c r="AS440" s="50" t="s">
        <v>1702</v>
      </c>
      <c r="AT440" s="50" t="s">
        <v>1703</v>
      </c>
      <c r="AU440" s="50" t="s">
        <v>1704</v>
      </c>
      <c r="AV440" s="50" t="s">
        <v>1702</v>
      </c>
      <c r="AW440" s="50" t="s">
        <v>1705</v>
      </c>
      <c r="AX440" s="50" t="s">
        <v>1879</v>
      </c>
      <c r="AY440" s="50">
        <v>49.7824</v>
      </c>
      <c r="AZ440" s="50">
        <v>-123.1619</v>
      </c>
      <c r="BA440" s="50">
        <v>60.0</v>
      </c>
    </row>
    <row r="441" ht="14.25" customHeight="1">
      <c r="B441" s="5">
        <v>12.0</v>
      </c>
      <c r="C441" s="5" t="s">
        <v>7666</v>
      </c>
      <c r="D441" s="5">
        <v>84.0</v>
      </c>
      <c r="E441" s="5">
        <v>1666.0</v>
      </c>
      <c r="F441" s="18" t="s">
        <v>1932</v>
      </c>
      <c r="G441" s="5" t="s">
        <v>1933</v>
      </c>
      <c r="H441" s="5" t="s">
        <v>1934</v>
      </c>
      <c r="I441" s="5" t="s">
        <v>1664</v>
      </c>
      <c r="J441" s="5" t="s">
        <v>1746</v>
      </c>
      <c r="K441" s="5">
        <v>1.0</v>
      </c>
      <c r="L441" s="5">
        <v>2069.0</v>
      </c>
      <c r="AO441" s="5" t="s">
        <v>1932</v>
      </c>
      <c r="AP441" s="5">
        <v>84.0</v>
      </c>
      <c r="AQ441" s="5" t="s">
        <v>1716</v>
      </c>
      <c r="AR441" s="5" t="s">
        <v>1717</v>
      </c>
      <c r="AS441" s="5" t="s">
        <v>1718</v>
      </c>
      <c r="AT441" s="5" t="s">
        <v>1719</v>
      </c>
      <c r="AU441" s="5" t="s">
        <v>1703</v>
      </c>
      <c r="AV441" s="5" t="s">
        <v>1720</v>
      </c>
      <c r="AW441" s="5" t="s">
        <v>1705</v>
      </c>
      <c r="AX441" s="5" t="s">
        <v>1723</v>
      </c>
      <c r="AY441" s="5">
        <v>50.7</v>
      </c>
      <c r="AZ441" s="5">
        <v>-125.2</v>
      </c>
      <c r="BA441" s="5">
        <v>7.0</v>
      </c>
    </row>
    <row r="442" ht="14.25" customHeight="1">
      <c r="B442" s="5">
        <v>12.0</v>
      </c>
      <c r="C442" s="5" t="s">
        <v>7666</v>
      </c>
      <c r="D442" s="5">
        <v>85.0</v>
      </c>
      <c r="E442" s="5">
        <v>1667.0</v>
      </c>
      <c r="F442" s="18" t="s">
        <v>1935</v>
      </c>
      <c r="G442" s="5" t="s">
        <v>1936</v>
      </c>
      <c r="H442" s="5" t="s">
        <v>1937</v>
      </c>
      <c r="I442" s="5" t="s">
        <v>641</v>
      </c>
      <c r="J442" s="5" t="s">
        <v>1715</v>
      </c>
      <c r="K442" s="5">
        <v>1.0</v>
      </c>
      <c r="L442" s="5">
        <v>2070.0</v>
      </c>
      <c r="AO442" s="5" t="s">
        <v>1935</v>
      </c>
      <c r="AP442" s="5">
        <v>85.0</v>
      </c>
      <c r="AQ442" s="5" t="s">
        <v>1716</v>
      </c>
      <c r="AR442" s="5" t="s">
        <v>1717</v>
      </c>
      <c r="AS442" s="5" t="s">
        <v>1718</v>
      </c>
      <c r="AT442" s="5" t="s">
        <v>1703</v>
      </c>
      <c r="AU442" s="5" t="s">
        <v>1703</v>
      </c>
      <c r="AV442" s="5" t="s">
        <v>1720</v>
      </c>
      <c r="AW442" s="5" t="s">
        <v>1705</v>
      </c>
      <c r="AX442" s="5" t="s">
        <v>1837</v>
      </c>
      <c r="AY442" s="5">
        <v>49.7567</v>
      </c>
      <c r="AZ442" s="5">
        <v>-123.5083</v>
      </c>
      <c r="BA442" s="5">
        <v>18.0</v>
      </c>
    </row>
    <row r="443" ht="14.25" customHeight="1">
      <c r="A443" s="5" t="s">
        <v>88</v>
      </c>
      <c r="B443" s="5">
        <v>12.0</v>
      </c>
      <c r="C443" s="5" t="s">
        <v>7666</v>
      </c>
      <c r="D443" s="5">
        <v>86.0</v>
      </c>
      <c r="E443" s="5">
        <v>1668.0</v>
      </c>
      <c r="F443" s="18" t="s">
        <v>1938</v>
      </c>
      <c r="G443" s="10" t="s">
        <v>1939</v>
      </c>
      <c r="H443" s="5" t="s">
        <v>1940</v>
      </c>
      <c r="I443" s="5" t="s">
        <v>1664</v>
      </c>
      <c r="J443" s="5" t="s">
        <v>1715</v>
      </c>
      <c r="K443" s="5">
        <v>1.0</v>
      </c>
      <c r="L443" s="5">
        <v>2071.0</v>
      </c>
      <c r="AO443" s="5" t="s">
        <v>1938</v>
      </c>
      <c r="AP443" s="5">
        <v>86.0</v>
      </c>
      <c r="AQ443" s="5" t="s">
        <v>1716</v>
      </c>
      <c r="AR443" s="5" t="s">
        <v>1717</v>
      </c>
      <c r="AS443" s="5" t="s">
        <v>1718</v>
      </c>
      <c r="AT443" s="5" t="s">
        <v>1719</v>
      </c>
      <c r="AU443" s="5" t="s">
        <v>1703</v>
      </c>
      <c r="AV443" s="5" t="s">
        <v>1720</v>
      </c>
      <c r="AW443" s="5" t="s">
        <v>1705</v>
      </c>
      <c r="AX443" s="5" t="s">
        <v>1837</v>
      </c>
      <c r="AY443" s="5">
        <v>50.6</v>
      </c>
      <c r="AZ443" s="5">
        <v>-124.7</v>
      </c>
      <c r="BA443" s="5">
        <v>6.0</v>
      </c>
    </row>
    <row r="444" ht="14.25" customHeight="1">
      <c r="B444" s="5">
        <v>12.0</v>
      </c>
      <c r="C444" s="5" t="s">
        <v>7666</v>
      </c>
      <c r="D444" s="5">
        <v>87.0</v>
      </c>
      <c r="E444" s="5">
        <v>1669.0</v>
      </c>
      <c r="F444" s="18" t="s">
        <v>1941</v>
      </c>
      <c r="G444" s="5" t="s">
        <v>1942</v>
      </c>
      <c r="H444" s="5" t="s">
        <v>1943</v>
      </c>
      <c r="I444" s="5" t="s">
        <v>641</v>
      </c>
      <c r="J444" s="5" t="s">
        <v>1715</v>
      </c>
      <c r="K444" s="5">
        <v>1.0</v>
      </c>
      <c r="L444" s="5">
        <v>2072.0</v>
      </c>
      <c r="AO444" s="5" t="s">
        <v>1941</v>
      </c>
      <c r="AP444" s="5">
        <v>87.0</v>
      </c>
      <c r="AQ444" s="5" t="s">
        <v>1716</v>
      </c>
      <c r="AR444" s="5" t="s">
        <v>1717</v>
      </c>
      <c r="AS444" s="5" t="s">
        <v>1718</v>
      </c>
      <c r="AT444" s="5" t="s">
        <v>1703</v>
      </c>
      <c r="AU444" s="5" t="s">
        <v>1703</v>
      </c>
      <c r="AV444" s="5" t="s">
        <v>1720</v>
      </c>
      <c r="AW444" s="5" t="s">
        <v>1705</v>
      </c>
      <c r="AX444" s="5" t="s">
        <v>1710</v>
      </c>
      <c r="AY444" s="5">
        <v>50.8</v>
      </c>
      <c r="AZ444" s="5">
        <v>-125.8</v>
      </c>
      <c r="BA444" s="5">
        <v>300.0</v>
      </c>
    </row>
    <row r="445" ht="14.25" customHeight="1">
      <c r="A445" s="5" t="s">
        <v>422</v>
      </c>
      <c r="B445" s="5">
        <v>12.0</v>
      </c>
      <c r="C445" s="5" t="s">
        <v>7669</v>
      </c>
      <c r="D445" s="5">
        <v>88.0</v>
      </c>
      <c r="E445" s="5">
        <v>12965.0</v>
      </c>
      <c r="F445" s="51" t="s">
        <v>1945</v>
      </c>
      <c r="G445" s="51" t="s">
        <v>127</v>
      </c>
      <c r="H445" s="5" t="s">
        <v>1697</v>
      </c>
      <c r="I445" s="5" t="s">
        <v>49</v>
      </c>
      <c r="J445" s="5" t="s">
        <v>1746</v>
      </c>
      <c r="K445" s="5">
        <v>1.0</v>
      </c>
      <c r="L445" s="5">
        <v>14897.0</v>
      </c>
      <c r="AO445" s="50" t="s">
        <v>1946</v>
      </c>
      <c r="AP445" s="50">
        <v>88.0</v>
      </c>
      <c r="AQ445" s="50" t="s">
        <v>1700</v>
      </c>
      <c r="AR445" s="50" t="s">
        <v>1701</v>
      </c>
      <c r="AS445" s="50" t="s">
        <v>1702</v>
      </c>
      <c r="AT445" s="50" t="s">
        <v>1703</v>
      </c>
      <c r="AU445" s="50" t="s">
        <v>1704</v>
      </c>
      <c r="AV445" s="50" t="s">
        <v>1702</v>
      </c>
      <c r="AW445" s="50" t="s">
        <v>1947</v>
      </c>
      <c r="AX445" s="50" t="s">
        <v>1948</v>
      </c>
      <c r="AY445" s="50">
        <v>54.3</v>
      </c>
      <c r="AZ445" s="50">
        <v>-130.4</v>
      </c>
      <c r="BA445" s="50">
        <v>35.0</v>
      </c>
    </row>
    <row r="446" ht="14.25" customHeight="1">
      <c r="B446" s="5">
        <v>12.0</v>
      </c>
      <c r="C446" s="5" t="s">
        <v>7666</v>
      </c>
      <c r="D446" s="5">
        <v>91.0</v>
      </c>
      <c r="E446" s="5">
        <v>1670.0</v>
      </c>
      <c r="F446" s="18" t="s">
        <v>1949</v>
      </c>
      <c r="G446" s="5" t="s">
        <v>1950</v>
      </c>
      <c r="H446" s="5" t="s">
        <v>1951</v>
      </c>
      <c r="I446" s="5" t="s">
        <v>1664</v>
      </c>
      <c r="J446" s="5" t="s">
        <v>1715</v>
      </c>
      <c r="K446" s="5">
        <v>1.0</v>
      </c>
      <c r="L446" s="5">
        <v>2073.0</v>
      </c>
      <c r="AO446" s="5" t="s">
        <v>1949</v>
      </c>
      <c r="AP446" s="5">
        <v>91.0</v>
      </c>
      <c r="AQ446" s="5" t="s">
        <v>1716</v>
      </c>
      <c r="AR446" s="5" t="s">
        <v>1717</v>
      </c>
      <c r="AS446" s="5" t="s">
        <v>1718</v>
      </c>
      <c r="AT446" s="5" t="s">
        <v>1719</v>
      </c>
      <c r="AU446" s="5" t="s">
        <v>1703</v>
      </c>
      <c r="AV446" s="5" t="s">
        <v>1720</v>
      </c>
      <c r="AW446" s="5" t="s">
        <v>1705</v>
      </c>
      <c r="AX446" s="5" t="s">
        <v>1952</v>
      </c>
      <c r="AY446" s="5">
        <v>53.7</v>
      </c>
      <c r="AZ446" s="5">
        <v>-132.3</v>
      </c>
      <c r="BA446" s="5">
        <v>0.0</v>
      </c>
    </row>
    <row r="447" ht="14.25" customHeight="1">
      <c r="A447" s="5" t="s">
        <v>88</v>
      </c>
      <c r="B447" s="5">
        <v>12.0</v>
      </c>
      <c r="C447" s="5" t="s">
        <v>7666</v>
      </c>
      <c r="D447" s="5">
        <v>93.0</v>
      </c>
      <c r="E447" s="5">
        <v>1671.0</v>
      </c>
      <c r="F447" s="5" t="s">
        <v>1953</v>
      </c>
      <c r="G447" s="10" t="s">
        <v>1954</v>
      </c>
      <c r="H447" s="5" t="s">
        <v>1955</v>
      </c>
      <c r="I447" s="5" t="s">
        <v>641</v>
      </c>
      <c r="J447" s="5" t="s">
        <v>1865</v>
      </c>
      <c r="K447" s="5">
        <v>1.0</v>
      </c>
      <c r="L447" s="5">
        <v>2074.0</v>
      </c>
      <c r="M447" s="11">
        <v>53.25322778</v>
      </c>
      <c r="N447" s="11">
        <v>-131.884375</v>
      </c>
      <c r="O447" s="11" t="s">
        <v>51</v>
      </c>
      <c r="P447" s="11">
        <v>93.0</v>
      </c>
      <c r="Q447" s="22">
        <v>1.0</v>
      </c>
      <c r="R447" s="11" t="s">
        <v>1953</v>
      </c>
      <c r="S447" s="11" t="s">
        <v>1737</v>
      </c>
      <c r="T447" s="11">
        <v>17.0</v>
      </c>
      <c r="U447" s="11" t="s">
        <v>645</v>
      </c>
      <c r="V447" s="11"/>
      <c r="W447" s="23">
        <v>31413.0</v>
      </c>
      <c r="X447" s="11" t="s">
        <v>1738</v>
      </c>
      <c r="AO447" s="5" t="s">
        <v>1953</v>
      </c>
      <c r="AP447" s="5">
        <v>93.0</v>
      </c>
      <c r="AQ447" s="5" t="s">
        <v>1700</v>
      </c>
      <c r="AR447" s="5" t="s">
        <v>1739</v>
      </c>
      <c r="AS447" s="5" t="s">
        <v>1740</v>
      </c>
      <c r="AT447" s="5" t="s">
        <v>1835</v>
      </c>
      <c r="AU447" s="5" t="s">
        <v>1772</v>
      </c>
      <c r="AV447" s="5" t="s">
        <v>1720</v>
      </c>
      <c r="AW447" s="5" t="s">
        <v>1705</v>
      </c>
      <c r="AX447" s="5" t="s">
        <v>1883</v>
      </c>
      <c r="AY447" s="5">
        <v>53.2532</v>
      </c>
      <c r="AZ447" s="5">
        <v>-132.1156</v>
      </c>
      <c r="BA447" s="5">
        <v>21.0</v>
      </c>
    </row>
    <row r="448" ht="14.25" customHeight="1">
      <c r="B448" s="5">
        <v>12.0</v>
      </c>
      <c r="C448" s="5" t="s">
        <v>7666</v>
      </c>
      <c r="D448" s="5">
        <v>97.0</v>
      </c>
      <c r="E448" s="5">
        <v>1672.0</v>
      </c>
      <c r="F448" s="18" t="s">
        <v>1956</v>
      </c>
      <c r="G448" s="5" t="s">
        <v>1957</v>
      </c>
      <c r="H448" s="5" t="s">
        <v>1958</v>
      </c>
      <c r="I448" s="5" t="s">
        <v>641</v>
      </c>
      <c r="J448" s="5" t="s">
        <v>1715</v>
      </c>
      <c r="K448" s="5">
        <v>1.0</v>
      </c>
      <c r="L448" s="5">
        <v>2075.0</v>
      </c>
      <c r="AO448" s="5" t="s">
        <v>1956</v>
      </c>
      <c r="AP448" s="5">
        <v>97.0</v>
      </c>
      <c r="AQ448" s="5" t="s">
        <v>1716</v>
      </c>
      <c r="AR448" s="5" t="s">
        <v>1717</v>
      </c>
      <c r="AS448" s="5" t="s">
        <v>1718</v>
      </c>
      <c r="AT448" s="5" t="s">
        <v>1719</v>
      </c>
      <c r="AU448" s="5" t="s">
        <v>1959</v>
      </c>
      <c r="AV448" s="5" t="s">
        <v>1720</v>
      </c>
      <c r="AW448" s="5" t="s">
        <v>1947</v>
      </c>
      <c r="AX448" s="5" t="s">
        <v>1952</v>
      </c>
      <c r="AY448" s="5">
        <v>53.15</v>
      </c>
      <c r="AZ448" s="5">
        <v>-131.86</v>
      </c>
      <c r="BA448" s="5">
        <v>287.0</v>
      </c>
    </row>
    <row r="449" ht="14.25" customHeight="1">
      <c r="B449" s="5">
        <v>12.0</v>
      </c>
      <c r="C449" s="5" t="s">
        <v>7666</v>
      </c>
      <c r="D449" s="5">
        <v>98.0</v>
      </c>
      <c r="E449" s="5">
        <v>1673.0</v>
      </c>
      <c r="F449" s="18" t="s">
        <v>1960</v>
      </c>
      <c r="G449" s="5" t="s">
        <v>1961</v>
      </c>
      <c r="H449" s="5" t="s">
        <v>1962</v>
      </c>
      <c r="I449" s="5" t="s">
        <v>641</v>
      </c>
      <c r="J449" s="5" t="s">
        <v>1715</v>
      </c>
      <c r="K449" s="5">
        <v>1.0</v>
      </c>
      <c r="L449" s="5">
        <v>2076.0</v>
      </c>
      <c r="AO449" s="5" t="s">
        <v>1960</v>
      </c>
      <c r="AP449" s="5">
        <v>98.0</v>
      </c>
      <c r="AQ449" s="5" t="s">
        <v>1716</v>
      </c>
      <c r="AR449" s="5" t="s">
        <v>1717</v>
      </c>
      <c r="AS449" s="5" t="s">
        <v>1718</v>
      </c>
      <c r="AT449" s="5" t="s">
        <v>1703</v>
      </c>
      <c r="AU449" s="5" t="s">
        <v>1703</v>
      </c>
      <c r="AV449" s="5" t="s">
        <v>1720</v>
      </c>
      <c r="AW449" s="5" t="s">
        <v>1947</v>
      </c>
      <c r="AX449" s="5" t="s">
        <v>1948</v>
      </c>
      <c r="AY449" s="5">
        <v>55.4583</v>
      </c>
      <c r="AZ449" s="5">
        <v>-129.475</v>
      </c>
      <c r="BA449" s="5">
        <v>100.0</v>
      </c>
    </row>
    <row r="450" ht="14.25" customHeight="1">
      <c r="B450" s="5">
        <v>12.0</v>
      </c>
      <c r="C450" s="5" t="s">
        <v>7666</v>
      </c>
      <c r="D450" s="5">
        <v>99.0</v>
      </c>
      <c r="E450" s="5">
        <v>1674.0</v>
      </c>
      <c r="F450" s="18" t="s">
        <v>1963</v>
      </c>
      <c r="G450" s="5" t="s">
        <v>1964</v>
      </c>
      <c r="H450" s="5" t="s">
        <v>1714</v>
      </c>
      <c r="I450" s="5" t="s">
        <v>1664</v>
      </c>
      <c r="J450" s="5" t="s">
        <v>1715</v>
      </c>
      <c r="K450" s="5">
        <v>1.0</v>
      </c>
      <c r="L450" s="5">
        <v>2077.0</v>
      </c>
      <c r="AO450" s="5" t="s">
        <v>1963</v>
      </c>
      <c r="AP450" s="5">
        <v>99.0</v>
      </c>
      <c r="AQ450" s="5" t="s">
        <v>1716</v>
      </c>
      <c r="AR450" s="5" t="s">
        <v>1717</v>
      </c>
      <c r="AS450" s="5" t="s">
        <v>1718</v>
      </c>
      <c r="AT450" s="5" t="s">
        <v>1719</v>
      </c>
      <c r="AU450" s="5" t="s">
        <v>1703</v>
      </c>
      <c r="AV450" s="5" t="s">
        <v>1720</v>
      </c>
      <c r="AW450" s="5" t="s">
        <v>1705</v>
      </c>
      <c r="AX450" s="5" t="s">
        <v>1965</v>
      </c>
      <c r="AY450" s="5">
        <v>52.5</v>
      </c>
      <c r="AZ450" s="5">
        <v>-126.3</v>
      </c>
      <c r="BA450" s="5">
        <v>0.0</v>
      </c>
    </row>
    <row r="451" ht="14.25" customHeight="1">
      <c r="A451" s="5" t="s">
        <v>1908</v>
      </c>
      <c r="B451" s="5">
        <v>12.0</v>
      </c>
      <c r="C451" s="5" t="s">
        <v>7666</v>
      </c>
      <c r="D451" s="5">
        <v>101.0</v>
      </c>
      <c r="E451" s="5">
        <v>1675.0</v>
      </c>
      <c r="F451" s="10" t="s">
        <v>1966</v>
      </c>
      <c r="G451" s="10" t="s">
        <v>1967</v>
      </c>
      <c r="H451" s="5" t="s">
        <v>1968</v>
      </c>
      <c r="I451" s="5" t="s">
        <v>641</v>
      </c>
      <c r="J451" s="5" t="s">
        <v>1736</v>
      </c>
      <c r="K451" s="5">
        <v>1.0</v>
      </c>
      <c r="L451" s="5">
        <v>2078.0</v>
      </c>
      <c r="M451" s="11">
        <v>51.59312</v>
      </c>
      <c r="N451" s="11">
        <v>-126.45077</v>
      </c>
      <c r="O451" s="11" t="s">
        <v>51</v>
      </c>
      <c r="P451" s="11">
        <v>101.0</v>
      </c>
      <c r="Q451" s="22">
        <v>3.0</v>
      </c>
      <c r="R451" s="11" t="s">
        <v>1969</v>
      </c>
      <c r="S451" s="11" t="s">
        <v>1737</v>
      </c>
      <c r="T451" s="11">
        <v>332.0</v>
      </c>
      <c r="U451" s="11"/>
      <c r="V451" s="11"/>
      <c r="W451" s="23">
        <v>32874.0</v>
      </c>
      <c r="X451" s="11" t="s">
        <v>1738</v>
      </c>
      <c r="AO451" s="5" t="s">
        <v>1969</v>
      </c>
      <c r="AP451" s="5">
        <v>101.0</v>
      </c>
      <c r="AQ451" s="5" t="s">
        <v>1716</v>
      </c>
      <c r="AR451" s="5" t="s">
        <v>1739</v>
      </c>
      <c r="AS451" s="5" t="s">
        <v>1740</v>
      </c>
      <c r="AT451" s="5" t="s">
        <v>1741</v>
      </c>
      <c r="AU451" s="5" t="s">
        <v>1742</v>
      </c>
      <c r="AV451" s="5" t="s">
        <v>1720</v>
      </c>
      <c r="AW451" s="5" t="s">
        <v>1705</v>
      </c>
      <c r="AX451" s="5" t="s">
        <v>1965</v>
      </c>
      <c r="AY451" s="5">
        <v>51.5931</v>
      </c>
      <c r="AZ451" s="5">
        <v>-126.4508</v>
      </c>
      <c r="BA451" s="5">
        <v>344.0</v>
      </c>
    </row>
    <row r="452" ht="14.25" customHeight="1">
      <c r="A452" s="5" t="s">
        <v>422</v>
      </c>
      <c r="B452" s="5">
        <v>12.0</v>
      </c>
      <c r="C452" s="5" t="s">
        <v>7670</v>
      </c>
      <c r="D452" s="5">
        <v>103.0</v>
      </c>
      <c r="E452" s="5">
        <v>12966.0</v>
      </c>
      <c r="F452" s="5" t="s">
        <v>1971</v>
      </c>
      <c r="G452" s="5" t="s">
        <v>127</v>
      </c>
      <c r="H452" s="5" t="s">
        <v>1697</v>
      </c>
      <c r="I452" s="5" t="s">
        <v>49</v>
      </c>
      <c r="J452" s="5" t="s">
        <v>1698</v>
      </c>
      <c r="K452" s="5">
        <v>1.0</v>
      </c>
      <c r="L452" s="5">
        <v>14898.0</v>
      </c>
      <c r="AO452" s="50" t="s">
        <v>1972</v>
      </c>
      <c r="AP452" s="50">
        <v>103.0</v>
      </c>
      <c r="AQ452" s="50" t="s">
        <v>1716</v>
      </c>
      <c r="AR452" s="50" t="s">
        <v>1717</v>
      </c>
      <c r="AS452" s="50" t="s">
        <v>1702</v>
      </c>
      <c r="AT452" s="50" t="s">
        <v>1703</v>
      </c>
      <c r="AU452" s="50" t="s">
        <v>1704</v>
      </c>
      <c r="AV452" s="50" t="s">
        <v>1702</v>
      </c>
      <c r="AW452" s="50" t="s">
        <v>1947</v>
      </c>
      <c r="AX452" s="50" t="s">
        <v>1973</v>
      </c>
      <c r="AY452" s="50">
        <v>54.5</v>
      </c>
      <c r="AZ452" s="50">
        <v>-128.6</v>
      </c>
      <c r="BA452" s="50">
        <v>217.0</v>
      </c>
    </row>
    <row r="453" ht="14.25" customHeight="1">
      <c r="B453" s="5">
        <v>12.0</v>
      </c>
      <c r="C453" s="5" t="s">
        <v>7666</v>
      </c>
      <c r="D453" s="5">
        <v>104.0</v>
      </c>
      <c r="E453" s="5">
        <v>1676.0</v>
      </c>
      <c r="F453" s="18" t="s">
        <v>1974</v>
      </c>
      <c r="G453" s="5" t="s">
        <v>1975</v>
      </c>
      <c r="H453" s="5" t="s">
        <v>1976</v>
      </c>
      <c r="I453" s="5" t="s">
        <v>641</v>
      </c>
      <c r="J453" s="5" t="s">
        <v>1715</v>
      </c>
      <c r="K453" s="5">
        <v>1.0</v>
      </c>
      <c r="L453" s="5">
        <v>2079.0</v>
      </c>
      <c r="AO453" s="5" t="s">
        <v>1974</v>
      </c>
      <c r="AP453" s="5">
        <v>104.0</v>
      </c>
      <c r="AQ453" s="5" t="s">
        <v>1716</v>
      </c>
      <c r="AR453" s="5" t="s">
        <v>1717</v>
      </c>
      <c r="AS453" s="5" t="s">
        <v>1718</v>
      </c>
      <c r="AT453" s="5" t="s">
        <v>1703</v>
      </c>
      <c r="AU453" s="5" t="s">
        <v>1703</v>
      </c>
      <c r="AV453" s="5" t="s">
        <v>1720</v>
      </c>
      <c r="AW453" s="5" t="s">
        <v>1947</v>
      </c>
      <c r="AX453" s="5" t="s">
        <v>1973</v>
      </c>
      <c r="AY453" s="5">
        <v>53.5633</v>
      </c>
      <c r="AZ453" s="5">
        <v>-127.9433</v>
      </c>
      <c r="BA453" s="5">
        <v>17.0</v>
      </c>
    </row>
    <row r="454" ht="14.25" customHeight="1">
      <c r="A454" s="5" t="s">
        <v>88</v>
      </c>
      <c r="B454" s="5">
        <v>12.0</v>
      </c>
      <c r="C454" s="5" t="s">
        <v>7666</v>
      </c>
      <c r="D454" s="5">
        <v>105.0</v>
      </c>
      <c r="E454" s="5">
        <v>1677.0</v>
      </c>
      <c r="F454" s="5" t="s">
        <v>1483</v>
      </c>
      <c r="G454" s="10" t="s">
        <v>1977</v>
      </c>
      <c r="H454" s="5" t="s">
        <v>1978</v>
      </c>
      <c r="I454" s="5" t="s">
        <v>641</v>
      </c>
      <c r="J454" s="5" t="s">
        <v>1865</v>
      </c>
      <c r="K454" s="5">
        <v>1.0</v>
      </c>
      <c r="L454" s="5">
        <v>2080.0</v>
      </c>
      <c r="M454" s="11">
        <v>54.91693</v>
      </c>
      <c r="N454" s="11">
        <v>-128.85965</v>
      </c>
      <c r="O454" s="11" t="s">
        <v>51</v>
      </c>
      <c r="P454" s="11">
        <v>105.0</v>
      </c>
      <c r="Q454" s="22">
        <v>2.0</v>
      </c>
      <c r="R454" s="11" t="s">
        <v>1483</v>
      </c>
      <c r="S454" s="11" t="s">
        <v>1737</v>
      </c>
      <c r="T454" s="11">
        <v>239.0</v>
      </c>
      <c r="U454" s="11"/>
      <c r="V454" s="11"/>
      <c r="W454" s="23">
        <v>32874.0</v>
      </c>
      <c r="X454" s="11" t="s">
        <v>1738</v>
      </c>
      <c r="AO454" s="5" t="s">
        <v>1483</v>
      </c>
      <c r="AP454" s="5">
        <v>105.0</v>
      </c>
      <c r="AQ454" s="5" t="s">
        <v>1716</v>
      </c>
      <c r="AR454" s="5" t="s">
        <v>1739</v>
      </c>
      <c r="AS454" s="5" t="s">
        <v>1740</v>
      </c>
      <c r="AT454" s="5" t="s">
        <v>1741</v>
      </c>
      <c r="AU454" s="5" t="s">
        <v>1742</v>
      </c>
      <c r="AV454" s="5" t="s">
        <v>1720</v>
      </c>
      <c r="AW454" s="5" t="s">
        <v>1947</v>
      </c>
      <c r="AX454" s="5" t="s">
        <v>1973</v>
      </c>
      <c r="AY454" s="5">
        <v>54.9168</v>
      </c>
      <c r="AZ454" s="5">
        <v>-128.8597</v>
      </c>
      <c r="BA454" s="5">
        <v>239.0</v>
      </c>
    </row>
    <row r="455" ht="14.25" customHeight="1">
      <c r="A455" s="5" t="s">
        <v>88</v>
      </c>
      <c r="B455" s="5">
        <v>12.0</v>
      </c>
      <c r="C455" s="5" t="s">
        <v>7666</v>
      </c>
      <c r="D455" s="5">
        <v>106.0</v>
      </c>
      <c r="E455" s="5">
        <v>1678.0</v>
      </c>
      <c r="F455" s="5" t="s">
        <v>1979</v>
      </c>
      <c r="G455" s="10" t="s">
        <v>1980</v>
      </c>
      <c r="H455" s="5" t="s">
        <v>1981</v>
      </c>
      <c r="I455" s="5" t="s">
        <v>641</v>
      </c>
      <c r="J455" s="5" t="s">
        <v>1736</v>
      </c>
      <c r="K455" s="5">
        <v>1.0</v>
      </c>
      <c r="L455" s="5">
        <v>2081.0</v>
      </c>
      <c r="M455" s="11">
        <v>54.1694</v>
      </c>
      <c r="N455" s="11">
        <v>-128.5758</v>
      </c>
      <c r="O455" s="11" t="s">
        <v>51</v>
      </c>
      <c r="P455" s="11">
        <v>106.0</v>
      </c>
      <c r="Q455" s="22">
        <v>1.0</v>
      </c>
      <c r="R455" s="11" t="s">
        <v>1979</v>
      </c>
      <c r="S455" s="11" t="s">
        <v>1737</v>
      </c>
      <c r="T455" s="11">
        <v>75.0</v>
      </c>
      <c r="U455" s="11" t="s">
        <v>645</v>
      </c>
      <c r="V455" s="11" t="s">
        <v>1830</v>
      </c>
      <c r="W455" s="23">
        <v>34700.0</v>
      </c>
      <c r="X455" s="11" t="s">
        <v>1738</v>
      </c>
      <c r="AO455" s="5" t="s">
        <v>1979</v>
      </c>
      <c r="AP455" s="5">
        <v>106.0</v>
      </c>
      <c r="AQ455" s="5" t="s">
        <v>1716</v>
      </c>
      <c r="AR455" s="5" t="s">
        <v>1739</v>
      </c>
      <c r="AS455" s="5" t="s">
        <v>1740</v>
      </c>
      <c r="AT455" s="5" t="s">
        <v>1741</v>
      </c>
      <c r="AU455" s="5" t="s">
        <v>1742</v>
      </c>
      <c r="AV455" s="5" t="s">
        <v>1720</v>
      </c>
      <c r="AW455" s="5" t="s">
        <v>1947</v>
      </c>
      <c r="AX455" s="5" t="s">
        <v>1973</v>
      </c>
      <c r="AY455" s="5">
        <v>54.1696</v>
      </c>
      <c r="AZ455" s="5">
        <v>-128.5759</v>
      </c>
      <c r="BA455" s="5">
        <v>55.0</v>
      </c>
    </row>
    <row r="456" ht="14.25" customHeight="1">
      <c r="A456" s="5" t="s">
        <v>88</v>
      </c>
      <c r="B456" s="5">
        <v>12.0</v>
      </c>
      <c r="C456" s="5" t="s">
        <v>7666</v>
      </c>
      <c r="D456" s="5">
        <v>108.0</v>
      </c>
      <c r="E456" s="5">
        <v>1679.0</v>
      </c>
      <c r="F456" s="5" t="s">
        <v>1982</v>
      </c>
      <c r="G456" s="10" t="s">
        <v>1983</v>
      </c>
      <c r="H456" s="5" t="s">
        <v>1984</v>
      </c>
      <c r="I456" s="5" t="s">
        <v>641</v>
      </c>
      <c r="J456" s="5" t="s">
        <v>1736</v>
      </c>
      <c r="K456" s="5">
        <v>1.0</v>
      </c>
      <c r="L456" s="5">
        <v>2082.0</v>
      </c>
      <c r="M456" s="11">
        <v>58.4</v>
      </c>
      <c r="N456" s="11">
        <v>-130.0</v>
      </c>
      <c r="O456" s="11" t="s">
        <v>1577</v>
      </c>
      <c r="P456" s="11">
        <v>108.0</v>
      </c>
      <c r="Q456" s="22">
        <v>1.0</v>
      </c>
      <c r="R456" s="11" t="s">
        <v>1985</v>
      </c>
      <c r="S456" s="11" t="s">
        <v>1737</v>
      </c>
      <c r="T456" s="11">
        <v>800.0</v>
      </c>
      <c r="U456" s="11"/>
      <c r="V456" s="11" t="s">
        <v>1830</v>
      </c>
      <c r="W456" s="23">
        <v>35065.0</v>
      </c>
      <c r="X456" s="11" t="s">
        <v>1738</v>
      </c>
      <c r="AO456" s="5" t="s">
        <v>1985</v>
      </c>
      <c r="AP456" s="5">
        <v>108.0</v>
      </c>
      <c r="AQ456" s="5" t="s">
        <v>1716</v>
      </c>
      <c r="AR456" s="5" t="s">
        <v>1739</v>
      </c>
      <c r="AS456" s="5" t="s">
        <v>1740</v>
      </c>
      <c r="AT456" s="5" t="s">
        <v>1741</v>
      </c>
      <c r="AU456" s="5" t="s">
        <v>1742</v>
      </c>
      <c r="AV456" s="5" t="s">
        <v>1720</v>
      </c>
      <c r="AW456" s="5" t="s">
        <v>1947</v>
      </c>
      <c r="AX456" s="5" t="s">
        <v>1986</v>
      </c>
      <c r="AY456" s="5">
        <v>58.4258</v>
      </c>
      <c r="AZ456" s="5">
        <v>-130.0187</v>
      </c>
      <c r="BA456" s="5">
        <v>797.0</v>
      </c>
    </row>
    <row r="457" ht="14.25" customHeight="1">
      <c r="A457" s="5" t="s">
        <v>88</v>
      </c>
      <c r="B457" s="5">
        <v>12.0</v>
      </c>
      <c r="C457" s="5" t="s">
        <v>7666</v>
      </c>
      <c r="D457" s="5">
        <v>110.0</v>
      </c>
      <c r="E457" s="5">
        <v>1680.0</v>
      </c>
      <c r="F457" s="5" t="s">
        <v>1987</v>
      </c>
      <c r="G457" s="10" t="s">
        <v>1988</v>
      </c>
      <c r="H457" s="5" t="s">
        <v>1989</v>
      </c>
      <c r="I457" s="5" t="s">
        <v>641</v>
      </c>
      <c r="J457" s="5" t="s">
        <v>1736</v>
      </c>
      <c r="K457" s="5">
        <v>1.0</v>
      </c>
      <c r="L457" s="5">
        <v>2083.0</v>
      </c>
      <c r="M457" s="11">
        <v>57.91413</v>
      </c>
      <c r="N457" s="11">
        <v>-131.17115</v>
      </c>
      <c r="O457" s="11" t="s">
        <v>1577</v>
      </c>
      <c r="P457" s="11">
        <v>110.0</v>
      </c>
      <c r="Q457" s="22">
        <v>1.0</v>
      </c>
      <c r="R457" s="11" t="s">
        <v>1987</v>
      </c>
      <c r="S457" s="11" t="s">
        <v>1737</v>
      </c>
      <c r="T457" s="11">
        <v>382.0</v>
      </c>
      <c r="U457" s="11" t="s">
        <v>645</v>
      </c>
      <c r="V457" s="11" t="s">
        <v>1830</v>
      </c>
      <c r="W457" s="23">
        <v>28491.0</v>
      </c>
      <c r="X457" s="11" t="s">
        <v>1738</v>
      </c>
      <c r="AO457" s="5" t="s">
        <v>1987</v>
      </c>
      <c r="AP457" s="5">
        <v>110.0</v>
      </c>
      <c r="AQ457" s="5" t="s">
        <v>1716</v>
      </c>
      <c r="AR457" s="5" t="s">
        <v>1739</v>
      </c>
      <c r="AS457" s="5" t="s">
        <v>1740</v>
      </c>
      <c r="AT457" s="5" t="s">
        <v>1741</v>
      </c>
      <c r="AU457" s="5" t="s">
        <v>1742</v>
      </c>
      <c r="AV457" s="5" t="s">
        <v>1720</v>
      </c>
      <c r="AW457" s="5" t="s">
        <v>1947</v>
      </c>
      <c r="AX457" s="5" t="s">
        <v>1986</v>
      </c>
      <c r="AY457" s="5">
        <v>57.9141</v>
      </c>
      <c r="AZ457" s="5">
        <v>-131.1711</v>
      </c>
      <c r="BA457" s="5">
        <v>382.0</v>
      </c>
    </row>
    <row r="458" ht="14.25" customHeight="1">
      <c r="A458" s="5" t="s">
        <v>88</v>
      </c>
      <c r="B458" s="5">
        <v>12.0</v>
      </c>
      <c r="C458" s="5" t="s">
        <v>7666</v>
      </c>
      <c r="D458" s="5">
        <v>111.0</v>
      </c>
      <c r="E458" s="5">
        <v>1681.0</v>
      </c>
      <c r="F458" s="5" t="s">
        <v>1990</v>
      </c>
      <c r="G458" s="10" t="s">
        <v>1991</v>
      </c>
      <c r="H458" s="5" t="s">
        <v>1992</v>
      </c>
      <c r="I458" s="5" t="s">
        <v>641</v>
      </c>
      <c r="J458" s="5" t="s">
        <v>1736</v>
      </c>
      <c r="K458" s="5">
        <v>1.0</v>
      </c>
      <c r="L458" s="5">
        <v>2084.0</v>
      </c>
      <c r="M458" s="11">
        <v>59.58333</v>
      </c>
      <c r="N458" s="11">
        <v>-133.66667</v>
      </c>
      <c r="O458" s="11" t="s">
        <v>1577</v>
      </c>
      <c r="P458" s="16">
        <v>111.0</v>
      </c>
      <c r="Q458" s="22">
        <v>1.0</v>
      </c>
      <c r="R458" s="11" t="s">
        <v>1990</v>
      </c>
      <c r="S458" s="11" t="s">
        <v>1737</v>
      </c>
      <c r="T458" s="11">
        <v>729.0</v>
      </c>
      <c r="U458" s="11" t="s">
        <v>645</v>
      </c>
      <c r="V458" s="11" t="s">
        <v>1830</v>
      </c>
      <c r="W458" s="23">
        <v>28126.0</v>
      </c>
      <c r="X458" s="11" t="s">
        <v>1738</v>
      </c>
      <c r="AO458" s="5" t="s">
        <v>1990</v>
      </c>
      <c r="AP458" s="5">
        <v>111.0</v>
      </c>
      <c r="AQ458" s="5" t="s">
        <v>1716</v>
      </c>
      <c r="AR458" s="5" t="s">
        <v>1739</v>
      </c>
      <c r="AS458" s="5" t="s">
        <v>1740</v>
      </c>
      <c r="AT458" s="5" t="s">
        <v>1741</v>
      </c>
      <c r="AU458" s="5" t="s">
        <v>1742</v>
      </c>
      <c r="AV458" s="5" t="s">
        <v>1720</v>
      </c>
      <c r="AW458" s="5" t="s">
        <v>1947</v>
      </c>
      <c r="AX458" s="5" t="s">
        <v>1986</v>
      </c>
      <c r="AY458" s="5">
        <v>59.5845</v>
      </c>
      <c r="AZ458" s="5">
        <v>-133.6643</v>
      </c>
      <c r="BA458" s="5">
        <v>719.0</v>
      </c>
    </row>
    <row r="459" ht="14.25" customHeight="1">
      <c r="A459" s="5" t="s">
        <v>88</v>
      </c>
      <c r="B459" s="5">
        <v>12.0</v>
      </c>
      <c r="C459" s="5" t="s">
        <v>7666</v>
      </c>
      <c r="D459" s="5">
        <v>112.0</v>
      </c>
      <c r="E459" s="5">
        <v>1682.0</v>
      </c>
      <c r="F459" s="5" t="s">
        <v>1993</v>
      </c>
      <c r="G459" s="10" t="s">
        <v>1994</v>
      </c>
      <c r="H459" s="5" t="s">
        <v>1995</v>
      </c>
      <c r="I459" s="5" t="s">
        <v>641</v>
      </c>
      <c r="J459" s="5" t="s">
        <v>1736</v>
      </c>
      <c r="K459" s="5">
        <v>1.0</v>
      </c>
      <c r="L459" s="5">
        <v>2085.0</v>
      </c>
      <c r="M459" s="11">
        <v>57.85667</v>
      </c>
      <c r="N459" s="11">
        <v>-130.00833</v>
      </c>
      <c r="O459" s="11" t="s">
        <v>1577</v>
      </c>
      <c r="P459" s="11">
        <v>112.0</v>
      </c>
      <c r="Q459" s="22">
        <v>2.0</v>
      </c>
      <c r="R459" s="11" t="s">
        <v>1993</v>
      </c>
      <c r="S459" s="11" t="s">
        <v>1737</v>
      </c>
      <c r="T459" s="11">
        <v>890.0</v>
      </c>
      <c r="U459" s="11" t="s">
        <v>645</v>
      </c>
      <c r="V459" s="11" t="s">
        <v>1830</v>
      </c>
      <c r="W459" s="23">
        <v>28856.0</v>
      </c>
      <c r="X459" s="11" t="s">
        <v>1738</v>
      </c>
      <c r="AO459" s="5" t="s">
        <v>1993</v>
      </c>
      <c r="AP459" s="5">
        <v>112.0</v>
      </c>
      <c r="AQ459" s="5" t="s">
        <v>1716</v>
      </c>
      <c r="AR459" s="5" t="s">
        <v>1739</v>
      </c>
      <c r="AS459" s="5" t="s">
        <v>1740</v>
      </c>
      <c r="AT459" s="5" t="s">
        <v>1741</v>
      </c>
      <c r="AU459" s="5" t="s">
        <v>1742</v>
      </c>
      <c r="AV459" s="5" t="s">
        <v>1720</v>
      </c>
      <c r="AW459" s="5" t="s">
        <v>1947</v>
      </c>
      <c r="AX459" s="5" t="s">
        <v>1986</v>
      </c>
      <c r="AY459" s="5">
        <v>57.8617</v>
      </c>
      <c r="AZ459" s="5">
        <v>-130.0181</v>
      </c>
      <c r="BA459" s="5">
        <v>857.0</v>
      </c>
    </row>
    <row r="460" ht="14.25" customHeight="1">
      <c r="A460" s="5" t="s">
        <v>1908</v>
      </c>
      <c r="B460" s="5">
        <v>12.0</v>
      </c>
      <c r="C460" s="5" t="s">
        <v>7666</v>
      </c>
      <c r="D460" s="5">
        <v>113.0</v>
      </c>
      <c r="E460" s="5">
        <v>1683.0</v>
      </c>
      <c r="F460" s="10" t="s">
        <v>1996</v>
      </c>
      <c r="G460" s="10" t="s">
        <v>1997</v>
      </c>
      <c r="H460" s="5" t="s">
        <v>1998</v>
      </c>
      <c r="I460" s="5" t="s">
        <v>641</v>
      </c>
      <c r="J460" s="5" t="s">
        <v>1736</v>
      </c>
      <c r="K460" s="5">
        <v>1.0</v>
      </c>
      <c r="L460" s="5">
        <v>2086.0</v>
      </c>
      <c r="M460" s="11">
        <v>56.9809</v>
      </c>
      <c r="N460" s="11">
        <v>-130.2508</v>
      </c>
      <c r="O460" s="11" t="s">
        <v>1290</v>
      </c>
      <c r="P460" s="11">
        <v>113.0</v>
      </c>
      <c r="Q460" s="22">
        <v>1.0</v>
      </c>
      <c r="R460" s="11" t="s">
        <v>1999</v>
      </c>
      <c r="S460" s="11" t="s">
        <v>1737</v>
      </c>
      <c r="T460" s="11">
        <v>609.0</v>
      </c>
      <c r="U460" s="11" t="s">
        <v>645</v>
      </c>
      <c r="V460" s="11" t="s">
        <v>1830</v>
      </c>
      <c r="W460" s="23">
        <v>30682.0</v>
      </c>
      <c r="X460" s="11" t="s">
        <v>1738</v>
      </c>
      <c r="AO460" s="48" t="s">
        <v>1999</v>
      </c>
      <c r="AP460" s="48">
        <v>113.0</v>
      </c>
      <c r="AQ460" s="48" t="s">
        <v>1716</v>
      </c>
      <c r="AR460" s="48" t="s">
        <v>1739</v>
      </c>
      <c r="AS460" s="48" t="s">
        <v>1740</v>
      </c>
      <c r="AT460" s="48" t="s">
        <v>1741</v>
      </c>
      <c r="AU460" s="48" t="s">
        <v>1742</v>
      </c>
      <c r="AV460" s="48" t="s">
        <v>1720</v>
      </c>
      <c r="AW460" s="48" t="s">
        <v>1947</v>
      </c>
      <c r="AX460" s="48" t="s">
        <v>1986</v>
      </c>
      <c r="AY460" s="48">
        <v>56.9809</v>
      </c>
      <c r="AZ460" s="48">
        <v>-130.251</v>
      </c>
      <c r="BA460" s="48">
        <v>605.0</v>
      </c>
    </row>
    <row r="461" ht="14.25" customHeight="1">
      <c r="B461" s="5">
        <v>12.0</v>
      </c>
      <c r="C461" s="5" t="s">
        <v>7666</v>
      </c>
      <c r="D461" s="5">
        <v>116.0</v>
      </c>
      <c r="E461" s="5">
        <v>1684.0</v>
      </c>
      <c r="F461" s="18" t="s">
        <v>2000</v>
      </c>
      <c r="G461" s="5" t="s">
        <v>2001</v>
      </c>
      <c r="H461" s="5" t="s">
        <v>2002</v>
      </c>
      <c r="I461" s="5" t="s">
        <v>1664</v>
      </c>
      <c r="J461" s="5" t="s">
        <v>1715</v>
      </c>
      <c r="K461" s="5">
        <v>1.0</v>
      </c>
      <c r="L461" s="5">
        <v>2087.0</v>
      </c>
      <c r="AO461" s="5" t="s">
        <v>2000</v>
      </c>
      <c r="AP461" s="5">
        <v>116.0</v>
      </c>
      <c r="AQ461" s="5" t="s">
        <v>1716</v>
      </c>
      <c r="AR461" s="5" t="s">
        <v>1717</v>
      </c>
      <c r="AS461" s="5" t="s">
        <v>1718</v>
      </c>
      <c r="AT461" s="5" t="s">
        <v>1719</v>
      </c>
      <c r="AU461" s="5" t="s">
        <v>1703</v>
      </c>
      <c r="AV461" s="5" t="s">
        <v>1720</v>
      </c>
      <c r="AW461" s="5" t="s">
        <v>2003</v>
      </c>
      <c r="AX461" s="5" t="s">
        <v>2004</v>
      </c>
      <c r="AY461" s="5">
        <v>57.9</v>
      </c>
      <c r="AZ461" s="5">
        <v>-120.3</v>
      </c>
      <c r="BA461" s="5">
        <v>0.0</v>
      </c>
    </row>
    <row r="462" ht="14.25" customHeight="1">
      <c r="A462" s="5" t="s">
        <v>88</v>
      </c>
      <c r="B462" s="5">
        <v>12.0</v>
      </c>
      <c r="C462" s="5" t="s">
        <v>7666</v>
      </c>
      <c r="D462" s="5">
        <v>117.0</v>
      </c>
      <c r="E462" s="5">
        <v>1685.0</v>
      </c>
      <c r="F462" s="5" t="s">
        <v>2005</v>
      </c>
      <c r="G462" s="10" t="s">
        <v>2006</v>
      </c>
      <c r="H462" s="5" t="s">
        <v>2007</v>
      </c>
      <c r="I462" s="5" t="s">
        <v>641</v>
      </c>
      <c r="J462" s="5" t="s">
        <v>1865</v>
      </c>
      <c r="K462" s="5">
        <v>1.0</v>
      </c>
      <c r="L462" s="5">
        <v>2088.0</v>
      </c>
      <c r="M462" s="11">
        <v>58.83811</v>
      </c>
      <c r="N462" s="11">
        <v>-121.39666</v>
      </c>
      <c r="O462" s="11" t="s">
        <v>2008</v>
      </c>
      <c r="P462" s="11">
        <v>117.0</v>
      </c>
      <c r="Q462" s="22">
        <v>5.0</v>
      </c>
      <c r="R462" s="11" t="s">
        <v>2005</v>
      </c>
      <c r="S462" s="11" t="s">
        <v>1737</v>
      </c>
      <c r="T462" s="11">
        <v>584.0</v>
      </c>
      <c r="U462" s="11" t="s">
        <v>645</v>
      </c>
      <c r="V462" s="11"/>
      <c r="W462" s="23">
        <v>29587.0</v>
      </c>
      <c r="X462" s="11" t="s">
        <v>1738</v>
      </c>
      <c r="AO462" s="5" t="s">
        <v>2005</v>
      </c>
      <c r="AP462" s="5">
        <v>117.0</v>
      </c>
      <c r="AQ462" s="5" t="s">
        <v>1716</v>
      </c>
      <c r="AR462" s="5" t="s">
        <v>1739</v>
      </c>
      <c r="AS462" s="5" t="s">
        <v>1740</v>
      </c>
      <c r="AT462" s="5" t="s">
        <v>1741</v>
      </c>
      <c r="AU462" s="5" t="s">
        <v>1959</v>
      </c>
      <c r="AV462" s="5" t="s">
        <v>1720</v>
      </c>
      <c r="AW462" s="5" t="s">
        <v>2003</v>
      </c>
      <c r="AX462" s="5" t="s">
        <v>2009</v>
      </c>
      <c r="AY462" s="5">
        <v>58.8381</v>
      </c>
      <c r="AZ462" s="5">
        <v>-121.3967</v>
      </c>
      <c r="BA462" s="5">
        <v>573.0</v>
      </c>
    </row>
    <row r="463" ht="14.25" customHeight="1">
      <c r="A463" s="5" t="s">
        <v>88</v>
      </c>
      <c r="B463" s="5">
        <v>12.0</v>
      </c>
      <c r="C463" s="5" t="s">
        <v>7666</v>
      </c>
      <c r="D463" s="5">
        <v>118.0</v>
      </c>
      <c r="E463" s="5">
        <v>1686.0</v>
      </c>
      <c r="F463" s="5" t="s">
        <v>2010</v>
      </c>
      <c r="G463" s="10" t="s">
        <v>2011</v>
      </c>
      <c r="H463" s="5" t="s">
        <v>2012</v>
      </c>
      <c r="I463" s="5" t="s">
        <v>641</v>
      </c>
      <c r="J463" s="5" t="s">
        <v>1736</v>
      </c>
      <c r="K463" s="5">
        <v>1.0</v>
      </c>
      <c r="L463" s="5">
        <v>2089.0</v>
      </c>
      <c r="M463" s="11">
        <v>59.421</v>
      </c>
      <c r="N463" s="11">
        <v>-120.78892</v>
      </c>
      <c r="O463" s="11" t="s">
        <v>2008</v>
      </c>
      <c r="P463" s="11">
        <v>118.0</v>
      </c>
      <c r="Q463" s="22">
        <v>6.0</v>
      </c>
      <c r="R463" s="11" t="s">
        <v>2010</v>
      </c>
      <c r="S463" s="11" t="s">
        <v>1737</v>
      </c>
      <c r="T463" s="11">
        <v>598.0</v>
      </c>
      <c r="U463" s="11" t="s">
        <v>645</v>
      </c>
      <c r="V463" s="11"/>
      <c r="W463" s="23">
        <v>30317.0</v>
      </c>
      <c r="X463" s="11" t="s">
        <v>1738</v>
      </c>
      <c r="AO463" s="5" t="s">
        <v>2010</v>
      </c>
      <c r="AP463" s="5">
        <v>118.0</v>
      </c>
      <c r="AQ463" s="5" t="s">
        <v>1716</v>
      </c>
      <c r="AR463" s="5" t="s">
        <v>1739</v>
      </c>
      <c r="AS463" s="5" t="s">
        <v>1740</v>
      </c>
      <c r="AT463" s="5" t="s">
        <v>1741</v>
      </c>
      <c r="AU463" s="5" t="s">
        <v>1742</v>
      </c>
      <c r="AV463" s="5" t="s">
        <v>1720</v>
      </c>
      <c r="AW463" s="5" t="s">
        <v>2003</v>
      </c>
      <c r="AX463" s="5" t="s">
        <v>2009</v>
      </c>
      <c r="AY463" s="5">
        <v>59.4211</v>
      </c>
      <c r="AZ463" s="5">
        <v>-120.7889</v>
      </c>
      <c r="BA463" s="5">
        <v>588.0</v>
      </c>
    </row>
    <row r="464" ht="14.25" customHeight="1">
      <c r="A464" s="5" t="s">
        <v>88</v>
      </c>
      <c r="B464" s="5">
        <v>12.0</v>
      </c>
      <c r="C464" s="5" t="s">
        <v>7666</v>
      </c>
      <c r="D464" s="5">
        <v>119.0</v>
      </c>
      <c r="E464" s="5">
        <v>1687.0</v>
      </c>
      <c r="F464" s="5" t="s">
        <v>2013</v>
      </c>
      <c r="G464" s="10" t="s">
        <v>2014</v>
      </c>
      <c r="H464" s="5" t="s">
        <v>2015</v>
      </c>
      <c r="I464" s="5" t="s">
        <v>641</v>
      </c>
      <c r="J464" s="5" t="s">
        <v>1865</v>
      </c>
      <c r="K464" s="5">
        <v>1.0</v>
      </c>
      <c r="L464" s="5">
        <v>2090.0</v>
      </c>
      <c r="M464" s="11">
        <v>59.61728</v>
      </c>
      <c r="N464" s="11">
        <v>-124.09851</v>
      </c>
      <c r="O464" s="11" t="s">
        <v>2008</v>
      </c>
      <c r="P464" s="11">
        <v>119.0</v>
      </c>
      <c r="Q464" s="22">
        <v>6.0</v>
      </c>
      <c r="R464" s="11" t="s">
        <v>2013</v>
      </c>
      <c r="S464" s="11" t="s">
        <v>1737</v>
      </c>
      <c r="T464" s="11">
        <v>604.0</v>
      </c>
      <c r="U464" s="11"/>
      <c r="V464" s="11"/>
      <c r="W464" s="23">
        <v>31413.0</v>
      </c>
      <c r="X464" s="11" t="s">
        <v>1738</v>
      </c>
      <c r="AO464" s="5" t="s">
        <v>2013</v>
      </c>
      <c r="AP464" s="5">
        <v>119.0</v>
      </c>
      <c r="AQ464" s="5" t="s">
        <v>1716</v>
      </c>
      <c r="AR464" s="5" t="s">
        <v>1739</v>
      </c>
      <c r="AS464" s="5" t="s">
        <v>1740</v>
      </c>
      <c r="AT464" s="5" t="s">
        <v>1741</v>
      </c>
      <c r="AU464" s="5" t="s">
        <v>1742</v>
      </c>
      <c r="AV464" s="5" t="s">
        <v>1720</v>
      </c>
      <c r="AW464" s="5" t="s">
        <v>2003</v>
      </c>
      <c r="AX464" s="5" t="s">
        <v>2009</v>
      </c>
      <c r="AY464" s="5">
        <v>59.6173</v>
      </c>
      <c r="AZ464" s="5">
        <v>-124.0985</v>
      </c>
      <c r="BA464" s="5">
        <v>660.0</v>
      </c>
    </row>
    <row r="465" ht="14.25" customHeight="1">
      <c r="A465" s="5" t="s">
        <v>88</v>
      </c>
      <c r="B465" s="5">
        <v>12.0</v>
      </c>
      <c r="C465" s="5" t="s">
        <v>7666</v>
      </c>
      <c r="D465" s="5">
        <v>120.0</v>
      </c>
      <c r="E465" s="5">
        <v>1688.0</v>
      </c>
      <c r="F465" s="5" t="s">
        <v>2016</v>
      </c>
      <c r="G465" s="10" t="s">
        <v>2017</v>
      </c>
      <c r="H465" s="5" t="s">
        <v>2018</v>
      </c>
      <c r="I465" s="5" t="s">
        <v>641</v>
      </c>
      <c r="J465" s="5" t="s">
        <v>1865</v>
      </c>
      <c r="K465" s="5">
        <v>1.0</v>
      </c>
      <c r="L465" s="5">
        <v>2091.0</v>
      </c>
      <c r="M465" s="11">
        <v>57.49678</v>
      </c>
      <c r="N465" s="11">
        <v>-121.29695</v>
      </c>
      <c r="O465" s="11" t="s">
        <v>153</v>
      </c>
      <c r="P465" s="11">
        <v>120.0</v>
      </c>
      <c r="Q465" s="22">
        <v>6.0</v>
      </c>
      <c r="R465" s="11" t="s">
        <v>2016</v>
      </c>
      <c r="S465" s="11" t="s">
        <v>1737</v>
      </c>
      <c r="T465" s="11">
        <v>835.0</v>
      </c>
      <c r="U465" s="11"/>
      <c r="V465" s="11"/>
      <c r="W465" s="23">
        <v>31413.0</v>
      </c>
      <c r="X465" s="11" t="s">
        <v>1738</v>
      </c>
      <c r="AO465" s="5" t="s">
        <v>2016</v>
      </c>
      <c r="AP465" s="5">
        <v>120.0</v>
      </c>
      <c r="AQ465" s="5" t="s">
        <v>1716</v>
      </c>
      <c r="AR465" s="5" t="s">
        <v>1739</v>
      </c>
      <c r="AS465" s="5" t="s">
        <v>1740</v>
      </c>
      <c r="AT465" s="5" t="s">
        <v>1741</v>
      </c>
      <c r="AU465" s="5" t="s">
        <v>1742</v>
      </c>
      <c r="AV465" s="5" t="s">
        <v>1720</v>
      </c>
      <c r="AW465" s="5" t="s">
        <v>2003</v>
      </c>
      <c r="AX465" s="5" t="s">
        <v>2004</v>
      </c>
      <c r="AY465" s="5">
        <v>57.3745</v>
      </c>
      <c r="AZ465" s="5">
        <v>-121.4069</v>
      </c>
      <c r="BA465" s="5">
        <v>835.0</v>
      </c>
    </row>
    <row r="466" ht="14.25" customHeight="1">
      <c r="B466" s="5">
        <v>12.0</v>
      </c>
      <c r="C466" s="5" t="s">
        <v>7666</v>
      </c>
      <c r="D466" s="5">
        <v>121.0</v>
      </c>
      <c r="E466" s="5">
        <v>1689.0</v>
      </c>
      <c r="F466" s="5" t="s">
        <v>2019</v>
      </c>
      <c r="G466" s="5" t="s">
        <v>2020</v>
      </c>
      <c r="H466" s="5" t="s">
        <v>2021</v>
      </c>
      <c r="I466" s="5" t="s">
        <v>641</v>
      </c>
      <c r="J466" s="5" t="s">
        <v>1736</v>
      </c>
      <c r="K466" s="5">
        <v>1.0</v>
      </c>
      <c r="L466" s="5">
        <v>2092.0</v>
      </c>
      <c r="M466" s="11">
        <v>57.78181</v>
      </c>
      <c r="N466" s="11">
        <v>-120.2368</v>
      </c>
      <c r="O466" s="11" t="s">
        <v>153</v>
      </c>
      <c r="P466" s="11">
        <v>121.0</v>
      </c>
      <c r="Q466" s="22">
        <v>3.0</v>
      </c>
      <c r="R466" s="11" t="s">
        <v>2019</v>
      </c>
      <c r="S466" s="11" t="s">
        <v>1737</v>
      </c>
      <c r="T466" s="11">
        <v>729.0</v>
      </c>
      <c r="U466" s="11" t="s">
        <v>645</v>
      </c>
      <c r="V466" s="11"/>
      <c r="W466" s="23">
        <v>31413.0</v>
      </c>
      <c r="X466" s="11" t="s">
        <v>1738</v>
      </c>
      <c r="AO466" s="5" t="s">
        <v>2019</v>
      </c>
      <c r="AP466" s="5">
        <v>121.0</v>
      </c>
      <c r="AQ466" s="5" t="s">
        <v>1716</v>
      </c>
      <c r="AR466" s="5" t="s">
        <v>1739</v>
      </c>
      <c r="AS466" s="5" t="s">
        <v>1740</v>
      </c>
      <c r="AT466" s="5" t="s">
        <v>1741</v>
      </c>
      <c r="AU466" s="5" t="s">
        <v>1742</v>
      </c>
      <c r="AV466" s="5" t="s">
        <v>1720</v>
      </c>
      <c r="AW466" s="5" t="s">
        <v>2003</v>
      </c>
      <c r="AX466" s="5" t="s">
        <v>2004</v>
      </c>
      <c r="AY466" s="5">
        <v>57.7818</v>
      </c>
      <c r="AZ466" s="5">
        <v>-120.2368</v>
      </c>
      <c r="BA466" s="5">
        <v>722.0</v>
      </c>
    </row>
    <row r="467" ht="14.25" customHeight="1">
      <c r="A467" s="5" t="s">
        <v>422</v>
      </c>
      <c r="B467" s="5">
        <v>12.0</v>
      </c>
      <c r="C467" s="5" t="s">
        <v>7670</v>
      </c>
      <c r="D467" s="5">
        <v>122.0</v>
      </c>
      <c r="E467" s="5">
        <v>12967.0</v>
      </c>
      <c r="F467" s="5" t="s">
        <v>2022</v>
      </c>
      <c r="G467" s="5" t="s">
        <v>127</v>
      </c>
      <c r="H467" s="5" t="s">
        <v>1697</v>
      </c>
      <c r="I467" s="5" t="s">
        <v>49</v>
      </c>
      <c r="J467" s="5" t="s">
        <v>1698</v>
      </c>
      <c r="K467" s="5">
        <v>1.0</v>
      </c>
      <c r="L467" s="5">
        <v>14899.0</v>
      </c>
      <c r="AO467" s="50" t="s">
        <v>2023</v>
      </c>
      <c r="AP467" s="50">
        <v>122.0</v>
      </c>
      <c r="AQ467" s="50" t="s">
        <v>1700</v>
      </c>
      <c r="AR467" s="50" t="s">
        <v>1701</v>
      </c>
      <c r="AS467" s="50" t="s">
        <v>1702</v>
      </c>
      <c r="AT467" s="50" t="s">
        <v>1703</v>
      </c>
      <c r="AU467" s="50" t="s">
        <v>1704</v>
      </c>
      <c r="AV467" s="50" t="s">
        <v>1702</v>
      </c>
      <c r="AW467" s="50" t="s">
        <v>2003</v>
      </c>
      <c r="AX467" s="50" t="s">
        <v>2024</v>
      </c>
      <c r="AY467" s="50">
        <v>55.7</v>
      </c>
      <c r="AZ467" s="50">
        <v>-121.6</v>
      </c>
      <c r="BA467" s="50">
        <v>610.0</v>
      </c>
    </row>
    <row r="468" ht="14.25" customHeight="1">
      <c r="B468" s="5">
        <v>12.0</v>
      </c>
      <c r="C468" s="5" t="s">
        <v>7666</v>
      </c>
      <c r="D468" s="5">
        <v>123.0</v>
      </c>
      <c r="E468" s="5">
        <v>1690.0</v>
      </c>
      <c r="F468" s="18" t="s">
        <v>2025</v>
      </c>
      <c r="G468" s="5" t="s">
        <v>2026</v>
      </c>
      <c r="H468" s="5" t="s">
        <v>2027</v>
      </c>
      <c r="I468" s="5" t="s">
        <v>1664</v>
      </c>
      <c r="J468" s="5" t="s">
        <v>1715</v>
      </c>
      <c r="K468" s="5">
        <v>1.0</v>
      </c>
      <c r="L468" s="5">
        <v>2093.0</v>
      </c>
      <c r="AO468" s="5" t="s">
        <v>2025</v>
      </c>
      <c r="AP468" s="5">
        <v>123.0</v>
      </c>
      <c r="AQ468" s="5" t="s">
        <v>1716</v>
      </c>
      <c r="AR468" s="5" t="s">
        <v>1717</v>
      </c>
      <c r="AS468" s="5" t="s">
        <v>1718</v>
      </c>
      <c r="AT468" s="5" t="s">
        <v>1719</v>
      </c>
      <c r="AU468" s="5" t="s">
        <v>1703</v>
      </c>
      <c r="AV468" s="5" t="s">
        <v>1720</v>
      </c>
      <c r="AW468" s="5" t="s">
        <v>2003</v>
      </c>
      <c r="AX468" s="5" t="s">
        <v>2024</v>
      </c>
      <c r="AY468" s="5">
        <v>56.3</v>
      </c>
      <c r="AZ468" s="5">
        <v>-122.2</v>
      </c>
      <c r="BA468" s="5">
        <v>7.0</v>
      </c>
    </row>
    <row r="469" ht="14.25" customHeight="1">
      <c r="B469" s="5">
        <v>12.0</v>
      </c>
      <c r="C469" s="5" t="s">
        <v>7666</v>
      </c>
      <c r="D469" s="5">
        <v>124.0</v>
      </c>
      <c r="E469" s="5">
        <v>1691.0</v>
      </c>
      <c r="F469" s="5" t="s">
        <v>2028</v>
      </c>
      <c r="G469" s="5" t="s">
        <v>2029</v>
      </c>
      <c r="H469" s="5" t="s">
        <v>2030</v>
      </c>
      <c r="I469" s="5" t="s">
        <v>641</v>
      </c>
      <c r="J469" s="5" t="s">
        <v>1736</v>
      </c>
      <c r="K469" s="5">
        <v>1.0</v>
      </c>
      <c r="L469" s="5">
        <v>2094.0</v>
      </c>
      <c r="M469" s="11">
        <v>56.43464</v>
      </c>
      <c r="N469" s="11">
        <v>-122.45767</v>
      </c>
      <c r="O469" s="11" t="s">
        <v>153</v>
      </c>
      <c r="P469" s="11">
        <v>124.0</v>
      </c>
      <c r="Q469" s="22">
        <v>5.0</v>
      </c>
      <c r="R469" s="11" t="s">
        <v>2028</v>
      </c>
      <c r="S469" s="11" t="s">
        <v>1737</v>
      </c>
      <c r="T469" s="11">
        <v>768.0</v>
      </c>
      <c r="U469" s="11" t="s">
        <v>645</v>
      </c>
      <c r="V469" s="11"/>
      <c r="W469" s="23">
        <v>28856.0</v>
      </c>
      <c r="X469" s="11" t="s">
        <v>1738</v>
      </c>
      <c r="AO469" s="5" t="s">
        <v>2028</v>
      </c>
      <c r="AP469" s="5">
        <v>124.0</v>
      </c>
      <c r="AQ469" s="5" t="s">
        <v>1716</v>
      </c>
      <c r="AR469" s="5" t="s">
        <v>1739</v>
      </c>
      <c r="AS469" s="5" t="s">
        <v>1740</v>
      </c>
      <c r="AT469" s="5" t="s">
        <v>1741</v>
      </c>
      <c r="AU469" s="5" t="s">
        <v>1742</v>
      </c>
      <c r="AV469" s="5" t="s">
        <v>1720</v>
      </c>
      <c r="AW469" s="5" t="s">
        <v>2003</v>
      </c>
      <c r="AX469" s="5" t="s">
        <v>2004</v>
      </c>
      <c r="AY469" s="5">
        <v>56.4346</v>
      </c>
      <c r="AZ469" s="5">
        <v>-122.4576</v>
      </c>
      <c r="BA469" s="5">
        <v>759.0</v>
      </c>
    </row>
    <row r="470" ht="14.25" customHeight="1">
      <c r="B470" s="5">
        <v>12.0</v>
      </c>
      <c r="C470" s="5" t="s">
        <v>7666</v>
      </c>
      <c r="D470" s="5">
        <v>125.0</v>
      </c>
      <c r="E470" s="5">
        <v>1692.0</v>
      </c>
      <c r="F470" s="18" t="s">
        <v>2031</v>
      </c>
      <c r="G470" s="5" t="s">
        <v>2032</v>
      </c>
      <c r="H470" s="5" t="s">
        <v>2033</v>
      </c>
      <c r="I470" s="5" t="s">
        <v>1664</v>
      </c>
      <c r="J470" s="5" t="s">
        <v>1715</v>
      </c>
      <c r="K470" s="5">
        <v>1.0</v>
      </c>
      <c r="L470" s="5">
        <v>2095.0</v>
      </c>
      <c r="AO470" s="5" t="s">
        <v>2031</v>
      </c>
      <c r="AP470" s="5">
        <v>125.0</v>
      </c>
      <c r="AQ470" s="5" t="s">
        <v>1716</v>
      </c>
      <c r="AR470" s="5" t="s">
        <v>1717</v>
      </c>
      <c r="AS470" s="5" t="s">
        <v>1718</v>
      </c>
      <c r="AT470" s="5" t="s">
        <v>1719</v>
      </c>
      <c r="AU470" s="5" t="s">
        <v>1703</v>
      </c>
      <c r="AV470" s="5" t="s">
        <v>1720</v>
      </c>
      <c r="AW470" s="5" t="s">
        <v>2003</v>
      </c>
      <c r="AX470" s="5" t="s">
        <v>2024</v>
      </c>
      <c r="AY470" s="5">
        <v>56.1</v>
      </c>
      <c r="AZ470" s="5">
        <v>-122.4</v>
      </c>
      <c r="BA470" s="5">
        <v>9.0</v>
      </c>
    </row>
    <row r="471" ht="14.25" customHeight="1">
      <c r="B471" s="5">
        <v>12.0</v>
      </c>
      <c r="C471" s="5" t="s">
        <v>7666</v>
      </c>
      <c r="D471" s="5">
        <v>126.0</v>
      </c>
      <c r="E471" s="5">
        <v>1693.0</v>
      </c>
      <c r="F471" s="5" t="s">
        <v>2034</v>
      </c>
      <c r="G471" s="5" t="s">
        <v>2035</v>
      </c>
      <c r="H471" s="5" t="s">
        <v>2036</v>
      </c>
      <c r="I471" s="5" t="s">
        <v>641</v>
      </c>
      <c r="J471" s="5" t="s">
        <v>1736</v>
      </c>
      <c r="K471" s="5">
        <v>1.0</v>
      </c>
      <c r="L471" s="5">
        <v>2096.0</v>
      </c>
      <c r="M471" s="11">
        <v>58.86585</v>
      </c>
      <c r="N471" s="11">
        <v>-125.3107</v>
      </c>
      <c r="O471" s="11" t="s">
        <v>1577</v>
      </c>
      <c r="P471" s="11">
        <v>126.0</v>
      </c>
      <c r="Q471" s="22">
        <v>1.0</v>
      </c>
      <c r="R471" s="11" t="s">
        <v>2034</v>
      </c>
      <c r="S471" s="11" t="s">
        <v>1737</v>
      </c>
      <c r="T471" s="11">
        <v>711.0</v>
      </c>
      <c r="U471" s="11" t="s">
        <v>645</v>
      </c>
      <c r="V471" s="11"/>
      <c r="W471" s="23">
        <v>29587.0</v>
      </c>
      <c r="X471" s="11" t="s">
        <v>1738</v>
      </c>
      <c r="AO471" s="5" t="s">
        <v>2034</v>
      </c>
      <c r="AP471" s="5">
        <v>126.0</v>
      </c>
      <c r="AQ471" s="5" t="s">
        <v>1716</v>
      </c>
      <c r="AR471" s="5" t="s">
        <v>1739</v>
      </c>
      <c r="AS471" s="5" t="s">
        <v>1740</v>
      </c>
      <c r="AT471" s="5" t="s">
        <v>1741</v>
      </c>
      <c r="AU471" s="5" t="s">
        <v>1742</v>
      </c>
      <c r="AV471" s="5" t="s">
        <v>1720</v>
      </c>
      <c r="AW471" s="5" t="s">
        <v>2003</v>
      </c>
      <c r="AX471" s="5" t="s">
        <v>2009</v>
      </c>
      <c r="AY471" s="5">
        <v>58.8659</v>
      </c>
      <c r="AZ471" s="5">
        <v>-125.3107</v>
      </c>
      <c r="BA471" s="5">
        <v>702.0</v>
      </c>
    </row>
    <row r="472" ht="14.25" customHeight="1">
      <c r="A472" s="5" t="s">
        <v>2037</v>
      </c>
      <c r="B472" s="5">
        <v>12.0</v>
      </c>
      <c r="C472" s="5" t="s">
        <v>7666</v>
      </c>
      <c r="D472" s="5">
        <v>127.0</v>
      </c>
      <c r="E472" s="5">
        <v>1694.0</v>
      </c>
      <c r="F472" s="10" t="s">
        <v>2038</v>
      </c>
      <c r="G472" s="5" t="s">
        <v>2039</v>
      </c>
      <c r="H472" s="5" t="s">
        <v>2040</v>
      </c>
      <c r="I472" s="5" t="s">
        <v>641</v>
      </c>
      <c r="J472" s="5" t="s">
        <v>1736</v>
      </c>
      <c r="K472" s="5">
        <v>1.0</v>
      </c>
      <c r="L472" s="5">
        <v>2097.0</v>
      </c>
      <c r="M472" s="5">
        <v>55.02736</v>
      </c>
      <c r="N472" s="5">
        <v>-120.93405</v>
      </c>
      <c r="O472" s="5" t="s">
        <v>1290</v>
      </c>
      <c r="P472" s="5">
        <v>127.0</v>
      </c>
      <c r="Q472" s="5">
        <v>3.0</v>
      </c>
      <c r="R472" s="5" t="s">
        <v>2041</v>
      </c>
      <c r="S472" s="5" t="s">
        <v>1737</v>
      </c>
      <c r="T472" s="5">
        <v>942.0</v>
      </c>
      <c r="U472" s="5" t="s">
        <v>645</v>
      </c>
      <c r="V472" s="5" t="s">
        <v>1771</v>
      </c>
      <c r="W472" s="5">
        <v>29952.0</v>
      </c>
      <c r="X472" s="5" t="s">
        <v>1738</v>
      </c>
      <c r="AO472" s="54" t="s">
        <v>2042</v>
      </c>
      <c r="AP472" s="5">
        <v>127.0</v>
      </c>
      <c r="AQ472" s="5" t="s">
        <v>1700</v>
      </c>
      <c r="AR472" s="5" t="s">
        <v>1739</v>
      </c>
      <c r="AS472" s="5" t="s">
        <v>1740</v>
      </c>
      <c r="AT472" s="5" t="s">
        <v>1741</v>
      </c>
      <c r="AU472" s="5" t="s">
        <v>2043</v>
      </c>
      <c r="AV472" s="5" t="s">
        <v>1720</v>
      </c>
      <c r="AW472" s="5" t="s">
        <v>2003</v>
      </c>
      <c r="AX472" s="5" t="s">
        <v>2024</v>
      </c>
      <c r="AY472" s="5">
        <v>55.0274</v>
      </c>
      <c r="AZ472" s="5">
        <v>-120.934</v>
      </c>
      <c r="BA472" s="5">
        <v>932.0</v>
      </c>
    </row>
    <row r="473" ht="14.25" customHeight="1">
      <c r="B473" s="5">
        <v>12.0</v>
      </c>
      <c r="C473" s="5" t="s">
        <v>7666</v>
      </c>
      <c r="D473" s="5">
        <v>128.0</v>
      </c>
      <c r="E473" s="5">
        <v>1695.0</v>
      </c>
      <c r="F473" s="18" t="s">
        <v>2044</v>
      </c>
      <c r="G473" s="5" t="s">
        <v>2045</v>
      </c>
      <c r="H473" s="5" t="s">
        <v>2046</v>
      </c>
      <c r="I473" s="5" t="s">
        <v>1664</v>
      </c>
      <c r="J473" s="5" t="s">
        <v>1715</v>
      </c>
      <c r="K473" s="5">
        <v>1.0</v>
      </c>
      <c r="L473" s="5">
        <v>2098.0</v>
      </c>
      <c r="AO473" s="5" t="s">
        <v>2044</v>
      </c>
      <c r="AP473" s="5">
        <v>128.0</v>
      </c>
      <c r="AQ473" s="5" t="s">
        <v>1716</v>
      </c>
      <c r="AR473" s="5" t="s">
        <v>1717</v>
      </c>
      <c r="AS473" s="5" t="s">
        <v>1718</v>
      </c>
      <c r="AT473" s="5" t="s">
        <v>1719</v>
      </c>
      <c r="AU473" s="5" t="s">
        <v>1703</v>
      </c>
      <c r="AV473" s="5" t="s">
        <v>1720</v>
      </c>
      <c r="AW473" s="5" t="s">
        <v>2003</v>
      </c>
      <c r="AX473" s="5" t="s">
        <v>2024</v>
      </c>
      <c r="AY473" s="5">
        <v>54.8</v>
      </c>
      <c r="AZ473" s="5">
        <v>-120.6</v>
      </c>
      <c r="BA473" s="5">
        <v>11.0</v>
      </c>
    </row>
    <row r="474" ht="14.25" customHeight="1">
      <c r="A474" s="5" t="s">
        <v>88</v>
      </c>
      <c r="B474" s="5">
        <v>12.0</v>
      </c>
      <c r="C474" s="5" t="s">
        <v>7666</v>
      </c>
      <c r="D474" s="5">
        <v>129.0</v>
      </c>
      <c r="E474" s="5">
        <v>1696.0</v>
      </c>
      <c r="F474" s="5" t="s">
        <v>2047</v>
      </c>
      <c r="G474" s="10" t="s">
        <v>2048</v>
      </c>
      <c r="H474" s="5" t="s">
        <v>2049</v>
      </c>
      <c r="I474" s="5" t="s">
        <v>641</v>
      </c>
      <c r="J474" s="5" t="s">
        <v>1736</v>
      </c>
      <c r="K474" s="5">
        <v>1.0</v>
      </c>
      <c r="L474" s="5">
        <v>2099.0</v>
      </c>
      <c r="M474" s="5">
        <v>57.07653</v>
      </c>
      <c r="N474" s="5">
        <v>-122.55906</v>
      </c>
      <c r="O474" s="5" t="s">
        <v>2008</v>
      </c>
      <c r="P474" s="5">
        <v>129.0</v>
      </c>
      <c r="Q474" s="5">
        <v>8.0</v>
      </c>
      <c r="R474" s="5" t="s">
        <v>2050</v>
      </c>
      <c r="S474" s="5" t="s">
        <v>1737</v>
      </c>
      <c r="T474" s="5">
        <v>989.0</v>
      </c>
      <c r="W474" s="5">
        <v>30317.0</v>
      </c>
      <c r="X474" s="5" t="s">
        <v>1738</v>
      </c>
      <c r="AO474" s="5" t="s">
        <v>2050</v>
      </c>
      <c r="AP474" s="5">
        <v>129.0</v>
      </c>
      <c r="AQ474" s="5" t="s">
        <v>1716</v>
      </c>
      <c r="AR474" s="5" t="s">
        <v>1739</v>
      </c>
      <c r="AS474" s="5" t="s">
        <v>1740</v>
      </c>
      <c r="AT474" s="5" t="s">
        <v>1741</v>
      </c>
      <c r="AU474" s="5" t="s">
        <v>1742</v>
      </c>
      <c r="AV474" s="5" t="s">
        <v>1720</v>
      </c>
      <c r="AW474" s="5" t="s">
        <v>2003</v>
      </c>
      <c r="AX474" s="5" t="s">
        <v>2004</v>
      </c>
      <c r="AY474" s="5">
        <v>57.0874</v>
      </c>
      <c r="AZ474" s="5">
        <v>-122.5912</v>
      </c>
      <c r="BA474" s="5">
        <v>989.0</v>
      </c>
    </row>
    <row r="475" ht="14.25" customHeight="1">
      <c r="B475" s="5">
        <v>12.0</v>
      </c>
      <c r="C475" s="5" t="s">
        <v>7666</v>
      </c>
      <c r="D475" s="5">
        <v>130.0</v>
      </c>
      <c r="E475" s="5">
        <v>1697.0</v>
      </c>
      <c r="F475" s="18" t="s">
        <v>2051</v>
      </c>
      <c r="G475" s="5" t="s">
        <v>2052</v>
      </c>
      <c r="H475" s="5" t="s">
        <v>2053</v>
      </c>
      <c r="I475" s="5" t="s">
        <v>1664</v>
      </c>
      <c r="J475" s="5" t="s">
        <v>1715</v>
      </c>
      <c r="K475" s="5">
        <v>1.0</v>
      </c>
      <c r="L475" s="5">
        <v>2100.0</v>
      </c>
      <c r="AO475" s="5" t="s">
        <v>2051</v>
      </c>
      <c r="AP475" s="5">
        <v>130.0</v>
      </c>
      <c r="AQ475" s="5" t="s">
        <v>1716</v>
      </c>
      <c r="AR475" s="5" t="s">
        <v>1717</v>
      </c>
      <c r="AS475" s="5" t="s">
        <v>1718</v>
      </c>
      <c r="AT475" s="5" t="s">
        <v>1719</v>
      </c>
      <c r="AU475" s="5" t="s">
        <v>1703</v>
      </c>
      <c r="AV475" s="5" t="s">
        <v>1720</v>
      </c>
      <c r="AW475" s="5" t="s">
        <v>2003</v>
      </c>
      <c r="AX475" s="5" t="s">
        <v>2004</v>
      </c>
      <c r="AY475" s="5">
        <v>57.4</v>
      </c>
      <c r="AZ475" s="5">
        <v>-122.9</v>
      </c>
      <c r="BA475" s="5">
        <v>0.0</v>
      </c>
    </row>
    <row r="476" ht="14.25" customHeight="1">
      <c r="A476" s="5" t="s">
        <v>88</v>
      </c>
      <c r="B476" s="5">
        <v>12.0</v>
      </c>
      <c r="C476" s="5" t="s">
        <v>7666</v>
      </c>
      <c r="D476" s="5">
        <v>131.0</v>
      </c>
      <c r="E476" s="5">
        <v>1698.0</v>
      </c>
      <c r="F476" s="5" t="s">
        <v>2054</v>
      </c>
      <c r="G476" s="10" t="s">
        <v>2055</v>
      </c>
      <c r="H476" s="5" t="s">
        <v>2056</v>
      </c>
      <c r="I476" s="5" t="s">
        <v>641</v>
      </c>
      <c r="J476" s="5" t="s">
        <v>1865</v>
      </c>
      <c r="K476" s="5">
        <v>1.0</v>
      </c>
      <c r="L476" s="5">
        <v>2101.0</v>
      </c>
      <c r="M476" s="5">
        <v>57.88425</v>
      </c>
      <c r="N476" s="5">
        <v>-123.6163</v>
      </c>
      <c r="O476" s="5" t="s">
        <v>2008</v>
      </c>
      <c r="P476" s="5">
        <v>131.0</v>
      </c>
      <c r="Q476" s="5">
        <v>7.0</v>
      </c>
      <c r="R476" s="5" t="s">
        <v>2054</v>
      </c>
      <c r="S476" s="5" t="s">
        <v>1737</v>
      </c>
      <c r="T476" s="5">
        <v>780.0</v>
      </c>
      <c r="W476" s="5">
        <v>30317.0</v>
      </c>
      <c r="X476" s="5" t="s">
        <v>1738</v>
      </c>
      <c r="AO476" s="5" t="s">
        <v>2054</v>
      </c>
      <c r="AP476" s="5">
        <v>131.0</v>
      </c>
      <c r="AQ476" s="5" t="s">
        <v>1716</v>
      </c>
      <c r="AR476" s="5" t="s">
        <v>1739</v>
      </c>
      <c r="AS476" s="5" t="s">
        <v>1740</v>
      </c>
      <c r="AT476" s="5" t="s">
        <v>1741</v>
      </c>
      <c r="AU476" s="5" t="s">
        <v>1742</v>
      </c>
      <c r="AV476" s="5" t="s">
        <v>1720</v>
      </c>
      <c r="AW476" s="5" t="s">
        <v>2003</v>
      </c>
      <c r="AX476" s="5" t="s">
        <v>2009</v>
      </c>
      <c r="AY476" s="5">
        <v>57.8842</v>
      </c>
      <c r="AZ476" s="5">
        <v>-123.6164</v>
      </c>
      <c r="BA476" s="5">
        <v>769.0</v>
      </c>
    </row>
    <row r="477" ht="14.25" customHeight="1">
      <c r="B477" s="5">
        <v>12.0</v>
      </c>
      <c r="C477" s="5" t="s">
        <v>7666</v>
      </c>
      <c r="D477" s="5">
        <v>132.0</v>
      </c>
      <c r="E477" s="5">
        <v>1699.0</v>
      </c>
      <c r="F477" s="5" t="s">
        <v>2057</v>
      </c>
      <c r="G477" s="5" t="s">
        <v>2058</v>
      </c>
      <c r="H477" s="5" t="s">
        <v>2059</v>
      </c>
      <c r="I477" s="5" t="s">
        <v>641</v>
      </c>
      <c r="J477" s="5" t="s">
        <v>1736</v>
      </c>
      <c r="K477" s="5">
        <v>1.0</v>
      </c>
      <c r="L477" s="5">
        <v>2102.0</v>
      </c>
      <c r="M477" s="5">
        <v>56.0347</v>
      </c>
      <c r="N477" s="5">
        <v>-121.99021</v>
      </c>
      <c r="O477" s="5" t="s">
        <v>153</v>
      </c>
      <c r="P477" s="5">
        <v>132.0</v>
      </c>
      <c r="Q477" s="5">
        <v>3.0</v>
      </c>
      <c r="R477" s="5" t="s">
        <v>2057</v>
      </c>
      <c r="S477" s="5" t="s">
        <v>1737</v>
      </c>
      <c r="T477" s="5">
        <v>704.0</v>
      </c>
      <c r="W477" s="5">
        <v>31413.0</v>
      </c>
      <c r="X477" s="5" t="s">
        <v>1738</v>
      </c>
      <c r="AO477" s="5" t="s">
        <v>2057</v>
      </c>
      <c r="AP477" s="5">
        <v>132.0</v>
      </c>
      <c r="AQ477" s="5" t="s">
        <v>1700</v>
      </c>
      <c r="AR477" s="5" t="s">
        <v>1739</v>
      </c>
      <c r="AS477" s="5" t="s">
        <v>1740</v>
      </c>
      <c r="AT477" s="5" t="s">
        <v>1835</v>
      </c>
      <c r="AU477" s="5" t="s">
        <v>1772</v>
      </c>
      <c r="AV477" s="5" t="s">
        <v>1720</v>
      </c>
      <c r="AW477" s="5" t="s">
        <v>2003</v>
      </c>
      <c r="AX477" s="5" t="s">
        <v>2024</v>
      </c>
      <c r="AY477" s="5">
        <v>56.0347</v>
      </c>
      <c r="AZ477" s="5">
        <v>-121.9903</v>
      </c>
      <c r="BA477" s="5">
        <v>697.0</v>
      </c>
    </row>
    <row r="478" ht="14.25" customHeight="1">
      <c r="B478" s="5">
        <v>12.0</v>
      </c>
      <c r="C478" s="5" t="s">
        <v>7666</v>
      </c>
      <c r="D478" s="5">
        <v>133.0</v>
      </c>
      <c r="E478" s="5">
        <v>1700.0</v>
      </c>
      <c r="F478" s="18" t="s">
        <v>2060</v>
      </c>
      <c r="G478" s="5" t="s">
        <v>2061</v>
      </c>
      <c r="H478" s="5" t="s">
        <v>2062</v>
      </c>
      <c r="I478" s="5" t="s">
        <v>1664</v>
      </c>
      <c r="J478" s="5" t="s">
        <v>1715</v>
      </c>
      <c r="K478" s="5">
        <v>1.0</v>
      </c>
      <c r="L478" s="5">
        <v>2103.0</v>
      </c>
      <c r="AO478" s="5" t="s">
        <v>2060</v>
      </c>
      <c r="AP478" s="5">
        <v>133.0</v>
      </c>
      <c r="AQ478" s="5" t="s">
        <v>1716</v>
      </c>
      <c r="AR478" s="5" t="s">
        <v>1717</v>
      </c>
      <c r="AS478" s="5" t="s">
        <v>1718</v>
      </c>
      <c r="AT478" s="5" t="s">
        <v>1719</v>
      </c>
      <c r="AU478" s="5" t="s">
        <v>1703</v>
      </c>
      <c r="AV478" s="5" t="s">
        <v>1720</v>
      </c>
      <c r="AW478" s="5" t="s">
        <v>2003</v>
      </c>
      <c r="AX478" s="5" t="s">
        <v>2004</v>
      </c>
      <c r="AY478" s="5">
        <v>57.3</v>
      </c>
      <c r="AZ478" s="5">
        <v>-122.8</v>
      </c>
      <c r="BA478" s="5">
        <v>10.0</v>
      </c>
    </row>
    <row r="479" ht="14.25" customHeight="1">
      <c r="B479" s="5">
        <v>12.0</v>
      </c>
      <c r="C479" s="5" t="s">
        <v>7666</v>
      </c>
      <c r="D479" s="5">
        <v>134.0</v>
      </c>
      <c r="E479" s="5">
        <v>1701.0</v>
      </c>
      <c r="F479" s="18" t="s">
        <v>2063</v>
      </c>
      <c r="G479" s="5" t="s">
        <v>2064</v>
      </c>
      <c r="H479" s="5" t="s">
        <v>2065</v>
      </c>
      <c r="I479" s="5" t="s">
        <v>1664</v>
      </c>
      <c r="J479" s="5" t="s">
        <v>1715</v>
      </c>
      <c r="K479" s="5">
        <v>1.0</v>
      </c>
      <c r="L479" s="5">
        <v>2104.0</v>
      </c>
      <c r="AO479" s="5" t="s">
        <v>2063</v>
      </c>
      <c r="AP479" s="5">
        <v>134.0</v>
      </c>
      <c r="AQ479" s="5" t="s">
        <v>1716</v>
      </c>
      <c r="AR479" s="5" t="s">
        <v>1717</v>
      </c>
      <c r="AS479" s="5" t="s">
        <v>1718</v>
      </c>
      <c r="AT479" s="5" t="s">
        <v>1719</v>
      </c>
      <c r="AU479" s="5" t="s">
        <v>1703</v>
      </c>
      <c r="AV479" s="5" t="s">
        <v>1720</v>
      </c>
      <c r="AW479" s="5" t="s">
        <v>2003</v>
      </c>
      <c r="AX479" s="5" t="s">
        <v>2004</v>
      </c>
      <c r="AY479" s="5">
        <v>56.7</v>
      </c>
      <c r="AZ479" s="5">
        <v>-120.1</v>
      </c>
      <c r="BA479" s="5">
        <v>8.0</v>
      </c>
    </row>
    <row r="480" ht="14.25" customHeight="1">
      <c r="A480" s="5" t="s">
        <v>422</v>
      </c>
      <c r="B480" s="5">
        <v>12.0</v>
      </c>
      <c r="C480" s="5" t="s">
        <v>7666</v>
      </c>
      <c r="D480" s="5">
        <v>135.0</v>
      </c>
      <c r="E480" s="5">
        <v>1702.0</v>
      </c>
      <c r="F480" s="18" t="s">
        <v>2066</v>
      </c>
      <c r="G480" s="5" t="s">
        <v>2067</v>
      </c>
      <c r="H480" s="5" t="s">
        <v>2068</v>
      </c>
      <c r="I480" s="5" t="s">
        <v>1664</v>
      </c>
      <c r="J480" s="5" t="s">
        <v>1746</v>
      </c>
      <c r="K480" s="5">
        <v>1.0</v>
      </c>
      <c r="L480" s="5">
        <v>2105.0</v>
      </c>
      <c r="AO480" s="5" t="s">
        <v>2066</v>
      </c>
      <c r="AP480" s="5">
        <v>135.0</v>
      </c>
      <c r="AQ480" s="5" t="s">
        <v>1716</v>
      </c>
      <c r="AR480" s="5" t="s">
        <v>1717</v>
      </c>
      <c r="AS480" s="5" t="s">
        <v>1718</v>
      </c>
      <c r="AT480" s="5" t="s">
        <v>1719</v>
      </c>
      <c r="AU480" s="5" t="s">
        <v>1703</v>
      </c>
      <c r="AV480" s="5" t="s">
        <v>1720</v>
      </c>
      <c r="AW480" s="5" t="s">
        <v>2003</v>
      </c>
      <c r="AX480" s="5" t="s">
        <v>2004</v>
      </c>
      <c r="AY480" s="5">
        <v>56.5</v>
      </c>
      <c r="AZ480" s="5">
        <v>-123.2</v>
      </c>
      <c r="BA480" s="5">
        <v>11.0</v>
      </c>
    </row>
    <row r="481" ht="14.25" customHeight="1">
      <c r="A481" s="5" t="s">
        <v>88</v>
      </c>
      <c r="B481" s="5">
        <v>12.0</v>
      </c>
      <c r="C481" s="5" t="s">
        <v>7666</v>
      </c>
      <c r="D481" s="5">
        <v>136.0</v>
      </c>
      <c r="E481" s="5">
        <v>1703.0</v>
      </c>
      <c r="F481" s="5" t="s">
        <v>2069</v>
      </c>
      <c r="G481" s="10" t="s">
        <v>2070</v>
      </c>
      <c r="H481" s="5" t="s">
        <v>2071</v>
      </c>
      <c r="I481" s="5" t="s">
        <v>641</v>
      </c>
      <c r="J481" s="5" t="s">
        <v>1865</v>
      </c>
      <c r="K481" s="5">
        <v>1.0</v>
      </c>
      <c r="L481" s="5">
        <v>2106.0</v>
      </c>
      <c r="M481" s="5">
        <v>56.7185</v>
      </c>
      <c r="N481" s="5">
        <v>-121.76543</v>
      </c>
      <c r="O481" s="5" t="s">
        <v>153</v>
      </c>
      <c r="P481" s="5">
        <v>136.0</v>
      </c>
      <c r="Q481" s="5">
        <v>8.0</v>
      </c>
      <c r="R481" s="5" t="s">
        <v>2069</v>
      </c>
      <c r="S481" s="5" t="s">
        <v>1737</v>
      </c>
      <c r="T481" s="5">
        <v>967.0</v>
      </c>
      <c r="U481" s="5" t="s">
        <v>645</v>
      </c>
      <c r="V481" s="5" t="s">
        <v>1813</v>
      </c>
      <c r="W481" s="5">
        <v>32874.0</v>
      </c>
      <c r="X481" s="5" t="s">
        <v>1738</v>
      </c>
      <c r="AO481" s="5" t="s">
        <v>2069</v>
      </c>
      <c r="AP481" s="5">
        <v>136.0</v>
      </c>
      <c r="AQ481" s="5" t="s">
        <v>1700</v>
      </c>
      <c r="AR481" s="5" t="s">
        <v>1739</v>
      </c>
      <c r="AS481" s="5" t="s">
        <v>1740</v>
      </c>
      <c r="AT481" s="5" t="s">
        <v>1835</v>
      </c>
      <c r="AU481" s="5" t="s">
        <v>1772</v>
      </c>
      <c r="AV481" s="5" t="s">
        <v>1720</v>
      </c>
      <c r="AW481" s="5" t="s">
        <v>2003</v>
      </c>
      <c r="AX481" s="5" t="s">
        <v>2004</v>
      </c>
      <c r="AY481" s="5">
        <v>56.7184</v>
      </c>
      <c r="AZ481" s="5">
        <v>-121.7654</v>
      </c>
      <c r="BA481" s="5">
        <v>958.0</v>
      </c>
    </row>
    <row r="482" ht="14.25" customHeight="1">
      <c r="B482" s="5">
        <v>12.0</v>
      </c>
      <c r="C482" s="5" t="s">
        <v>7666</v>
      </c>
      <c r="D482" s="5">
        <v>137.0</v>
      </c>
      <c r="E482" s="5">
        <v>1704.0</v>
      </c>
      <c r="F482" s="18" t="s">
        <v>2072</v>
      </c>
      <c r="G482" s="5" t="s">
        <v>2073</v>
      </c>
      <c r="H482" s="5" t="s">
        <v>2074</v>
      </c>
      <c r="I482" s="5" t="s">
        <v>1664</v>
      </c>
      <c r="J482" s="5" t="s">
        <v>1715</v>
      </c>
      <c r="K482" s="5">
        <v>1.0</v>
      </c>
      <c r="L482" s="5">
        <v>2107.0</v>
      </c>
      <c r="AO482" s="5" t="s">
        <v>2072</v>
      </c>
      <c r="AP482" s="5">
        <v>137.0</v>
      </c>
      <c r="AQ482" s="5" t="s">
        <v>1716</v>
      </c>
      <c r="AR482" s="5" t="s">
        <v>1717</v>
      </c>
      <c r="AS482" s="5" t="s">
        <v>1718</v>
      </c>
      <c r="AT482" s="5" t="s">
        <v>1719</v>
      </c>
      <c r="AU482" s="5" t="s">
        <v>1703</v>
      </c>
      <c r="AV482" s="5" t="s">
        <v>1720</v>
      </c>
      <c r="AW482" s="5" t="s">
        <v>2003</v>
      </c>
      <c r="AX482" s="5" t="s">
        <v>2024</v>
      </c>
      <c r="AY482" s="5">
        <v>56.1</v>
      </c>
      <c r="AZ482" s="5">
        <v>-122.3</v>
      </c>
      <c r="BA482" s="5">
        <v>8.0</v>
      </c>
    </row>
    <row r="483" ht="14.25" customHeight="1">
      <c r="B483" s="5">
        <v>12.0</v>
      </c>
      <c r="C483" s="5" t="s">
        <v>7666</v>
      </c>
      <c r="D483" s="5">
        <v>138.0</v>
      </c>
      <c r="E483" s="5">
        <v>1705.0</v>
      </c>
      <c r="F483" s="5" t="s">
        <v>2075</v>
      </c>
      <c r="G483" s="5" t="s">
        <v>2076</v>
      </c>
      <c r="H483" s="5" t="s">
        <v>2077</v>
      </c>
      <c r="I483" s="5" t="s">
        <v>641</v>
      </c>
      <c r="J483" s="5" t="s">
        <v>1865</v>
      </c>
      <c r="K483" s="5">
        <v>1.0</v>
      </c>
      <c r="L483" s="5">
        <v>2108.0</v>
      </c>
      <c r="M483" s="5">
        <v>54.63303</v>
      </c>
      <c r="N483" s="5">
        <v>-120.57621</v>
      </c>
      <c r="O483" s="5" t="s">
        <v>1290</v>
      </c>
      <c r="P483" s="5">
        <v>138.0</v>
      </c>
      <c r="Q483" s="5">
        <v>6.0</v>
      </c>
      <c r="R483" s="5" t="s">
        <v>2075</v>
      </c>
      <c r="S483" s="5" t="s">
        <v>1737</v>
      </c>
      <c r="T483" s="5">
        <v>1306.0</v>
      </c>
      <c r="W483" s="5">
        <v>32143.0</v>
      </c>
      <c r="X483" s="5" t="s">
        <v>1738</v>
      </c>
      <c r="AO483" s="5" t="s">
        <v>2075</v>
      </c>
      <c r="AP483" s="5">
        <v>138.0</v>
      </c>
      <c r="AQ483" s="5" t="s">
        <v>1700</v>
      </c>
      <c r="AR483" s="5" t="s">
        <v>1739</v>
      </c>
      <c r="AS483" s="5" t="s">
        <v>1740</v>
      </c>
      <c r="AT483" s="5" t="s">
        <v>1835</v>
      </c>
      <c r="AU483" s="5" t="s">
        <v>1959</v>
      </c>
      <c r="AV483" s="5" t="s">
        <v>1720</v>
      </c>
      <c r="AW483" s="5" t="s">
        <v>2003</v>
      </c>
      <c r="AX483" s="5" t="s">
        <v>2024</v>
      </c>
      <c r="AY483" s="5">
        <v>54.633</v>
      </c>
      <c r="AZ483" s="5">
        <v>-120.5762</v>
      </c>
      <c r="BA483" s="5">
        <v>1306.0</v>
      </c>
    </row>
    <row r="484" ht="14.25" customHeight="1">
      <c r="B484" s="5">
        <v>12.0</v>
      </c>
      <c r="C484" s="5" t="s">
        <v>7666</v>
      </c>
      <c r="D484" s="5">
        <v>139.0</v>
      </c>
      <c r="E484" s="5">
        <v>1706.0</v>
      </c>
      <c r="F484" s="18" t="s">
        <v>2078</v>
      </c>
      <c r="G484" s="5" t="s">
        <v>2079</v>
      </c>
      <c r="H484" s="5" t="s">
        <v>2080</v>
      </c>
      <c r="I484" s="5" t="s">
        <v>1664</v>
      </c>
      <c r="J484" s="5" t="s">
        <v>1715</v>
      </c>
      <c r="K484" s="5">
        <v>1.0</v>
      </c>
      <c r="L484" s="5">
        <v>2109.0</v>
      </c>
      <c r="AO484" s="5" t="s">
        <v>2078</v>
      </c>
      <c r="AP484" s="5">
        <v>139.0</v>
      </c>
      <c r="AQ484" s="5" t="s">
        <v>1716</v>
      </c>
      <c r="AR484" s="5" t="s">
        <v>1717</v>
      </c>
      <c r="AS484" s="5" t="s">
        <v>1718</v>
      </c>
      <c r="AT484" s="5" t="s">
        <v>1719</v>
      </c>
      <c r="AU484" s="5" t="s">
        <v>1703</v>
      </c>
      <c r="AV484" s="5" t="s">
        <v>1720</v>
      </c>
      <c r="AW484" s="5" t="s">
        <v>2003</v>
      </c>
      <c r="AX484" s="5" t="s">
        <v>2024</v>
      </c>
      <c r="AY484" s="5">
        <v>55.2</v>
      </c>
      <c r="AZ484" s="5">
        <v>-121.6</v>
      </c>
      <c r="BA484" s="5">
        <v>8.0</v>
      </c>
    </row>
    <row r="485" ht="14.25" customHeight="1">
      <c r="A485" s="5" t="s">
        <v>88</v>
      </c>
      <c r="B485" s="5">
        <v>12.0</v>
      </c>
      <c r="C485" s="5" t="s">
        <v>7666</v>
      </c>
      <c r="D485" s="5">
        <v>140.0</v>
      </c>
      <c r="E485" s="5">
        <v>1707.0</v>
      </c>
      <c r="F485" s="5" t="s">
        <v>2081</v>
      </c>
      <c r="G485" s="10" t="s">
        <v>2082</v>
      </c>
      <c r="H485" s="5" t="s">
        <v>2083</v>
      </c>
      <c r="I485" s="5" t="s">
        <v>641</v>
      </c>
      <c r="J485" s="5" t="s">
        <v>1736</v>
      </c>
      <c r="K485" s="5">
        <v>1.0</v>
      </c>
      <c r="L485" s="5">
        <v>2110.0</v>
      </c>
      <c r="M485" s="5">
        <v>55.52498</v>
      </c>
      <c r="N485" s="5">
        <v>-122.5171</v>
      </c>
      <c r="O485" s="5" t="s">
        <v>1290</v>
      </c>
      <c r="P485" s="5">
        <v>140.0</v>
      </c>
      <c r="Q485" s="5">
        <v>1.0</v>
      </c>
      <c r="R485" s="5" t="s">
        <v>2081</v>
      </c>
      <c r="S485" s="5" t="s">
        <v>1737</v>
      </c>
      <c r="T485" s="5">
        <v>757.0</v>
      </c>
      <c r="U485" s="5" t="s">
        <v>645</v>
      </c>
      <c r="W485" s="5">
        <v>32143.0</v>
      </c>
      <c r="X485" s="5" t="s">
        <v>1738</v>
      </c>
      <c r="AO485" s="5" t="s">
        <v>2081</v>
      </c>
      <c r="AP485" s="5">
        <v>140.0</v>
      </c>
      <c r="AQ485" s="5" t="s">
        <v>1716</v>
      </c>
      <c r="AR485" s="5" t="s">
        <v>1739</v>
      </c>
      <c r="AS485" s="5" t="s">
        <v>1740</v>
      </c>
      <c r="AT485" s="5" t="s">
        <v>1741</v>
      </c>
      <c r="AU485" s="5" t="s">
        <v>1742</v>
      </c>
      <c r="AV485" s="5" t="s">
        <v>1720</v>
      </c>
      <c r="AW485" s="5" t="s">
        <v>2003</v>
      </c>
      <c r="AX485" s="5" t="s">
        <v>2024</v>
      </c>
      <c r="AY485" s="5">
        <v>55.525</v>
      </c>
      <c r="AZ485" s="5">
        <v>-122.5172</v>
      </c>
      <c r="BA485" s="5">
        <v>747.0</v>
      </c>
    </row>
    <row r="486" ht="14.25" customHeight="1">
      <c r="B486" s="5">
        <v>12.0</v>
      </c>
      <c r="C486" s="5" t="s">
        <v>7666</v>
      </c>
      <c r="D486" s="5">
        <v>141.0</v>
      </c>
      <c r="E486" s="5">
        <v>1708.0</v>
      </c>
      <c r="F486" s="5" t="s">
        <v>2084</v>
      </c>
      <c r="G486" s="5" t="s">
        <v>2085</v>
      </c>
      <c r="H486" s="5" t="s">
        <v>2086</v>
      </c>
      <c r="I486" s="5" t="s">
        <v>641</v>
      </c>
      <c r="J486" s="5" t="s">
        <v>1865</v>
      </c>
      <c r="K486" s="5">
        <v>1.0</v>
      </c>
      <c r="L486" s="5">
        <v>2111.0</v>
      </c>
      <c r="M486" s="5">
        <v>55.57988</v>
      </c>
      <c r="N486" s="5">
        <v>-124.23198</v>
      </c>
      <c r="O486" s="5" t="s">
        <v>1290</v>
      </c>
      <c r="P486" s="5">
        <v>141.0</v>
      </c>
      <c r="Q486" s="5">
        <v>4.0</v>
      </c>
      <c r="R486" s="5" t="s">
        <v>2084</v>
      </c>
      <c r="S486" s="5" t="s">
        <v>1737</v>
      </c>
      <c r="T486" s="5">
        <v>1047.0</v>
      </c>
      <c r="W486" s="5">
        <v>25569.0</v>
      </c>
      <c r="X486" s="5" t="s">
        <v>1738</v>
      </c>
      <c r="AO486" s="5" t="s">
        <v>2084</v>
      </c>
      <c r="AP486" s="5">
        <v>141.0</v>
      </c>
      <c r="AQ486" s="5" t="s">
        <v>1716</v>
      </c>
      <c r="AR486" s="5" t="s">
        <v>1739</v>
      </c>
      <c r="AS486" s="5" t="s">
        <v>1740</v>
      </c>
      <c r="AT486" s="5" t="s">
        <v>1741</v>
      </c>
      <c r="AU486" s="5" t="s">
        <v>1742</v>
      </c>
      <c r="AV486" s="5" t="s">
        <v>1720</v>
      </c>
      <c r="AW486" s="5" t="s">
        <v>2003</v>
      </c>
      <c r="AX486" s="5" t="s">
        <v>2087</v>
      </c>
      <c r="AY486" s="5">
        <v>55.5798</v>
      </c>
      <c r="AZ486" s="5">
        <v>-124.2321</v>
      </c>
      <c r="BA486" s="5">
        <v>1038.0</v>
      </c>
    </row>
    <row r="487" ht="14.25" customHeight="1">
      <c r="A487" s="5" t="s">
        <v>88</v>
      </c>
      <c r="B487" s="5">
        <v>12.0</v>
      </c>
      <c r="C487" s="5" t="s">
        <v>7666</v>
      </c>
      <c r="D487" s="5">
        <v>144.0</v>
      </c>
      <c r="E487" s="5">
        <v>1709.0</v>
      </c>
      <c r="F487" s="5" t="s">
        <v>2088</v>
      </c>
      <c r="G487" s="10" t="s">
        <v>2089</v>
      </c>
      <c r="H487" s="5" t="s">
        <v>2090</v>
      </c>
      <c r="I487" s="5" t="s">
        <v>641</v>
      </c>
      <c r="J487" s="5" t="s">
        <v>1865</v>
      </c>
      <c r="K487" s="5">
        <v>1.0</v>
      </c>
      <c r="L487" s="5">
        <v>2112.0</v>
      </c>
      <c r="M487" s="5">
        <v>54.71617</v>
      </c>
      <c r="N487" s="5">
        <v>-122.27417</v>
      </c>
      <c r="O487" s="5" t="s">
        <v>1290</v>
      </c>
      <c r="P487" s="5">
        <v>144.0</v>
      </c>
      <c r="Q487" s="5">
        <v>1.0</v>
      </c>
      <c r="R487" s="5" t="s">
        <v>2088</v>
      </c>
      <c r="S487" s="5" t="s">
        <v>1737</v>
      </c>
      <c r="T487" s="5">
        <v>760.0</v>
      </c>
      <c r="W487" s="5">
        <v>31778.0</v>
      </c>
      <c r="X487" s="5" t="s">
        <v>1738</v>
      </c>
      <c r="AO487" s="5" t="s">
        <v>2088</v>
      </c>
      <c r="AP487" s="5">
        <v>144.0</v>
      </c>
      <c r="AQ487" s="5" t="s">
        <v>1700</v>
      </c>
      <c r="AR487" s="5" t="s">
        <v>1739</v>
      </c>
      <c r="AS487" s="5" t="s">
        <v>1740</v>
      </c>
      <c r="AT487" s="5" t="s">
        <v>1835</v>
      </c>
      <c r="AU487" s="5" t="s">
        <v>1959</v>
      </c>
      <c r="AV487" s="5" t="s">
        <v>1720</v>
      </c>
      <c r="AW487" s="5" t="s">
        <v>2003</v>
      </c>
      <c r="AX487" s="5" t="s">
        <v>2091</v>
      </c>
      <c r="AY487" s="5">
        <v>54.7158</v>
      </c>
      <c r="AZ487" s="5">
        <v>-122.2747</v>
      </c>
      <c r="BA487" s="5">
        <v>775.0</v>
      </c>
    </row>
    <row r="488" ht="14.25" customHeight="1">
      <c r="A488" s="5" t="s">
        <v>1908</v>
      </c>
      <c r="B488" s="5">
        <v>12.0</v>
      </c>
      <c r="C488" s="5" t="s">
        <v>7666</v>
      </c>
      <c r="D488" s="5">
        <v>145.0</v>
      </c>
      <c r="E488" s="5">
        <v>1710.0</v>
      </c>
      <c r="F488" s="10" t="s">
        <v>2092</v>
      </c>
      <c r="G488" s="10" t="s">
        <v>2093</v>
      </c>
      <c r="H488" s="5" t="s">
        <v>2094</v>
      </c>
      <c r="I488" s="5" t="s">
        <v>641</v>
      </c>
      <c r="J488" s="5" t="s">
        <v>1736</v>
      </c>
      <c r="K488" s="5">
        <v>1.0</v>
      </c>
      <c r="L488" s="5">
        <v>2113.0</v>
      </c>
      <c r="M488" s="5">
        <v>57.01942</v>
      </c>
      <c r="N488" s="5">
        <v>-125.18039</v>
      </c>
      <c r="O488" s="5" t="s">
        <v>1577</v>
      </c>
      <c r="P488" s="5">
        <v>145.0</v>
      </c>
      <c r="Q488" s="5">
        <v>4.0</v>
      </c>
      <c r="R488" s="5" t="s">
        <v>2095</v>
      </c>
      <c r="S488" s="5" t="s">
        <v>1737</v>
      </c>
      <c r="T488" s="5">
        <v>1213.0</v>
      </c>
      <c r="U488" s="5" t="s">
        <v>645</v>
      </c>
      <c r="W488" s="5">
        <v>31413.0</v>
      </c>
      <c r="X488" s="5" t="s">
        <v>1738</v>
      </c>
      <c r="AO488" s="5" t="s">
        <v>2095</v>
      </c>
      <c r="AP488" s="5">
        <v>145.0</v>
      </c>
      <c r="AQ488" s="5" t="s">
        <v>1716</v>
      </c>
      <c r="AR488" s="5" t="s">
        <v>1739</v>
      </c>
      <c r="AS488" s="5" t="s">
        <v>1740</v>
      </c>
      <c r="AT488" s="5" t="s">
        <v>1835</v>
      </c>
      <c r="AU488" s="5" t="s">
        <v>1742</v>
      </c>
      <c r="AV488" s="5" t="s">
        <v>1720</v>
      </c>
      <c r="AW488" s="5" t="s">
        <v>2003</v>
      </c>
      <c r="AX488" s="5" t="s">
        <v>2087</v>
      </c>
      <c r="AY488" s="5">
        <v>57.0194</v>
      </c>
      <c r="AZ488" s="5">
        <v>-125.1804</v>
      </c>
      <c r="BA488" s="5">
        <v>680.0</v>
      </c>
    </row>
    <row r="489" ht="14.25" customHeight="1">
      <c r="A489" s="5" t="s">
        <v>88</v>
      </c>
      <c r="B489" s="8">
        <v>12.0</v>
      </c>
      <c r="C489" s="5" t="s">
        <v>7666</v>
      </c>
      <c r="D489" s="5">
        <v>146.0</v>
      </c>
      <c r="E489" s="5">
        <v>1711.0</v>
      </c>
      <c r="F489" s="5" t="s">
        <v>2096</v>
      </c>
      <c r="G489" s="10" t="s">
        <v>2097</v>
      </c>
      <c r="H489" s="5" t="s">
        <v>2098</v>
      </c>
      <c r="I489" s="5" t="s">
        <v>641</v>
      </c>
      <c r="J489" s="5" t="s">
        <v>1736</v>
      </c>
      <c r="K489" s="5">
        <v>1.0</v>
      </c>
      <c r="L489" s="5">
        <v>2114.0</v>
      </c>
      <c r="M489" s="5">
        <v>54.39408</v>
      </c>
      <c r="N489" s="5">
        <v>-124.26097</v>
      </c>
      <c r="O489" s="5" t="s">
        <v>1290</v>
      </c>
      <c r="P489" s="5">
        <v>146.0</v>
      </c>
      <c r="Q489" s="5">
        <v>1.0</v>
      </c>
      <c r="R489" s="5" t="s">
        <v>2096</v>
      </c>
      <c r="S489" s="5" t="s">
        <v>1737</v>
      </c>
      <c r="T489" s="5">
        <v>750.0</v>
      </c>
      <c r="W489" s="5">
        <v>28856.0</v>
      </c>
      <c r="X489" s="5" t="s">
        <v>1738</v>
      </c>
      <c r="Y489" s="9"/>
      <c r="AO489" s="5" t="s">
        <v>2096</v>
      </c>
      <c r="AP489" s="5">
        <v>146.0</v>
      </c>
      <c r="AQ489" s="5" t="s">
        <v>1700</v>
      </c>
      <c r="AR489" s="5" t="s">
        <v>1739</v>
      </c>
      <c r="AS489" s="5" t="s">
        <v>1740</v>
      </c>
      <c r="AT489" s="5" t="s">
        <v>1741</v>
      </c>
      <c r="AU489" s="5" t="s">
        <v>1772</v>
      </c>
      <c r="AV489" s="5" t="s">
        <v>1720</v>
      </c>
      <c r="AW489" s="5" t="s">
        <v>2003</v>
      </c>
      <c r="AX489" s="5" t="s">
        <v>2099</v>
      </c>
      <c r="AY489" s="5">
        <v>54.3942</v>
      </c>
      <c r="AZ489" s="5">
        <v>-124.2611</v>
      </c>
      <c r="BA489" s="5">
        <v>720.0</v>
      </c>
    </row>
    <row r="490" ht="14.25" customHeight="1">
      <c r="B490" s="8">
        <v>12.0</v>
      </c>
      <c r="C490" s="5" t="s">
        <v>7666</v>
      </c>
      <c r="D490" s="5">
        <v>147.0</v>
      </c>
      <c r="E490" s="5">
        <v>1712.0</v>
      </c>
      <c r="F490" s="18" t="s">
        <v>2100</v>
      </c>
      <c r="G490" s="5" t="s">
        <v>2101</v>
      </c>
      <c r="H490" s="5" t="s">
        <v>2102</v>
      </c>
      <c r="I490" s="5" t="s">
        <v>1664</v>
      </c>
      <c r="J490" s="5" t="s">
        <v>1715</v>
      </c>
      <c r="K490" s="5">
        <v>1.0</v>
      </c>
      <c r="L490" s="5">
        <v>2115.0</v>
      </c>
      <c r="Y490" s="9"/>
      <c r="AO490" s="5" t="s">
        <v>2100</v>
      </c>
      <c r="AP490" s="5">
        <v>147.0</v>
      </c>
      <c r="AQ490" s="5" t="s">
        <v>1716</v>
      </c>
      <c r="AR490" s="5" t="s">
        <v>1717</v>
      </c>
      <c r="AS490" s="5" t="s">
        <v>1718</v>
      </c>
      <c r="AT490" s="5" t="s">
        <v>1719</v>
      </c>
      <c r="AU490" s="5" t="s">
        <v>1703</v>
      </c>
      <c r="AV490" s="5" t="s">
        <v>1720</v>
      </c>
      <c r="AW490" s="5" t="s">
        <v>2003</v>
      </c>
      <c r="AX490" s="5" t="s">
        <v>2091</v>
      </c>
      <c r="AY490" s="5">
        <v>54.4</v>
      </c>
      <c r="AZ490" s="5">
        <v>-122.8</v>
      </c>
      <c r="BA490" s="5">
        <v>0.0</v>
      </c>
    </row>
    <row r="491" ht="14.25" customHeight="1">
      <c r="A491" s="5" t="s">
        <v>88</v>
      </c>
      <c r="B491" s="8">
        <v>12.0</v>
      </c>
      <c r="C491" s="5" t="s">
        <v>7666</v>
      </c>
      <c r="D491" s="5">
        <v>148.0</v>
      </c>
      <c r="E491" s="5">
        <v>1713.0</v>
      </c>
      <c r="F491" s="5" t="s">
        <v>2103</v>
      </c>
      <c r="G491" s="10" t="s">
        <v>2104</v>
      </c>
      <c r="H491" s="5" t="s">
        <v>2083</v>
      </c>
      <c r="I491" s="5" t="s">
        <v>641</v>
      </c>
      <c r="J491" s="5" t="s">
        <v>1736</v>
      </c>
      <c r="K491" s="5">
        <v>1.0</v>
      </c>
      <c r="L491" s="5">
        <v>2116.0</v>
      </c>
      <c r="M491" s="5">
        <v>56.31878</v>
      </c>
      <c r="N491" s="5">
        <v>-125.36797</v>
      </c>
      <c r="O491" s="5" t="s">
        <v>1290</v>
      </c>
      <c r="P491" s="5">
        <v>148.0</v>
      </c>
      <c r="Q491" s="5">
        <v>5.0</v>
      </c>
      <c r="R491" s="5" t="s">
        <v>2103</v>
      </c>
      <c r="S491" s="5" t="s">
        <v>1737</v>
      </c>
      <c r="T491" s="5">
        <v>1126.0</v>
      </c>
      <c r="W491" s="5">
        <v>29221.0</v>
      </c>
      <c r="X491" s="5" t="s">
        <v>1738</v>
      </c>
      <c r="Y491" s="9"/>
      <c r="AO491" s="5" t="s">
        <v>2103</v>
      </c>
      <c r="AP491" s="5">
        <v>148.0</v>
      </c>
      <c r="AQ491" s="5" t="s">
        <v>1716</v>
      </c>
      <c r="AR491" s="5" t="s">
        <v>1739</v>
      </c>
      <c r="AS491" s="5" t="s">
        <v>1740</v>
      </c>
      <c r="AT491" s="5" t="s">
        <v>1741</v>
      </c>
      <c r="AU491" s="5" t="s">
        <v>1742</v>
      </c>
      <c r="AV491" s="5" t="s">
        <v>1720</v>
      </c>
      <c r="AW491" s="5" t="s">
        <v>2003</v>
      </c>
      <c r="AX491" s="5" t="s">
        <v>2087</v>
      </c>
      <c r="AY491" s="5">
        <v>56.3188</v>
      </c>
      <c r="AZ491" s="5">
        <v>-125.368</v>
      </c>
      <c r="BA491" s="5">
        <v>1126.0</v>
      </c>
    </row>
    <row r="492" ht="14.25" customHeight="1">
      <c r="A492" s="5" t="s">
        <v>88</v>
      </c>
      <c r="B492" s="8">
        <v>12.0</v>
      </c>
      <c r="C492" s="5" t="s">
        <v>7666</v>
      </c>
      <c r="D492" s="5">
        <v>149.0</v>
      </c>
      <c r="E492" s="5">
        <v>1714.0</v>
      </c>
      <c r="F492" s="5" t="s">
        <v>2105</v>
      </c>
      <c r="G492" s="10" t="s">
        <v>2106</v>
      </c>
      <c r="H492" s="5" t="s">
        <v>2107</v>
      </c>
      <c r="I492" s="5" t="s">
        <v>641</v>
      </c>
      <c r="J492" s="5" t="s">
        <v>1736</v>
      </c>
      <c r="K492" s="5">
        <v>1.0</v>
      </c>
      <c r="L492" s="5">
        <v>2117.0</v>
      </c>
      <c r="M492" s="5">
        <v>54.50922</v>
      </c>
      <c r="N492" s="5">
        <v>-122.69103</v>
      </c>
      <c r="O492" s="5" t="s">
        <v>1290</v>
      </c>
      <c r="P492" s="5">
        <v>149.0</v>
      </c>
      <c r="Q492" s="5">
        <v>1.0</v>
      </c>
      <c r="R492" s="5" t="s">
        <v>2105</v>
      </c>
      <c r="S492" s="5" t="s">
        <v>1737</v>
      </c>
      <c r="T492" s="5">
        <v>739.0</v>
      </c>
      <c r="W492" s="5">
        <v>29221.0</v>
      </c>
      <c r="X492" s="5" t="s">
        <v>1738</v>
      </c>
      <c r="Y492" s="9"/>
      <c r="AO492" s="5" t="s">
        <v>2105</v>
      </c>
      <c r="AP492" s="5">
        <v>149.0</v>
      </c>
      <c r="AQ492" s="5" t="s">
        <v>1700</v>
      </c>
      <c r="AR492" s="5" t="s">
        <v>1739</v>
      </c>
      <c r="AS492" s="5" t="s">
        <v>1740</v>
      </c>
      <c r="AT492" s="5" t="s">
        <v>1741</v>
      </c>
      <c r="AU492" s="5" t="s">
        <v>1959</v>
      </c>
      <c r="AV492" s="5" t="s">
        <v>1720</v>
      </c>
      <c r="AW492" s="5" t="s">
        <v>2003</v>
      </c>
      <c r="AX492" s="5" t="s">
        <v>2091</v>
      </c>
      <c r="AY492" s="5">
        <v>54.4824</v>
      </c>
      <c r="AZ492" s="5">
        <v>-122.6829</v>
      </c>
      <c r="BA492" s="5">
        <v>715.0</v>
      </c>
    </row>
    <row r="493" ht="14.25" customHeight="1">
      <c r="B493" s="8">
        <v>12.0</v>
      </c>
      <c r="C493" s="5" t="s">
        <v>7666</v>
      </c>
      <c r="D493" s="5">
        <v>150.0</v>
      </c>
      <c r="E493" s="5">
        <v>1715.0</v>
      </c>
      <c r="F493" s="18" t="s">
        <v>2108</v>
      </c>
      <c r="G493" s="5" t="s">
        <v>2109</v>
      </c>
      <c r="H493" s="5" t="s">
        <v>2110</v>
      </c>
      <c r="I493" s="5" t="s">
        <v>1664</v>
      </c>
      <c r="J493" s="5" t="s">
        <v>1715</v>
      </c>
      <c r="K493" s="5">
        <v>1.0</v>
      </c>
      <c r="L493" s="5">
        <v>2118.0</v>
      </c>
      <c r="Y493" s="9"/>
      <c r="AO493" s="5" t="s">
        <v>2108</v>
      </c>
      <c r="AP493" s="5">
        <v>150.0</v>
      </c>
      <c r="AQ493" s="5" t="s">
        <v>1716</v>
      </c>
      <c r="AR493" s="5" t="s">
        <v>1717</v>
      </c>
      <c r="AS493" s="5" t="s">
        <v>1718</v>
      </c>
      <c r="AT493" s="5" t="s">
        <v>1719</v>
      </c>
      <c r="AU493" s="5" t="s">
        <v>1703</v>
      </c>
      <c r="AV493" s="5" t="s">
        <v>1720</v>
      </c>
      <c r="AW493" s="5" t="s">
        <v>2003</v>
      </c>
      <c r="AX493" s="5" t="s">
        <v>2099</v>
      </c>
      <c r="AY493" s="5">
        <v>55.0</v>
      </c>
      <c r="AZ493" s="5">
        <v>-124.3</v>
      </c>
      <c r="BA493" s="5">
        <v>10.0</v>
      </c>
    </row>
    <row r="494" ht="14.25" customHeight="1">
      <c r="B494" s="8">
        <v>12.0</v>
      </c>
      <c r="C494" s="5" t="s">
        <v>7666</v>
      </c>
      <c r="D494" s="5">
        <v>151.0</v>
      </c>
      <c r="E494" s="5">
        <v>1716.0</v>
      </c>
      <c r="F494" s="5" t="s">
        <v>2111</v>
      </c>
      <c r="G494" s="5" t="s">
        <v>2112</v>
      </c>
      <c r="H494" s="5" t="s">
        <v>2113</v>
      </c>
      <c r="I494" s="5" t="s">
        <v>641</v>
      </c>
      <c r="J494" s="5" t="s">
        <v>1736</v>
      </c>
      <c r="K494" s="5">
        <v>1.0</v>
      </c>
      <c r="L494" s="5">
        <v>2119.0</v>
      </c>
      <c r="M494" s="11">
        <v>56.36433</v>
      </c>
      <c r="N494" s="11">
        <v>-123.36556</v>
      </c>
      <c r="O494" s="11" t="s">
        <v>1290</v>
      </c>
      <c r="P494" s="11">
        <v>151.0</v>
      </c>
      <c r="Q494" s="22">
        <v>5.0</v>
      </c>
      <c r="R494" s="11" t="s">
        <v>2111</v>
      </c>
      <c r="S494" s="11" t="s">
        <v>1737</v>
      </c>
      <c r="T494" s="11">
        <v>1108.0</v>
      </c>
      <c r="U494" s="11"/>
      <c r="V494" s="11"/>
      <c r="W494" s="23">
        <v>31778.0</v>
      </c>
      <c r="X494" s="11" t="s">
        <v>1738</v>
      </c>
      <c r="Y494" s="9"/>
      <c r="AO494" s="5" t="s">
        <v>2111</v>
      </c>
      <c r="AP494" s="5">
        <v>151.0</v>
      </c>
      <c r="AQ494" s="5" t="s">
        <v>1716</v>
      </c>
      <c r="AR494" s="5" t="s">
        <v>1739</v>
      </c>
      <c r="AS494" s="5" t="s">
        <v>1740</v>
      </c>
      <c r="AT494" s="5" t="s">
        <v>1741</v>
      </c>
      <c r="AU494" s="5" t="s">
        <v>1742</v>
      </c>
      <c r="AV494" s="5" t="s">
        <v>1720</v>
      </c>
      <c r="AW494" s="5" t="s">
        <v>2003</v>
      </c>
      <c r="AX494" s="5" t="s">
        <v>2087</v>
      </c>
      <c r="AY494" s="5">
        <v>56.3643</v>
      </c>
      <c r="AZ494" s="5">
        <v>-123.3655</v>
      </c>
      <c r="BA494" s="5">
        <v>1103.0</v>
      </c>
    </row>
    <row r="495" ht="14.25" customHeight="1">
      <c r="A495" s="5" t="s">
        <v>88</v>
      </c>
      <c r="B495" s="8">
        <v>12.0</v>
      </c>
      <c r="C495" s="5" t="s">
        <v>7666</v>
      </c>
      <c r="D495" s="5">
        <v>152.0</v>
      </c>
      <c r="E495" s="5">
        <v>1717.0</v>
      </c>
      <c r="F495" s="5" t="s">
        <v>2114</v>
      </c>
      <c r="G495" s="10" t="s">
        <v>2115</v>
      </c>
      <c r="H495" s="5" t="s">
        <v>2116</v>
      </c>
      <c r="I495" s="5" t="s">
        <v>641</v>
      </c>
      <c r="J495" s="5" t="s">
        <v>1865</v>
      </c>
      <c r="K495" s="5">
        <v>1.0</v>
      </c>
      <c r="L495" s="5">
        <v>2120.0</v>
      </c>
      <c r="M495" s="11">
        <v>57.85175</v>
      </c>
      <c r="N495" s="11">
        <v>-126.11676</v>
      </c>
      <c r="O495" s="11" t="s">
        <v>1577</v>
      </c>
      <c r="P495" s="11">
        <v>152.0</v>
      </c>
      <c r="Q495" s="22">
        <v>2.0</v>
      </c>
      <c r="R495" s="11" t="s">
        <v>2114</v>
      </c>
      <c r="S495" s="11" t="s">
        <v>1737</v>
      </c>
      <c r="T495" s="11">
        <v>985.0</v>
      </c>
      <c r="U495" s="11" t="s">
        <v>645</v>
      </c>
      <c r="V495" s="11"/>
      <c r="W495" s="23">
        <v>32143.0</v>
      </c>
      <c r="X495" s="11" t="s">
        <v>1738</v>
      </c>
      <c r="Y495" s="9"/>
      <c r="AO495" s="5" t="s">
        <v>2114</v>
      </c>
      <c r="AP495" s="5">
        <v>152.0</v>
      </c>
      <c r="AQ495" s="5" t="s">
        <v>1716</v>
      </c>
      <c r="AR495" s="5" t="s">
        <v>1739</v>
      </c>
      <c r="AS495" s="5" t="s">
        <v>1740</v>
      </c>
      <c r="AT495" s="5" t="s">
        <v>1835</v>
      </c>
      <c r="AU495" s="5" t="s">
        <v>1742</v>
      </c>
      <c r="AV495" s="5" t="s">
        <v>1720</v>
      </c>
      <c r="AW495" s="5" t="s">
        <v>2003</v>
      </c>
      <c r="AX495" s="5" t="s">
        <v>2087</v>
      </c>
      <c r="AY495" s="5">
        <v>57.8517</v>
      </c>
      <c r="AZ495" s="5">
        <v>-126.1168</v>
      </c>
      <c r="BA495" s="5">
        <v>968.0</v>
      </c>
    </row>
    <row r="496" ht="14.25" customHeight="1">
      <c r="A496" s="5" t="s">
        <v>88</v>
      </c>
      <c r="B496" s="8">
        <v>12.0</v>
      </c>
      <c r="C496" s="5" t="s">
        <v>7666</v>
      </c>
      <c r="D496" s="5">
        <v>153.0</v>
      </c>
      <c r="E496" s="5">
        <v>1718.0</v>
      </c>
      <c r="F496" s="5" t="s">
        <v>2117</v>
      </c>
      <c r="G496" s="10" t="s">
        <v>2118</v>
      </c>
      <c r="H496" s="5" t="s">
        <v>2119</v>
      </c>
      <c r="I496" s="5" t="s">
        <v>641</v>
      </c>
      <c r="J496" s="5" t="s">
        <v>1865</v>
      </c>
      <c r="K496" s="5">
        <v>1.0</v>
      </c>
      <c r="L496" s="5">
        <v>2121.0</v>
      </c>
      <c r="M496" s="11">
        <v>54.72553</v>
      </c>
      <c r="N496" s="11">
        <v>-123.07867</v>
      </c>
      <c r="O496" s="11" t="s">
        <v>1290</v>
      </c>
      <c r="P496" s="11">
        <v>153.0</v>
      </c>
      <c r="Q496" s="22">
        <v>3.0</v>
      </c>
      <c r="R496" s="11" t="s">
        <v>2117</v>
      </c>
      <c r="S496" s="11" t="s">
        <v>1737</v>
      </c>
      <c r="T496" s="11">
        <v>915.0</v>
      </c>
      <c r="U496" s="11"/>
      <c r="V496" s="11"/>
      <c r="W496" s="23">
        <v>32874.0</v>
      </c>
      <c r="X496" s="11" t="s">
        <v>1738</v>
      </c>
      <c r="Y496" s="9"/>
      <c r="AO496" s="5" t="s">
        <v>2117</v>
      </c>
      <c r="AP496" s="5">
        <v>153.0</v>
      </c>
      <c r="AQ496" s="5" t="s">
        <v>1700</v>
      </c>
      <c r="AR496" s="5" t="s">
        <v>1739</v>
      </c>
      <c r="AS496" s="5" t="s">
        <v>1740</v>
      </c>
      <c r="AT496" s="5" t="s">
        <v>1835</v>
      </c>
      <c r="AU496" s="5" t="s">
        <v>1959</v>
      </c>
      <c r="AV496" s="5" t="s">
        <v>1720</v>
      </c>
      <c r="AW496" s="5" t="s">
        <v>2003</v>
      </c>
      <c r="AX496" s="5" t="s">
        <v>2091</v>
      </c>
      <c r="AY496" s="5">
        <v>54.7442</v>
      </c>
      <c r="AZ496" s="5">
        <v>-123.0187</v>
      </c>
      <c r="BA496" s="5">
        <v>867.0</v>
      </c>
    </row>
    <row r="497" ht="14.25" customHeight="1">
      <c r="A497" s="5" t="s">
        <v>88</v>
      </c>
      <c r="B497" s="8">
        <v>12.0</v>
      </c>
      <c r="C497" s="5" t="s">
        <v>7666</v>
      </c>
      <c r="D497" s="5">
        <v>154.0</v>
      </c>
      <c r="E497" s="5">
        <v>1719.0</v>
      </c>
      <c r="F497" s="5" t="s">
        <v>2120</v>
      </c>
      <c r="G497" s="10" t="s">
        <v>2121</v>
      </c>
      <c r="H497" s="5" t="s">
        <v>2122</v>
      </c>
      <c r="I497" s="5" t="s">
        <v>641</v>
      </c>
      <c r="J497" s="5" t="s">
        <v>1736</v>
      </c>
      <c r="K497" s="5">
        <v>1.0</v>
      </c>
      <c r="L497" s="5">
        <v>2122.0</v>
      </c>
      <c r="M497" s="11">
        <v>55.02303</v>
      </c>
      <c r="N497" s="11">
        <v>-124.26661</v>
      </c>
      <c r="O497" s="11" t="s">
        <v>1290</v>
      </c>
      <c r="P497" s="11">
        <v>154.0</v>
      </c>
      <c r="Q497" s="22">
        <v>4.0</v>
      </c>
      <c r="R497" s="11" t="s">
        <v>2120</v>
      </c>
      <c r="S497" s="11" t="s">
        <v>1737</v>
      </c>
      <c r="T497" s="11">
        <v>1030.0</v>
      </c>
      <c r="U497" s="11"/>
      <c r="V497" s="11"/>
      <c r="W497" s="23">
        <v>33970.0</v>
      </c>
      <c r="X497" s="11" t="s">
        <v>1738</v>
      </c>
      <c r="Y497" s="9"/>
      <c r="AO497" s="5" t="s">
        <v>2120</v>
      </c>
      <c r="AP497" s="5">
        <v>154.0</v>
      </c>
      <c r="AQ497" s="5" t="s">
        <v>1716</v>
      </c>
      <c r="AR497" s="5" t="s">
        <v>1739</v>
      </c>
      <c r="AS497" s="5" t="s">
        <v>1740</v>
      </c>
      <c r="AT497" s="5" t="s">
        <v>1741</v>
      </c>
      <c r="AU497" s="5" t="s">
        <v>1742</v>
      </c>
      <c r="AV497" s="5" t="s">
        <v>1720</v>
      </c>
      <c r="AW497" s="5" t="s">
        <v>2003</v>
      </c>
      <c r="AX497" s="5" t="s">
        <v>2099</v>
      </c>
      <c r="AY497" s="5">
        <v>55.023</v>
      </c>
      <c r="AZ497" s="5">
        <v>-124.2666</v>
      </c>
      <c r="BA497" s="5">
        <v>1041.0</v>
      </c>
    </row>
    <row r="498" ht="14.25" customHeight="1">
      <c r="A498" s="5" t="s">
        <v>88</v>
      </c>
      <c r="B498" s="8">
        <v>12.0</v>
      </c>
      <c r="C498" s="5" t="s">
        <v>7666</v>
      </c>
      <c r="D498" s="5">
        <v>155.0</v>
      </c>
      <c r="E498" s="5">
        <v>1720.0</v>
      </c>
      <c r="F498" s="5" t="s">
        <v>2123</v>
      </c>
      <c r="G498" s="10" t="s">
        <v>2124</v>
      </c>
      <c r="H498" s="5" t="s">
        <v>2125</v>
      </c>
      <c r="I498" s="5" t="s">
        <v>641</v>
      </c>
      <c r="J498" s="5" t="s">
        <v>1736</v>
      </c>
      <c r="K498" s="5">
        <v>1.0</v>
      </c>
      <c r="L498" s="5">
        <v>2123.0</v>
      </c>
      <c r="M498" s="11">
        <v>55.32211</v>
      </c>
      <c r="N498" s="11">
        <v>-123.09317</v>
      </c>
      <c r="O498" s="11" t="s">
        <v>1290</v>
      </c>
      <c r="P498" s="11">
        <v>155.0</v>
      </c>
      <c r="Q498" s="22">
        <v>1.0</v>
      </c>
      <c r="R498" s="11" t="s">
        <v>2123</v>
      </c>
      <c r="S498" s="11" t="s">
        <v>1737</v>
      </c>
      <c r="T498" s="11">
        <v>690.0</v>
      </c>
      <c r="U498" s="11"/>
      <c r="V498" s="11"/>
      <c r="W498" s="23">
        <v>34335.0</v>
      </c>
      <c r="X498" s="11" t="s">
        <v>1738</v>
      </c>
      <c r="Y498" s="9"/>
      <c r="AO498" s="5" t="s">
        <v>2123</v>
      </c>
      <c r="AP498" s="5">
        <v>155.0</v>
      </c>
      <c r="AQ498" s="5" t="s">
        <v>1700</v>
      </c>
      <c r="AR498" s="5" t="s">
        <v>1739</v>
      </c>
      <c r="AS498" s="5" t="s">
        <v>1740</v>
      </c>
      <c r="AT498" s="5" t="s">
        <v>1835</v>
      </c>
      <c r="AU498" s="5" t="s">
        <v>1772</v>
      </c>
      <c r="AV498" s="5" t="s">
        <v>1720</v>
      </c>
      <c r="AW498" s="5" t="s">
        <v>2003</v>
      </c>
      <c r="AX498" s="5" t="s">
        <v>2087</v>
      </c>
      <c r="AY498" s="5">
        <v>55.2864</v>
      </c>
      <c r="AZ498" s="5">
        <v>-123.1358</v>
      </c>
      <c r="BA498" s="5">
        <v>697.0</v>
      </c>
    </row>
    <row r="499" ht="14.25" customHeight="1">
      <c r="A499" s="5" t="s">
        <v>88</v>
      </c>
      <c r="B499" s="8">
        <v>12.0</v>
      </c>
      <c r="C499" s="5" t="s">
        <v>7666</v>
      </c>
      <c r="D499" s="5">
        <v>156.0</v>
      </c>
      <c r="E499" s="5">
        <v>1721.0</v>
      </c>
      <c r="F499" s="5" t="s">
        <v>2126</v>
      </c>
      <c r="G499" s="10" t="s">
        <v>2127</v>
      </c>
      <c r="H499" s="5" t="s">
        <v>2128</v>
      </c>
      <c r="I499" s="5" t="s">
        <v>641</v>
      </c>
      <c r="J499" s="5" t="s">
        <v>1736</v>
      </c>
      <c r="K499" s="5">
        <v>1.0</v>
      </c>
      <c r="L499" s="5">
        <v>2124.0</v>
      </c>
      <c r="M499" s="11">
        <v>56.32873</v>
      </c>
      <c r="N499" s="11">
        <v>-127.03425</v>
      </c>
      <c r="O499" s="11" t="s">
        <v>1290</v>
      </c>
      <c r="P499" s="11">
        <v>156.0</v>
      </c>
      <c r="Q499" s="22">
        <v>3.0</v>
      </c>
      <c r="R499" s="11" t="s">
        <v>2126</v>
      </c>
      <c r="S499" s="11" t="s">
        <v>1737</v>
      </c>
      <c r="T499" s="11">
        <v>871.0</v>
      </c>
      <c r="U499" s="11"/>
      <c r="V499" s="11"/>
      <c r="W499" s="23">
        <v>32509.0</v>
      </c>
      <c r="X499" s="11" t="s">
        <v>1738</v>
      </c>
      <c r="Y499" s="9"/>
      <c r="AO499" s="5" t="s">
        <v>2126</v>
      </c>
      <c r="AP499" s="5">
        <v>156.0</v>
      </c>
      <c r="AQ499" s="5" t="s">
        <v>1716</v>
      </c>
      <c r="AR499" s="5" t="s">
        <v>1739</v>
      </c>
      <c r="AS499" s="5" t="s">
        <v>1740</v>
      </c>
      <c r="AT499" s="5" t="s">
        <v>1741</v>
      </c>
      <c r="AU499" s="5" t="s">
        <v>1742</v>
      </c>
      <c r="AV499" s="5" t="s">
        <v>1720</v>
      </c>
      <c r="AW499" s="5" t="s">
        <v>2003</v>
      </c>
      <c r="AX499" s="5" t="s">
        <v>2099</v>
      </c>
      <c r="AY499" s="5">
        <v>56.3288</v>
      </c>
      <c r="AZ499" s="5">
        <v>-127.0339</v>
      </c>
      <c r="BA499" s="5">
        <v>819.0</v>
      </c>
    </row>
    <row r="500" ht="14.25" customHeight="1">
      <c r="A500" s="5" t="s">
        <v>422</v>
      </c>
      <c r="B500" s="8">
        <v>12.0</v>
      </c>
      <c r="C500" s="5" t="s">
        <v>7671</v>
      </c>
      <c r="D500" s="5">
        <v>157.0</v>
      </c>
      <c r="E500" s="5">
        <v>12968.0</v>
      </c>
      <c r="F500" s="51" t="s">
        <v>2130</v>
      </c>
      <c r="G500" s="5" t="s">
        <v>2131</v>
      </c>
      <c r="H500" s="5" t="s">
        <v>1697</v>
      </c>
      <c r="I500" s="5" t="s">
        <v>49</v>
      </c>
      <c r="J500" s="5" t="s">
        <v>1746</v>
      </c>
      <c r="K500" s="5">
        <v>1.0</v>
      </c>
      <c r="L500" s="5">
        <v>14900.0</v>
      </c>
      <c r="Y500" s="9"/>
      <c r="AO500" s="50" t="s">
        <v>2132</v>
      </c>
      <c r="AP500" s="50">
        <v>157.0</v>
      </c>
      <c r="AQ500" s="50" t="s">
        <v>1700</v>
      </c>
      <c r="AR500" s="50" t="s">
        <v>1701</v>
      </c>
      <c r="AS500" s="50" t="s">
        <v>1702</v>
      </c>
      <c r="AT500" s="50" t="s">
        <v>1703</v>
      </c>
      <c r="AU500" s="50" t="s">
        <v>1704</v>
      </c>
      <c r="AV500" s="50" t="s">
        <v>1702</v>
      </c>
      <c r="AW500" s="50" t="s">
        <v>1947</v>
      </c>
      <c r="AX500" s="50" t="s">
        <v>2133</v>
      </c>
      <c r="AY500" s="50">
        <v>54.8242</v>
      </c>
      <c r="AZ500" s="50">
        <v>-127.1894</v>
      </c>
      <c r="BA500" s="50">
        <v>522.0</v>
      </c>
    </row>
    <row r="501" ht="14.25" customHeight="1">
      <c r="A501" s="5" t="s">
        <v>1908</v>
      </c>
      <c r="B501" s="8">
        <v>12.0</v>
      </c>
      <c r="C501" s="5" t="s">
        <v>7666</v>
      </c>
      <c r="D501" s="5">
        <v>158.0</v>
      </c>
      <c r="E501" s="5">
        <v>1722.0</v>
      </c>
      <c r="F501" s="10" t="s">
        <v>2134</v>
      </c>
      <c r="G501" s="10" t="s">
        <v>2135</v>
      </c>
      <c r="H501" s="5" t="s">
        <v>2136</v>
      </c>
      <c r="I501" s="5" t="s">
        <v>641</v>
      </c>
      <c r="J501" s="5" t="s">
        <v>1736</v>
      </c>
      <c r="K501" s="5">
        <v>1.0</v>
      </c>
      <c r="L501" s="5">
        <v>2125.0</v>
      </c>
      <c r="M501" s="11">
        <v>54.05581</v>
      </c>
      <c r="N501" s="11">
        <v>-124.00886</v>
      </c>
      <c r="O501" s="11" t="s">
        <v>1290</v>
      </c>
      <c r="P501" s="11">
        <v>158.0</v>
      </c>
      <c r="Q501" s="22">
        <v>1.0</v>
      </c>
      <c r="R501" s="11" t="s">
        <v>2137</v>
      </c>
      <c r="S501" s="11" t="s">
        <v>1737</v>
      </c>
      <c r="T501" s="11">
        <v>678.0</v>
      </c>
      <c r="U501" s="11"/>
      <c r="V501" s="11" t="s">
        <v>2138</v>
      </c>
      <c r="W501" s="23">
        <v>25569.0</v>
      </c>
      <c r="X501" s="11" t="s">
        <v>1738</v>
      </c>
      <c r="Y501" s="9"/>
      <c r="AO501" s="55" t="s">
        <v>2137</v>
      </c>
      <c r="AP501" s="5">
        <v>158.0</v>
      </c>
      <c r="AQ501" s="5" t="s">
        <v>1700</v>
      </c>
      <c r="AR501" s="5" t="s">
        <v>1739</v>
      </c>
      <c r="AS501" s="5" t="s">
        <v>1740</v>
      </c>
      <c r="AT501" s="5" t="s">
        <v>1741</v>
      </c>
      <c r="AU501" s="5" t="s">
        <v>2043</v>
      </c>
      <c r="AV501" s="5" t="s">
        <v>1720</v>
      </c>
      <c r="AW501" s="5" t="s">
        <v>2003</v>
      </c>
      <c r="AX501" s="5" t="s">
        <v>2139</v>
      </c>
      <c r="AY501" s="5">
        <v>54.0554</v>
      </c>
      <c r="AZ501" s="5">
        <v>-124.0102</v>
      </c>
      <c r="BA501" s="5">
        <v>681.0</v>
      </c>
    </row>
    <row r="502" ht="14.25" customHeight="1">
      <c r="A502" s="5" t="s">
        <v>88</v>
      </c>
      <c r="B502" s="8">
        <v>12.0</v>
      </c>
      <c r="C502" s="5" t="s">
        <v>7666</v>
      </c>
      <c r="D502" s="5">
        <v>159.0</v>
      </c>
      <c r="E502" s="5">
        <v>1723.0</v>
      </c>
      <c r="F502" s="5" t="s">
        <v>2140</v>
      </c>
      <c r="G502" s="10" t="s">
        <v>2141</v>
      </c>
      <c r="H502" s="5" t="s">
        <v>2142</v>
      </c>
      <c r="I502" s="5" t="s">
        <v>641</v>
      </c>
      <c r="J502" s="5" t="s">
        <v>1736</v>
      </c>
      <c r="K502" s="5">
        <v>1.0</v>
      </c>
      <c r="L502" s="5">
        <v>2126.0</v>
      </c>
      <c r="M502" s="11">
        <v>54.15463</v>
      </c>
      <c r="N502" s="11">
        <v>-123.75413</v>
      </c>
      <c r="O502" s="11" t="s">
        <v>1290</v>
      </c>
      <c r="P502" s="11">
        <v>159.0</v>
      </c>
      <c r="Q502" s="22">
        <v>2.0</v>
      </c>
      <c r="R502" s="11" t="s">
        <v>2140</v>
      </c>
      <c r="S502" s="11" t="s">
        <v>1737</v>
      </c>
      <c r="T502" s="11">
        <v>850.0</v>
      </c>
      <c r="U502" s="11"/>
      <c r="V502" s="11"/>
      <c r="W502" s="23">
        <v>26299.0</v>
      </c>
      <c r="X502" s="11" t="s">
        <v>1738</v>
      </c>
      <c r="Y502" s="9"/>
      <c r="AO502" s="5" t="s">
        <v>2140</v>
      </c>
      <c r="AP502" s="5">
        <v>159.0</v>
      </c>
      <c r="AQ502" s="5" t="s">
        <v>1700</v>
      </c>
      <c r="AR502" s="5" t="s">
        <v>1739</v>
      </c>
      <c r="AS502" s="5" t="s">
        <v>1740</v>
      </c>
      <c r="AT502" s="5" t="s">
        <v>1741</v>
      </c>
      <c r="AU502" s="5" t="s">
        <v>1959</v>
      </c>
      <c r="AV502" s="5" t="s">
        <v>1720</v>
      </c>
      <c r="AW502" s="5" t="s">
        <v>2003</v>
      </c>
      <c r="AX502" s="5" t="s">
        <v>2139</v>
      </c>
      <c r="AY502" s="5">
        <v>54.1546</v>
      </c>
      <c r="AZ502" s="5">
        <v>-123.7542</v>
      </c>
      <c r="BA502" s="5">
        <v>836.0</v>
      </c>
    </row>
    <row r="503" ht="14.25" customHeight="1">
      <c r="A503" s="5" t="s">
        <v>1908</v>
      </c>
      <c r="B503" s="8">
        <v>12.0</v>
      </c>
      <c r="C503" s="5" t="s">
        <v>7666</v>
      </c>
      <c r="D503" s="5">
        <v>161.0</v>
      </c>
      <c r="E503" s="5">
        <v>1724.0</v>
      </c>
      <c r="F503" s="10" t="s">
        <v>2143</v>
      </c>
      <c r="G503" s="10" t="s">
        <v>2144</v>
      </c>
      <c r="H503" s="5" t="s">
        <v>2145</v>
      </c>
      <c r="I503" s="5" t="s">
        <v>641</v>
      </c>
      <c r="J503" s="5" t="s">
        <v>1865</v>
      </c>
      <c r="K503" s="5">
        <v>1.0</v>
      </c>
      <c r="L503" s="5">
        <v>2127.0</v>
      </c>
      <c r="M503" s="11">
        <v>53.94667</v>
      </c>
      <c r="N503" s="11">
        <v>-125.86667</v>
      </c>
      <c r="O503" s="11" t="s">
        <v>148</v>
      </c>
      <c r="P503" s="11">
        <v>161.0</v>
      </c>
      <c r="Q503" s="22">
        <v>2.0</v>
      </c>
      <c r="R503" s="11" t="s">
        <v>2146</v>
      </c>
      <c r="S503" s="11" t="s">
        <v>1737</v>
      </c>
      <c r="T503" s="11">
        <v>944.0</v>
      </c>
      <c r="U503" s="11" t="s">
        <v>645</v>
      </c>
      <c r="V503" s="11" t="s">
        <v>2147</v>
      </c>
      <c r="W503" s="23">
        <v>25569.0</v>
      </c>
      <c r="X503" s="11" t="s">
        <v>1738</v>
      </c>
      <c r="Y503" s="9"/>
      <c r="AO503" s="55" t="s">
        <v>2146</v>
      </c>
      <c r="AP503" s="5">
        <v>161.0</v>
      </c>
      <c r="AQ503" s="5" t="s">
        <v>1716</v>
      </c>
      <c r="AR503" s="5" t="s">
        <v>1739</v>
      </c>
      <c r="AS503" s="5" t="s">
        <v>1740</v>
      </c>
      <c r="AT503" s="5" t="s">
        <v>1741</v>
      </c>
      <c r="AU503" s="5" t="s">
        <v>1959</v>
      </c>
      <c r="AV503" s="5" t="s">
        <v>1720</v>
      </c>
      <c r="AW503" s="5" t="s">
        <v>1947</v>
      </c>
      <c r="AX503" s="5" t="s">
        <v>2148</v>
      </c>
      <c r="AY503" s="5">
        <v>53.9454</v>
      </c>
      <c r="AZ503" s="5">
        <v>-125.8761</v>
      </c>
      <c r="BA503" s="5">
        <v>938.0</v>
      </c>
    </row>
    <row r="504" ht="14.25" customHeight="1">
      <c r="A504" s="5" t="s">
        <v>88</v>
      </c>
      <c r="B504" s="8">
        <v>12.0</v>
      </c>
      <c r="C504" s="5" t="s">
        <v>7666</v>
      </c>
      <c r="D504" s="5">
        <v>162.0</v>
      </c>
      <c r="E504" s="5">
        <v>1725.0</v>
      </c>
      <c r="F504" s="5" t="s">
        <v>2149</v>
      </c>
      <c r="G504" s="10" t="s">
        <v>2150</v>
      </c>
      <c r="H504" s="5" t="s">
        <v>2151</v>
      </c>
      <c r="I504" s="5" t="s">
        <v>641</v>
      </c>
      <c r="J504" s="5" t="s">
        <v>1865</v>
      </c>
      <c r="K504" s="5">
        <v>1.0</v>
      </c>
      <c r="L504" s="5">
        <v>2128.0</v>
      </c>
      <c r="M504" s="11">
        <v>54.41167</v>
      </c>
      <c r="N504" s="11">
        <v>-126.62667</v>
      </c>
      <c r="O504" s="11" t="s">
        <v>148</v>
      </c>
      <c r="P504" s="11">
        <v>162.0</v>
      </c>
      <c r="Q504" s="22">
        <v>1.0</v>
      </c>
      <c r="R504" s="11" t="s">
        <v>2149</v>
      </c>
      <c r="S504" s="11" t="s">
        <v>1737</v>
      </c>
      <c r="T504" s="11">
        <v>608.0</v>
      </c>
      <c r="U504" s="11"/>
      <c r="V504" s="11"/>
      <c r="W504" s="23">
        <v>27030.0</v>
      </c>
      <c r="X504" s="11" t="s">
        <v>1738</v>
      </c>
      <c r="Y504" s="9"/>
      <c r="AO504" s="5" t="s">
        <v>2152</v>
      </c>
      <c r="AP504" s="5">
        <v>162.0</v>
      </c>
      <c r="AQ504" s="5" t="s">
        <v>1700</v>
      </c>
      <c r="AR504" s="5" t="s">
        <v>1739</v>
      </c>
      <c r="AS504" s="5" t="s">
        <v>1740</v>
      </c>
      <c r="AT504" s="5" t="s">
        <v>1741</v>
      </c>
      <c r="AU504" s="5" t="s">
        <v>1772</v>
      </c>
      <c r="AV504" s="5" t="s">
        <v>1720</v>
      </c>
      <c r="AW504" s="5" t="s">
        <v>1947</v>
      </c>
      <c r="AX504" s="5" t="s">
        <v>2153</v>
      </c>
      <c r="AY504" s="5">
        <v>54.3939</v>
      </c>
      <c r="AZ504" s="5">
        <v>-126.6175</v>
      </c>
      <c r="BA504" s="5">
        <v>619.0</v>
      </c>
    </row>
    <row r="505" ht="14.25" customHeight="1">
      <c r="A505" s="5" t="s">
        <v>88</v>
      </c>
      <c r="B505" s="8">
        <v>12.0</v>
      </c>
      <c r="C505" s="5" t="s">
        <v>7666</v>
      </c>
      <c r="D505" s="5">
        <v>163.0</v>
      </c>
      <c r="E505" s="5">
        <v>1726.0</v>
      </c>
      <c r="F505" s="5" t="s">
        <v>2154</v>
      </c>
      <c r="G505" s="10" t="s">
        <v>2155</v>
      </c>
      <c r="H505" s="5" t="s">
        <v>2156</v>
      </c>
      <c r="I505" s="5" t="s">
        <v>641</v>
      </c>
      <c r="J505" s="5" t="s">
        <v>1736</v>
      </c>
      <c r="K505" s="5">
        <v>1.0</v>
      </c>
      <c r="L505" s="5">
        <v>2129.0</v>
      </c>
      <c r="M505" s="11">
        <v>55.68822</v>
      </c>
      <c r="N505" s="11">
        <v>-126.05261</v>
      </c>
      <c r="O505" s="11" t="s">
        <v>1290</v>
      </c>
      <c r="P505" s="11">
        <v>163.0</v>
      </c>
      <c r="Q505" s="22">
        <v>4.0</v>
      </c>
      <c r="R505" s="11" t="s">
        <v>2154</v>
      </c>
      <c r="S505" s="11" t="s">
        <v>1737</v>
      </c>
      <c r="T505" s="11">
        <v>990.0</v>
      </c>
      <c r="U505" s="11"/>
      <c r="V505" s="11"/>
      <c r="W505" s="23">
        <v>28856.0</v>
      </c>
      <c r="X505" s="11" t="s">
        <v>1738</v>
      </c>
      <c r="Y505" s="9"/>
      <c r="AO505" s="5" t="s">
        <v>2154</v>
      </c>
      <c r="AP505" s="5">
        <v>163.0</v>
      </c>
      <c r="AQ505" s="5" t="s">
        <v>1716</v>
      </c>
      <c r="AR505" s="5" t="s">
        <v>1739</v>
      </c>
      <c r="AS505" s="5" t="s">
        <v>1740</v>
      </c>
      <c r="AT505" s="5" t="s">
        <v>1741</v>
      </c>
      <c r="AU505" s="5" t="s">
        <v>1742</v>
      </c>
      <c r="AV505" s="5" t="s">
        <v>1720</v>
      </c>
      <c r="AW505" s="5" t="s">
        <v>2003</v>
      </c>
      <c r="AX505" s="5" t="s">
        <v>2099</v>
      </c>
      <c r="AY505" s="5">
        <v>55.6881</v>
      </c>
      <c r="AZ505" s="5">
        <v>-126.0525</v>
      </c>
      <c r="BA505" s="5">
        <v>981.0</v>
      </c>
    </row>
    <row r="506" ht="14.25" customHeight="1">
      <c r="A506" s="5" t="s">
        <v>2037</v>
      </c>
      <c r="B506" s="8">
        <v>12.0</v>
      </c>
      <c r="C506" s="5" t="s">
        <v>7666</v>
      </c>
      <c r="D506" s="5">
        <v>164.0</v>
      </c>
      <c r="E506" s="5">
        <v>1727.0</v>
      </c>
      <c r="F506" s="5" t="s">
        <v>2157</v>
      </c>
      <c r="G506" s="5" t="s">
        <v>2158</v>
      </c>
      <c r="H506" s="5" t="s">
        <v>2159</v>
      </c>
      <c r="I506" s="5" t="s">
        <v>641</v>
      </c>
      <c r="J506" s="5" t="s">
        <v>1715</v>
      </c>
      <c r="K506" s="5">
        <v>1.0</v>
      </c>
      <c r="L506" s="5">
        <v>2130.0</v>
      </c>
      <c r="Y506" s="9"/>
      <c r="AO506" s="5" t="s">
        <v>2160</v>
      </c>
      <c r="AP506" s="5">
        <v>164.0</v>
      </c>
      <c r="AQ506" s="5" t="s">
        <v>1716</v>
      </c>
      <c r="AR506" s="5" t="s">
        <v>1717</v>
      </c>
      <c r="AS506" s="5" t="s">
        <v>1718</v>
      </c>
      <c r="AT506" s="5" t="s">
        <v>2161</v>
      </c>
      <c r="AU506" s="5" t="s">
        <v>2162</v>
      </c>
      <c r="AV506" s="5" t="s">
        <v>1720</v>
      </c>
      <c r="AW506" s="5" t="s">
        <v>1947</v>
      </c>
      <c r="AX506" s="5" t="s">
        <v>2148</v>
      </c>
      <c r="AY506" s="5">
        <v>53.27</v>
      </c>
      <c r="AZ506" s="5">
        <v>-126.17</v>
      </c>
      <c r="BA506" s="5">
        <v>1036.0</v>
      </c>
    </row>
    <row r="507" ht="14.25" customHeight="1">
      <c r="A507" s="5" t="s">
        <v>88</v>
      </c>
      <c r="B507" s="8">
        <v>12.0</v>
      </c>
      <c r="C507" s="5" t="s">
        <v>7666</v>
      </c>
      <c r="D507" s="5">
        <v>165.0</v>
      </c>
      <c r="E507" s="5">
        <v>1728.0</v>
      </c>
      <c r="F507" s="5" t="s">
        <v>2163</v>
      </c>
      <c r="G507" s="10" t="s">
        <v>2164</v>
      </c>
      <c r="H507" s="5" t="s">
        <v>2165</v>
      </c>
      <c r="I507" s="5" t="s">
        <v>641</v>
      </c>
      <c r="J507" s="5" t="s">
        <v>1865</v>
      </c>
      <c r="K507" s="5">
        <v>1.0</v>
      </c>
      <c r="L507" s="5">
        <v>2131.0</v>
      </c>
      <c r="M507" s="11">
        <v>53.07146</v>
      </c>
      <c r="N507" s="11">
        <v>-125.41215</v>
      </c>
      <c r="O507" s="11" t="s">
        <v>148</v>
      </c>
      <c r="P507" s="11">
        <v>165.0</v>
      </c>
      <c r="Q507" s="22">
        <v>4.0</v>
      </c>
      <c r="R507" s="11" t="s">
        <v>2163</v>
      </c>
      <c r="S507" s="11" t="s">
        <v>1737</v>
      </c>
      <c r="T507" s="11">
        <v>1109.0</v>
      </c>
      <c r="U507" s="11"/>
      <c r="V507" s="11" t="s">
        <v>2166</v>
      </c>
      <c r="W507" s="23">
        <v>29221.0</v>
      </c>
      <c r="X507" s="11" t="s">
        <v>1738</v>
      </c>
      <c r="Y507" s="9"/>
      <c r="AO507" s="5" t="s">
        <v>2163</v>
      </c>
      <c r="AP507" s="5">
        <v>165.0</v>
      </c>
      <c r="AQ507" s="5" t="s">
        <v>1700</v>
      </c>
      <c r="AR507" s="5" t="s">
        <v>1739</v>
      </c>
      <c r="AS507" s="5" t="s">
        <v>1740</v>
      </c>
      <c r="AT507" s="5" t="s">
        <v>1835</v>
      </c>
      <c r="AU507" s="5" t="s">
        <v>1959</v>
      </c>
      <c r="AV507" s="5" t="s">
        <v>1720</v>
      </c>
      <c r="AW507" s="5" t="s">
        <v>2003</v>
      </c>
      <c r="AX507" s="5" t="s">
        <v>2139</v>
      </c>
      <c r="AY507" s="5">
        <v>53.0715</v>
      </c>
      <c r="AZ507" s="5">
        <v>-125.4121</v>
      </c>
      <c r="BA507" s="5">
        <v>1094.0</v>
      </c>
    </row>
    <row r="508" ht="14.25" customHeight="1">
      <c r="A508" s="5" t="s">
        <v>88</v>
      </c>
      <c r="B508" s="8">
        <v>12.0</v>
      </c>
      <c r="C508" s="5" t="s">
        <v>7666</v>
      </c>
      <c r="D508" s="5">
        <v>166.0</v>
      </c>
      <c r="E508" s="5">
        <v>1729.0</v>
      </c>
      <c r="F508" s="5" t="s">
        <v>2167</v>
      </c>
      <c r="G508" s="10" t="s">
        <v>2168</v>
      </c>
      <c r="H508" s="5" t="s">
        <v>2169</v>
      </c>
      <c r="I508" s="5" t="s">
        <v>641</v>
      </c>
      <c r="J508" s="5" t="s">
        <v>1865</v>
      </c>
      <c r="K508" s="5">
        <v>1.0</v>
      </c>
      <c r="L508" s="5">
        <v>2132.0</v>
      </c>
      <c r="M508" s="11">
        <v>53.38305</v>
      </c>
      <c r="N508" s="11">
        <v>-124.51208</v>
      </c>
      <c r="O508" s="11" t="s">
        <v>148</v>
      </c>
      <c r="P508" s="11">
        <v>166.0</v>
      </c>
      <c r="Q508" s="22">
        <v>5.0</v>
      </c>
      <c r="R508" s="11" t="s">
        <v>2167</v>
      </c>
      <c r="S508" s="11" t="s">
        <v>1737</v>
      </c>
      <c r="T508" s="11">
        <v>1137.0</v>
      </c>
      <c r="U508" s="11"/>
      <c r="V508" s="11" t="s">
        <v>2147</v>
      </c>
      <c r="W508" s="23">
        <v>29952.0</v>
      </c>
      <c r="X508" s="11" t="s">
        <v>1738</v>
      </c>
      <c r="Y508" s="9"/>
      <c r="AO508" s="5" t="s">
        <v>2167</v>
      </c>
      <c r="AP508" s="5">
        <v>166.0</v>
      </c>
      <c r="AQ508" s="5" t="s">
        <v>1716</v>
      </c>
      <c r="AR508" s="5" t="s">
        <v>1739</v>
      </c>
      <c r="AS508" s="5" t="s">
        <v>1740</v>
      </c>
      <c r="AT508" s="5" t="s">
        <v>1741</v>
      </c>
      <c r="AU508" s="5" t="s">
        <v>1742</v>
      </c>
      <c r="AV508" s="5" t="s">
        <v>1720</v>
      </c>
      <c r="AW508" s="5" t="s">
        <v>2003</v>
      </c>
      <c r="AX508" s="5" t="s">
        <v>2139</v>
      </c>
      <c r="AY508" s="5">
        <v>53.383</v>
      </c>
      <c r="AZ508" s="5">
        <v>-124.5121</v>
      </c>
      <c r="BA508" s="5">
        <v>1125.0</v>
      </c>
    </row>
    <row r="509" ht="14.25" customHeight="1">
      <c r="A509" s="5" t="s">
        <v>88</v>
      </c>
      <c r="B509" s="8">
        <v>12.0</v>
      </c>
      <c r="C509" s="5" t="s">
        <v>7666</v>
      </c>
      <c r="D509" s="5">
        <v>167.0</v>
      </c>
      <c r="E509" s="5">
        <v>1730.0</v>
      </c>
      <c r="F509" s="5" t="s">
        <v>2170</v>
      </c>
      <c r="G509" s="10" t="s">
        <v>2171</v>
      </c>
      <c r="H509" s="5" t="s">
        <v>2172</v>
      </c>
      <c r="I509" s="5" t="s">
        <v>641</v>
      </c>
      <c r="J509" s="5" t="s">
        <v>1736</v>
      </c>
      <c r="K509" s="5">
        <v>1.0</v>
      </c>
      <c r="L509" s="5">
        <v>2133.0</v>
      </c>
      <c r="M509" s="11">
        <v>54.36189</v>
      </c>
      <c r="N509" s="11">
        <v>-125.52531</v>
      </c>
      <c r="O509" s="11" t="s">
        <v>1290</v>
      </c>
      <c r="P509" s="16">
        <v>167.0</v>
      </c>
      <c r="Q509" s="22">
        <v>3.0</v>
      </c>
      <c r="R509" s="11" t="s">
        <v>2170</v>
      </c>
      <c r="S509" s="11" t="s">
        <v>1737</v>
      </c>
      <c r="T509" s="11">
        <v>918.0</v>
      </c>
      <c r="U509" s="11"/>
      <c r="V509" s="11"/>
      <c r="W509" s="23">
        <v>30682.0</v>
      </c>
      <c r="X509" s="11" t="s">
        <v>1738</v>
      </c>
      <c r="Y509" s="9"/>
      <c r="AO509" s="5" t="s">
        <v>2170</v>
      </c>
      <c r="AP509" s="5">
        <v>167.0</v>
      </c>
      <c r="AQ509" s="5" t="s">
        <v>1716</v>
      </c>
      <c r="AR509" s="5" t="s">
        <v>1739</v>
      </c>
      <c r="AS509" s="5" t="s">
        <v>1740</v>
      </c>
      <c r="AT509" s="5" t="s">
        <v>1741</v>
      </c>
      <c r="AU509" s="5" t="s">
        <v>1742</v>
      </c>
      <c r="AV509" s="5" t="s">
        <v>1720</v>
      </c>
      <c r="AW509" s="5" t="s">
        <v>1947</v>
      </c>
      <c r="AX509" s="5" t="s">
        <v>2148</v>
      </c>
      <c r="AY509" s="5">
        <v>54.3619</v>
      </c>
      <c r="AZ509" s="5">
        <v>-125.5253</v>
      </c>
      <c r="BA509" s="5">
        <v>927.0</v>
      </c>
    </row>
    <row r="510" ht="14.25" customHeight="1">
      <c r="B510" s="8">
        <v>12.0</v>
      </c>
      <c r="C510" s="5" t="s">
        <v>7666</v>
      </c>
      <c r="D510" s="5">
        <v>168.0</v>
      </c>
      <c r="E510" s="5">
        <v>1731.0</v>
      </c>
      <c r="F510" s="18" t="s">
        <v>2173</v>
      </c>
      <c r="G510" s="5" t="s">
        <v>2174</v>
      </c>
      <c r="H510" s="5" t="s">
        <v>2175</v>
      </c>
      <c r="I510" s="5" t="s">
        <v>1664</v>
      </c>
      <c r="J510" s="5" t="s">
        <v>1746</v>
      </c>
      <c r="K510" s="5">
        <v>1.0</v>
      </c>
      <c r="L510" s="5">
        <v>2134.0</v>
      </c>
      <c r="Y510" s="9"/>
      <c r="AO510" s="5" t="s">
        <v>2173</v>
      </c>
      <c r="AP510" s="5">
        <v>168.0</v>
      </c>
      <c r="AQ510" s="5" t="s">
        <v>1716</v>
      </c>
      <c r="AR510" s="5" t="s">
        <v>1717</v>
      </c>
      <c r="AS510" s="5" t="s">
        <v>1718</v>
      </c>
      <c r="AT510" s="5" t="s">
        <v>1719</v>
      </c>
      <c r="AU510" s="5" t="s">
        <v>1703</v>
      </c>
      <c r="AV510" s="5" t="s">
        <v>1720</v>
      </c>
      <c r="AW510" s="5" t="s">
        <v>1947</v>
      </c>
      <c r="AX510" s="5" t="s">
        <v>2153</v>
      </c>
      <c r="AY510" s="5">
        <v>54.8</v>
      </c>
      <c r="AZ510" s="5">
        <v>-126.1</v>
      </c>
      <c r="BA510" s="5">
        <v>0.0</v>
      </c>
    </row>
    <row r="511" ht="14.25" customHeight="1">
      <c r="A511" s="5" t="s">
        <v>88</v>
      </c>
      <c r="B511" s="8">
        <v>12.0</v>
      </c>
      <c r="C511" s="5" t="s">
        <v>7666</v>
      </c>
      <c r="D511" s="5">
        <v>169.0</v>
      </c>
      <c r="E511" s="5">
        <v>1732.0</v>
      </c>
      <c r="F511" s="5" t="s">
        <v>2176</v>
      </c>
      <c r="G511" s="10" t="s">
        <v>2177</v>
      </c>
      <c r="H511" s="5" t="s">
        <v>2178</v>
      </c>
      <c r="I511" s="5" t="s">
        <v>641</v>
      </c>
      <c r="J511" s="5" t="s">
        <v>1865</v>
      </c>
      <c r="K511" s="5">
        <v>1.0</v>
      </c>
      <c r="L511" s="5">
        <v>2135.0</v>
      </c>
      <c r="M511" s="11">
        <v>55.03333</v>
      </c>
      <c r="N511" s="11">
        <v>-126.8</v>
      </c>
      <c r="O511" s="11" t="s">
        <v>1290</v>
      </c>
      <c r="P511" s="11">
        <v>169.0</v>
      </c>
      <c r="Q511" s="22">
        <v>3.0</v>
      </c>
      <c r="R511" s="11" t="s">
        <v>2176</v>
      </c>
      <c r="S511" s="11" t="s">
        <v>1737</v>
      </c>
      <c r="T511" s="11">
        <v>900.0</v>
      </c>
      <c r="U511" s="11"/>
      <c r="V511" s="11"/>
      <c r="W511" s="23">
        <v>31413.0</v>
      </c>
      <c r="X511" s="11" t="s">
        <v>1738</v>
      </c>
      <c r="Y511" s="9"/>
      <c r="AO511" s="5" t="s">
        <v>2176</v>
      </c>
      <c r="AP511" s="5">
        <v>169.0</v>
      </c>
      <c r="AQ511" s="5" t="s">
        <v>1700</v>
      </c>
      <c r="AR511" s="5" t="s">
        <v>1739</v>
      </c>
      <c r="AS511" s="5" t="s">
        <v>1740</v>
      </c>
      <c r="AT511" s="5" t="s">
        <v>1741</v>
      </c>
      <c r="AU511" s="5" t="s">
        <v>1959</v>
      </c>
      <c r="AV511" s="5" t="s">
        <v>1720</v>
      </c>
      <c r="AW511" s="5" t="s">
        <v>1947</v>
      </c>
      <c r="AX511" s="5" t="s">
        <v>2133</v>
      </c>
      <c r="AY511" s="5">
        <v>55.034</v>
      </c>
      <c r="AZ511" s="5">
        <v>-126.7996</v>
      </c>
      <c r="BA511" s="5">
        <v>900.0</v>
      </c>
    </row>
    <row r="512" ht="14.25" customHeight="1">
      <c r="A512" s="5" t="s">
        <v>88</v>
      </c>
      <c r="B512" s="8">
        <v>12.0</v>
      </c>
      <c r="C512" s="5" t="s">
        <v>7666</v>
      </c>
      <c r="D512" s="5">
        <v>170.0</v>
      </c>
      <c r="E512" s="5">
        <v>1733.0</v>
      </c>
      <c r="F512" s="5" t="s">
        <v>2179</v>
      </c>
      <c r="G512" s="10" t="s">
        <v>2180</v>
      </c>
      <c r="H512" s="5" t="s">
        <v>2145</v>
      </c>
      <c r="I512" s="5" t="s">
        <v>641</v>
      </c>
      <c r="J512" s="5" t="s">
        <v>1865</v>
      </c>
      <c r="K512" s="5">
        <v>1.0</v>
      </c>
      <c r="L512" s="5">
        <v>2136.0</v>
      </c>
      <c r="M512" s="11">
        <v>53.50167</v>
      </c>
      <c r="N512" s="11">
        <v>-125.77167</v>
      </c>
      <c r="O512" s="11" t="s">
        <v>148</v>
      </c>
      <c r="P512" s="16">
        <v>170.0</v>
      </c>
      <c r="Q512" s="22">
        <v>4.0</v>
      </c>
      <c r="R512" s="11" t="s">
        <v>2179</v>
      </c>
      <c r="S512" s="11" t="s">
        <v>1737</v>
      </c>
      <c r="T512" s="11">
        <v>1089.0</v>
      </c>
      <c r="U512" s="11" t="s">
        <v>645</v>
      </c>
      <c r="V512" s="11" t="s">
        <v>2166</v>
      </c>
      <c r="W512" s="23">
        <v>31413.0</v>
      </c>
      <c r="X512" s="11" t="s">
        <v>1738</v>
      </c>
      <c r="Y512" s="9"/>
      <c r="AO512" s="5" t="s">
        <v>2179</v>
      </c>
      <c r="AP512" s="5">
        <v>170.0</v>
      </c>
      <c r="AQ512" s="5" t="s">
        <v>1716</v>
      </c>
      <c r="AR512" s="5" t="s">
        <v>1739</v>
      </c>
      <c r="AS512" s="5" t="s">
        <v>1740</v>
      </c>
      <c r="AT512" s="5" t="s">
        <v>1741</v>
      </c>
      <c r="AU512" s="5" t="s">
        <v>1742</v>
      </c>
      <c r="AV512" s="5" t="s">
        <v>1720</v>
      </c>
      <c r="AW512" s="5" t="s">
        <v>1947</v>
      </c>
      <c r="AX512" s="5" t="s">
        <v>2148</v>
      </c>
      <c r="AY512" s="5">
        <v>53.5025</v>
      </c>
      <c r="AZ512" s="5">
        <v>-125.7793</v>
      </c>
      <c r="BA512" s="5">
        <v>1086.0</v>
      </c>
    </row>
    <row r="513" ht="14.25" customHeight="1">
      <c r="A513" s="5" t="s">
        <v>88</v>
      </c>
      <c r="B513" s="8">
        <v>12.0</v>
      </c>
      <c r="C513" s="5" t="s">
        <v>7666</v>
      </c>
      <c r="D513" s="5">
        <v>171.0</v>
      </c>
      <c r="E513" s="5">
        <v>1734.0</v>
      </c>
      <c r="F513" s="5" t="s">
        <v>2181</v>
      </c>
      <c r="G513" s="10" t="s">
        <v>2182</v>
      </c>
      <c r="H513" s="5" t="s">
        <v>2156</v>
      </c>
      <c r="I513" s="5" t="s">
        <v>641</v>
      </c>
      <c r="J513" s="5" t="s">
        <v>1865</v>
      </c>
      <c r="K513" s="5">
        <v>1.0</v>
      </c>
      <c r="L513" s="5">
        <v>2137.0</v>
      </c>
      <c r="M513" s="11">
        <v>55.08183</v>
      </c>
      <c r="N513" s="11">
        <v>-125.4774</v>
      </c>
      <c r="O513" s="11" t="s">
        <v>1290</v>
      </c>
      <c r="P513" s="11">
        <v>171.0</v>
      </c>
      <c r="Q513" s="22">
        <v>3.0</v>
      </c>
      <c r="R513" s="11" t="s">
        <v>2181</v>
      </c>
      <c r="S513" s="11" t="s">
        <v>1737</v>
      </c>
      <c r="T513" s="11">
        <v>915.0</v>
      </c>
      <c r="U513" s="11"/>
      <c r="V513" s="11"/>
      <c r="W513" s="23">
        <v>32509.0</v>
      </c>
      <c r="X513" s="11" t="s">
        <v>1738</v>
      </c>
      <c r="Y513" s="9"/>
      <c r="AO513" s="5" t="s">
        <v>2181</v>
      </c>
      <c r="AP513" s="5">
        <v>171.0</v>
      </c>
      <c r="AQ513" s="5" t="s">
        <v>1716</v>
      </c>
      <c r="AR513" s="5" t="s">
        <v>1739</v>
      </c>
      <c r="AS513" s="5" t="s">
        <v>1740</v>
      </c>
      <c r="AT513" s="5" t="s">
        <v>1741</v>
      </c>
      <c r="AU513" s="5" t="s">
        <v>1742</v>
      </c>
      <c r="AV513" s="5" t="s">
        <v>1720</v>
      </c>
      <c r="AW513" s="5" t="s">
        <v>2003</v>
      </c>
      <c r="AX513" s="5" t="s">
        <v>2099</v>
      </c>
      <c r="AY513" s="5">
        <v>55.0817</v>
      </c>
      <c r="AZ513" s="5">
        <v>-125.4773</v>
      </c>
      <c r="BA513" s="5">
        <v>909.0</v>
      </c>
    </row>
    <row r="514" ht="14.25" customHeight="1">
      <c r="A514" s="5" t="s">
        <v>88</v>
      </c>
      <c r="B514" s="8">
        <v>12.0</v>
      </c>
      <c r="C514" s="5" t="s">
        <v>7666</v>
      </c>
      <c r="D514" s="5">
        <v>172.0</v>
      </c>
      <c r="E514" s="5">
        <v>1735.0</v>
      </c>
      <c r="F514" s="5" t="s">
        <v>2183</v>
      </c>
      <c r="G514" s="10" t="s">
        <v>2184</v>
      </c>
      <c r="H514" s="5" t="s">
        <v>2185</v>
      </c>
      <c r="I514" s="5" t="s">
        <v>641</v>
      </c>
      <c r="J514" s="5" t="s">
        <v>1736</v>
      </c>
      <c r="K514" s="5">
        <v>1.0</v>
      </c>
      <c r="L514" s="5">
        <v>2138.0</v>
      </c>
      <c r="M514" s="11">
        <v>55.55333</v>
      </c>
      <c r="N514" s="11">
        <v>-126.57833</v>
      </c>
      <c r="O514" s="11" t="s">
        <v>1290</v>
      </c>
      <c r="P514" s="11">
        <v>172.0</v>
      </c>
      <c r="Q514" s="22">
        <v>4.0</v>
      </c>
      <c r="R514" s="11" t="s">
        <v>2183</v>
      </c>
      <c r="S514" s="11" t="s">
        <v>1737</v>
      </c>
      <c r="T514" s="11">
        <v>978.0</v>
      </c>
      <c r="U514" s="11"/>
      <c r="V514" s="11"/>
      <c r="W514" s="23">
        <v>31413.0</v>
      </c>
      <c r="X514" s="11" t="s">
        <v>1738</v>
      </c>
      <c r="Y514" s="9"/>
      <c r="AO514" s="5" t="s">
        <v>2183</v>
      </c>
      <c r="AP514" s="5">
        <v>172.0</v>
      </c>
      <c r="AQ514" s="5" t="s">
        <v>1700</v>
      </c>
      <c r="AR514" s="5" t="s">
        <v>1739</v>
      </c>
      <c r="AS514" s="5" t="s">
        <v>1740</v>
      </c>
      <c r="AT514" s="5" t="s">
        <v>1835</v>
      </c>
      <c r="AU514" s="5" t="s">
        <v>1959</v>
      </c>
      <c r="AV514" s="5" t="s">
        <v>1720</v>
      </c>
      <c r="AW514" s="5" t="s">
        <v>1947</v>
      </c>
      <c r="AX514" s="5" t="s">
        <v>2133</v>
      </c>
      <c r="AY514" s="5">
        <v>55.538</v>
      </c>
      <c r="AZ514" s="5">
        <v>-126.5775</v>
      </c>
      <c r="BA514" s="5">
        <v>969.0</v>
      </c>
    </row>
    <row r="515" ht="14.25" customHeight="1">
      <c r="A515" s="5" t="s">
        <v>88</v>
      </c>
      <c r="B515" s="8">
        <v>12.0</v>
      </c>
      <c r="C515" s="5" t="s">
        <v>7666</v>
      </c>
      <c r="D515" s="5">
        <v>173.0</v>
      </c>
      <c r="E515" s="5">
        <v>1736.0</v>
      </c>
      <c r="F515" s="5" t="s">
        <v>2186</v>
      </c>
      <c r="G515" s="10" t="s">
        <v>2187</v>
      </c>
      <c r="H515" s="5" t="s">
        <v>2188</v>
      </c>
      <c r="I515" s="5" t="s">
        <v>641</v>
      </c>
      <c r="J515" s="5" t="s">
        <v>1865</v>
      </c>
      <c r="K515" s="5">
        <v>1.0</v>
      </c>
      <c r="L515" s="5">
        <v>2139.0</v>
      </c>
      <c r="M515" s="11">
        <v>55.13667</v>
      </c>
      <c r="N515" s="11">
        <v>-126.21167</v>
      </c>
      <c r="O515" s="11" t="s">
        <v>1290</v>
      </c>
      <c r="P515" s="11">
        <v>173.0</v>
      </c>
      <c r="Q515" s="22">
        <v>3.0</v>
      </c>
      <c r="R515" s="11" t="s">
        <v>2186</v>
      </c>
      <c r="S515" s="11" t="s">
        <v>1737</v>
      </c>
      <c r="T515" s="11">
        <v>951.0</v>
      </c>
      <c r="U515" s="11"/>
      <c r="V515" s="11" t="s">
        <v>2189</v>
      </c>
      <c r="W515" s="23">
        <v>31413.0</v>
      </c>
      <c r="X515" s="11" t="s">
        <v>1738</v>
      </c>
      <c r="Y515" s="9"/>
      <c r="AO515" s="5" t="s">
        <v>2186</v>
      </c>
      <c r="AP515" s="5">
        <v>173.0</v>
      </c>
      <c r="AQ515" s="5" t="s">
        <v>1700</v>
      </c>
      <c r="AR515" s="5" t="s">
        <v>1739</v>
      </c>
      <c r="AS515" s="5" t="s">
        <v>1740</v>
      </c>
      <c r="AT515" s="5" t="s">
        <v>1835</v>
      </c>
      <c r="AU515" s="5" t="s">
        <v>1959</v>
      </c>
      <c r="AV515" s="5" t="s">
        <v>1720</v>
      </c>
      <c r="AW515" s="5" t="s">
        <v>1947</v>
      </c>
      <c r="AX515" s="5" t="s">
        <v>2153</v>
      </c>
      <c r="AY515" s="5">
        <v>55.135</v>
      </c>
      <c r="AZ515" s="5">
        <v>-126.2073</v>
      </c>
      <c r="BA515" s="5">
        <v>951.0</v>
      </c>
    </row>
    <row r="516" ht="14.25" customHeight="1">
      <c r="B516" s="8">
        <v>12.0</v>
      </c>
      <c r="C516" s="5" t="s">
        <v>7666</v>
      </c>
      <c r="D516" s="5">
        <v>174.0</v>
      </c>
      <c r="E516" s="5">
        <v>1737.0</v>
      </c>
      <c r="F516" s="18" t="s">
        <v>2190</v>
      </c>
      <c r="G516" s="5" t="s">
        <v>2191</v>
      </c>
      <c r="H516" s="5" t="s">
        <v>2192</v>
      </c>
      <c r="I516" s="5" t="s">
        <v>1664</v>
      </c>
      <c r="J516" s="5" t="s">
        <v>1715</v>
      </c>
      <c r="K516" s="5">
        <v>1.0</v>
      </c>
      <c r="L516" s="5">
        <v>2140.0</v>
      </c>
      <c r="Y516" s="9"/>
      <c r="AO516" s="5" t="s">
        <v>2190</v>
      </c>
      <c r="AP516" s="5">
        <v>174.0</v>
      </c>
      <c r="AQ516" s="5" t="s">
        <v>1716</v>
      </c>
      <c r="AR516" s="5" t="s">
        <v>1717</v>
      </c>
      <c r="AS516" s="5" t="s">
        <v>1718</v>
      </c>
      <c r="AT516" s="5" t="s">
        <v>1719</v>
      </c>
      <c r="AU516" s="5" t="s">
        <v>1703</v>
      </c>
      <c r="AV516" s="5" t="s">
        <v>1720</v>
      </c>
      <c r="AW516" s="5" t="s">
        <v>2193</v>
      </c>
      <c r="AX516" s="5" t="s">
        <v>2194</v>
      </c>
      <c r="AY516" s="5">
        <v>53.3</v>
      </c>
      <c r="AZ516" s="5">
        <v>-124.1</v>
      </c>
      <c r="BA516" s="5">
        <v>12.0</v>
      </c>
    </row>
    <row r="517" ht="14.25" customHeight="1">
      <c r="B517" s="8">
        <v>12.0</v>
      </c>
      <c r="C517" s="5" t="s">
        <v>7666</v>
      </c>
      <c r="D517" s="5">
        <v>175.0</v>
      </c>
      <c r="E517" s="5">
        <v>1738.0</v>
      </c>
      <c r="F517" s="5" t="s">
        <v>2195</v>
      </c>
      <c r="G517" s="5" t="s">
        <v>2196</v>
      </c>
      <c r="H517" s="5" t="s">
        <v>2197</v>
      </c>
      <c r="I517" s="5" t="s">
        <v>641</v>
      </c>
      <c r="J517" s="5" t="s">
        <v>1736</v>
      </c>
      <c r="K517" s="5">
        <v>1.0</v>
      </c>
      <c r="L517" s="5">
        <v>2141.0</v>
      </c>
      <c r="M517" s="11">
        <v>53.86539</v>
      </c>
      <c r="N517" s="11">
        <v>-123.32317</v>
      </c>
      <c r="O517" s="11" t="s">
        <v>1290</v>
      </c>
      <c r="P517" s="11">
        <v>175.0</v>
      </c>
      <c r="Q517" s="22">
        <v>2.0</v>
      </c>
      <c r="R517" s="11" t="s">
        <v>2195</v>
      </c>
      <c r="S517" s="11" t="s">
        <v>1737</v>
      </c>
      <c r="T517" s="11">
        <v>858.0</v>
      </c>
      <c r="U517" s="11"/>
      <c r="V517" s="11"/>
      <c r="W517" s="23">
        <v>33970.0</v>
      </c>
      <c r="X517" s="5" t="s">
        <v>1738</v>
      </c>
      <c r="Y517" s="9"/>
      <c r="AO517" s="5" t="s">
        <v>2195</v>
      </c>
      <c r="AP517" s="5">
        <v>175.0</v>
      </c>
      <c r="AQ517" s="5" t="s">
        <v>1700</v>
      </c>
      <c r="AR517" s="5" t="s">
        <v>1739</v>
      </c>
      <c r="AS517" s="5" t="s">
        <v>1740</v>
      </c>
      <c r="AT517" s="5" t="s">
        <v>1741</v>
      </c>
      <c r="AU517" s="5" t="s">
        <v>1959</v>
      </c>
      <c r="AV517" s="5" t="s">
        <v>1720</v>
      </c>
      <c r="AW517" s="5" t="s">
        <v>2003</v>
      </c>
      <c r="AX517" s="5" t="s">
        <v>2091</v>
      </c>
      <c r="AY517" s="5">
        <v>53.8654</v>
      </c>
      <c r="AZ517" s="5">
        <v>-123.3232</v>
      </c>
      <c r="BA517" s="5">
        <v>858.0</v>
      </c>
    </row>
    <row r="518" ht="14.25" customHeight="1">
      <c r="B518" s="8">
        <v>12.0</v>
      </c>
      <c r="C518" s="5" t="s">
        <v>7666</v>
      </c>
      <c r="D518" s="5">
        <v>176.0</v>
      </c>
      <c r="E518" s="5">
        <v>1739.0</v>
      </c>
      <c r="F518" s="18" t="s">
        <v>2198</v>
      </c>
      <c r="G518" s="5" t="s">
        <v>2199</v>
      </c>
      <c r="H518" s="5" t="s">
        <v>2200</v>
      </c>
      <c r="I518" s="5" t="s">
        <v>1664</v>
      </c>
      <c r="J518" s="5" t="s">
        <v>1746</v>
      </c>
      <c r="K518" s="5">
        <v>1.0</v>
      </c>
      <c r="L518" s="5">
        <v>2142.0</v>
      </c>
      <c r="Y518" s="9"/>
      <c r="AO518" s="5" t="s">
        <v>2198</v>
      </c>
      <c r="AP518" s="5">
        <v>176.0</v>
      </c>
      <c r="AQ518" s="5" t="s">
        <v>1716</v>
      </c>
      <c r="AR518" s="5" t="s">
        <v>1717</v>
      </c>
      <c r="AS518" s="5" t="s">
        <v>1718</v>
      </c>
      <c r="AT518" s="5" t="s">
        <v>1719</v>
      </c>
      <c r="AU518" s="5" t="s">
        <v>1703</v>
      </c>
      <c r="AV518" s="5" t="s">
        <v>1720</v>
      </c>
      <c r="AW518" s="5" t="s">
        <v>2003</v>
      </c>
      <c r="AX518" s="5" t="s">
        <v>2139</v>
      </c>
      <c r="AY518" s="5">
        <v>53.8</v>
      </c>
      <c r="AZ518" s="5">
        <v>-125.0</v>
      </c>
      <c r="BA518" s="5">
        <v>11.0</v>
      </c>
    </row>
    <row r="519" ht="14.25" customHeight="1">
      <c r="B519" s="8">
        <v>12.0</v>
      </c>
      <c r="C519" s="5" t="s">
        <v>7666</v>
      </c>
      <c r="D519" s="5">
        <v>177.0</v>
      </c>
      <c r="E519" s="5">
        <v>1740.0</v>
      </c>
      <c r="F519" s="18" t="s">
        <v>2201</v>
      </c>
      <c r="G519" s="5" t="s">
        <v>2202</v>
      </c>
      <c r="H519" s="5" t="s">
        <v>2203</v>
      </c>
      <c r="I519" s="5" t="s">
        <v>1664</v>
      </c>
      <c r="J519" s="5" t="s">
        <v>1715</v>
      </c>
      <c r="K519" s="5">
        <v>1.0</v>
      </c>
      <c r="L519" s="5">
        <v>2143.0</v>
      </c>
      <c r="Y519" s="9"/>
      <c r="AO519" s="5" t="s">
        <v>2201</v>
      </c>
      <c r="AP519" s="5">
        <v>177.0</v>
      </c>
      <c r="AQ519" s="5" t="s">
        <v>1716</v>
      </c>
      <c r="AR519" s="5" t="s">
        <v>1717</v>
      </c>
      <c r="AS519" s="5" t="s">
        <v>1718</v>
      </c>
      <c r="AT519" s="5" t="s">
        <v>1719</v>
      </c>
      <c r="AU519" s="5" t="s">
        <v>1703</v>
      </c>
      <c r="AV519" s="5" t="s">
        <v>1720</v>
      </c>
      <c r="AW519" s="5" t="s">
        <v>2003</v>
      </c>
      <c r="AX519" s="5" t="s">
        <v>2139</v>
      </c>
      <c r="AY519" s="5">
        <v>54.2</v>
      </c>
      <c r="AZ519" s="5">
        <v>-124.5</v>
      </c>
      <c r="BA519" s="5">
        <v>9.0</v>
      </c>
    </row>
    <row r="520" ht="14.25" customHeight="1">
      <c r="A520" s="5" t="s">
        <v>88</v>
      </c>
      <c r="B520" s="8">
        <v>12.0</v>
      </c>
      <c r="C520" s="5" t="s">
        <v>7666</v>
      </c>
      <c r="D520" s="5">
        <v>178.0</v>
      </c>
      <c r="E520" s="5">
        <v>1741.0</v>
      </c>
      <c r="F520" s="5" t="s">
        <v>2204</v>
      </c>
      <c r="G520" s="10" t="s">
        <v>2205</v>
      </c>
      <c r="H520" s="5" t="s">
        <v>2206</v>
      </c>
      <c r="I520" s="5" t="s">
        <v>641</v>
      </c>
      <c r="J520" s="5" t="s">
        <v>1865</v>
      </c>
      <c r="K520" s="5">
        <v>1.0</v>
      </c>
      <c r="L520" s="5">
        <v>2144.0</v>
      </c>
      <c r="M520" s="11">
        <v>53.98667</v>
      </c>
      <c r="N520" s="11">
        <v>-126.52167</v>
      </c>
      <c r="O520" s="11" t="s">
        <v>148</v>
      </c>
      <c r="P520" s="11">
        <v>178.0</v>
      </c>
      <c r="Q520" s="22">
        <v>1.0</v>
      </c>
      <c r="R520" s="11" t="s">
        <v>2204</v>
      </c>
      <c r="S520" s="11" t="s">
        <v>1737</v>
      </c>
      <c r="T520" s="11">
        <v>747.0</v>
      </c>
      <c r="U520" s="11"/>
      <c r="V520" s="11" t="s">
        <v>2207</v>
      </c>
      <c r="W520" s="23">
        <v>30682.0</v>
      </c>
      <c r="X520" s="5" t="s">
        <v>1738</v>
      </c>
      <c r="Y520" s="9"/>
      <c r="AO520" s="5" t="s">
        <v>2204</v>
      </c>
      <c r="AP520" s="5">
        <v>178.0</v>
      </c>
      <c r="AQ520" s="5" t="s">
        <v>1716</v>
      </c>
      <c r="AR520" s="5" t="s">
        <v>1739</v>
      </c>
      <c r="AS520" s="5" t="s">
        <v>1740</v>
      </c>
      <c r="AT520" s="5" t="s">
        <v>1741</v>
      </c>
      <c r="AU520" s="5" t="s">
        <v>1959</v>
      </c>
      <c r="AV520" s="5" t="s">
        <v>1720</v>
      </c>
      <c r="AW520" s="5" t="s">
        <v>1947</v>
      </c>
      <c r="AX520" s="5" t="s">
        <v>2153</v>
      </c>
      <c r="AY520" s="5">
        <v>53.9868</v>
      </c>
      <c r="AZ520" s="5">
        <v>-126.5174</v>
      </c>
      <c r="BA520" s="5">
        <v>747.0</v>
      </c>
    </row>
    <row r="521" ht="14.25" customHeight="1">
      <c r="B521" s="8">
        <v>12.0</v>
      </c>
      <c r="C521" s="5" t="s">
        <v>7666</v>
      </c>
      <c r="D521" s="5">
        <v>179.0</v>
      </c>
      <c r="E521" s="5">
        <v>1742.0</v>
      </c>
      <c r="F521" s="5" t="s">
        <v>2208</v>
      </c>
      <c r="G521" s="5" t="s">
        <v>2209</v>
      </c>
      <c r="H521" s="5" t="s">
        <v>2210</v>
      </c>
      <c r="I521" s="5" t="s">
        <v>641</v>
      </c>
      <c r="J521" s="5" t="s">
        <v>1865</v>
      </c>
      <c r="K521" s="5">
        <v>1.0</v>
      </c>
      <c r="L521" s="5">
        <v>2145.0</v>
      </c>
      <c r="M521" s="11">
        <v>53.94252</v>
      </c>
      <c r="N521" s="11">
        <v>-126.9278</v>
      </c>
      <c r="O521" s="11" t="s">
        <v>148</v>
      </c>
      <c r="P521" s="11">
        <v>179.0</v>
      </c>
      <c r="Q521" s="22">
        <v>3.0</v>
      </c>
      <c r="R521" s="11" t="s">
        <v>2208</v>
      </c>
      <c r="S521" s="11" t="s">
        <v>1737</v>
      </c>
      <c r="T521" s="11">
        <v>954.0</v>
      </c>
      <c r="U521" s="11" t="s">
        <v>645</v>
      </c>
      <c r="V521" s="11" t="s">
        <v>2147</v>
      </c>
      <c r="W521" s="23">
        <v>31048.0</v>
      </c>
      <c r="X521" s="5" t="s">
        <v>1738</v>
      </c>
      <c r="Y521" s="9"/>
      <c r="AO521" s="5" t="s">
        <v>2208</v>
      </c>
      <c r="AP521" s="5">
        <v>179.0</v>
      </c>
      <c r="AQ521" s="5" t="s">
        <v>1716</v>
      </c>
      <c r="AR521" s="5" t="s">
        <v>1739</v>
      </c>
      <c r="AS521" s="5" t="s">
        <v>1740</v>
      </c>
      <c r="AT521" s="5" t="s">
        <v>1741</v>
      </c>
      <c r="AU521" s="5" t="s">
        <v>1959</v>
      </c>
      <c r="AV521" s="5" t="s">
        <v>1720</v>
      </c>
      <c r="AW521" s="5" t="s">
        <v>1947</v>
      </c>
      <c r="AX521" s="5" t="s">
        <v>2153</v>
      </c>
      <c r="AY521" s="5">
        <v>53.9425</v>
      </c>
      <c r="AZ521" s="5">
        <v>-126.9278</v>
      </c>
      <c r="BA521" s="5">
        <v>954.0</v>
      </c>
    </row>
    <row r="522" ht="14.25" customHeight="1">
      <c r="A522" s="5" t="s">
        <v>88</v>
      </c>
      <c r="B522" s="8">
        <v>12.0</v>
      </c>
      <c r="C522" s="5" t="s">
        <v>7666</v>
      </c>
      <c r="D522" s="5">
        <v>180.0</v>
      </c>
      <c r="E522" s="5">
        <v>1743.0</v>
      </c>
      <c r="F522" s="5" t="s">
        <v>2211</v>
      </c>
      <c r="G522" s="10" t="s">
        <v>2212</v>
      </c>
      <c r="H522" s="5" t="s">
        <v>2213</v>
      </c>
      <c r="I522" s="5" t="s">
        <v>641</v>
      </c>
      <c r="J522" s="5" t="s">
        <v>1736</v>
      </c>
      <c r="K522" s="5">
        <v>1.0</v>
      </c>
      <c r="L522" s="5">
        <v>2146.0</v>
      </c>
      <c r="M522" s="11">
        <v>54.07472</v>
      </c>
      <c r="N522" s="11">
        <v>-127.39942</v>
      </c>
      <c r="O522" s="11" t="s">
        <v>148</v>
      </c>
      <c r="P522" s="11">
        <v>180.0</v>
      </c>
      <c r="Q522" s="22">
        <v>1.0</v>
      </c>
      <c r="R522" s="11" t="s">
        <v>2211</v>
      </c>
      <c r="S522" s="11" t="s">
        <v>1737</v>
      </c>
      <c r="T522" s="11">
        <v>810.0</v>
      </c>
      <c r="U522" s="11"/>
      <c r="V522" s="11"/>
      <c r="W522" s="23">
        <v>32874.0</v>
      </c>
      <c r="X522" s="5" t="s">
        <v>1738</v>
      </c>
      <c r="Y522" s="9"/>
      <c r="AO522" s="5" t="s">
        <v>2211</v>
      </c>
      <c r="AP522" s="5">
        <v>180.0</v>
      </c>
      <c r="AQ522" s="5" t="s">
        <v>1716</v>
      </c>
      <c r="AR522" s="5" t="s">
        <v>1739</v>
      </c>
      <c r="AS522" s="5" t="s">
        <v>1740</v>
      </c>
      <c r="AT522" s="5" t="s">
        <v>1741</v>
      </c>
      <c r="AU522" s="5" t="s">
        <v>1742</v>
      </c>
      <c r="AV522" s="5" t="s">
        <v>1720</v>
      </c>
      <c r="AW522" s="5" t="s">
        <v>1947</v>
      </c>
      <c r="AX522" s="5" t="s">
        <v>2153</v>
      </c>
      <c r="AY522" s="5">
        <v>54.0747</v>
      </c>
      <c r="AZ522" s="5">
        <v>-127.3994</v>
      </c>
      <c r="BA522" s="5">
        <v>810.0</v>
      </c>
    </row>
    <row r="523" ht="14.25" customHeight="1">
      <c r="A523" s="5" t="s">
        <v>88</v>
      </c>
      <c r="B523" s="8">
        <v>12.0</v>
      </c>
      <c r="C523" s="5" t="s">
        <v>7666</v>
      </c>
      <c r="D523" s="5">
        <v>181.0</v>
      </c>
      <c r="E523" s="5">
        <v>1744.0</v>
      </c>
      <c r="F523" s="5" t="s">
        <v>2214</v>
      </c>
      <c r="G523" s="10" t="s">
        <v>2215</v>
      </c>
      <c r="H523" s="5" t="s">
        <v>2216</v>
      </c>
      <c r="I523" s="5" t="s">
        <v>641</v>
      </c>
      <c r="J523" s="5" t="s">
        <v>1865</v>
      </c>
      <c r="K523" s="5">
        <v>1.0</v>
      </c>
      <c r="L523" s="5">
        <v>2147.0</v>
      </c>
      <c r="M523" s="11">
        <v>54.2591</v>
      </c>
      <c r="N523" s="11">
        <v>-125.7598</v>
      </c>
      <c r="O523" s="11" t="s">
        <v>148</v>
      </c>
      <c r="P523" s="11">
        <v>181.0</v>
      </c>
      <c r="Q523" s="22">
        <v>1.0</v>
      </c>
      <c r="R523" s="11" t="s">
        <v>2214</v>
      </c>
      <c r="S523" s="11" t="s">
        <v>1737</v>
      </c>
      <c r="T523" s="11">
        <v>830.0</v>
      </c>
      <c r="U523" s="11"/>
      <c r="V523" s="11"/>
      <c r="W523" s="23">
        <v>33970.0</v>
      </c>
      <c r="X523" s="5" t="s">
        <v>1738</v>
      </c>
      <c r="Y523" s="9"/>
      <c r="AO523" s="5" t="s">
        <v>2214</v>
      </c>
      <c r="AP523" s="5">
        <v>181.0</v>
      </c>
      <c r="AQ523" s="5" t="s">
        <v>1700</v>
      </c>
      <c r="AR523" s="5" t="s">
        <v>1739</v>
      </c>
      <c r="AS523" s="5" t="s">
        <v>1740</v>
      </c>
      <c r="AT523" s="5" t="s">
        <v>1741</v>
      </c>
      <c r="AU523" s="5" t="s">
        <v>1772</v>
      </c>
      <c r="AV523" s="5" t="s">
        <v>1720</v>
      </c>
      <c r="AW523" s="5" t="s">
        <v>1947</v>
      </c>
      <c r="AX523" s="5" t="s">
        <v>2148</v>
      </c>
      <c r="AY523" s="5">
        <v>54.2591</v>
      </c>
      <c r="AZ523" s="5">
        <v>-125.7598</v>
      </c>
      <c r="BA523" s="5">
        <v>824.0</v>
      </c>
    </row>
    <row r="524" ht="14.25" customHeight="1">
      <c r="A524" s="5" t="s">
        <v>88</v>
      </c>
      <c r="B524" s="8">
        <v>12.0</v>
      </c>
      <c r="C524" s="5" t="s">
        <v>7666</v>
      </c>
      <c r="D524" s="5">
        <v>182.0</v>
      </c>
      <c r="E524" s="5">
        <v>1745.0</v>
      </c>
      <c r="F524" s="5" t="s">
        <v>2217</v>
      </c>
      <c r="G524" s="10" t="s">
        <v>2218</v>
      </c>
      <c r="H524" s="5" t="s">
        <v>2219</v>
      </c>
      <c r="I524" s="5" t="s">
        <v>641</v>
      </c>
      <c r="J524" s="5" t="s">
        <v>1736</v>
      </c>
      <c r="K524" s="5">
        <v>1.0</v>
      </c>
      <c r="L524" s="5">
        <v>2148.0</v>
      </c>
      <c r="M524" s="11">
        <v>54.801</v>
      </c>
      <c r="N524" s="11">
        <v>-126.94833</v>
      </c>
      <c r="O524" s="11" t="s">
        <v>148</v>
      </c>
      <c r="P524" s="11">
        <v>182.0</v>
      </c>
      <c r="Q524" s="22">
        <v>1.0</v>
      </c>
      <c r="R524" s="11" t="s">
        <v>2217</v>
      </c>
      <c r="S524" s="11" t="s">
        <v>1737</v>
      </c>
      <c r="T524" s="11">
        <v>844.0</v>
      </c>
      <c r="U524" s="11"/>
      <c r="V524" s="11"/>
      <c r="W524" s="23">
        <v>33970.0</v>
      </c>
      <c r="X524" s="5" t="s">
        <v>1738</v>
      </c>
      <c r="Y524" s="9"/>
      <c r="AO524" s="5" t="s">
        <v>2217</v>
      </c>
      <c r="AP524" s="5">
        <v>182.0</v>
      </c>
      <c r="AQ524" s="5" t="s">
        <v>1716</v>
      </c>
      <c r="AR524" s="5" t="s">
        <v>1739</v>
      </c>
      <c r="AS524" s="5" t="s">
        <v>1740</v>
      </c>
      <c r="AT524" s="5" t="s">
        <v>1741</v>
      </c>
      <c r="AU524" s="5" t="s">
        <v>1742</v>
      </c>
      <c r="AV524" s="5" t="s">
        <v>1720</v>
      </c>
      <c r="AW524" s="5" t="s">
        <v>1947</v>
      </c>
      <c r="AX524" s="5" t="s">
        <v>2133</v>
      </c>
      <c r="AY524" s="5">
        <v>54.8013</v>
      </c>
      <c r="AZ524" s="5">
        <v>-126.9484</v>
      </c>
      <c r="BA524" s="5">
        <v>855.0</v>
      </c>
    </row>
    <row r="525" ht="14.25" customHeight="1">
      <c r="A525" s="5" t="s">
        <v>1908</v>
      </c>
      <c r="B525" s="8">
        <v>12.0</v>
      </c>
      <c r="C525" s="5" t="s">
        <v>7666</v>
      </c>
      <c r="D525" s="5">
        <v>183.0</v>
      </c>
      <c r="E525" s="5">
        <v>1746.0</v>
      </c>
      <c r="F525" s="10" t="s">
        <v>2220</v>
      </c>
      <c r="G525" s="10" t="s">
        <v>2221</v>
      </c>
      <c r="H525" s="5" t="s">
        <v>2222</v>
      </c>
      <c r="I525" s="5" t="s">
        <v>641</v>
      </c>
      <c r="J525" s="5" t="s">
        <v>1736</v>
      </c>
      <c r="K525" s="5">
        <v>1.0</v>
      </c>
      <c r="L525" s="5">
        <v>2149.0</v>
      </c>
      <c r="M525" s="11">
        <v>54.01867</v>
      </c>
      <c r="N525" s="11">
        <v>-126.38889</v>
      </c>
      <c r="O525" s="11" t="s">
        <v>148</v>
      </c>
      <c r="P525" s="11">
        <v>183.0</v>
      </c>
      <c r="Q525" s="22">
        <v>6.0</v>
      </c>
      <c r="R525" s="11" t="s">
        <v>2223</v>
      </c>
      <c r="S525" s="11" t="s">
        <v>1737</v>
      </c>
      <c r="T525" s="11">
        <v>1259.0</v>
      </c>
      <c r="U525" s="11"/>
      <c r="V525" s="11"/>
      <c r="W525" s="23">
        <v>34700.0</v>
      </c>
      <c r="X525" s="5" t="s">
        <v>1738</v>
      </c>
      <c r="Y525" s="9"/>
      <c r="AO525" s="5" t="s">
        <v>2223</v>
      </c>
      <c r="AP525" s="5">
        <v>183.0</v>
      </c>
      <c r="AQ525" s="5" t="s">
        <v>1716</v>
      </c>
      <c r="AR525" s="5" t="s">
        <v>1739</v>
      </c>
      <c r="AS525" s="5" t="s">
        <v>1740</v>
      </c>
      <c r="AT525" s="5" t="s">
        <v>1741</v>
      </c>
      <c r="AU525" s="5" t="s">
        <v>1772</v>
      </c>
      <c r="AV525" s="5" t="s">
        <v>1720</v>
      </c>
      <c r="AW525" s="5" t="s">
        <v>1947</v>
      </c>
      <c r="AX525" s="5" t="s">
        <v>2153</v>
      </c>
      <c r="AY525" s="5">
        <v>54.0186</v>
      </c>
      <c r="AZ525" s="5">
        <v>-126.389</v>
      </c>
      <c r="BA525" s="5">
        <v>1259.0</v>
      </c>
    </row>
    <row r="526" ht="14.25" customHeight="1">
      <c r="B526" s="8">
        <v>12.0</v>
      </c>
      <c r="C526" s="5" t="s">
        <v>7666</v>
      </c>
      <c r="D526" s="5">
        <v>185.0</v>
      </c>
      <c r="E526" s="5">
        <v>1747.0</v>
      </c>
      <c r="F526" s="18" t="s">
        <v>2224</v>
      </c>
      <c r="G526" s="5" t="s">
        <v>2225</v>
      </c>
      <c r="H526" s="5" t="s">
        <v>2226</v>
      </c>
      <c r="I526" s="5" t="s">
        <v>1664</v>
      </c>
      <c r="J526" s="5" t="s">
        <v>1715</v>
      </c>
      <c r="K526" s="5">
        <v>1.0</v>
      </c>
      <c r="L526" s="5">
        <v>2150.0</v>
      </c>
      <c r="Y526" s="9"/>
      <c r="AO526" s="5" t="s">
        <v>2224</v>
      </c>
      <c r="AP526" s="5">
        <v>185.0</v>
      </c>
      <c r="AQ526" s="5" t="s">
        <v>1716</v>
      </c>
      <c r="AR526" s="5" t="s">
        <v>1717</v>
      </c>
      <c r="AS526" s="5" t="s">
        <v>1718</v>
      </c>
      <c r="AT526" s="5" t="s">
        <v>1719</v>
      </c>
      <c r="AU526" s="5" t="s">
        <v>1703</v>
      </c>
      <c r="AV526" s="5" t="s">
        <v>1720</v>
      </c>
      <c r="AW526" s="5" t="s">
        <v>2003</v>
      </c>
      <c r="AX526" s="5" t="s">
        <v>2091</v>
      </c>
      <c r="AY526" s="5">
        <v>53.6</v>
      </c>
      <c r="AZ526" s="5">
        <v>-123.0</v>
      </c>
      <c r="BA526" s="5">
        <v>7.0</v>
      </c>
    </row>
    <row r="527" ht="14.25" customHeight="1">
      <c r="A527" s="5" t="s">
        <v>422</v>
      </c>
      <c r="B527" s="8">
        <v>12.0</v>
      </c>
      <c r="C527" s="5" t="s">
        <v>7671</v>
      </c>
      <c r="D527" s="5">
        <v>186.0</v>
      </c>
      <c r="E527" s="5">
        <v>12969.0</v>
      </c>
      <c r="F527" s="51" t="s">
        <v>2227</v>
      </c>
      <c r="G527" s="5" t="s">
        <v>127</v>
      </c>
      <c r="H527" s="5" t="s">
        <v>1697</v>
      </c>
      <c r="I527" s="5" t="s">
        <v>49</v>
      </c>
      <c r="J527" s="5" t="s">
        <v>1746</v>
      </c>
      <c r="K527" s="5">
        <v>1.0</v>
      </c>
      <c r="L527" s="5">
        <v>14901.0</v>
      </c>
      <c r="Y527" s="9"/>
      <c r="AO527" s="50" t="s">
        <v>2228</v>
      </c>
      <c r="AP527" s="50">
        <v>186.0</v>
      </c>
      <c r="AQ527" s="50" t="s">
        <v>1700</v>
      </c>
      <c r="AR527" s="50" t="s">
        <v>1701</v>
      </c>
      <c r="AS527" s="50" t="s">
        <v>1702</v>
      </c>
      <c r="AT527" s="50" t="s">
        <v>1703</v>
      </c>
      <c r="AU527" s="50" t="s">
        <v>1704</v>
      </c>
      <c r="AV527" s="50" t="s">
        <v>1702</v>
      </c>
      <c r="AW527" s="50" t="s">
        <v>2003</v>
      </c>
      <c r="AX527" s="50" t="s">
        <v>2091</v>
      </c>
      <c r="AY527" s="50">
        <v>53.9</v>
      </c>
      <c r="AZ527" s="50">
        <v>-122.7</v>
      </c>
      <c r="BA527" s="50">
        <v>691.0</v>
      </c>
    </row>
    <row r="528" ht="14.25" customHeight="1">
      <c r="A528" s="5" t="s">
        <v>88</v>
      </c>
      <c r="B528" s="8">
        <v>12.0</v>
      </c>
      <c r="C528" s="5" t="s">
        <v>7666</v>
      </c>
      <c r="D528" s="5">
        <v>187.0</v>
      </c>
      <c r="E528" s="5">
        <v>1748.0</v>
      </c>
      <c r="F528" s="5" t="s">
        <v>2229</v>
      </c>
      <c r="G528" s="10" t="s">
        <v>2230</v>
      </c>
      <c r="H528" s="5" t="s">
        <v>2231</v>
      </c>
      <c r="I528" s="5" t="s">
        <v>641</v>
      </c>
      <c r="J528" s="5" t="s">
        <v>1736</v>
      </c>
      <c r="K528" s="5">
        <v>1.0</v>
      </c>
      <c r="L528" s="5">
        <v>2151.0</v>
      </c>
      <c r="M528" s="11">
        <v>53.41128</v>
      </c>
      <c r="N528" s="11">
        <v>-122.59575</v>
      </c>
      <c r="O528" s="11" t="s">
        <v>148</v>
      </c>
      <c r="P528" s="11">
        <v>187.0</v>
      </c>
      <c r="Q528" s="22">
        <v>1.0</v>
      </c>
      <c r="R528" s="11" t="s">
        <v>2229</v>
      </c>
      <c r="S528" s="11" t="s">
        <v>1737</v>
      </c>
      <c r="T528" s="11">
        <v>615.0</v>
      </c>
      <c r="U528" s="11"/>
      <c r="V528" s="11"/>
      <c r="W528" s="23">
        <v>27760.0</v>
      </c>
      <c r="X528" s="11" t="s">
        <v>1738</v>
      </c>
      <c r="Y528" s="9"/>
      <c r="AO528" s="5" t="s">
        <v>2229</v>
      </c>
      <c r="AP528" s="5">
        <v>187.0</v>
      </c>
      <c r="AQ528" s="5" t="s">
        <v>1700</v>
      </c>
      <c r="AR528" s="5" t="s">
        <v>1739</v>
      </c>
      <c r="AS528" s="5" t="s">
        <v>1740</v>
      </c>
      <c r="AT528" s="5" t="s">
        <v>1741</v>
      </c>
      <c r="AU528" s="5" t="s">
        <v>1772</v>
      </c>
      <c r="AV528" s="5" t="s">
        <v>1720</v>
      </c>
      <c r="AW528" s="5" t="s">
        <v>2003</v>
      </c>
      <c r="AX528" s="5" t="s">
        <v>2091</v>
      </c>
      <c r="AY528" s="5">
        <v>53.4114</v>
      </c>
      <c r="AZ528" s="5">
        <v>-122.5961</v>
      </c>
      <c r="BA528" s="5">
        <v>640.0</v>
      </c>
    </row>
    <row r="529" ht="14.25" customHeight="1">
      <c r="B529" s="8">
        <v>12.0</v>
      </c>
      <c r="C529" s="5" t="s">
        <v>7666</v>
      </c>
      <c r="D529" s="5">
        <v>188.0</v>
      </c>
      <c r="E529" s="5">
        <v>1749.0</v>
      </c>
      <c r="F529" s="18" t="s">
        <v>2232</v>
      </c>
      <c r="G529" s="5" t="s">
        <v>2233</v>
      </c>
      <c r="H529" s="5" t="s">
        <v>2234</v>
      </c>
      <c r="I529" s="5" t="s">
        <v>1664</v>
      </c>
      <c r="J529" s="5" t="s">
        <v>1715</v>
      </c>
      <c r="K529" s="5">
        <v>1.0</v>
      </c>
      <c r="L529" s="5">
        <v>2152.0</v>
      </c>
      <c r="Y529" s="9"/>
      <c r="AO529" s="5" t="s">
        <v>2232</v>
      </c>
      <c r="AP529" s="5">
        <v>188.0</v>
      </c>
      <c r="AQ529" s="5" t="s">
        <v>1716</v>
      </c>
      <c r="AR529" s="5" t="s">
        <v>1717</v>
      </c>
      <c r="AS529" s="5" t="s">
        <v>1718</v>
      </c>
      <c r="AT529" s="5" t="s">
        <v>1719</v>
      </c>
      <c r="AU529" s="5" t="s">
        <v>1703</v>
      </c>
      <c r="AV529" s="5" t="s">
        <v>1720</v>
      </c>
      <c r="AW529" s="5" t="s">
        <v>2193</v>
      </c>
      <c r="AX529" s="5" t="s">
        <v>2194</v>
      </c>
      <c r="AY529" s="5">
        <v>53.0</v>
      </c>
      <c r="AZ529" s="5">
        <v>-122.2</v>
      </c>
      <c r="BA529" s="5">
        <v>10.0</v>
      </c>
    </row>
    <row r="530" ht="14.25" customHeight="1">
      <c r="A530" s="5" t="s">
        <v>88</v>
      </c>
      <c r="B530" s="8">
        <v>12.0</v>
      </c>
      <c r="C530" s="5" t="s">
        <v>7666</v>
      </c>
      <c r="D530" s="5">
        <v>189.0</v>
      </c>
      <c r="E530" s="5">
        <v>1750.0</v>
      </c>
      <c r="F530" s="5" t="s">
        <v>2235</v>
      </c>
      <c r="G530" s="10" t="s">
        <v>2236</v>
      </c>
      <c r="H530" s="5" t="s">
        <v>2237</v>
      </c>
      <c r="I530" s="5" t="s">
        <v>641</v>
      </c>
      <c r="J530" s="5" t="s">
        <v>1865</v>
      </c>
      <c r="K530" s="5">
        <v>1.0</v>
      </c>
      <c r="L530" s="5">
        <v>2153.0</v>
      </c>
      <c r="M530" s="11">
        <v>53.49378</v>
      </c>
      <c r="N530" s="11">
        <v>-123.60878</v>
      </c>
      <c r="O530" s="11" t="s">
        <v>148</v>
      </c>
      <c r="P530" s="11">
        <v>189.0</v>
      </c>
      <c r="Q530" s="22">
        <v>1.0</v>
      </c>
      <c r="R530" s="11" t="s">
        <v>2235</v>
      </c>
      <c r="S530" s="11" t="s">
        <v>1737</v>
      </c>
      <c r="T530" s="11">
        <v>814.0</v>
      </c>
      <c r="U530" s="11"/>
      <c r="V530" s="11"/>
      <c r="W530" s="23">
        <v>31413.0</v>
      </c>
      <c r="X530" s="11" t="s">
        <v>1738</v>
      </c>
      <c r="Y530" s="9"/>
      <c r="AO530" s="5" t="s">
        <v>2235</v>
      </c>
      <c r="AP530" s="5">
        <v>189.0</v>
      </c>
      <c r="AQ530" s="5" t="s">
        <v>1700</v>
      </c>
      <c r="AR530" s="5" t="s">
        <v>1739</v>
      </c>
      <c r="AS530" s="5" t="s">
        <v>1740</v>
      </c>
      <c r="AT530" s="5" t="s">
        <v>1741</v>
      </c>
      <c r="AU530" s="5" t="s">
        <v>1959</v>
      </c>
      <c r="AV530" s="5" t="s">
        <v>1720</v>
      </c>
      <c r="AW530" s="5" t="s">
        <v>2003</v>
      </c>
      <c r="AX530" s="5" t="s">
        <v>2091</v>
      </c>
      <c r="AY530" s="5">
        <v>53.4937</v>
      </c>
      <c r="AZ530" s="5">
        <v>-123.6088</v>
      </c>
      <c r="BA530" s="5">
        <v>807.0</v>
      </c>
    </row>
    <row r="531" ht="14.25" customHeight="1">
      <c r="A531" s="5" t="s">
        <v>88</v>
      </c>
      <c r="B531" s="8">
        <v>12.0</v>
      </c>
      <c r="C531" s="5" t="s">
        <v>7666</v>
      </c>
      <c r="D531" s="5">
        <v>190.0</v>
      </c>
      <c r="E531" s="5">
        <v>1751.0</v>
      </c>
      <c r="F531" s="5" t="s">
        <v>2238</v>
      </c>
      <c r="G531" s="10" t="s">
        <v>2239</v>
      </c>
      <c r="H531" s="5" t="s">
        <v>2240</v>
      </c>
      <c r="I531" s="5" t="s">
        <v>641</v>
      </c>
      <c r="J531" s="5" t="s">
        <v>1865</v>
      </c>
      <c r="K531" s="5">
        <v>1.0</v>
      </c>
      <c r="L531" s="5">
        <v>2154.0</v>
      </c>
      <c r="M531" s="11">
        <v>53.52594</v>
      </c>
      <c r="N531" s="11">
        <v>-122.1055</v>
      </c>
      <c r="O531" s="11" t="s">
        <v>170</v>
      </c>
      <c r="P531" s="11">
        <v>190.0</v>
      </c>
      <c r="Q531" s="22">
        <v>2.0</v>
      </c>
      <c r="R531" s="11" t="s">
        <v>2238</v>
      </c>
      <c r="S531" s="11" t="s">
        <v>1737</v>
      </c>
      <c r="T531" s="11">
        <v>997.0</v>
      </c>
      <c r="U531" s="11"/>
      <c r="V531" s="11"/>
      <c r="W531" s="23">
        <v>32143.0</v>
      </c>
      <c r="X531" s="11" t="s">
        <v>1738</v>
      </c>
      <c r="Y531" s="9"/>
      <c r="AO531" s="5" t="s">
        <v>2238</v>
      </c>
      <c r="AP531" s="5">
        <v>190.0</v>
      </c>
      <c r="AQ531" s="5" t="s">
        <v>1700</v>
      </c>
      <c r="AR531" s="5" t="s">
        <v>1739</v>
      </c>
      <c r="AS531" s="5" t="s">
        <v>1740</v>
      </c>
      <c r="AT531" s="5" t="s">
        <v>1741</v>
      </c>
      <c r="AU531" s="5" t="s">
        <v>1959</v>
      </c>
      <c r="AV531" s="5" t="s">
        <v>1720</v>
      </c>
      <c r="AW531" s="5" t="s">
        <v>2003</v>
      </c>
      <c r="AX531" s="5" t="s">
        <v>2091</v>
      </c>
      <c r="AY531" s="5">
        <v>53.5264</v>
      </c>
      <c r="AZ531" s="5">
        <v>-122.1064</v>
      </c>
      <c r="BA531" s="5">
        <v>979.0</v>
      </c>
    </row>
    <row r="532" ht="14.25" customHeight="1">
      <c r="B532" s="8">
        <v>12.0</v>
      </c>
      <c r="C532" s="5" t="s">
        <v>7666</v>
      </c>
      <c r="D532" s="5">
        <v>191.0</v>
      </c>
      <c r="E532" s="5">
        <v>1752.0</v>
      </c>
      <c r="F532" s="5" t="s">
        <v>2241</v>
      </c>
      <c r="G532" s="5" t="s">
        <v>2242</v>
      </c>
      <c r="H532" s="5" t="s">
        <v>2243</v>
      </c>
      <c r="I532" s="5" t="s">
        <v>641</v>
      </c>
      <c r="J532" s="5" t="s">
        <v>1715</v>
      </c>
      <c r="K532" s="5">
        <v>1.0</v>
      </c>
      <c r="L532" s="5">
        <v>2155.0</v>
      </c>
      <c r="Y532" s="9"/>
      <c r="AO532" s="5" t="s">
        <v>2244</v>
      </c>
      <c r="AP532" s="5">
        <v>191.0</v>
      </c>
      <c r="AQ532" s="5" t="s">
        <v>1716</v>
      </c>
      <c r="AR532" s="5" t="s">
        <v>1717</v>
      </c>
      <c r="AS532" s="5" t="s">
        <v>1718</v>
      </c>
      <c r="AT532" s="5" t="s">
        <v>1835</v>
      </c>
      <c r="AU532" s="5" t="s">
        <v>1959</v>
      </c>
      <c r="AV532" s="5" t="s">
        <v>1720</v>
      </c>
      <c r="AW532" s="5" t="s">
        <v>2003</v>
      </c>
      <c r="AX532" s="5" t="s">
        <v>2091</v>
      </c>
      <c r="AY532" s="5">
        <v>54.0778</v>
      </c>
      <c r="AZ532" s="5">
        <v>-121.8263</v>
      </c>
      <c r="BA532" s="5">
        <v>638.0</v>
      </c>
    </row>
    <row r="533" ht="14.25" customHeight="1">
      <c r="B533" s="8">
        <v>12.0</v>
      </c>
      <c r="C533" s="5" t="s">
        <v>7666</v>
      </c>
      <c r="D533" s="5">
        <v>192.0</v>
      </c>
      <c r="E533" s="5">
        <v>1753.0</v>
      </c>
      <c r="F533" s="5" t="s">
        <v>2245</v>
      </c>
      <c r="G533" s="5" t="s">
        <v>2246</v>
      </c>
      <c r="H533" s="5" t="s">
        <v>2247</v>
      </c>
      <c r="I533" s="5" t="s">
        <v>641</v>
      </c>
      <c r="J533" s="5" t="s">
        <v>1736</v>
      </c>
      <c r="K533" s="5">
        <v>1.0</v>
      </c>
      <c r="L533" s="5">
        <v>2156.0</v>
      </c>
      <c r="M533" s="11">
        <v>53.92889</v>
      </c>
      <c r="N533" s="11">
        <v>-120.63569</v>
      </c>
      <c r="O533" s="11" t="s">
        <v>1290</v>
      </c>
      <c r="P533" s="11">
        <v>192.0</v>
      </c>
      <c r="Q533" s="22">
        <v>3.0</v>
      </c>
      <c r="R533" s="11" t="s">
        <v>2245</v>
      </c>
      <c r="S533" s="11" t="s">
        <v>1737</v>
      </c>
      <c r="T533" s="11">
        <v>975.0</v>
      </c>
      <c r="U533" s="11"/>
      <c r="V533" s="11"/>
      <c r="W533" s="23">
        <v>31413.0</v>
      </c>
      <c r="X533" s="11" t="s">
        <v>1738</v>
      </c>
      <c r="Y533" s="9"/>
      <c r="AO533" s="5" t="s">
        <v>2245</v>
      </c>
      <c r="AP533" s="5">
        <v>192.0</v>
      </c>
      <c r="AQ533" s="5" t="s">
        <v>1716</v>
      </c>
      <c r="AR533" s="5" t="s">
        <v>1739</v>
      </c>
      <c r="AS533" s="5" t="s">
        <v>1740</v>
      </c>
      <c r="AT533" s="5" t="s">
        <v>1741</v>
      </c>
      <c r="AU533" s="5" t="s">
        <v>1742</v>
      </c>
      <c r="AV533" s="5" t="s">
        <v>1720</v>
      </c>
      <c r="AW533" s="5" t="s">
        <v>2003</v>
      </c>
      <c r="AX533" s="5" t="s">
        <v>2091</v>
      </c>
      <c r="AY533" s="5">
        <v>53.9289</v>
      </c>
      <c r="AZ533" s="5">
        <v>-120.6355</v>
      </c>
      <c r="BA533" s="5">
        <v>979.0</v>
      </c>
    </row>
    <row r="534" ht="14.25" customHeight="1">
      <c r="A534" s="5" t="s">
        <v>88</v>
      </c>
      <c r="B534" s="8">
        <v>12.0</v>
      </c>
      <c r="C534" s="5" t="s">
        <v>7666</v>
      </c>
      <c r="D534" s="5">
        <v>193.0</v>
      </c>
      <c r="E534" s="5">
        <v>1754.0</v>
      </c>
      <c r="F534" s="5" t="s">
        <v>2248</v>
      </c>
      <c r="G534" s="10" t="s">
        <v>2249</v>
      </c>
      <c r="H534" s="5" t="s">
        <v>2250</v>
      </c>
      <c r="I534" s="5" t="s">
        <v>641</v>
      </c>
      <c r="J534" s="5" t="s">
        <v>1865</v>
      </c>
      <c r="K534" s="5">
        <v>1.0</v>
      </c>
      <c r="L534" s="5">
        <v>2157.0</v>
      </c>
      <c r="M534" s="11">
        <v>53.46314</v>
      </c>
      <c r="N534" s="11">
        <v>-121.56033</v>
      </c>
      <c r="O534" s="11" t="s">
        <v>170</v>
      </c>
      <c r="P534" s="11">
        <v>193.0</v>
      </c>
      <c r="Q534" s="22">
        <v>2.0</v>
      </c>
      <c r="R534" s="11" t="s">
        <v>2248</v>
      </c>
      <c r="S534" s="11" t="s">
        <v>1737</v>
      </c>
      <c r="T534" s="11">
        <v>945.0</v>
      </c>
      <c r="U534" s="11"/>
      <c r="V534" s="11"/>
      <c r="W534" s="23">
        <v>31413.0</v>
      </c>
      <c r="X534" s="11" t="s">
        <v>1738</v>
      </c>
      <c r="Y534" s="9"/>
      <c r="AO534" s="5" t="s">
        <v>2248</v>
      </c>
      <c r="AP534" s="5">
        <v>193.0</v>
      </c>
      <c r="AQ534" s="5" t="s">
        <v>1700</v>
      </c>
      <c r="AR534" s="5" t="s">
        <v>1739</v>
      </c>
      <c r="AS534" s="5" t="s">
        <v>1740</v>
      </c>
      <c r="AT534" s="5" t="s">
        <v>1741</v>
      </c>
      <c r="AU534" s="5" t="s">
        <v>1959</v>
      </c>
      <c r="AV534" s="5" t="s">
        <v>1720</v>
      </c>
      <c r="AW534" s="5" t="s">
        <v>2003</v>
      </c>
      <c r="AX534" s="5" t="s">
        <v>2091</v>
      </c>
      <c r="AY534" s="5">
        <v>53.463</v>
      </c>
      <c r="AZ534" s="5">
        <v>-121.5603</v>
      </c>
      <c r="BA534" s="5">
        <v>927.0</v>
      </c>
    </row>
    <row r="535" ht="14.25" customHeight="1">
      <c r="A535" s="5" t="s">
        <v>2251</v>
      </c>
      <c r="B535" s="8">
        <v>12.0</v>
      </c>
      <c r="C535" s="5" t="s">
        <v>7666</v>
      </c>
      <c r="D535" s="5">
        <v>194.0</v>
      </c>
      <c r="E535" s="5">
        <v>1755.0</v>
      </c>
      <c r="F535" s="10" t="s">
        <v>2252</v>
      </c>
      <c r="G535" s="10" t="s">
        <v>2253</v>
      </c>
      <c r="H535" s="5" t="s">
        <v>2254</v>
      </c>
      <c r="I535" s="5" t="s">
        <v>641</v>
      </c>
      <c r="J535" s="5" t="s">
        <v>1865</v>
      </c>
      <c r="K535" s="5">
        <v>1.0</v>
      </c>
      <c r="L535" s="5">
        <v>2158.0</v>
      </c>
      <c r="M535" s="56">
        <v>52.86983</v>
      </c>
      <c r="N535" s="56">
        <v>-119.29908</v>
      </c>
      <c r="O535" s="56" t="s">
        <v>170</v>
      </c>
      <c r="P535" s="56">
        <v>194.0</v>
      </c>
      <c r="Q535" s="57">
        <v>1.0</v>
      </c>
      <c r="R535" s="56" t="s">
        <v>2255</v>
      </c>
      <c r="S535" s="56" t="s">
        <v>1737</v>
      </c>
      <c r="T535" s="56">
        <v>797.0</v>
      </c>
      <c r="U535" s="56" t="s">
        <v>645</v>
      </c>
      <c r="V535" s="56"/>
      <c r="W535" s="58">
        <v>25569.0</v>
      </c>
      <c r="X535" s="56" t="s">
        <v>1738</v>
      </c>
      <c r="Y535" s="59"/>
      <c r="AO535" s="55" t="s">
        <v>2256</v>
      </c>
      <c r="AP535" s="5">
        <v>194.0</v>
      </c>
      <c r="AQ535" s="5" t="s">
        <v>1716</v>
      </c>
      <c r="AR535" s="5" t="s">
        <v>1717</v>
      </c>
      <c r="AS535" s="5" t="s">
        <v>2257</v>
      </c>
      <c r="AT535" s="5" t="s">
        <v>1835</v>
      </c>
      <c r="AU535" s="5" t="s">
        <v>2043</v>
      </c>
      <c r="AV535" s="5" t="s">
        <v>1720</v>
      </c>
      <c r="AW535" s="5" t="s">
        <v>2003</v>
      </c>
      <c r="AX535" s="5" t="s">
        <v>2258</v>
      </c>
      <c r="AY535" s="5">
        <v>52.8698</v>
      </c>
      <c r="AZ535" s="5">
        <v>-119.2991</v>
      </c>
      <c r="BA535" s="5">
        <v>797.0</v>
      </c>
    </row>
    <row r="536" ht="14.25" customHeight="1">
      <c r="A536" s="5" t="s">
        <v>88</v>
      </c>
      <c r="B536" s="8">
        <v>12.0</v>
      </c>
      <c r="C536" s="5" t="s">
        <v>7666</v>
      </c>
      <c r="D536" s="5">
        <v>195.0</v>
      </c>
      <c r="E536" s="5">
        <v>1756.0</v>
      </c>
      <c r="F536" s="5" t="s">
        <v>2259</v>
      </c>
      <c r="G536" s="10" t="s">
        <v>2260</v>
      </c>
      <c r="H536" s="5" t="s">
        <v>2261</v>
      </c>
      <c r="I536" s="5" t="s">
        <v>641</v>
      </c>
      <c r="J536" s="5" t="s">
        <v>1865</v>
      </c>
      <c r="K536" s="5">
        <v>1.0</v>
      </c>
      <c r="L536" s="5">
        <v>2159.0</v>
      </c>
      <c r="M536" s="11">
        <v>53.29483</v>
      </c>
      <c r="N536" s="11">
        <v>-120.15278</v>
      </c>
      <c r="O536" s="11" t="s">
        <v>170</v>
      </c>
      <c r="P536" s="11">
        <v>195.0</v>
      </c>
      <c r="Q536" s="22">
        <v>1.0</v>
      </c>
      <c r="R536" s="11" t="s">
        <v>2262</v>
      </c>
      <c r="S536" s="11" t="s">
        <v>1737</v>
      </c>
      <c r="T536" s="11">
        <v>716.0</v>
      </c>
      <c r="U536" s="11" t="s">
        <v>645</v>
      </c>
      <c r="V536" s="11" t="s">
        <v>1813</v>
      </c>
      <c r="W536" s="23">
        <v>29221.0</v>
      </c>
      <c r="X536" s="11" t="s">
        <v>1738</v>
      </c>
      <c r="Y536" s="9"/>
      <c r="AO536" s="5" t="s">
        <v>2259</v>
      </c>
      <c r="AP536" s="5">
        <v>195.0</v>
      </c>
      <c r="AQ536" s="5" t="s">
        <v>1700</v>
      </c>
      <c r="AR536" s="5" t="s">
        <v>1739</v>
      </c>
      <c r="AS536" s="5" t="s">
        <v>1740</v>
      </c>
      <c r="AT536" s="5" t="s">
        <v>1741</v>
      </c>
      <c r="AU536" s="5" t="s">
        <v>1772</v>
      </c>
      <c r="AV536" s="5" t="s">
        <v>1720</v>
      </c>
      <c r="AW536" s="5" t="s">
        <v>2003</v>
      </c>
      <c r="AX536" s="5" t="s">
        <v>2258</v>
      </c>
      <c r="AY536" s="5">
        <v>53.2948</v>
      </c>
      <c r="AZ536" s="5">
        <v>-120.153</v>
      </c>
      <c r="BA536" s="5">
        <v>714.0</v>
      </c>
    </row>
    <row r="537" ht="14.25" customHeight="1">
      <c r="B537" s="8">
        <v>12.0</v>
      </c>
      <c r="C537" s="5" t="s">
        <v>7666</v>
      </c>
      <c r="D537" s="5">
        <v>196.0</v>
      </c>
      <c r="E537" s="5">
        <v>1757.0</v>
      </c>
      <c r="F537" s="18" t="s">
        <v>2263</v>
      </c>
      <c r="G537" s="5" t="s">
        <v>2264</v>
      </c>
      <c r="H537" s="5" t="s">
        <v>1900</v>
      </c>
      <c r="I537" s="5" t="s">
        <v>1664</v>
      </c>
      <c r="J537" s="5" t="s">
        <v>1715</v>
      </c>
      <c r="K537" s="5">
        <v>1.0</v>
      </c>
      <c r="L537" s="5">
        <v>2160.0</v>
      </c>
      <c r="Y537" s="9"/>
      <c r="AO537" s="5" t="s">
        <v>2263</v>
      </c>
      <c r="AP537" s="5">
        <v>196.0</v>
      </c>
      <c r="AQ537" s="5" t="s">
        <v>1716</v>
      </c>
      <c r="AR537" s="5" t="s">
        <v>1717</v>
      </c>
      <c r="AS537" s="5" t="s">
        <v>1718</v>
      </c>
      <c r="AT537" s="5" t="s">
        <v>1719</v>
      </c>
      <c r="AU537" s="5" t="s">
        <v>1703</v>
      </c>
      <c r="AV537" s="5" t="s">
        <v>1720</v>
      </c>
      <c r="AW537" s="5" t="s">
        <v>2003</v>
      </c>
      <c r="AX537" s="5" t="s">
        <v>2258</v>
      </c>
      <c r="AY537" s="5">
        <v>53.0</v>
      </c>
      <c r="AZ537" s="5">
        <v>-119.6</v>
      </c>
      <c r="BA537" s="5">
        <v>8.0</v>
      </c>
    </row>
    <row r="538" ht="14.25" customHeight="1">
      <c r="B538" s="8">
        <v>12.0</v>
      </c>
      <c r="C538" s="5" t="s">
        <v>7666</v>
      </c>
      <c r="D538" s="5">
        <v>197.0</v>
      </c>
      <c r="E538" s="5">
        <v>1758.0</v>
      </c>
      <c r="F538" s="18" t="s">
        <v>2265</v>
      </c>
      <c r="G538" s="5" t="s">
        <v>2266</v>
      </c>
      <c r="H538" s="5" t="s">
        <v>1900</v>
      </c>
      <c r="I538" s="5" t="s">
        <v>1664</v>
      </c>
      <c r="J538" s="5" t="s">
        <v>1715</v>
      </c>
      <c r="K538" s="5">
        <v>1.0</v>
      </c>
      <c r="L538" s="5">
        <v>2161.0</v>
      </c>
      <c r="Y538" s="9"/>
      <c r="AO538" s="5" t="s">
        <v>2265</v>
      </c>
      <c r="AP538" s="5">
        <v>197.0</v>
      </c>
      <c r="AQ538" s="5" t="s">
        <v>1716</v>
      </c>
      <c r="AR538" s="5" t="s">
        <v>1717</v>
      </c>
      <c r="AS538" s="5" t="s">
        <v>1718</v>
      </c>
      <c r="AT538" s="5" t="s">
        <v>1719</v>
      </c>
      <c r="AU538" s="5" t="s">
        <v>1703</v>
      </c>
      <c r="AV538" s="5" t="s">
        <v>1720</v>
      </c>
      <c r="AW538" s="5" t="s">
        <v>2003</v>
      </c>
      <c r="AX538" s="5" t="s">
        <v>2258</v>
      </c>
      <c r="AY538" s="5">
        <v>53.4</v>
      </c>
      <c r="AZ538" s="5">
        <v>-120.4</v>
      </c>
      <c r="BA538" s="5">
        <v>0.0</v>
      </c>
    </row>
    <row r="539" ht="14.25" customHeight="1">
      <c r="A539" s="5" t="s">
        <v>88</v>
      </c>
      <c r="B539" s="8">
        <v>12.0</v>
      </c>
      <c r="C539" s="5" t="s">
        <v>7666</v>
      </c>
      <c r="D539" s="5">
        <v>199.0</v>
      </c>
      <c r="E539" s="5">
        <v>1759.0</v>
      </c>
      <c r="F539" s="5" t="s">
        <v>2267</v>
      </c>
      <c r="G539" s="10" t="s">
        <v>2268</v>
      </c>
      <c r="H539" s="5" t="s">
        <v>2269</v>
      </c>
      <c r="I539" s="5" t="s">
        <v>641</v>
      </c>
      <c r="J539" s="5" t="s">
        <v>1736</v>
      </c>
      <c r="K539" s="5">
        <v>1.0</v>
      </c>
      <c r="L539" s="5">
        <v>2162.0</v>
      </c>
      <c r="M539" s="11">
        <v>53.57644</v>
      </c>
      <c r="N539" s="11">
        <v>-120.85844</v>
      </c>
      <c r="O539" s="11" t="s">
        <v>170</v>
      </c>
      <c r="P539" s="11">
        <v>199.0</v>
      </c>
      <c r="Q539" s="22">
        <v>1.0</v>
      </c>
      <c r="R539" s="11" t="s">
        <v>2267</v>
      </c>
      <c r="S539" s="11" t="s">
        <v>1737</v>
      </c>
      <c r="T539" s="11">
        <v>866.0</v>
      </c>
      <c r="U539" s="11"/>
      <c r="V539" s="11"/>
      <c r="W539" s="23">
        <v>31413.0</v>
      </c>
      <c r="X539" s="11" t="s">
        <v>1738</v>
      </c>
      <c r="Y539" s="9"/>
      <c r="AO539" s="5" t="s">
        <v>2267</v>
      </c>
      <c r="AP539" s="5">
        <v>199.0</v>
      </c>
      <c r="AQ539" s="5" t="s">
        <v>1716</v>
      </c>
      <c r="AR539" s="5" t="s">
        <v>1739</v>
      </c>
      <c r="AS539" s="5" t="s">
        <v>1740</v>
      </c>
      <c r="AT539" s="5" t="s">
        <v>1741</v>
      </c>
      <c r="AU539" s="5" t="s">
        <v>1742</v>
      </c>
      <c r="AV539" s="5" t="s">
        <v>1720</v>
      </c>
      <c r="AW539" s="5" t="s">
        <v>2003</v>
      </c>
      <c r="AX539" s="5" t="s">
        <v>2091</v>
      </c>
      <c r="AY539" s="5">
        <v>53.5764</v>
      </c>
      <c r="AZ539" s="5">
        <v>-120.8585</v>
      </c>
      <c r="BA539" s="5">
        <v>871.0</v>
      </c>
    </row>
    <row r="540" ht="14.25" customHeight="1">
      <c r="A540" s="5" t="s">
        <v>88</v>
      </c>
      <c r="B540" s="8">
        <v>12.0</v>
      </c>
      <c r="C540" s="5" t="s">
        <v>7666</v>
      </c>
      <c r="D540" s="5">
        <v>200.0</v>
      </c>
      <c r="E540" s="5">
        <v>1760.0</v>
      </c>
      <c r="F540" s="5" t="s">
        <v>2270</v>
      </c>
      <c r="G540" s="10" t="s">
        <v>2271</v>
      </c>
      <c r="H540" s="5" t="s">
        <v>2272</v>
      </c>
      <c r="I540" s="5" t="s">
        <v>641</v>
      </c>
      <c r="J540" s="5" t="s">
        <v>1865</v>
      </c>
      <c r="K540" s="5">
        <v>1.0</v>
      </c>
      <c r="L540" s="5">
        <v>2163.0</v>
      </c>
      <c r="M540" s="11">
        <v>52.78805</v>
      </c>
      <c r="N540" s="11">
        <v>-119.31481</v>
      </c>
      <c r="O540" s="11" t="s">
        <v>170</v>
      </c>
      <c r="P540" s="11">
        <v>200.0</v>
      </c>
      <c r="Q540" s="22">
        <v>3.0</v>
      </c>
      <c r="R540" s="11" t="s">
        <v>2270</v>
      </c>
      <c r="S540" s="11" t="s">
        <v>1737</v>
      </c>
      <c r="T540" s="11">
        <v>1195.0</v>
      </c>
      <c r="U540" s="11"/>
      <c r="V540" s="11"/>
      <c r="W540" s="23">
        <v>31413.0</v>
      </c>
      <c r="X540" s="11" t="s">
        <v>1738</v>
      </c>
      <c r="Y540" s="9"/>
      <c r="AO540" s="5" t="s">
        <v>2270</v>
      </c>
      <c r="AP540" s="5">
        <v>200.0</v>
      </c>
      <c r="AQ540" s="5" t="s">
        <v>1700</v>
      </c>
      <c r="AR540" s="5" t="s">
        <v>1739</v>
      </c>
      <c r="AS540" s="5" t="s">
        <v>1740</v>
      </c>
      <c r="AT540" s="5" t="s">
        <v>1741</v>
      </c>
      <c r="AU540" s="5" t="s">
        <v>1959</v>
      </c>
      <c r="AV540" s="5" t="s">
        <v>1720</v>
      </c>
      <c r="AW540" s="5" t="s">
        <v>2003</v>
      </c>
      <c r="AX540" s="5" t="s">
        <v>2258</v>
      </c>
      <c r="AY540" s="5">
        <v>52.7883</v>
      </c>
      <c r="AZ540" s="5">
        <v>-119.3147</v>
      </c>
      <c r="BA540" s="5">
        <v>1163.0</v>
      </c>
    </row>
    <row r="541" ht="14.25" customHeight="1">
      <c r="B541" s="8">
        <v>12.0</v>
      </c>
      <c r="C541" s="5" t="s">
        <v>7666</v>
      </c>
      <c r="D541" s="5">
        <v>201.0</v>
      </c>
      <c r="E541" s="5">
        <v>1761.0</v>
      </c>
      <c r="F541" s="5" t="s">
        <v>2273</v>
      </c>
      <c r="G541" s="5" t="s">
        <v>2274</v>
      </c>
      <c r="H541" s="5" t="s">
        <v>2275</v>
      </c>
      <c r="I541" s="5" t="s">
        <v>641</v>
      </c>
      <c r="J541" s="5" t="s">
        <v>1736</v>
      </c>
      <c r="K541" s="5">
        <v>1.0</v>
      </c>
      <c r="L541" s="5">
        <v>2164.0</v>
      </c>
      <c r="M541" s="11">
        <v>53.93597</v>
      </c>
      <c r="N541" s="11">
        <v>-124.77672</v>
      </c>
      <c r="O541" s="11" t="s">
        <v>148</v>
      </c>
      <c r="P541" s="11">
        <v>654.0</v>
      </c>
      <c r="Q541" s="22">
        <v>3.0</v>
      </c>
      <c r="R541" s="11" t="s">
        <v>2276</v>
      </c>
      <c r="S541" s="11" t="s">
        <v>1737</v>
      </c>
      <c r="T541" s="11">
        <v>961.0</v>
      </c>
      <c r="U541" s="11"/>
      <c r="V541" s="11" t="s">
        <v>2147</v>
      </c>
      <c r="W541" s="23">
        <v>35796.0</v>
      </c>
      <c r="X541" s="11" t="s">
        <v>1738</v>
      </c>
      <c r="Y541" s="9"/>
      <c r="AO541" s="5" t="s">
        <v>2273</v>
      </c>
      <c r="AP541" s="5">
        <v>201.0</v>
      </c>
      <c r="AQ541" s="5" t="s">
        <v>1716</v>
      </c>
      <c r="AR541" s="5" t="s">
        <v>1717</v>
      </c>
      <c r="AS541" s="5" t="s">
        <v>1740</v>
      </c>
      <c r="AT541" s="5" t="s">
        <v>1835</v>
      </c>
      <c r="AU541" s="5" t="s">
        <v>1742</v>
      </c>
      <c r="AV541" s="5" t="s">
        <v>1720</v>
      </c>
      <c r="AW541" s="5" t="s">
        <v>2003</v>
      </c>
      <c r="AX541" s="5" t="s">
        <v>2258</v>
      </c>
      <c r="AY541" s="5">
        <v>53.3454</v>
      </c>
      <c r="AZ541" s="5">
        <v>-119.7132</v>
      </c>
      <c r="BA541" s="5">
        <v>1179.0</v>
      </c>
    </row>
    <row r="542" ht="14.25" customHeight="1">
      <c r="B542" s="8">
        <v>12.0</v>
      </c>
      <c r="C542" s="5" t="s">
        <v>7666</v>
      </c>
      <c r="D542" s="5">
        <v>202.0</v>
      </c>
      <c r="E542" s="5">
        <v>1762.0</v>
      </c>
      <c r="F542" s="5" t="s">
        <v>2277</v>
      </c>
      <c r="G542" s="5" t="s">
        <v>2278</v>
      </c>
      <c r="H542" s="5" t="s">
        <v>2279</v>
      </c>
      <c r="I542" s="5" t="s">
        <v>641</v>
      </c>
      <c r="J542" s="5" t="s">
        <v>1715</v>
      </c>
      <c r="K542" s="5">
        <v>1.0</v>
      </c>
      <c r="L542" s="5">
        <v>2165.0</v>
      </c>
      <c r="Y542" s="9"/>
      <c r="AO542" s="5" t="s">
        <v>2280</v>
      </c>
      <c r="AP542" s="5">
        <v>202.0</v>
      </c>
      <c r="AQ542" s="5" t="s">
        <v>1716</v>
      </c>
      <c r="AR542" s="5" t="s">
        <v>1717</v>
      </c>
      <c r="AS542" s="5" t="s">
        <v>1718</v>
      </c>
      <c r="AT542" s="5" t="s">
        <v>2161</v>
      </c>
      <c r="AU542" s="5" t="s">
        <v>2162</v>
      </c>
      <c r="AV542" s="5" t="s">
        <v>1720</v>
      </c>
      <c r="AW542" s="5" t="s">
        <v>2003</v>
      </c>
      <c r="AX542" s="5" t="s">
        <v>2258</v>
      </c>
      <c r="AY542" s="5">
        <v>52.7027</v>
      </c>
      <c r="AZ542" s="5">
        <v>-118.4701</v>
      </c>
      <c r="BA542" s="5">
        <v>1667.0</v>
      </c>
    </row>
    <row r="543" ht="14.25" customHeight="1">
      <c r="A543" s="5" t="s">
        <v>422</v>
      </c>
      <c r="B543" s="8">
        <v>12.0</v>
      </c>
      <c r="C543" s="5" t="s">
        <v>7665</v>
      </c>
      <c r="D543" s="5">
        <v>203.0</v>
      </c>
      <c r="E543" s="5">
        <v>12970.0</v>
      </c>
      <c r="F543" s="51" t="s">
        <v>2281</v>
      </c>
      <c r="G543" s="5" t="s">
        <v>127</v>
      </c>
      <c r="H543" s="5" t="s">
        <v>1697</v>
      </c>
      <c r="I543" s="5" t="s">
        <v>49</v>
      </c>
      <c r="J543" s="5" t="s">
        <v>1746</v>
      </c>
      <c r="K543" s="5">
        <v>1.0</v>
      </c>
      <c r="L543" s="5">
        <v>14902.0</v>
      </c>
      <c r="Y543" s="9"/>
      <c r="AO543" s="50" t="s">
        <v>2282</v>
      </c>
      <c r="AP543" s="50">
        <v>203.0</v>
      </c>
      <c r="AQ543" s="50" t="s">
        <v>1700</v>
      </c>
      <c r="AR543" s="50" t="s">
        <v>1701</v>
      </c>
      <c r="AS543" s="50" t="s">
        <v>1702</v>
      </c>
      <c r="AT543" s="50" t="s">
        <v>1703</v>
      </c>
      <c r="AU543" s="50" t="s">
        <v>1704</v>
      </c>
      <c r="AV543" s="50" t="s">
        <v>1702</v>
      </c>
      <c r="AW543" s="50" t="s">
        <v>2193</v>
      </c>
      <c r="AX543" s="50" t="s">
        <v>2283</v>
      </c>
      <c r="AY543" s="50">
        <v>52.1</v>
      </c>
      <c r="AZ543" s="50">
        <v>-124.2</v>
      </c>
      <c r="BA543" s="50">
        <v>910.0</v>
      </c>
    </row>
    <row r="544" ht="14.25" customHeight="1">
      <c r="B544" s="8">
        <v>12.0</v>
      </c>
      <c r="C544" s="5" t="s">
        <v>7666</v>
      </c>
      <c r="D544" s="5">
        <v>204.0</v>
      </c>
      <c r="E544" s="5">
        <v>1763.0</v>
      </c>
      <c r="F544" s="18" t="s">
        <v>2284</v>
      </c>
      <c r="G544" s="5" t="s">
        <v>2285</v>
      </c>
      <c r="H544" s="5" t="s">
        <v>2286</v>
      </c>
      <c r="I544" s="5" t="s">
        <v>1664</v>
      </c>
      <c r="J544" s="5" t="s">
        <v>1715</v>
      </c>
      <c r="K544" s="5">
        <v>1.0</v>
      </c>
      <c r="L544" s="5">
        <v>2166.0</v>
      </c>
      <c r="Y544" s="9"/>
      <c r="AO544" s="5" t="s">
        <v>2284</v>
      </c>
      <c r="AP544" s="5">
        <v>204.0</v>
      </c>
      <c r="AQ544" s="5" t="s">
        <v>1716</v>
      </c>
      <c r="AR544" s="5" t="s">
        <v>1717</v>
      </c>
      <c r="AS544" s="5" t="s">
        <v>1718</v>
      </c>
      <c r="AT544" s="5" t="s">
        <v>1719</v>
      </c>
      <c r="AU544" s="5" t="s">
        <v>1703</v>
      </c>
      <c r="AV544" s="5" t="s">
        <v>1720</v>
      </c>
      <c r="AW544" s="5" t="s">
        <v>2193</v>
      </c>
      <c r="AX544" s="5" t="s">
        <v>2287</v>
      </c>
      <c r="AY544" s="5">
        <v>51.4</v>
      </c>
      <c r="AZ544" s="5">
        <v>-121.7</v>
      </c>
      <c r="BA544" s="5">
        <v>11.0</v>
      </c>
    </row>
    <row r="545" ht="14.25" customHeight="1">
      <c r="A545" s="5" t="s">
        <v>422</v>
      </c>
      <c r="B545" s="8">
        <v>12.0</v>
      </c>
      <c r="C545" s="5" t="s">
        <v>7671</v>
      </c>
      <c r="D545" s="5">
        <v>205.0</v>
      </c>
      <c r="E545" s="5">
        <v>12985.0</v>
      </c>
      <c r="F545" s="51" t="s">
        <v>2288</v>
      </c>
      <c r="G545" s="5" t="s">
        <v>127</v>
      </c>
      <c r="H545" s="5" t="s">
        <v>2289</v>
      </c>
      <c r="I545" s="5" t="s">
        <v>49</v>
      </c>
      <c r="J545" s="5" t="s">
        <v>1698</v>
      </c>
      <c r="K545" s="5">
        <v>1.0</v>
      </c>
      <c r="L545" s="5">
        <v>14917.0</v>
      </c>
      <c r="Y545" s="9"/>
      <c r="AO545" s="50" t="s">
        <v>2290</v>
      </c>
      <c r="AP545" s="50">
        <v>205.0</v>
      </c>
      <c r="AQ545" s="50" t="s">
        <v>1700</v>
      </c>
      <c r="AR545" s="50" t="s">
        <v>1701</v>
      </c>
      <c r="AS545" s="50" t="s">
        <v>1702</v>
      </c>
      <c r="AT545" s="50" t="s">
        <v>1703</v>
      </c>
      <c r="AU545" s="50" t="s">
        <v>1704</v>
      </c>
      <c r="AV545" s="50" t="s">
        <v>1702</v>
      </c>
      <c r="AW545" s="50" t="s">
        <v>2193</v>
      </c>
      <c r="AX545" s="50" t="s">
        <v>2291</v>
      </c>
      <c r="AY545" s="50">
        <v>52.2</v>
      </c>
      <c r="AZ545" s="50">
        <v>-122.1</v>
      </c>
      <c r="BA545" s="50">
        <v>940.0</v>
      </c>
    </row>
    <row r="546" ht="14.25" customHeight="1">
      <c r="B546" s="8">
        <v>12.0</v>
      </c>
      <c r="C546" s="5" t="s">
        <v>7666</v>
      </c>
      <c r="D546" s="5">
        <v>206.0</v>
      </c>
      <c r="E546" s="5">
        <v>1764.0</v>
      </c>
      <c r="F546" s="5" t="s">
        <v>2292</v>
      </c>
      <c r="G546" s="5" t="s">
        <v>2293</v>
      </c>
      <c r="H546" s="5" t="s">
        <v>2294</v>
      </c>
      <c r="I546" s="5" t="s">
        <v>641</v>
      </c>
      <c r="J546" s="5" t="s">
        <v>1865</v>
      </c>
      <c r="K546" s="5">
        <v>1.0</v>
      </c>
      <c r="L546" s="5">
        <v>2167.0</v>
      </c>
      <c r="M546" s="11">
        <v>52.535</v>
      </c>
      <c r="N546" s="11">
        <v>-123.25</v>
      </c>
      <c r="O546" s="11" t="s">
        <v>148</v>
      </c>
      <c r="P546" s="11">
        <v>206.0</v>
      </c>
      <c r="Q546" s="22">
        <v>4.0</v>
      </c>
      <c r="R546" s="11" t="s">
        <v>2292</v>
      </c>
      <c r="S546" s="11" t="s">
        <v>1737</v>
      </c>
      <c r="T546" s="5">
        <v>1085.0</v>
      </c>
      <c r="W546" s="5">
        <v>25569.0</v>
      </c>
      <c r="X546" s="5" t="s">
        <v>1738</v>
      </c>
      <c r="Y546" s="9"/>
      <c r="AO546" s="5" t="s">
        <v>2292</v>
      </c>
      <c r="AP546" s="5">
        <v>206.0</v>
      </c>
      <c r="AQ546" s="5" t="s">
        <v>1716</v>
      </c>
      <c r="AR546" s="5" t="s">
        <v>1739</v>
      </c>
      <c r="AS546" s="5" t="s">
        <v>1740</v>
      </c>
      <c r="AT546" s="5" t="s">
        <v>1741</v>
      </c>
      <c r="AU546" s="5" t="s">
        <v>1742</v>
      </c>
      <c r="AV546" s="5" t="s">
        <v>1720</v>
      </c>
      <c r="AW546" s="5" t="s">
        <v>2193</v>
      </c>
      <c r="AX546" s="5" t="s">
        <v>2291</v>
      </c>
      <c r="AY546" s="5">
        <v>52.5422</v>
      </c>
      <c r="AZ546" s="5">
        <v>-123.35</v>
      </c>
      <c r="BA546" s="5">
        <v>1085.0</v>
      </c>
    </row>
    <row r="547" ht="14.25" customHeight="1">
      <c r="B547" s="8">
        <v>12.0</v>
      </c>
      <c r="C547" s="5" t="s">
        <v>7666</v>
      </c>
      <c r="D547" s="5">
        <v>208.0</v>
      </c>
      <c r="E547" s="5">
        <v>1765.0</v>
      </c>
      <c r="F547" s="5" t="s">
        <v>2295</v>
      </c>
      <c r="G547" s="5" t="s">
        <v>2296</v>
      </c>
      <c r="H547" s="5" t="s">
        <v>2297</v>
      </c>
      <c r="I547" s="5" t="s">
        <v>641</v>
      </c>
      <c r="J547" s="5" t="s">
        <v>1736</v>
      </c>
      <c r="K547" s="5">
        <v>1.0</v>
      </c>
      <c r="L547" s="5">
        <v>2168.0</v>
      </c>
      <c r="M547" s="11">
        <v>51.90667</v>
      </c>
      <c r="N547" s="11">
        <v>-124.605</v>
      </c>
      <c r="O547" s="11" t="s">
        <v>148</v>
      </c>
      <c r="P547" s="11">
        <v>208.0</v>
      </c>
      <c r="Q547" s="22">
        <v>2.0</v>
      </c>
      <c r="R547" s="11" t="s">
        <v>2298</v>
      </c>
      <c r="S547" s="11" t="s">
        <v>1737</v>
      </c>
      <c r="T547" s="5">
        <v>945.0</v>
      </c>
      <c r="U547" s="5" t="s">
        <v>645</v>
      </c>
      <c r="W547" s="5">
        <v>29221.0</v>
      </c>
      <c r="X547" s="5" t="s">
        <v>1738</v>
      </c>
      <c r="Y547" s="9"/>
      <c r="AO547" s="5" t="s">
        <v>2295</v>
      </c>
      <c r="AP547" s="5">
        <v>208.0</v>
      </c>
      <c r="AQ547" s="5" t="s">
        <v>1700</v>
      </c>
      <c r="AR547" s="5" t="s">
        <v>1739</v>
      </c>
      <c r="AS547" s="5" t="s">
        <v>1740</v>
      </c>
      <c r="AT547" s="5" t="s">
        <v>1741</v>
      </c>
      <c r="AU547" s="5" t="s">
        <v>1959</v>
      </c>
      <c r="AV547" s="5" t="s">
        <v>1720</v>
      </c>
      <c r="AW547" s="5" t="s">
        <v>2193</v>
      </c>
      <c r="AX547" s="5" t="s">
        <v>2283</v>
      </c>
      <c r="AY547" s="5">
        <v>51.9067</v>
      </c>
      <c r="AZ547" s="5">
        <v>-124.605</v>
      </c>
      <c r="BA547" s="5">
        <v>945.0</v>
      </c>
    </row>
    <row r="548" ht="14.25" customHeight="1">
      <c r="A548" s="5" t="s">
        <v>88</v>
      </c>
      <c r="B548" s="8">
        <v>12.0</v>
      </c>
      <c r="C548" s="5" t="s">
        <v>7666</v>
      </c>
      <c r="D548" s="5">
        <v>209.0</v>
      </c>
      <c r="E548" s="5">
        <v>1766.0</v>
      </c>
      <c r="F548" s="5" t="s">
        <v>2299</v>
      </c>
      <c r="G548" s="10" t="s">
        <v>2300</v>
      </c>
      <c r="H548" s="5" t="s">
        <v>2301</v>
      </c>
      <c r="I548" s="5" t="s">
        <v>641</v>
      </c>
      <c r="J548" s="5" t="s">
        <v>1736</v>
      </c>
      <c r="K548" s="5">
        <v>1.0</v>
      </c>
      <c r="L548" s="5">
        <v>2169.0</v>
      </c>
      <c r="M548" s="11">
        <v>52.08377</v>
      </c>
      <c r="N548" s="11">
        <v>-123.27327</v>
      </c>
      <c r="O548" s="11" t="s">
        <v>148</v>
      </c>
      <c r="P548" s="11">
        <v>209.0</v>
      </c>
      <c r="Q548" s="22">
        <v>1.0</v>
      </c>
      <c r="R548" s="11" t="s">
        <v>2299</v>
      </c>
      <c r="S548" s="11" t="s">
        <v>1737</v>
      </c>
      <c r="T548" s="5">
        <v>791.0</v>
      </c>
      <c r="U548" s="5" t="s">
        <v>645</v>
      </c>
      <c r="V548" s="5" t="s">
        <v>1830</v>
      </c>
      <c r="W548" s="5">
        <v>29221.0</v>
      </c>
      <c r="X548" s="5" t="s">
        <v>1738</v>
      </c>
      <c r="Y548" s="9"/>
      <c r="AO548" s="5" t="s">
        <v>2299</v>
      </c>
      <c r="AP548" s="5">
        <v>209.0</v>
      </c>
      <c r="AQ548" s="5" t="s">
        <v>1716</v>
      </c>
      <c r="AR548" s="5" t="s">
        <v>1739</v>
      </c>
      <c r="AS548" s="5" t="s">
        <v>1740</v>
      </c>
      <c r="AT548" s="5" t="s">
        <v>1741</v>
      </c>
      <c r="AU548" s="5" t="s">
        <v>1742</v>
      </c>
      <c r="AV548" s="5" t="s">
        <v>1720</v>
      </c>
      <c r="AW548" s="5" t="s">
        <v>2193</v>
      </c>
      <c r="AX548" s="5" t="s">
        <v>2283</v>
      </c>
      <c r="AY548" s="5">
        <v>52.0838</v>
      </c>
      <c r="AZ548" s="5">
        <v>-123.2733</v>
      </c>
      <c r="BA548" s="5">
        <v>791.0</v>
      </c>
    </row>
    <row r="549" ht="14.25" customHeight="1">
      <c r="A549" s="5" t="s">
        <v>88</v>
      </c>
      <c r="B549" s="8">
        <v>12.0</v>
      </c>
      <c r="C549" s="5" t="s">
        <v>7666</v>
      </c>
      <c r="D549" s="5">
        <v>210.0</v>
      </c>
      <c r="E549" s="5">
        <v>1767.0</v>
      </c>
      <c r="F549" s="5" t="s">
        <v>2302</v>
      </c>
      <c r="G549" s="10" t="s">
        <v>2303</v>
      </c>
      <c r="H549" s="5" t="s">
        <v>2304</v>
      </c>
      <c r="I549" s="5" t="s">
        <v>641</v>
      </c>
      <c r="J549" s="5" t="s">
        <v>1865</v>
      </c>
      <c r="K549" s="5">
        <v>1.0</v>
      </c>
      <c r="L549" s="5">
        <v>2170.0</v>
      </c>
      <c r="M549" s="11">
        <v>51.96</v>
      </c>
      <c r="N549" s="11">
        <v>-122.51</v>
      </c>
      <c r="O549" s="11" t="s">
        <v>148</v>
      </c>
      <c r="P549" s="11">
        <v>210.0</v>
      </c>
      <c r="Q549" s="22">
        <v>2.0</v>
      </c>
      <c r="R549" s="11" t="s">
        <v>2302</v>
      </c>
      <c r="S549" s="11" t="s">
        <v>1737</v>
      </c>
      <c r="T549" s="5">
        <v>884.0</v>
      </c>
      <c r="W549" s="5">
        <v>29221.0</v>
      </c>
      <c r="X549" s="5" t="s">
        <v>1738</v>
      </c>
      <c r="Y549" s="9"/>
      <c r="AO549" s="5" t="s">
        <v>2302</v>
      </c>
      <c r="AP549" s="5">
        <v>210.0</v>
      </c>
      <c r="AQ549" s="5" t="s">
        <v>1700</v>
      </c>
      <c r="AR549" s="5" t="s">
        <v>1739</v>
      </c>
      <c r="AS549" s="5" t="s">
        <v>1740</v>
      </c>
      <c r="AT549" s="5" t="s">
        <v>1741</v>
      </c>
      <c r="AU549" s="5" t="s">
        <v>1959</v>
      </c>
      <c r="AV549" s="5" t="s">
        <v>1720</v>
      </c>
      <c r="AW549" s="5" t="s">
        <v>2193</v>
      </c>
      <c r="AX549" s="5" t="s">
        <v>2291</v>
      </c>
      <c r="AY549" s="5">
        <v>51.9594</v>
      </c>
      <c r="AZ549" s="5">
        <v>-122.5042</v>
      </c>
      <c r="BA549" s="5">
        <v>929.0</v>
      </c>
    </row>
    <row r="550" ht="14.25" customHeight="1">
      <c r="B550" s="8">
        <v>12.0</v>
      </c>
      <c r="C550" s="5" t="s">
        <v>7666</v>
      </c>
      <c r="D550" s="5">
        <v>211.0</v>
      </c>
      <c r="E550" s="5">
        <v>1768.0</v>
      </c>
      <c r="F550" s="5" t="s">
        <v>2305</v>
      </c>
      <c r="G550" s="5" t="s">
        <v>2306</v>
      </c>
      <c r="H550" s="5" t="s">
        <v>2307</v>
      </c>
      <c r="I550" s="5" t="s">
        <v>641</v>
      </c>
      <c r="J550" s="5" t="s">
        <v>1736</v>
      </c>
      <c r="K550" s="5">
        <v>1.0</v>
      </c>
      <c r="L550" s="5">
        <v>2171.0</v>
      </c>
      <c r="M550" s="11">
        <v>52.9575</v>
      </c>
      <c r="N550" s="11">
        <v>-123.5958</v>
      </c>
      <c r="O550" s="11" t="s">
        <v>148</v>
      </c>
      <c r="P550" s="11">
        <v>211.0</v>
      </c>
      <c r="Q550" s="22">
        <v>2.0</v>
      </c>
      <c r="R550" s="11" t="s">
        <v>2305</v>
      </c>
      <c r="S550" s="11" t="s">
        <v>1737</v>
      </c>
      <c r="T550" s="5">
        <v>910.0</v>
      </c>
      <c r="U550" s="5" t="s">
        <v>645</v>
      </c>
      <c r="V550" s="5" t="s">
        <v>1830</v>
      </c>
      <c r="W550" s="5">
        <v>29587.0</v>
      </c>
      <c r="X550" s="5" t="s">
        <v>1738</v>
      </c>
      <c r="Y550" s="9"/>
      <c r="AO550" s="5" t="s">
        <v>2305</v>
      </c>
      <c r="AP550" s="5">
        <v>211.0</v>
      </c>
      <c r="AQ550" s="5" t="s">
        <v>1716</v>
      </c>
      <c r="AR550" s="5" t="s">
        <v>1739</v>
      </c>
      <c r="AS550" s="5" t="s">
        <v>1740</v>
      </c>
      <c r="AT550" s="5" t="s">
        <v>1741</v>
      </c>
      <c r="AU550" s="5" t="s">
        <v>1742</v>
      </c>
      <c r="AV550" s="5" t="s">
        <v>1720</v>
      </c>
      <c r="AW550" s="5" t="s">
        <v>2193</v>
      </c>
      <c r="AX550" s="5" t="s">
        <v>2194</v>
      </c>
      <c r="AY550" s="5">
        <v>52.9575</v>
      </c>
      <c r="AZ550" s="5">
        <v>-123.5958</v>
      </c>
      <c r="BA550" s="5">
        <v>910.0</v>
      </c>
    </row>
    <row r="551" ht="14.25" customHeight="1">
      <c r="A551" s="5" t="s">
        <v>2037</v>
      </c>
      <c r="B551" s="8">
        <v>12.0</v>
      </c>
      <c r="C551" s="5" t="s">
        <v>7666</v>
      </c>
      <c r="D551" s="5">
        <v>212.0</v>
      </c>
      <c r="E551" s="5">
        <v>1769.0</v>
      </c>
      <c r="F551" s="10" t="s">
        <v>2308</v>
      </c>
      <c r="G551" s="5" t="s">
        <v>2309</v>
      </c>
      <c r="H551" s="5" t="s">
        <v>2310</v>
      </c>
      <c r="I551" s="5" t="s">
        <v>641</v>
      </c>
      <c r="J551" s="5" t="s">
        <v>1736</v>
      </c>
      <c r="K551" s="5">
        <v>1.0</v>
      </c>
      <c r="L551" s="5">
        <v>2172.0</v>
      </c>
      <c r="M551" s="11">
        <v>51.81667</v>
      </c>
      <c r="N551" s="11">
        <v>-122.0</v>
      </c>
      <c r="O551" s="11" t="s">
        <v>148</v>
      </c>
      <c r="P551" s="11">
        <v>212.0</v>
      </c>
      <c r="Q551" s="22">
        <v>4.0</v>
      </c>
      <c r="R551" s="11" t="s">
        <v>2311</v>
      </c>
      <c r="S551" s="11" t="s">
        <v>1737</v>
      </c>
      <c r="T551" s="5">
        <v>1065.0</v>
      </c>
      <c r="W551" s="5">
        <v>29587.0</v>
      </c>
      <c r="X551" s="5" t="s">
        <v>1738</v>
      </c>
      <c r="Y551" s="9"/>
      <c r="AO551" s="5" t="s">
        <v>2311</v>
      </c>
      <c r="AP551" s="5">
        <v>212.0</v>
      </c>
      <c r="AQ551" s="5" t="s">
        <v>1700</v>
      </c>
      <c r="AR551" s="5" t="s">
        <v>1739</v>
      </c>
      <c r="AS551" s="5" t="s">
        <v>1740</v>
      </c>
      <c r="AT551" s="5" t="s">
        <v>1741</v>
      </c>
      <c r="AU551" s="5" t="s">
        <v>1959</v>
      </c>
      <c r="AV551" s="5" t="s">
        <v>1720</v>
      </c>
      <c r="AW551" s="5" t="s">
        <v>2193</v>
      </c>
      <c r="AX551" s="5" t="s">
        <v>2291</v>
      </c>
      <c r="AY551" s="5">
        <v>51.8167</v>
      </c>
      <c r="AZ551" s="5">
        <v>-122.0</v>
      </c>
      <c r="BA551" s="5">
        <v>1065.0</v>
      </c>
    </row>
    <row r="552" ht="14.25" customHeight="1">
      <c r="B552" s="8">
        <v>12.0</v>
      </c>
      <c r="C552" s="5" t="s">
        <v>7666</v>
      </c>
      <c r="D552" s="5">
        <v>213.0</v>
      </c>
      <c r="E552" s="5">
        <v>1770.0</v>
      </c>
      <c r="F552" s="5" t="s">
        <v>2312</v>
      </c>
      <c r="G552" s="5" t="s">
        <v>2313</v>
      </c>
      <c r="H552" s="5" t="s">
        <v>2314</v>
      </c>
      <c r="I552" s="5" t="s">
        <v>641</v>
      </c>
      <c r="J552" s="5" t="s">
        <v>1736</v>
      </c>
      <c r="K552" s="5">
        <v>1.0</v>
      </c>
      <c r="L552" s="5">
        <v>2173.0</v>
      </c>
      <c r="M552" s="11">
        <v>52.45667</v>
      </c>
      <c r="N552" s="11">
        <v>-125.30333</v>
      </c>
      <c r="O552" s="11" t="s">
        <v>148</v>
      </c>
      <c r="P552" s="16">
        <v>213.0</v>
      </c>
      <c r="Q552" s="22">
        <v>4.0</v>
      </c>
      <c r="R552" s="11" t="s">
        <v>2315</v>
      </c>
      <c r="S552" s="11" t="s">
        <v>1737</v>
      </c>
      <c r="T552" s="5">
        <v>1096.0</v>
      </c>
      <c r="U552" s="5" t="s">
        <v>645</v>
      </c>
      <c r="V552" s="5" t="s">
        <v>1830</v>
      </c>
      <c r="W552" s="5">
        <v>29587.0</v>
      </c>
      <c r="X552" s="5" t="s">
        <v>1738</v>
      </c>
      <c r="Y552" s="9"/>
      <c r="AO552" s="5" t="s">
        <v>2312</v>
      </c>
      <c r="AP552" s="5">
        <v>213.0</v>
      </c>
      <c r="AQ552" s="5" t="s">
        <v>1700</v>
      </c>
      <c r="AR552" s="5" t="s">
        <v>1739</v>
      </c>
      <c r="AS552" s="5" t="s">
        <v>1740</v>
      </c>
      <c r="AT552" s="5" t="s">
        <v>1741</v>
      </c>
      <c r="AU552" s="5" t="s">
        <v>1959</v>
      </c>
      <c r="AV552" s="5" t="s">
        <v>1720</v>
      </c>
      <c r="AW552" s="5" t="s">
        <v>2193</v>
      </c>
      <c r="AX552" s="5" t="s">
        <v>2283</v>
      </c>
      <c r="AY552" s="5">
        <v>52.4606</v>
      </c>
      <c r="AZ552" s="5">
        <v>-125.307</v>
      </c>
      <c r="BA552" s="5">
        <v>1097.0</v>
      </c>
    </row>
    <row r="553" ht="14.25" customHeight="1">
      <c r="B553" s="8">
        <v>12.0</v>
      </c>
      <c r="C553" s="5" t="s">
        <v>7666</v>
      </c>
      <c r="D553" s="5">
        <v>214.0</v>
      </c>
      <c r="E553" s="5">
        <v>1771.0</v>
      </c>
      <c r="F553" s="18" t="s">
        <v>2316</v>
      </c>
      <c r="G553" s="5" t="s">
        <v>2317</v>
      </c>
      <c r="H553" s="5" t="s">
        <v>1900</v>
      </c>
      <c r="I553" s="5" t="s">
        <v>1664</v>
      </c>
      <c r="J553" s="5" t="s">
        <v>1715</v>
      </c>
      <c r="K553" s="5">
        <v>1.0</v>
      </c>
      <c r="L553" s="5">
        <v>2174.0</v>
      </c>
      <c r="Y553" s="9"/>
      <c r="AO553" s="5" t="s">
        <v>2316</v>
      </c>
      <c r="AP553" s="5">
        <v>214.0</v>
      </c>
      <c r="AQ553" s="5" t="s">
        <v>1716</v>
      </c>
      <c r="AR553" s="5" t="s">
        <v>1717</v>
      </c>
      <c r="AS553" s="5" t="s">
        <v>1718</v>
      </c>
      <c r="AT553" s="5" t="s">
        <v>1719</v>
      </c>
      <c r="AU553" s="5" t="s">
        <v>1703</v>
      </c>
      <c r="AV553" s="5" t="s">
        <v>1720</v>
      </c>
      <c r="AW553" s="5" t="s">
        <v>2193</v>
      </c>
      <c r="AX553" s="5" t="s">
        <v>2283</v>
      </c>
      <c r="AY553" s="5">
        <v>52.0</v>
      </c>
      <c r="AZ553" s="5">
        <v>-125.0</v>
      </c>
      <c r="BA553" s="5">
        <v>9.0</v>
      </c>
    </row>
    <row r="554" ht="14.25" customHeight="1">
      <c r="B554" s="8">
        <v>12.0</v>
      </c>
      <c r="C554" s="5" t="s">
        <v>7666</v>
      </c>
      <c r="D554" s="5">
        <v>215.0</v>
      </c>
      <c r="E554" s="5">
        <v>1772.0</v>
      </c>
      <c r="F554" s="18" t="s">
        <v>2318</v>
      </c>
      <c r="G554" s="5" t="s">
        <v>2319</v>
      </c>
      <c r="H554" s="5" t="s">
        <v>2320</v>
      </c>
      <c r="I554" s="5" t="s">
        <v>1664</v>
      </c>
      <c r="J554" s="5" t="s">
        <v>1746</v>
      </c>
      <c r="K554" s="5">
        <v>1.0</v>
      </c>
      <c r="L554" s="5">
        <v>2175.0</v>
      </c>
      <c r="Y554" s="9"/>
      <c r="AO554" s="5" t="s">
        <v>2318</v>
      </c>
      <c r="AP554" s="5">
        <v>215.0</v>
      </c>
      <c r="AQ554" s="5" t="s">
        <v>1716</v>
      </c>
      <c r="AR554" s="5" t="s">
        <v>1717</v>
      </c>
      <c r="AS554" s="5" t="s">
        <v>1718</v>
      </c>
      <c r="AT554" s="5" t="s">
        <v>1719</v>
      </c>
      <c r="AU554" s="5" t="s">
        <v>1703</v>
      </c>
      <c r="AV554" s="5" t="s">
        <v>1720</v>
      </c>
      <c r="AW554" s="5" t="s">
        <v>2193</v>
      </c>
      <c r="AX554" s="5" t="s">
        <v>2283</v>
      </c>
      <c r="AY554" s="5">
        <v>51.6</v>
      </c>
      <c r="AZ554" s="5">
        <v>-124.4</v>
      </c>
      <c r="BA554" s="5">
        <v>12.0</v>
      </c>
    </row>
    <row r="555" ht="14.25" customHeight="1">
      <c r="B555" s="8">
        <v>12.0</v>
      </c>
      <c r="C555" s="5" t="s">
        <v>7666</v>
      </c>
      <c r="D555" s="5">
        <v>216.0</v>
      </c>
      <c r="E555" s="5">
        <v>1773.0</v>
      </c>
      <c r="F555" s="5" t="s">
        <v>2321</v>
      </c>
      <c r="G555" s="5" t="s">
        <v>2322</v>
      </c>
      <c r="H555" s="5" t="s">
        <v>2323</v>
      </c>
      <c r="I555" s="5" t="s">
        <v>641</v>
      </c>
      <c r="J555" s="5" t="s">
        <v>1865</v>
      </c>
      <c r="K555" s="5">
        <v>1.0</v>
      </c>
      <c r="L555" s="5">
        <v>2176.0</v>
      </c>
      <c r="M555" s="11">
        <v>51.48</v>
      </c>
      <c r="N555" s="11">
        <v>-123.81833</v>
      </c>
      <c r="O555" s="11" t="s">
        <v>148</v>
      </c>
      <c r="P555" s="11">
        <v>216.0</v>
      </c>
      <c r="Q555" s="22">
        <v>6.0</v>
      </c>
      <c r="R555" s="11" t="s">
        <v>2321</v>
      </c>
      <c r="S555" s="11" t="s">
        <v>1737</v>
      </c>
      <c r="T555" s="11">
        <v>1220.0</v>
      </c>
      <c r="U555" s="11"/>
      <c r="V555" s="11"/>
      <c r="W555" s="23">
        <v>29952.0</v>
      </c>
      <c r="X555" s="11" t="s">
        <v>1738</v>
      </c>
      <c r="Y555" s="9"/>
      <c r="AO555" s="5" t="s">
        <v>2321</v>
      </c>
      <c r="AP555" s="5">
        <v>216.0</v>
      </c>
      <c r="AQ555" s="5" t="s">
        <v>1716</v>
      </c>
      <c r="AR555" s="5" t="s">
        <v>1739</v>
      </c>
      <c r="AS555" s="5" t="s">
        <v>1740</v>
      </c>
      <c r="AT555" s="5" t="s">
        <v>1741</v>
      </c>
      <c r="AU555" s="5" t="s">
        <v>1742</v>
      </c>
      <c r="AV555" s="5" t="s">
        <v>1720</v>
      </c>
      <c r="AW555" s="5" t="s">
        <v>2193</v>
      </c>
      <c r="AX555" s="5" t="s">
        <v>2283</v>
      </c>
      <c r="AY555" s="5">
        <v>51.48</v>
      </c>
      <c r="AZ555" s="5">
        <v>-123.8183</v>
      </c>
      <c r="BA555" s="5">
        <v>1220.0</v>
      </c>
    </row>
    <row r="556" ht="14.25" customHeight="1">
      <c r="A556" s="5" t="s">
        <v>422</v>
      </c>
      <c r="B556" s="8">
        <v>12.0</v>
      </c>
      <c r="C556" s="5" t="s">
        <v>7666</v>
      </c>
      <c r="D556" s="5">
        <v>217.0</v>
      </c>
      <c r="E556" s="5">
        <v>1774.0</v>
      </c>
      <c r="F556" s="18" t="s">
        <v>2324</v>
      </c>
      <c r="G556" s="5" t="s">
        <v>2325</v>
      </c>
      <c r="H556" s="5" t="s">
        <v>2326</v>
      </c>
      <c r="I556" s="5" t="s">
        <v>1664</v>
      </c>
      <c r="J556" s="5" t="s">
        <v>1746</v>
      </c>
      <c r="K556" s="5">
        <v>1.0</v>
      </c>
      <c r="L556" s="5">
        <v>2177.0</v>
      </c>
      <c r="Y556" s="9"/>
      <c r="AO556" s="5" t="s">
        <v>2324</v>
      </c>
      <c r="AP556" s="5">
        <v>217.0</v>
      </c>
      <c r="AQ556" s="5" t="s">
        <v>1716</v>
      </c>
      <c r="AR556" s="5" t="s">
        <v>1717</v>
      </c>
      <c r="AS556" s="5" t="s">
        <v>1718</v>
      </c>
      <c r="AT556" s="5" t="s">
        <v>1719</v>
      </c>
      <c r="AU556" s="5" t="s">
        <v>1703</v>
      </c>
      <c r="AV556" s="5" t="s">
        <v>1720</v>
      </c>
      <c r="AW556" s="5" t="s">
        <v>2193</v>
      </c>
      <c r="AX556" s="5" t="s">
        <v>2194</v>
      </c>
      <c r="AY556" s="5">
        <v>53.0</v>
      </c>
      <c r="AZ556" s="5">
        <v>-125.0</v>
      </c>
      <c r="BA556" s="5">
        <v>0.0</v>
      </c>
    </row>
    <row r="557" ht="14.25" customHeight="1">
      <c r="B557" s="8">
        <v>12.0</v>
      </c>
      <c r="C557" s="5" t="s">
        <v>7666</v>
      </c>
      <c r="D557" s="5">
        <v>218.0</v>
      </c>
      <c r="E557" s="5">
        <v>1775.0</v>
      </c>
      <c r="F557" s="5" t="s">
        <v>2327</v>
      </c>
      <c r="G557" s="5" t="s">
        <v>2328</v>
      </c>
      <c r="H557" s="5" t="s">
        <v>2329</v>
      </c>
      <c r="I557" s="5" t="s">
        <v>641</v>
      </c>
      <c r="J557" s="5" t="s">
        <v>1865</v>
      </c>
      <c r="K557" s="5">
        <v>1.0</v>
      </c>
      <c r="L557" s="5">
        <v>2178.0</v>
      </c>
      <c r="M557" s="11">
        <v>51.507</v>
      </c>
      <c r="N557" s="11">
        <v>-121.162</v>
      </c>
      <c r="O557" s="11" t="s">
        <v>148</v>
      </c>
      <c r="P557" s="11">
        <v>218.0</v>
      </c>
      <c r="Q557" s="22">
        <v>5.0</v>
      </c>
      <c r="R557" s="11" t="s">
        <v>2327</v>
      </c>
      <c r="S557" s="11" t="s">
        <v>1737</v>
      </c>
      <c r="T557" s="11">
        <v>1158.0</v>
      </c>
      <c r="U557" s="11"/>
      <c r="V557" s="11"/>
      <c r="W557" s="23">
        <v>31778.0</v>
      </c>
      <c r="X557" s="11" t="s">
        <v>1738</v>
      </c>
      <c r="Y557" s="9"/>
      <c r="AO557" s="5" t="s">
        <v>2327</v>
      </c>
      <c r="AP557" s="5">
        <v>218.0</v>
      </c>
      <c r="AQ557" s="5" t="s">
        <v>1700</v>
      </c>
      <c r="AR557" s="5" t="s">
        <v>1739</v>
      </c>
      <c r="AS557" s="5" t="s">
        <v>1740</v>
      </c>
      <c r="AT557" s="5" t="s">
        <v>1741</v>
      </c>
      <c r="AU557" s="5" t="s">
        <v>1959</v>
      </c>
      <c r="AV557" s="5" t="s">
        <v>1720</v>
      </c>
      <c r="AW557" s="5" t="s">
        <v>2193</v>
      </c>
      <c r="AX557" s="5" t="s">
        <v>2287</v>
      </c>
      <c r="AY557" s="5">
        <v>51.507</v>
      </c>
      <c r="AZ557" s="5">
        <v>-121.162</v>
      </c>
      <c r="BA557" s="5">
        <v>1158.0</v>
      </c>
    </row>
    <row r="558" ht="14.25" customHeight="1">
      <c r="B558" s="8">
        <v>12.0</v>
      </c>
      <c r="C558" s="5" t="s">
        <v>7666</v>
      </c>
      <c r="D558" s="5">
        <v>219.0</v>
      </c>
      <c r="E558" s="5">
        <v>1776.0</v>
      </c>
      <c r="F558" s="18" t="s">
        <v>2330</v>
      </c>
      <c r="G558" s="5" t="s">
        <v>2331</v>
      </c>
      <c r="H558" s="5" t="s">
        <v>2332</v>
      </c>
      <c r="I558" s="5" t="s">
        <v>641</v>
      </c>
      <c r="J558" s="5" t="s">
        <v>1715</v>
      </c>
      <c r="K558" s="5">
        <v>1.0</v>
      </c>
      <c r="L558" s="5">
        <v>2179.0</v>
      </c>
      <c r="Y558" s="9"/>
      <c r="AO558" s="5" t="s">
        <v>2330</v>
      </c>
      <c r="AP558" s="5">
        <v>219.0</v>
      </c>
      <c r="AQ558" s="5" t="s">
        <v>1716</v>
      </c>
      <c r="AR558" s="5" t="s">
        <v>1717</v>
      </c>
      <c r="AS558" s="5" t="s">
        <v>1718</v>
      </c>
      <c r="AT558" s="5" t="s">
        <v>1703</v>
      </c>
      <c r="AU558" s="5" t="s">
        <v>1703</v>
      </c>
      <c r="AV558" s="5" t="s">
        <v>1720</v>
      </c>
      <c r="AW558" s="5" t="s">
        <v>2193</v>
      </c>
      <c r="AX558" s="5" t="s">
        <v>2194</v>
      </c>
      <c r="AY558" s="5">
        <v>52.9533</v>
      </c>
      <c r="AZ558" s="5">
        <v>-124.0083</v>
      </c>
      <c r="BA558" s="5">
        <v>862.0</v>
      </c>
    </row>
    <row r="559" ht="14.25" customHeight="1">
      <c r="B559" s="8">
        <v>12.0</v>
      </c>
      <c r="C559" s="5" t="s">
        <v>7666</v>
      </c>
      <c r="D559" s="5">
        <v>220.0</v>
      </c>
      <c r="E559" s="5">
        <v>1777.0</v>
      </c>
      <c r="F559" s="18" t="s">
        <v>2333</v>
      </c>
      <c r="G559" s="5" t="s">
        <v>2334</v>
      </c>
      <c r="H559" s="5" t="s">
        <v>2335</v>
      </c>
      <c r="I559" s="5" t="s">
        <v>641</v>
      </c>
      <c r="J559" s="5" t="s">
        <v>1746</v>
      </c>
      <c r="K559" s="5">
        <v>1.0</v>
      </c>
      <c r="L559" s="5">
        <v>2180.0</v>
      </c>
      <c r="Y559" s="9"/>
      <c r="AO559" s="5" t="s">
        <v>2333</v>
      </c>
      <c r="AP559" s="5">
        <v>220.0</v>
      </c>
      <c r="AQ559" s="5" t="s">
        <v>1716</v>
      </c>
      <c r="AR559" s="5" t="s">
        <v>1717</v>
      </c>
      <c r="AS559" s="5" t="s">
        <v>1718</v>
      </c>
      <c r="AT559" s="5" t="s">
        <v>1703</v>
      </c>
      <c r="AU559" s="5" t="s">
        <v>1703</v>
      </c>
      <c r="AV559" s="5" t="s">
        <v>1720</v>
      </c>
      <c r="AW559" s="5" t="s">
        <v>2193</v>
      </c>
      <c r="AX559" s="5" t="s">
        <v>2291</v>
      </c>
      <c r="AY559" s="5">
        <v>51.7</v>
      </c>
      <c r="AZ559" s="5">
        <v>-123.2</v>
      </c>
      <c r="BA559" s="5">
        <v>11.0</v>
      </c>
    </row>
    <row r="560" ht="14.25" customHeight="1">
      <c r="B560" s="8">
        <v>12.0</v>
      </c>
      <c r="C560" s="5" t="s">
        <v>7666</v>
      </c>
      <c r="D560" s="5">
        <v>221.0</v>
      </c>
      <c r="E560" s="5">
        <v>1778.0</v>
      </c>
      <c r="F560" s="5" t="s">
        <v>2336</v>
      </c>
      <c r="G560" s="5" t="s">
        <v>2337</v>
      </c>
      <c r="H560" s="5" t="s">
        <v>2338</v>
      </c>
      <c r="I560" s="5" t="s">
        <v>641</v>
      </c>
      <c r="J560" s="5" t="s">
        <v>1736</v>
      </c>
      <c r="K560" s="5">
        <v>1.0</v>
      </c>
      <c r="L560" s="5">
        <v>2181.0</v>
      </c>
      <c r="M560" s="11">
        <v>52.7101</v>
      </c>
      <c r="N560" s="11">
        <v>-124.48225</v>
      </c>
      <c r="O560" s="11" t="s">
        <v>148</v>
      </c>
      <c r="P560" s="16">
        <v>221.0</v>
      </c>
      <c r="Q560" s="22">
        <v>8.0</v>
      </c>
      <c r="R560" s="11" t="s">
        <v>2336</v>
      </c>
      <c r="S560" s="11" t="s">
        <v>1737</v>
      </c>
      <c r="T560" s="11">
        <v>1666.0</v>
      </c>
      <c r="U560" s="11"/>
      <c r="V560" s="11"/>
      <c r="W560" s="23">
        <v>33604.0</v>
      </c>
      <c r="X560" s="11" t="s">
        <v>1738</v>
      </c>
      <c r="Y560" s="9"/>
      <c r="AO560" s="5" t="s">
        <v>2336</v>
      </c>
      <c r="AP560" s="5">
        <v>221.0</v>
      </c>
      <c r="AQ560" s="5" t="s">
        <v>1700</v>
      </c>
      <c r="AR560" s="5" t="s">
        <v>1739</v>
      </c>
      <c r="AS560" s="5" t="s">
        <v>1740</v>
      </c>
      <c r="AT560" s="5" t="s">
        <v>1741</v>
      </c>
      <c r="AU560" s="5" t="s">
        <v>1959</v>
      </c>
      <c r="AV560" s="5" t="s">
        <v>1720</v>
      </c>
      <c r="AW560" s="5" t="s">
        <v>2193</v>
      </c>
      <c r="AX560" s="5" t="s">
        <v>2283</v>
      </c>
      <c r="AY560" s="5">
        <v>52.7101</v>
      </c>
      <c r="AZ560" s="5">
        <v>-124.4822</v>
      </c>
      <c r="BA560" s="5">
        <v>1666.0</v>
      </c>
    </row>
    <row r="561" ht="14.25" customHeight="1">
      <c r="B561" s="8">
        <v>12.0</v>
      </c>
      <c r="C561" s="5" t="s">
        <v>7666</v>
      </c>
      <c r="D561" s="5">
        <v>222.0</v>
      </c>
      <c r="E561" s="5">
        <v>1779.0</v>
      </c>
      <c r="F561" s="5" t="s">
        <v>2339</v>
      </c>
      <c r="G561" s="5" t="s">
        <v>2340</v>
      </c>
      <c r="H561" s="5" t="s">
        <v>2341</v>
      </c>
      <c r="I561" s="5" t="s">
        <v>641</v>
      </c>
      <c r="J561" s="5" t="s">
        <v>1865</v>
      </c>
      <c r="K561" s="5">
        <v>1.0</v>
      </c>
      <c r="L561" s="5">
        <v>2182.0</v>
      </c>
      <c r="M561" s="11">
        <v>51.45167</v>
      </c>
      <c r="N561" s="11">
        <v>-122.66167</v>
      </c>
      <c r="O561" s="11" t="s">
        <v>148</v>
      </c>
      <c r="P561" s="11">
        <v>222.0</v>
      </c>
      <c r="Q561" s="22">
        <v>8.0</v>
      </c>
      <c r="R561" s="11" t="s">
        <v>2339</v>
      </c>
      <c r="S561" s="11" t="s">
        <v>1737</v>
      </c>
      <c r="T561" s="11">
        <v>1675.0</v>
      </c>
      <c r="U561" s="11"/>
      <c r="V561" s="11"/>
      <c r="W561" s="23">
        <v>33604.0</v>
      </c>
      <c r="X561" s="11" t="s">
        <v>1738</v>
      </c>
      <c r="Y561" s="9"/>
      <c r="AO561" s="5" t="s">
        <v>2339</v>
      </c>
      <c r="AP561" s="5">
        <v>222.0</v>
      </c>
      <c r="AQ561" s="5" t="s">
        <v>1700</v>
      </c>
      <c r="AR561" s="5" t="s">
        <v>1739</v>
      </c>
      <c r="AS561" s="5" t="s">
        <v>1740</v>
      </c>
      <c r="AT561" s="5" t="s">
        <v>1741</v>
      </c>
      <c r="AU561" s="5" t="s">
        <v>1959</v>
      </c>
      <c r="AV561" s="5" t="s">
        <v>1720</v>
      </c>
      <c r="AW561" s="5" t="s">
        <v>2193</v>
      </c>
      <c r="AX561" s="5" t="s">
        <v>2291</v>
      </c>
      <c r="AY561" s="5">
        <v>51.4517</v>
      </c>
      <c r="AZ561" s="5">
        <v>-122.6617</v>
      </c>
      <c r="BA561" s="5">
        <v>1675.0</v>
      </c>
    </row>
    <row r="562" ht="14.25" customHeight="1">
      <c r="B562" s="8">
        <v>12.0</v>
      </c>
      <c r="C562" s="5" t="s">
        <v>7666</v>
      </c>
      <c r="D562" s="5">
        <v>223.0</v>
      </c>
      <c r="E562" s="5">
        <v>1780.0</v>
      </c>
      <c r="F562" s="18" t="s">
        <v>2342</v>
      </c>
      <c r="G562" s="5" t="s">
        <v>2343</v>
      </c>
      <c r="H562" s="5" t="s">
        <v>2344</v>
      </c>
      <c r="I562" s="5" t="s">
        <v>641</v>
      </c>
      <c r="J562" s="5" t="s">
        <v>1746</v>
      </c>
      <c r="K562" s="5">
        <v>1.0</v>
      </c>
      <c r="L562" s="5">
        <v>2183.0</v>
      </c>
      <c r="Y562" s="9"/>
      <c r="AO562" s="5" t="s">
        <v>2342</v>
      </c>
      <c r="AP562" s="5">
        <v>223.0</v>
      </c>
      <c r="AQ562" s="5" t="s">
        <v>1716</v>
      </c>
      <c r="AR562" s="5" t="s">
        <v>1717</v>
      </c>
      <c r="AS562" s="5" t="s">
        <v>1718</v>
      </c>
      <c r="AT562" s="5" t="s">
        <v>1703</v>
      </c>
      <c r="AU562" s="5" t="s">
        <v>1703</v>
      </c>
      <c r="AV562" s="5" t="s">
        <v>1720</v>
      </c>
      <c r="AW562" s="5" t="s">
        <v>2193</v>
      </c>
      <c r="AX562" s="5" t="s">
        <v>2291</v>
      </c>
      <c r="AY562" s="5">
        <v>52.3</v>
      </c>
      <c r="AZ562" s="5">
        <v>-122.4</v>
      </c>
      <c r="BA562" s="5">
        <v>0.0</v>
      </c>
    </row>
    <row r="563" ht="14.25" customHeight="1">
      <c r="B563" s="8">
        <v>12.0</v>
      </c>
      <c r="C563" s="5" t="s">
        <v>7666</v>
      </c>
      <c r="D563" s="5">
        <v>224.0</v>
      </c>
      <c r="E563" s="5">
        <v>1781.0</v>
      </c>
      <c r="F563" s="18" t="s">
        <v>2345</v>
      </c>
      <c r="G563" s="5" t="s">
        <v>2346</v>
      </c>
      <c r="H563" s="5" t="s">
        <v>2347</v>
      </c>
      <c r="I563" s="5" t="s">
        <v>641</v>
      </c>
      <c r="J563" s="5" t="s">
        <v>1715</v>
      </c>
      <c r="K563" s="5">
        <v>1.0</v>
      </c>
      <c r="L563" s="5">
        <v>2184.0</v>
      </c>
      <c r="Y563" s="9"/>
      <c r="AO563" s="5" t="s">
        <v>2345</v>
      </c>
      <c r="AP563" s="5">
        <v>224.0</v>
      </c>
      <c r="AQ563" s="5" t="s">
        <v>1716</v>
      </c>
      <c r="AR563" s="5" t="s">
        <v>1717</v>
      </c>
      <c r="AS563" s="5" t="s">
        <v>1718</v>
      </c>
      <c r="AT563" s="5" t="s">
        <v>1703</v>
      </c>
      <c r="AU563" s="5" t="s">
        <v>1703</v>
      </c>
      <c r="AV563" s="5" t="s">
        <v>1720</v>
      </c>
      <c r="AW563" s="5" t="s">
        <v>2193</v>
      </c>
      <c r="AX563" s="5" t="s">
        <v>2291</v>
      </c>
      <c r="AY563" s="5">
        <v>52.6083</v>
      </c>
      <c r="AZ563" s="5">
        <v>-122.1217</v>
      </c>
      <c r="BA563" s="5">
        <v>853.0</v>
      </c>
    </row>
    <row r="564" ht="14.25" customHeight="1">
      <c r="A564" s="5" t="s">
        <v>88</v>
      </c>
      <c r="B564" s="8">
        <v>12.0</v>
      </c>
      <c r="C564" s="5" t="s">
        <v>7666</v>
      </c>
      <c r="D564" s="5">
        <v>225.0</v>
      </c>
      <c r="E564" s="5">
        <v>1782.0</v>
      </c>
      <c r="F564" s="5" t="s">
        <v>2348</v>
      </c>
      <c r="G564" s="10" t="s">
        <v>2349</v>
      </c>
      <c r="H564" s="5" t="s">
        <v>2350</v>
      </c>
      <c r="I564" s="5" t="s">
        <v>641</v>
      </c>
      <c r="J564" s="5" t="s">
        <v>1736</v>
      </c>
      <c r="K564" s="5">
        <v>1.0</v>
      </c>
      <c r="L564" s="5">
        <v>2185.0</v>
      </c>
      <c r="M564" s="11">
        <v>52.04972</v>
      </c>
      <c r="N564" s="11">
        <v>-121.87383</v>
      </c>
      <c r="O564" s="11" t="s">
        <v>148</v>
      </c>
      <c r="P564" s="11">
        <v>225.0</v>
      </c>
      <c r="Q564" s="22">
        <v>1.0</v>
      </c>
      <c r="R564" s="11" t="s">
        <v>2348</v>
      </c>
      <c r="S564" s="11" t="s">
        <v>1737</v>
      </c>
      <c r="T564" s="11">
        <v>821.0</v>
      </c>
      <c r="U564" s="11"/>
      <c r="V564" s="11"/>
      <c r="W564" s="23">
        <v>33239.0</v>
      </c>
      <c r="X564" s="11" t="s">
        <v>1738</v>
      </c>
      <c r="Y564" s="9"/>
      <c r="AO564" s="5" t="s">
        <v>2348</v>
      </c>
      <c r="AP564" s="5">
        <v>225.0</v>
      </c>
      <c r="AQ564" s="5" t="s">
        <v>1700</v>
      </c>
      <c r="AR564" s="5" t="s">
        <v>1739</v>
      </c>
      <c r="AS564" s="5" t="s">
        <v>1740</v>
      </c>
      <c r="AT564" s="5" t="s">
        <v>1741</v>
      </c>
      <c r="AU564" s="5" t="s">
        <v>1959</v>
      </c>
      <c r="AV564" s="5" t="s">
        <v>1720</v>
      </c>
      <c r="AW564" s="5" t="s">
        <v>2193</v>
      </c>
      <c r="AX564" s="5" t="s">
        <v>2291</v>
      </c>
      <c r="AY564" s="5">
        <v>52.0497</v>
      </c>
      <c r="AZ564" s="5">
        <v>-121.8738</v>
      </c>
      <c r="BA564" s="5">
        <v>821.0</v>
      </c>
    </row>
    <row r="565" ht="14.25" customHeight="1">
      <c r="B565" s="8">
        <v>12.0</v>
      </c>
      <c r="C565" s="5" t="s">
        <v>7666</v>
      </c>
      <c r="D565" s="5">
        <v>226.0</v>
      </c>
      <c r="E565" s="5">
        <v>1783.0</v>
      </c>
      <c r="F565" s="5" t="s">
        <v>2351</v>
      </c>
      <c r="G565" s="5" t="s">
        <v>2352</v>
      </c>
      <c r="H565" s="5" t="s">
        <v>2353</v>
      </c>
      <c r="I565" s="5" t="s">
        <v>641</v>
      </c>
      <c r="J565" s="5" t="s">
        <v>1736</v>
      </c>
      <c r="K565" s="5">
        <v>1.0</v>
      </c>
      <c r="L565" s="5">
        <v>2186.0</v>
      </c>
      <c r="M565" s="11">
        <v>51.70167</v>
      </c>
      <c r="N565" s="11">
        <v>-124.875</v>
      </c>
      <c r="O565" s="11" t="s">
        <v>148</v>
      </c>
      <c r="P565" s="11">
        <v>226.0</v>
      </c>
      <c r="Q565" s="22">
        <v>2.0</v>
      </c>
      <c r="R565" s="11" t="s">
        <v>2351</v>
      </c>
      <c r="S565" s="11" t="s">
        <v>1737</v>
      </c>
      <c r="T565" s="11">
        <v>915.0</v>
      </c>
      <c r="U565" s="11"/>
      <c r="V565" s="11"/>
      <c r="W565" s="23">
        <v>32509.0</v>
      </c>
      <c r="X565" s="11" t="s">
        <v>1738</v>
      </c>
      <c r="Y565" s="9"/>
      <c r="AO565" s="5" t="s">
        <v>2351</v>
      </c>
      <c r="AP565" s="5">
        <v>226.0</v>
      </c>
      <c r="AQ565" s="5" t="s">
        <v>1716</v>
      </c>
      <c r="AR565" s="5" t="s">
        <v>1739</v>
      </c>
      <c r="AS565" s="5" t="s">
        <v>1740</v>
      </c>
      <c r="AT565" s="5" t="s">
        <v>1741</v>
      </c>
      <c r="AU565" s="5" t="s">
        <v>1742</v>
      </c>
      <c r="AV565" s="5" t="s">
        <v>1720</v>
      </c>
      <c r="AW565" s="5" t="s">
        <v>2193</v>
      </c>
      <c r="AX565" s="5" t="s">
        <v>2283</v>
      </c>
      <c r="AY565" s="5">
        <v>51.7017</v>
      </c>
      <c r="AZ565" s="5">
        <v>-124.875</v>
      </c>
      <c r="BA565" s="5">
        <v>915.0</v>
      </c>
    </row>
    <row r="566" ht="14.25" customHeight="1">
      <c r="B566" s="8">
        <v>12.0</v>
      </c>
      <c r="C566" s="5" t="s">
        <v>7666</v>
      </c>
      <c r="D566" s="5">
        <v>227.0</v>
      </c>
      <c r="E566" s="5">
        <v>1784.0</v>
      </c>
      <c r="F566" s="5" t="s">
        <v>2354</v>
      </c>
      <c r="G566" s="5" t="s">
        <v>2355</v>
      </c>
      <c r="H566" s="5" t="s">
        <v>2350</v>
      </c>
      <c r="I566" s="5" t="s">
        <v>641</v>
      </c>
      <c r="J566" s="5" t="s">
        <v>1736</v>
      </c>
      <c r="K566" s="5">
        <v>1.0</v>
      </c>
      <c r="L566" s="5">
        <v>2187.0</v>
      </c>
      <c r="M566" s="11">
        <v>52.47</v>
      </c>
      <c r="N566" s="11">
        <v>-121.74167</v>
      </c>
      <c r="O566" s="11" t="s">
        <v>170</v>
      </c>
      <c r="P566" s="11">
        <v>227.0</v>
      </c>
      <c r="Q566" s="22">
        <v>2.0</v>
      </c>
      <c r="R566" s="11" t="s">
        <v>2354</v>
      </c>
      <c r="S566" s="11" t="s">
        <v>1737</v>
      </c>
      <c r="T566" s="11">
        <v>1081.0</v>
      </c>
      <c r="U566" s="11" t="s">
        <v>645</v>
      </c>
      <c r="V566" s="11"/>
      <c r="W566" s="23">
        <v>29587.0</v>
      </c>
      <c r="X566" s="11" t="s">
        <v>1738</v>
      </c>
      <c r="Y566" s="9"/>
      <c r="AO566" s="5" t="s">
        <v>2354</v>
      </c>
      <c r="AP566" s="5">
        <v>227.0</v>
      </c>
      <c r="AQ566" s="5" t="s">
        <v>1700</v>
      </c>
      <c r="AR566" s="5" t="s">
        <v>1739</v>
      </c>
      <c r="AS566" s="5" t="s">
        <v>1740</v>
      </c>
      <c r="AT566" s="5" t="s">
        <v>1741</v>
      </c>
      <c r="AU566" s="5" t="s">
        <v>1959</v>
      </c>
      <c r="AV566" s="5" t="s">
        <v>1720</v>
      </c>
      <c r="AW566" s="5" t="s">
        <v>2193</v>
      </c>
      <c r="AX566" s="5" t="s">
        <v>2356</v>
      </c>
      <c r="AY566" s="5">
        <v>52.47</v>
      </c>
      <c r="AZ566" s="5">
        <v>-121.7417</v>
      </c>
      <c r="BA566" s="5">
        <v>1081.0</v>
      </c>
    </row>
    <row r="567" ht="14.25" customHeight="1">
      <c r="B567" s="8">
        <v>12.0</v>
      </c>
      <c r="C567" s="5" t="s">
        <v>7666</v>
      </c>
      <c r="D567" s="5">
        <v>228.0</v>
      </c>
      <c r="E567" s="5">
        <v>1785.0</v>
      </c>
      <c r="F567" s="5" t="s">
        <v>2357</v>
      </c>
      <c r="G567" s="5" t="s">
        <v>2358</v>
      </c>
      <c r="H567" s="5" t="s">
        <v>2359</v>
      </c>
      <c r="I567" s="5" t="s">
        <v>641</v>
      </c>
      <c r="J567" s="5" t="s">
        <v>1865</v>
      </c>
      <c r="K567" s="5">
        <v>1.0</v>
      </c>
      <c r="L567" s="5">
        <v>2188.0</v>
      </c>
      <c r="M567" s="5">
        <v>52.91</v>
      </c>
      <c r="N567" s="5">
        <v>-122.065</v>
      </c>
      <c r="O567" s="5" t="s">
        <v>148</v>
      </c>
      <c r="P567" s="5">
        <v>228.0</v>
      </c>
      <c r="Q567" s="5">
        <v>3.0</v>
      </c>
      <c r="R567" s="5" t="s">
        <v>2357</v>
      </c>
      <c r="S567" s="5" t="s">
        <v>1737</v>
      </c>
      <c r="T567" s="5">
        <v>1006.0</v>
      </c>
      <c r="W567" s="5">
        <v>31778.0</v>
      </c>
      <c r="X567" s="5" t="s">
        <v>1738</v>
      </c>
      <c r="Y567" s="9"/>
      <c r="AO567" s="5" t="s">
        <v>2357</v>
      </c>
      <c r="AP567" s="5">
        <v>228.0</v>
      </c>
      <c r="AQ567" s="5" t="s">
        <v>1700</v>
      </c>
      <c r="AR567" s="5" t="s">
        <v>1739</v>
      </c>
      <c r="AS567" s="5" t="s">
        <v>1740</v>
      </c>
      <c r="AT567" s="5" t="s">
        <v>1741</v>
      </c>
      <c r="AU567" s="5" t="s">
        <v>1959</v>
      </c>
      <c r="AV567" s="5" t="s">
        <v>1720</v>
      </c>
      <c r="AW567" s="5" t="s">
        <v>2193</v>
      </c>
      <c r="AX567" s="5" t="s">
        <v>2194</v>
      </c>
      <c r="AY567" s="5">
        <v>52.91</v>
      </c>
      <c r="AZ567" s="5">
        <v>-122.065</v>
      </c>
      <c r="BA567" s="5">
        <v>1006.0</v>
      </c>
    </row>
    <row r="568" ht="14.25" customHeight="1">
      <c r="A568" s="5" t="s">
        <v>422</v>
      </c>
      <c r="B568" s="8">
        <v>12.0</v>
      </c>
      <c r="C568" s="5" t="s">
        <v>7665</v>
      </c>
      <c r="D568" s="5">
        <v>229.0</v>
      </c>
      <c r="E568" s="5">
        <v>12971.0</v>
      </c>
      <c r="F568" s="51" t="s">
        <v>2360</v>
      </c>
      <c r="G568" s="5" t="s">
        <v>127</v>
      </c>
      <c r="H568" s="5" t="s">
        <v>1697</v>
      </c>
      <c r="I568" s="5" t="s">
        <v>49</v>
      </c>
      <c r="J568" s="5" t="s">
        <v>1746</v>
      </c>
      <c r="K568" s="5">
        <v>1.0</v>
      </c>
      <c r="L568" s="5">
        <v>14903.0</v>
      </c>
      <c r="Y568" s="9"/>
      <c r="AO568" s="50" t="s">
        <v>2361</v>
      </c>
      <c r="AP568" s="50">
        <v>229.0</v>
      </c>
      <c r="AQ568" s="50" t="s">
        <v>1700</v>
      </c>
      <c r="AR568" s="50" t="s">
        <v>1701</v>
      </c>
      <c r="AS568" s="50" t="s">
        <v>1702</v>
      </c>
      <c r="AT568" s="50" t="s">
        <v>1703</v>
      </c>
      <c r="AU568" s="50" t="s">
        <v>1704</v>
      </c>
      <c r="AV568" s="50" t="s">
        <v>1702</v>
      </c>
      <c r="AW568" s="50" t="s">
        <v>2193</v>
      </c>
      <c r="AX568" s="50" t="s">
        <v>2194</v>
      </c>
      <c r="AY568" s="50">
        <v>53.0</v>
      </c>
      <c r="AZ568" s="50">
        <v>-122.4</v>
      </c>
      <c r="BA568" s="50">
        <v>545.0</v>
      </c>
    </row>
    <row r="569" ht="14.25" customHeight="1">
      <c r="A569" s="5" t="s">
        <v>88</v>
      </c>
      <c r="B569" s="8">
        <v>12.0</v>
      </c>
      <c r="C569" s="5" t="s">
        <v>7666</v>
      </c>
      <c r="D569" s="5">
        <v>230.0</v>
      </c>
      <c r="E569" s="5">
        <v>1786.0</v>
      </c>
      <c r="F569" s="5" t="s">
        <v>2362</v>
      </c>
      <c r="G569" s="10" t="s">
        <v>2363</v>
      </c>
      <c r="H569" s="5" t="s">
        <v>2364</v>
      </c>
      <c r="I569" s="5" t="s">
        <v>641</v>
      </c>
      <c r="J569" s="5" t="s">
        <v>1736</v>
      </c>
      <c r="K569" s="5">
        <v>1.0</v>
      </c>
      <c r="L569" s="5">
        <v>2189.0</v>
      </c>
      <c r="M569" s="5">
        <v>52.33</v>
      </c>
      <c r="N569" s="5">
        <v>-121.39667</v>
      </c>
      <c r="O569" s="5" t="s">
        <v>148</v>
      </c>
      <c r="P569" s="5">
        <v>230.0</v>
      </c>
      <c r="Q569" s="5">
        <v>1.0</v>
      </c>
      <c r="R569" s="5" t="s">
        <v>2362</v>
      </c>
      <c r="S569" s="5" t="s">
        <v>1737</v>
      </c>
      <c r="T569" s="5">
        <v>701.0</v>
      </c>
      <c r="U569" s="5" t="s">
        <v>645</v>
      </c>
      <c r="V569" s="5" t="s">
        <v>1830</v>
      </c>
      <c r="W569" s="5">
        <v>25934.0</v>
      </c>
      <c r="X569" s="5" t="s">
        <v>1738</v>
      </c>
      <c r="Y569" s="9"/>
      <c r="AO569" s="5" t="s">
        <v>2362</v>
      </c>
      <c r="AP569" s="5">
        <v>230.0</v>
      </c>
      <c r="AQ569" s="5" t="s">
        <v>1716</v>
      </c>
      <c r="AR569" s="5" t="s">
        <v>1739</v>
      </c>
      <c r="AS569" s="5" t="s">
        <v>1740</v>
      </c>
      <c r="AT569" s="5" t="s">
        <v>1741</v>
      </c>
      <c r="AU569" s="5" t="s">
        <v>1742</v>
      </c>
      <c r="AV569" s="5" t="s">
        <v>1720</v>
      </c>
      <c r="AW569" s="5" t="s">
        <v>2193</v>
      </c>
      <c r="AX569" s="5" t="s">
        <v>2356</v>
      </c>
      <c r="AY569" s="5">
        <v>52.3278</v>
      </c>
      <c r="AZ569" s="5">
        <v>-121.3983</v>
      </c>
      <c r="BA569" s="5">
        <v>701.0</v>
      </c>
    </row>
    <row r="570" ht="14.25" customHeight="1">
      <c r="B570" s="8">
        <v>12.0</v>
      </c>
      <c r="C570" s="5" t="s">
        <v>7666</v>
      </c>
      <c r="D570" s="5">
        <v>231.0</v>
      </c>
      <c r="E570" s="5">
        <v>1787.0</v>
      </c>
      <c r="F570" s="18" t="s">
        <v>2365</v>
      </c>
      <c r="G570" s="5" t="s">
        <v>2366</v>
      </c>
      <c r="H570" s="5" t="s">
        <v>2367</v>
      </c>
      <c r="I570" s="5" t="s">
        <v>641</v>
      </c>
      <c r="J570" s="5" t="s">
        <v>1715</v>
      </c>
      <c r="K570" s="5">
        <v>1.0</v>
      </c>
      <c r="L570" s="5">
        <v>2190.0</v>
      </c>
      <c r="Y570" s="9"/>
      <c r="AO570" s="5" t="s">
        <v>2365</v>
      </c>
      <c r="AP570" s="5">
        <v>231.0</v>
      </c>
      <c r="AQ570" s="5" t="s">
        <v>1716</v>
      </c>
      <c r="AR570" s="5" t="s">
        <v>1717</v>
      </c>
      <c r="AS570" s="5" t="s">
        <v>1718</v>
      </c>
      <c r="AT570" s="5" t="s">
        <v>1703</v>
      </c>
      <c r="AU570" s="5" t="s">
        <v>1703</v>
      </c>
      <c r="AV570" s="5" t="s">
        <v>1720</v>
      </c>
      <c r="AW570" s="5" t="s">
        <v>2368</v>
      </c>
      <c r="AX570" s="5" t="s">
        <v>2369</v>
      </c>
      <c r="AY570" s="5">
        <v>51.4117</v>
      </c>
      <c r="AZ570" s="5">
        <v>-120.34</v>
      </c>
      <c r="BA570" s="5">
        <v>1432.0</v>
      </c>
    </row>
    <row r="571" ht="14.25" customHeight="1">
      <c r="A571" s="5" t="s">
        <v>88</v>
      </c>
      <c r="B571" s="8">
        <v>12.0</v>
      </c>
      <c r="C571" s="5" t="s">
        <v>7666</v>
      </c>
      <c r="D571" s="5">
        <v>232.0</v>
      </c>
      <c r="E571" s="5">
        <v>1788.0</v>
      </c>
      <c r="F571" s="5" t="s">
        <v>2370</v>
      </c>
      <c r="G571" s="10" t="s">
        <v>2371</v>
      </c>
      <c r="H571" s="5" t="s">
        <v>2372</v>
      </c>
      <c r="I571" s="5" t="s">
        <v>641</v>
      </c>
      <c r="J571" s="5" t="s">
        <v>1865</v>
      </c>
      <c r="K571" s="5">
        <v>1.0</v>
      </c>
      <c r="L571" s="5">
        <v>2191.0</v>
      </c>
      <c r="M571" s="5">
        <v>51.72378</v>
      </c>
      <c r="N571" s="5">
        <v>-120.38993</v>
      </c>
      <c r="O571" s="5" t="s">
        <v>148</v>
      </c>
      <c r="P571" s="5">
        <v>232.0</v>
      </c>
      <c r="Q571" s="5">
        <v>5.0</v>
      </c>
      <c r="R571" s="5" t="s">
        <v>2370</v>
      </c>
      <c r="S571" s="5" t="s">
        <v>1737</v>
      </c>
      <c r="T571" s="5">
        <v>1124.0</v>
      </c>
      <c r="W571" s="5">
        <v>28856.0</v>
      </c>
      <c r="X571" s="5" t="s">
        <v>1738</v>
      </c>
      <c r="Y571" s="9"/>
      <c r="AO571" s="5" t="s">
        <v>2370</v>
      </c>
      <c r="AP571" s="5">
        <v>232.0</v>
      </c>
      <c r="AQ571" s="5" t="s">
        <v>1700</v>
      </c>
      <c r="AR571" s="5" t="s">
        <v>1739</v>
      </c>
      <c r="AS571" s="5" t="s">
        <v>1740</v>
      </c>
      <c r="AT571" s="5" t="s">
        <v>1835</v>
      </c>
      <c r="AU571" s="5" t="s">
        <v>1959</v>
      </c>
      <c r="AV571" s="5" t="s">
        <v>1720</v>
      </c>
      <c r="AW571" s="5" t="s">
        <v>2368</v>
      </c>
      <c r="AX571" s="5" t="s">
        <v>2369</v>
      </c>
      <c r="AY571" s="5">
        <v>51.7238</v>
      </c>
      <c r="AZ571" s="5">
        <v>-120.3899</v>
      </c>
      <c r="BA571" s="5">
        <v>1122.0</v>
      </c>
    </row>
    <row r="572" ht="14.25" customHeight="1">
      <c r="A572" s="5" t="s">
        <v>1908</v>
      </c>
      <c r="B572" s="8">
        <v>12.0</v>
      </c>
      <c r="C572" s="5" t="s">
        <v>7666</v>
      </c>
      <c r="D572" s="5">
        <v>233.0</v>
      </c>
      <c r="E572" s="5">
        <v>1789.0</v>
      </c>
      <c r="F572" s="10" t="s">
        <v>2373</v>
      </c>
      <c r="G572" s="10" t="s">
        <v>2374</v>
      </c>
      <c r="H572" s="5" t="s">
        <v>2375</v>
      </c>
      <c r="I572" s="5" t="s">
        <v>641</v>
      </c>
      <c r="J572" s="5" t="s">
        <v>1736</v>
      </c>
      <c r="K572" s="5">
        <v>1.0</v>
      </c>
      <c r="L572" s="5">
        <v>2192.0</v>
      </c>
      <c r="M572" s="5">
        <v>52.25135</v>
      </c>
      <c r="N572" s="5">
        <v>-126.02837</v>
      </c>
      <c r="O572" s="5" t="s">
        <v>51</v>
      </c>
      <c r="P572" s="5">
        <v>233.0</v>
      </c>
      <c r="Q572" s="5">
        <v>2.0</v>
      </c>
      <c r="R572" s="5" t="s">
        <v>2376</v>
      </c>
      <c r="S572" s="5" t="s">
        <v>1737</v>
      </c>
      <c r="T572" s="5">
        <v>270.0</v>
      </c>
      <c r="W572" s="5">
        <v>32874.0</v>
      </c>
      <c r="X572" s="5" t="s">
        <v>1738</v>
      </c>
      <c r="Y572" s="9"/>
      <c r="AO572" s="5" t="s">
        <v>2376</v>
      </c>
      <c r="AP572" s="5">
        <v>233.0</v>
      </c>
      <c r="AQ572" s="5" t="s">
        <v>1716</v>
      </c>
      <c r="AR572" s="5" t="s">
        <v>1739</v>
      </c>
      <c r="AS572" s="5" t="s">
        <v>1740</v>
      </c>
      <c r="AT572" s="5" t="s">
        <v>1741</v>
      </c>
      <c r="AU572" s="5" t="s">
        <v>1742</v>
      </c>
      <c r="AV572" s="5" t="s">
        <v>1720</v>
      </c>
      <c r="AW572" s="5" t="s">
        <v>1705</v>
      </c>
      <c r="AX572" s="5" t="s">
        <v>1965</v>
      </c>
      <c r="AY572" s="5">
        <v>52.2514</v>
      </c>
      <c r="AZ572" s="5">
        <v>-126.0284</v>
      </c>
      <c r="BA572" s="5">
        <v>306.0</v>
      </c>
    </row>
    <row r="573" ht="14.25" customHeight="1">
      <c r="B573" s="8">
        <v>12.0</v>
      </c>
      <c r="C573" s="5" t="s">
        <v>7666</v>
      </c>
      <c r="D573" s="5">
        <v>234.0</v>
      </c>
      <c r="E573" s="5">
        <v>1790.0</v>
      </c>
      <c r="F573" s="5" t="s">
        <v>2377</v>
      </c>
      <c r="G573" s="5" t="s">
        <v>2378</v>
      </c>
      <c r="H573" s="5" t="s">
        <v>2379</v>
      </c>
      <c r="I573" s="5" t="s">
        <v>641</v>
      </c>
      <c r="J573" s="5" t="s">
        <v>1736</v>
      </c>
      <c r="K573" s="5">
        <v>1.0</v>
      </c>
      <c r="L573" s="5">
        <v>2193.0</v>
      </c>
      <c r="M573" s="5">
        <v>51.913</v>
      </c>
      <c r="N573" s="5">
        <v>-121.389</v>
      </c>
      <c r="O573" s="5" t="s">
        <v>148</v>
      </c>
      <c r="P573" s="5">
        <v>234.0</v>
      </c>
      <c r="Q573" s="5">
        <v>5.0</v>
      </c>
      <c r="R573" s="5" t="s">
        <v>2377</v>
      </c>
      <c r="S573" s="5" t="s">
        <v>1737</v>
      </c>
      <c r="T573" s="5">
        <v>1161.0</v>
      </c>
      <c r="W573" s="5">
        <v>32874.0</v>
      </c>
      <c r="X573" s="5" t="s">
        <v>1738</v>
      </c>
      <c r="Y573" s="9"/>
      <c r="AO573" s="5" t="s">
        <v>2377</v>
      </c>
      <c r="AP573" s="5">
        <v>234.0</v>
      </c>
      <c r="AQ573" s="5" t="s">
        <v>1700</v>
      </c>
      <c r="AR573" s="5" t="s">
        <v>1739</v>
      </c>
      <c r="AS573" s="5" t="s">
        <v>1740</v>
      </c>
      <c r="AT573" s="5" t="s">
        <v>1741</v>
      </c>
      <c r="AU573" s="5" t="s">
        <v>1959</v>
      </c>
      <c r="AV573" s="5" t="s">
        <v>1720</v>
      </c>
      <c r="AW573" s="5" t="s">
        <v>2193</v>
      </c>
      <c r="AX573" s="5" t="s">
        <v>2287</v>
      </c>
      <c r="AY573" s="5">
        <v>51.913</v>
      </c>
      <c r="AZ573" s="5">
        <v>-121.389</v>
      </c>
      <c r="BA573" s="5">
        <v>1161.0</v>
      </c>
    </row>
    <row r="574" ht="14.25" customHeight="1">
      <c r="B574" s="8">
        <v>12.0</v>
      </c>
      <c r="C574" s="5" t="s">
        <v>7666</v>
      </c>
      <c r="D574" s="5">
        <v>235.0</v>
      </c>
      <c r="E574" s="5">
        <v>1791.0</v>
      </c>
      <c r="F574" s="5" t="s">
        <v>2380</v>
      </c>
      <c r="G574" s="5" t="s">
        <v>2381</v>
      </c>
      <c r="H574" s="5" t="s">
        <v>2382</v>
      </c>
      <c r="I574" s="5" t="s">
        <v>641</v>
      </c>
      <c r="J574" s="5" t="s">
        <v>1891</v>
      </c>
      <c r="K574" s="5">
        <v>1.0</v>
      </c>
      <c r="L574" s="5">
        <v>2194.0</v>
      </c>
      <c r="M574" s="5">
        <v>51.23777</v>
      </c>
      <c r="N574" s="5">
        <v>-120.99762</v>
      </c>
      <c r="O574" s="5" t="s">
        <v>148</v>
      </c>
      <c r="P574" s="5">
        <v>235.0</v>
      </c>
      <c r="Q574" s="5">
        <v>5.0</v>
      </c>
      <c r="R574" s="5" t="s">
        <v>2380</v>
      </c>
      <c r="S574" s="5" t="s">
        <v>1737</v>
      </c>
      <c r="T574" s="5">
        <v>1170.0</v>
      </c>
      <c r="W574" s="5">
        <v>36892.0</v>
      </c>
      <c r="X574" s="5" t="s">
        <v>1738</v>
      </c>
      <c r="Y574" s="9"/>
      <c r="AO574" s="5" t="s">
        <v>2380</v>
      </c>
      <c r="AP574" s="5">
        <v>235.0</v>
      </c>
      <c r="AQ574" s="5" t="s">
        <v>1700</v>
      </c>
      <c r="AR574" s="5" t="s">
        <v>1739</v>
      </c>
      <c r="AS574" s="5" t="s">
        <v>1740</v>
      </c>
      <c r="AT574" s="5" t="s">
        <v>1741</v>
      </c>
      <c r="AU574" s="5" t="s">
        <v>1959</v>
      </c>
      <c r="AV574" s="5" t="s">
        <v>1720</v>
      </c>
      <c r="AW574" s="5" t="s">
        <v>2193</v>
      </c>
      <c r="AX574" s="5" t="s">
        <v>2287</v>
      </c>
      <c r="AY574" s="5">
        <v>51.2378</v>
      </c>
      <c r="AZ574" s="5">
        <v>-120.9976</v>
      </c>
      <c r="BA574" s="5">
        <v>1170.0</v>
      </c>
    </row>
    <row r="575" ht="14.25" customHeight="1">
      <c r="B575" s="8">
        <v>12.0</v>
      </c>
      <c r="C575" s="5" t="s">
        <v>7666</v>
      </c>
      <c r="D575" s="5">
        <v>236.0</v>
      </c>
      <c r="E575" s="5">
        <v>1792.0</v>
      </c>
      <c r="F575" s="5" t="s">
        <v>2383</v>
      </c>
      <c r="G575" s="5" t="s">
        <v>2384</v>
      </c>
      <c r="H575" s="5" t="s">
        <v>2385</v>
      </c>
      <c r="I575" s="5" t="s">
        <v>641</v>
      </c>
      <c r="J575" s="5" t="s">
        <v>1736</v>
      </c>
      <c r="K575" s="5">
        <v>1.0</v>
      </c>
      <c r="L575" s="5">
        <v>2195.0</v>
      </c>
      <c r="M575" s="5">
        <v>51.375</v>
      </c>
      <c r="N575" s="5">
        <v>-121.71667</v>
      </c>
      <c r="O575" s="5" t="s">
        <v>148</v>
      </c>
      <c r="P575" s="5">
        <v>236.0</v>
      </c>
      <c r="Q575" s="5">
        <v>4.0</v>
      </c>
      <c r="R575" s="5" t="s">
        <v>2383</v>
      </c>
      <c r="S575" s="5" t="s">
        <v>1737</v>
      </c>
      <c r="T575" s="5">
        <v>1070.0</v>
      </c>
      <c r="W575" s="5">
        <v>33239.0</v>
      </c>
      <c r="X575" s="5" t="s">
        <v>1738</v>
      </c>
      <c r="Y575" s="9"/>
      <c r="AO575" s="5" t="s">
        <v>2383</v>
      </c>
      <c r="AP575" s="5">
        <v>236.0</v>
      </c>
      <c r="AQ575" s="5" t="s">
        <v>1700</v>
      </c>
      <c r="AR575" s="5" t="s">
        <v>1739</v>
      </c>
      <c r="AS575" s="5" t="s">
        <v>1740</v>
      </c>
      <c r="AT575" s="5" t="s">
        <v>1741</v>
      </c>
      <c r="AU575" s="5" t="s">
        <v>1959</v>
      </c>
      <c r="AV575" s="5" t="s">
        <v>1720</v>
      </c>
      <c r="AW575" s="5" t="s">
        <v>2193</v>
      </c>
      <c r="AX575" s="5" t="s">
        <v>2287</v>
      </c>
      <c r="AY575" s="5">
        <v>51.375</v>
      </c>
      <c r="AZ575" s="5">
        <v>-121.7167</v>
      </c>
      <c r="BA575" s="5">
        <v>1070.0</v>
      </c>
    </row>
    <row r="576" ht="14.25" customHeight="1">
      <c r="B576" s="8">
        <v>12.0</v>
      </c>
      <c r="C576" s="5" t="s">
        <v>7666</v>
      </c>
      <c r="D576" s="5">
        <v>237.0</v>
      </c>
      <c r="E576" s="5">
        <v>1793.0</v>
      </c>
      <c r="F576" s="18" t="s">
        <v>2386</v>
      </c>
      <c r="G576" s="5" t="s">
        <v>2387</v>
      </c>
      <c r="H576" s="5" t="s">
        <v>2388</v>
      </c>
      <c r="I576" s="5" t="s">
        <v>1664</v>
      </c>
      <c r="J576" s="5" t="s">
        <v>1715</v>
      </c>
      <c r="K576" s="5">
        <v>1.0</v>
      </c>
      <c r="L576" s="5">
        <v>2196.0</v>
      </c>
      <c r="Y576" s="9"/>
      <c r="AO576" s="5" t="s">
        <v>2386</v>
      </c>
      <c r="AP576" s="5">
        <v>237.0</v>
      </c>
      <c r="AQ576" s="5" t="s">
        <v>1716</v>
      </c>
      <c r="AR576" s="5" t="s">
        <v>1717</v>
      </c>
      <c r="AS576" s="5" t="s">
        <v>1718</v>
      </c>
      <c r="AT576" s="5" t="s">
        <v>1703</v>
      </c>
      <c r="AU576" s="5" t="s">
        <v>1703</v>
      </c>
      <c r="AV576" s="5" t="s">
        <v>1720</v>
      </c>
      <c r="AW576" s="5" t="s">
        <v>2193</v>
      </c>
      <c r="AX576" s="5" t="s">
        <v>2356</v>
      </c>
      <c r="AY576" s="5">
        <v>52.2</v>
      </c>
      <c r="AZ576" s="5">
        <v>-121.2</v>
      </c>
      <c r="BA576" s="5">
        <v>8.0</v>
      </c>
    </row>
    <row r="577" ht="14.25" customHeight="1">
      <c r="A577" s="5" t="s">
        <v>1908</v>
      </c>
      <c r="B577" s="8">
        <v>12.0</v>
      </c>
      <c r="C577" s="5" t="s">
        <v>7666</v>
      </c>
      <c r="D577" s="5">
        <v>239.0</v>
      </c>
      <c r="E577" s="5">
        <v>1794.0</v>
      </c>
      <c r="F577" s="10" t="s">
        <v>2389</v>
      </c>
      <c r="G577" s="10" t="s">
        <v>2390</v>
      </c>
      <c r="H577" s="5" t="s">
        <v>2391</v>
      </c>
      <c r="I577" s="5" t="s">
        <v>641</v>
      </c>
      <c r="J577" s="5" t="s">
        <v>1736</v>
      </c>
      <c r="K577" s="5">
        <v>1.0</v>
      </c>
      <c r="L577" s="5">
        <v>2197.0</v>
      </c>
      <c r="M577" s="5">
        <v>51.6289</v>
      </c>
      <c r="N577" s="5">
        <v>-120.09457</v>
      </c>
      <c r="O577" s="5" t="s">
        <v>142</v>
      </c>
      <c r="P577" s="5">
        <v>239.0</v>
      </c>
      <c r="Q577" s="5">
        <v>1.0</v>
      </c>
      <c r="R577" s="5" t="s">
        <v>2392</v>
      </c>
      <c r="S577" s="5" t="s">
        <v>1737</v>
      </c>
      <c r="T577" s="5">
        <v>453.0</v>
      </c>
      <c r="U577" s="5" t="s">
        <v>645</v>
      </c>
      <c r="W577" s="5">
        <v>27760.0</v>
      </c>
      <c r="X577" s="5" t="s">
        <v>1738</v>
      </c>
      <c r="Y577" s="9"/>
      <c r="AO577" s="55" t="s">
        <v>2392</v>
      </c>
      <c r="AP577" s="5">
        <v>239.0</v>
      </c>
      <c r="AQ577" s="5" t="s">
        <v>1700</v>
      </c>
      <c r="AR577" s="5" t="s">
        <v>1739</v>
      </c>
      <c r="AS577" s="5" t="s">
        <v>1740</v>
      </c>
      <c r="AT577" s="5" t="s">
        <v>1741</v>
      </c>
      <c r="AU577" s="5" t="s">
        <v>2043</v>
      </c>
      <c r="AV577" s="5" t="s">
        <v>1720</v>
      </c>
      <c r="AW577" s="5" t="s">
        <v>2368</v>
      </c>
      <c r="AX577" s="5" t="s">
        <v>2369</v>
      </c>
      <c r="AY577" s="5">
        <v>51.6289</v>
      </c>
      <c r="AZ577" s="5">
        <v>-120.0946</v>
      </c>
      <c r="BA577" s="5">
        <v>440.0</v>
      </c>
    </row>
    <row r="578" ht="14.25" customHeight="1">
      <c r="B578" s="8">
        <v>12.0</v>
      </c>
      <c r="C578" s="5" t="s">
        <v>7666</v>
      </c>
      <c r="D578" s="5">
        <v>240.0</v>
      </c>
      <c r="E578" s="5">
        <v>1795.0</v>
      </c>
      <c r="F578" s="18" t="s">
        <v>2393</v>
      </c>
      <c r="G578" s="5" t="s">
        <v>2394</v>
      </c>
      <c r="H578" s="5" t="s">
        <v>2027</v>
      </c>
      <c r="I578" s="5" t="s">
        <v>1664</v>
      </c>
      <c r="J578" s="5" t="s">
        <v>1715</v>
      </c>
      <c r="K578" s="5">
        <v>1.0</v>
      </c>
      <c r="L578" s="5">
        <v>2198.0</v>
      </c>
      <c r="Y578" s="9"/>
      <c r="AO578" s="5" t="s">
        <v>2393</v>
      </c>
      <c r="AP578" s="5">
        <v>240.0</v>
      </c>
      <c r="AQ578" s="5" t="s">
        <v>1716</v>
      </c>
      <c r="AR578" s="5" t="s">
        <v>1717</v>
      </c>
      <c r="AS578" s="5" t="s">
        <v>1718</v>
      </c>
      <c r="AT578" s="5" t="s">
        <v>1719</v>
      </c>
      <c r="AU578" s="5" t="s">
        <v>1703</v>
      </c>
      <c r="AV578" s="5" t="s">
        <v>1720</v>
      </c>
      <c r="AW578" s="5" t="s">
        <v>2368</v>
      </c>
      <c r="AX578" s="5" t="s">
        <v>2369</v>
      </c>
      <c r="AY578" s="5">
        <v>51.2</v>
      </c>
      <c r="AZ578" s="5">
        <v>-120.1</v>
      </c>
      <c r="BA578" s="5">
        <v>4.0</v>
      </c>
    </row>
    <row r="579" ht="14.25" customHeight="1">
      <c r="B579" s="8">
        <v>12.0</v>
      </c>
      <c r="C579" s="5" t="s">
        <v>7666</v>
      </c>
      <c r="D579" s="5">
        <v>241.0</v>
      </c>
      <c r="E579" s="5">
        <v>1796.0</v>
      </c>
      <c r="F579" s="18" t="s">
        <v>2395</v>
      </c>
      <c r="G579" s="5" t="s">
        <v>2396</v>
      </c>
      <c r="H579" s="5" t="s">
        <v>2397</v>
      </c>
      <c r="I579" s="5" t="s">
        <v>1664</v>
      </c>
      <c r="J579" s="5" t="s">
        <v>1715</v>
      </c>
      <c r="K579" s="5">
        <v>1.0</v>
      </c>
      <c r="L579" s="5">
        <v>2199.0</v>
      </c>
      <c r="Y579" s="9"/>
      <c r="AO579" s="5" t="s">
        <v>2395</v>
      </c>
      <c r="AP579" s="5">
        <v>241.0</v>
      </c>
      <c r="AQ579" s="5" t="s">
        <v>1716</v>
      </c>
      <c r="AR579" s="5" t="s">
        <v>1717</v>
      </c>
      <c r="AS579" s="5" t="s">
        <v>1718</v>
      </c>
      <c r="AT579" s="5" t="s">
        <v>1703</v>
      </c>
      <c r="AU579" s="5" t="s">
        <v>1703</v>
      </c>
      <c r="AV579" s="5" t="s">
        <v>1720</v>
      </c>
      <c r="AW579" s="5" t="s">
        <v>2193</v>
      </c>
      <c r="AX579" s="5" t="s">
        <v>2194</v>
      </c>
      <c r="AY579" s="5">
        <v>52.9</v>
      </c>
      <c r="AZ579" s="5">
        <v>-122.1</v>
      </c>
      <c r="BA579" s="5">
        <v>10.0</v>
      </c>
    </row>
    <row r="580" ht="14.25" customHeight="1">
      <c r="B580" s="8">
        <v>12.0</v>
      </c>
      <c r="C580" s="5" t="s">
        <v>7666</v>
      </c>
      <c r="D580" s="5">
        <v>242.0</v>
      </c>
      <c r="E580" s="5">
        <v>1797.0</v>
      </c>
      <c r="F580" s="18" t="s">
        <v>2398</v>
      </c>
      <c r="G580" s="5" t="s">
        <v>2399</v>
      </c>
      <c r="H580" s="5" t="s">
        <v>2400</v>
      </c>
      <c r="I580" s="5" t="s">
        <v>641</v>
      </c>
      <c r="J580" s="5" t="s">
        <v>1715</v>
      </c>
      <c r="K580" s="5">
        <v>1.0</v>
      </c>
      <c r="L580" s="5">
        <v>2200.0</v>
      </c>
      <c r="Y580" s="9"/>
      <c r="AO580" s="5" t="s">
        <v>2398</v>
      </c>
      <c r="AP580" s="5">
        <v>242.0</v>
      </c>
      <c r="AQ580" s="5" t="s">
        <v>1716</v>
      </c>
      <c r="AR580" s="5" t="s">
        <v>1717</v>
      </c>
      <c r="AS580" s="5" t="s">
        <v>1718</v>
      </c>
      <c r="AT580" s="5" t="s">
        <v>1703</v>
      </c>
      <c r="AU580" s="5" t="s">
        <v>1703</v>
      </c>
      <c r="AV580" s="5" t="s">
        <v>1720</v>
      </c>
      <c r="AW580" s="5" t="s">
        <v>2368</v>
      </c>
      <c r="AX580" s="5" t="s">
        <v>2401</v>
      </c>
      <c r="AY580" s="5">
        <v>51.925</v>
      </c>
      <c r="AZ580" s="5">
        <v>-120.03</v>
      </c>
      <c r="BA580" s="5">
        <v>762.0</v>
      </c>
    </row>
    <row r="581" ht="14.25" customHeight="1">
      <c r="A581" s="5" t="s">
        <v>88</v>
      </c>
      <c r="B581" s="8">
        <v>12.0</v>
      </c>
      <c r="C581" s="5" t="s">
        <v>7666</v>
      </c>
      <c r="D581" s="5">
        <v>243.0</v>
      </c>
      <c r="E581" s="5">
        <v>1798.0</v>
      </c>
      <c r="F581" s="5" t="s">
        <v>2402</v>
      </c>
      <c r="G581" s="10" t="s">
        <v>2403</v>
      </c>
      <c r="H581" s="5" t="s">
        <v>2404</v>
      </c>
      <c r="I581" s="5" t="s">
        <v>641</v>
      </c>
      <c r="J581" s="5" t="s">
        <v>1865</v>
      </c>
      <c r="K581" s="5">
        <v>1.0</v>
      </c>
      <c r="L581" s="5">
        <v>2201.0</v>
      </c>
      <c r="M581" s="5">
        <v>51.25313</v>
      </c>
      <c r="N581" s="5">
        <v>-119.88168</v>
      </c>
      <c r="O581" s="5" t="s">
        <v>170</v>
      </c>
      <c r="P581" s="5">
        <v>243.0</v>
      </c>
      <c r="Q581" s="5">
        <v>1.0</v>
      </c>
      <c r="R581" s="5" t="s">
        <v>2402</v>
      </c>
      <c r="S581" s="5" t="s">
        <v>1737</v>
      </c>
      <c r="T581" s="5">
        <v>631.0</v>
      </c>
      <c r="U581" s="5" t="s">
        <v>645</v>
      </c>
      <c r="W581" s="5">
        <v>28491.0</v>
      </c>
      <c r="X581" s="5" t="s">
        <v>1738</v>
      </c>
      <c r="Y581" s="9"/>
      <c r="AO581" s="5" t="s">
        <v>2402</v>
      </c>
      <c r="AP581" s="5">
        <v>243.0</v>
      </c>
      <c r="AQ581" s="5" t="s">
        <v>1716</v>
      </c>
      <c r="AR581" s="5" t="s">
        <v>1739</v>
      </c>
      <c r="AS581" s="5" t="s">
        <v>1740</v>
      </c>
      <c r="AT581" s="5" t="s">
        <v>1741</v>
      </c>
      <c r="AU581" s="5" t="s">
        <v>1742</v>
      </c>
      <c r="AV581" s="5" t="s">
        <v>1720</v>
      </c>
      <c r="AW581" s="5" t="s">
        <v>2368</v>
      </c>
      <c r="AX581" s="5" t="s">
        <v>2369</v>
      </c>
      <c r="AY581" s="5">
        <v>51.2531</v>
      </c>
      <c r="AZ581" s="5">
        <v>-119.8817</v>
      </c>
      <c r="BA581" s="5">
        <v>631.0</v>
      </c>
    </row>
    <row r="582" ht="14.25" customHeight="1">
      <c r="A582" s="5" t="s">
        <v>88</v>
      </c>
      <c r="B582" s="8">
        <v>12.0</v>
      </c>
      <c r="C582" s="5" t="s">
        <v>7666</v>
      </c>
      <c r="D582" s="5">
        <v>244.0</v>
      </c>
      <c r="E582" s="5">
        <v>1799.0</v>
      </c>
      <c r="F582" s="5" t="s">
        <v>2405</v>
      </c>
      <c r="G582" s="10" t="s">
        <v>2406</v>
      </c>
      <c r="H582" s="5" t="s">
        <v>2407</v>
      </c>
      <c r="I582" s="5" t="s">
        <v>641</v>
      </c>
      <c r="J582" s="5" t="s">
        <v>1865</v>
      </c>
      <c r="K582" s="5">
        <v>1.0</v>
      </c>
      <c r="L582" s="5">
        <v>2202.0</v>
      </c>
      <c r="M582" s="5">
        <v>51.67</v>
      </c>
      <c r="N582" s="5">
        <v>-120.65</v>
      </c>
      <c r="O582" s="5" t="s">
        <v>148</v>
      </c>
      <c r="P582" s="5">
        <v>244.0</v>
      </c>
      <c r="Q582" s="5">
        <v>8.0</v>
      </c>
      <c r="R582" s="5" t="s">
        <v>2405</v>
      </c>
      <c r="S582" s="5" t="s">
        <v>1737</v>
      </c>
      <c r="T582" s="5">
        <v>1580.0</v>
      </c>
      <c r="W582" s="5">
        <v>33604.0</v>
      </c>
      <c r="X582" s="5" t="s">
        <v>1738</v>
      </c>
      <c r="Y582" s="9"/>
      <c r="AO582" s="5" t="s">
        <v>2405</v>
      </c>
      <c r="AP582" s="5">
        <v>244.0</v>
      </c>
      <c r="AQ582" s="5" t="s">
        <v>1716</v>
      </c>
      <c r="AR582" s="5" t="s">
        <v>1739</v>
      </c>
      <c r="AS582" s="5" t="s">
        <v>1740</v>
      </c>
      <c r="AT582" s="5" t="s">
        <v>1741</v>
      </c>
      <c r="AU582" s="5" t="s">
        <v>1742</v>
      </c>
      <c r="AV582" s="5" t="s">
        <v>1720</v>
      </c>
      <c r="AW582" s="5" t="s">
        <v>2193</v>
      </c>
      <c r="AX582" s="5" t="s">
        <v>2287</v>
      </c>
      <c r="AY582" s="5">
        <v>51.6639</v>
      </c>
      <c r="AZ582" s="5">
        <v>-120.6579</v>
      </c>
      <c r="BA582" s="5">
        <v>1377.0</v>
      </c>
    </row>
    <row r="583" ht="14.25" customHeight="1">
      <c r="B583" s="8">
        <v>12.0</v>
      </c>
      <c r="C583" s="5" t="s">
        <v>7666</v>
      </c>
      <c r="D583" s="5">
        <v>245.0</v>
      </c>
      <c r="E583" s="5">
        <v>1800.0</v>
      </c>
      <c r="F583" s="18" t="s">
        <v>2408</v>
      </c>
      <c r="G583" s="5" t="s">
        <v>2409</v>
      </c>
      <c r="H583" s="5" t="s">
        <v>2410</v>
      </c>
      <c r="I583" s="5" t="s">
        <v>1664</v>
      </c>
      <c r="J583" s="5" t="s">
        <v>1715</v>
      </c>
      <c r="K583" s="5">
        <v>1.0</v>
      </c>
      <c r="L583" s="5">
        <v>2203.0</v>
      </c>
      <c r="Y583" s="9"/>
      <c r="AO583" s="5" t="s">
        <v>2408</v>
      </c>
      <c r="AP583" s="5">
        <v>245.0</v>
      </c>
      <c r="AQ583" s="5" t="s">
        <v>1716</v>
      </c>
      <c r="AR583" s="5" t="s">
        <v>1717</v>
      </c>
      <c r="AS583" s="5" t="s">
        <v>1718</v>
      </c>
      <c r="AT583" s="5" t="s">
        <v>1703</v>
      </c>
      <c r="AU583" s="5" t="s">
        <v>1703</v>
      </c>
      <c r="AV583" s="5" t="s">
        <v>1720</v>
      </c>
      <c r="AW583" s="5" t="s">
        <v>2368</v>
      </c>
      <c r="AX583" s="5" t="s">
        <v>2401</v>
      </c>
      <c r="AY583" s="5">
        <v>51.7</v>
      </c>
      <c r="AZ583" s="5">
        <v>-120.4</v>
      </c>
      <c r="BA583" s="5">
        <v>11.0</v>
      </c>
    </row>
    <row r="584" ht="14.25" customHeight="1">
      <c r="B584" s="8">
        <v>12.0</v>
      </c>
      <c r="C584" s="5" t="s">
        <v>7666</v>
      </c>
      <c r="D584" s="5">
        <v>246.0</v>
      </c>
      <c r="E584" s="5">
        <v>1801.0</v>
      </c>
      <c r="F584" s="18" t="s">
        <v>2411</v>
      </c>
      <c r="G584" s="5" t="s">
        <v>2412</v>
      </c>
      <c r="H584" s="5" t="s">
        <v>2413</v>
      </c>
      <c r="I584" s="5" t="s">
        <v>1664</v>
      </c>
      <c r="J584" s="5" t="s">
        <v>1715</v>
      </c>
      <c r="K584" s="5">
        <v>1.0</v>
      </c>
      <c r="L584" s="5">
        <v>2204.0</v>
      </c>
      <c r="Y584" s="9"/>
      <c r="AO584" s="5" t="s">
        <v>2411</v>
      </c>
      <c r="AP584" s="5">
        <v>246.0</v>
      </c>
      <c r="AQ584" s="5" t="s">
        <v>1716</v>
      </c>
      <c r="AR584" s="5" t="s">
        <v>1717</v>
      </c>
      <c r="AS584" s="5" t="s">
        <v>1718</v>
      </c>
      <c r="AT584" s="5" t="s">
        <v>1719</v>
      </c>
      <c r="AU584" s="5" t="s">
        <v>1703</v>
      </c>
      <c r="AV584" s="5" t="s">
        <v>1720</v>
      </c>
      <c r="AW584" s="5" t="s">
        <v>2193</v>
      </c>
      <c r="AX584" s="5" t="s">
        <v>2287</v>
      </c>
      <c r="AY584" s="5">
        <v>51.9</v>
      </c>
      <c r="AZ584" s="5">
        <v>-120.9</v>
      </c>
      <c r="BA584" s="5">
        <v>11.0</v>
      </c>
    </row>
    <row r="585" ht="14.25" customHeight="1">
      <c r="B585" s="8">
        <v>12.0</v>
      </c>
      <c r="C585" s="5" t="s">
        <v>7666</v>
      </c>
      <c r="D585" s="5">
        <v>248.0</v>
      </c>
      <c r="E585" s="5">
        <v>1802.0</v>
      </c>
      <c r="F585" s="18" t="s">
        <v>2414</v>
      </c>
      <c r="G585" s="5" t="s">
        <v>2415</v>
      </c>
      <c r="H585" s="5" t="s">
        <v>1859</v>
      </c>
      <c r="I585" s="5" t="s">
        <v>1664</v>
      </c>
      <c r="J585" s="5" t="s">
        <v>1715</v>
      </c>
      <c r="K585" s="5">
        <v>1.0</v>
      </c>
      <c r="L585" s="5">
        <v>2205.0</v>
      </c>
      <c r="Y585" s="9"/>
      <c r="AO585" s="5" t="s">
        <v>2414</v>
      </c>
      <c r="AP585" s="5">
        <v>248.0</v>
      </c>
      <c r="AQ585" s="5" t="s">
        <v>1716</v>
      </c>
      <c r="AR585" s="5" t="s">
        <v>1717</v>
      </c>
      <c r="AS585" s="5" t="s">
        <v>1718</v>
      </c>
      <c r="AT585" s="5" t="s">
        <v>1703</v>
      </c>
      <c r="AU585" s="5" t="s">
        <v>1703</v>
      </c>
      <c r="AV585" s="5" t="s">
        <v>1720</v>
      </c>
      <c r="AW585" s="5" t="s">
        <v>2368</v>
      </c>
      <c r="AX585" s="5" t="s">
        <v>2369</v>
      </c>
      <c r="AY585" s="5">
        <v>51.4</v>
      </c>
      <c r="AZ585" s="5">
        <v>-120.4</v>
      </c>
      <c r="BA585" s="5">
        <v>13.0</v>
      </c>
    </row>
    <row r="586" ht="14.25" customHeight="1">
      <c r="B586" s="8">
        <v>12.0</v>
      </c>
      <c r="C586" s="5" t="s">
        <v>7666</v>
      </c>
      <c r="D586" s="5">
        <v>249.0</v>
      </c>
      <c r="E586" s="5">
        <v>1803.0</v>
      </c>
      <c r="F586" s="18" t="s">
        <v>2416</v>
      </c>
      <c r="G586" s="5" t="s">
        <v>2417</v>
      </c>
      <c r="H586" s="5" t="s">
        <v>2418</v>
      </c>
      <c r="I586" s="5" t="s">
        <v>641</v>
      </c>
      <c r="J586" s="5" t="s">
        <v>1715</v>
      </c>
      <c r="K586" s="5">
        <v>1.0</v>
      </c>
      <c r="L586" s="5">
        <v>2206.0</v>
      </c>
      <c r="Y586" s="9"/>
      <c r="AO586" s="5" t="s">
        <v>2416</v>
      </c>
      <c r="AP586" s="5">
        <v>249.0</v>
      </c>
      <c r="AQ586" s="5" t="s">
        <v>1716</v>
      </c>
      <c r="AR586" s="5" t="s">
        <v>1717</v>
      </c>
      <c r="AS586" s="5" t="s">
        <v>1718</v>
      </c>
      <c r="AT586" s="5" t="s">
        <v>1703</v>
      </c>
      <c r="AU586" s="5" t="s">
        <v>1703</v>
      </c>
      <c r="AV586" s="5" t="s">
        <v>1720</v>
      </c>
      <c r="AW586" s="5" t="s">
        <v>2368</v>
      </c>
      <c r="AX586" s="5" t="s">
        <v>2401</v>
      </c>
      <c r="AY586" s="5">
        <v>51.585</v>
      </c>
      <c r="AZ586" s="5">
        <v>-119.6733</v>
      </c>
      <c r="BA586" s="5">
        <v>792.0</v>
      </c>
    </row>
    <row r="587" ht="14.25" customHeight="1">
      <c r="A587" s="5" t="s">
        <v>1908</v>
      </c>
      <c r="B587" s="8">
        <v>12.0</v>
      </c>
      <c r="C587" s="5" t="s">
        <v>7666</v>
      </c>
      <c r="D587" s="5">
        <v>250.0</v>
      </c>
      <c r="E587" s="5">
        <v>1804.0</v>
      </c>
      <c r="F587" s="10" t="s">
        <v>2419</v>
      </c>
      <c r="G587" s="10" t="s">
        <v>2420</v>
      </c>
      <c r="H587" s="5" t="s">
        <v>2421</v>
      </c>
      <c r="I587" s="5" t="s">
        <v>641</v>
      </c>
      <c r="J587" s="5" t="s">
        <v>1736</v>
      </c>
      <c r="K587" s="5">
        <v>1.0</v>
      </c>
      <c r="L587" s="5">
        <v>2207.0</v>
      </c>
      <c r="M587" s="5">
        <v>51.52267</v>
      </c>
      <c r="N587" s="5">
        <v>-119.11335</v>
      </c>
      <c r="O587" s="5" t="s">
        <v>170</v>
      </c>
      <c r="P587" s="5">
        <v>250.0</v>
      </c>
      <c r="Q587" s="5">
        <v>4.0</v>
      </c>
      <c r="R587" s="5" t="s">
        <v>2422</v>
      </c>
      <c r="S587" s="5" t="s">
        <v>1737</v>
      </c>
      <c r="T587" s="5">
        <v>1525.0</v>
      </c>
      <c r="W587" s="5">
        <v>32509.0</v>
      </c>
      <c r="X587" s="5" t="s">
        <v>1738</v>
      </c>
      <c r="Y587" s="9"/>
      <c r="AO587" s="5" t="s">
        <v>2422</v>
      </c>
      <c r="AP587" s="5">
        <v>250.0</v>
      </c>
      <c r="AQ587" s="5" t="s">
        <v>1716</v>
      </c>
      <c r="AR587" s="5" t="s">
        <v>1739</v>
      </c>
      <c r="AS587" s="5" t="s">
        <v>1740</v>
      </c>
      <c r="AT587" s="5" t="s">
        <v>1741</v>
      </c>
      <c r="AU587" s="5" t="s">
        <v>1742</v>
      </c>
      <c r="AV587" s="5" t="s">
        <v>1720</v>
      </c>
      <c r="AW587" s="5" t="s">
        <v>2368</v>
      </c>
      <c r="AX587" s="5" t="s">
        <v>2369</v>
      </c>
      <c r="AY587" s="5">
        <v>51.5227</v>
      </c>
      <c r="AZ587" s="5">
        <v>-119.1133</v>
      </c>
      <c r="BA587" s="5">
        <v>1516.0</v>
      </c>
    </row>
    <row r="588" ht="14.25" customHeight="1">
      <c r="B588" s="8">
        <v>12.0</v>
      </c>
      <c r="C588" s="5" t="s">
        <v>7666</v>
      </c>
      <c r="D588" s="5">
        <v>251.0</v>
      </c>
      <c r="E588" s="5">
        <v>1805.0</v>
      </c>
      <c r="F588" s="5" t="s">
        <v>2423</v>
      </c>
      <c r="G588" s="5" t="s">
        <v>2424</v>
      </c>
      <c r="H588" s="5" t="s">
        <v>2379</v>
      </c>
      <c r="I588" s="5" t="s">
        <v>641</v>
      </c>
      <c r="J588" s="5" t="s">
        <v>1865</v>
      </c>
      <c r="K588" s="5">
        <v>1.0</v>
      </c>
      <c r="L588" s="5">
        <v>2208.0</v>
      </c>
      <c r="M588" s="5">
        <v>51.967</v>
      </c>
      <c r="N588" s="5">
        <v>-120.608</v>
      </c>
      <c r="O588" s="5" t="s">
        <v>170</v>
      </c>
      <c r="P588" s="5">
        <v>251.0</v>
      </c>
      <c r="Q588" s="5">
        <v>3.0</v>
      </c>
      <c r="R588" s="5" t="s">
        <v>2423</v>
      </c>
      <c r="S588" s="5" t="s">
        <v>1737</v>
      </c>
      <c r="T588" s="5">
        <v>1170.0</v>
      </c>
      <c r="W588" s="5">
        <v>32509.0</v>
      </c>
      <c r="X588" s="5" t="s">
        <v>1738</v>
      </c>
      <c r="Y588" s="9"/>
      <c r="AO588" s="5" t="s">
        <v>2423</v>
      </c>
      <c r="AP588" s="5">
        <v>251.0</v>
      </c>
      <c r="AQ588" s="5" t="s">
        <v>1716</v>
      </c>
      <c r="AR588" s="5" t="s">
        <v>1739</v>
      </c>
      <c r="AS588" s="5" t="s">
        <v>1740</v>
      </c>
      <c r="AT588" s="5" t="s">
        <v>1741</v>
      </c>
      <c r="AU588" s="5" t="s">
        <v>1742</v>
      </c>
      <c r="AV588" s="5" t="s">
        <v>1720</v>
      </c>
      <c r="AW588" s="5" t="s">
        <v>2193</v>
      </c>
      <c r="AX588" s="5" t="s">
        <v>2287</v>
      </c>
      <c r="AY588" s="5">
        <v>51.967</v>
      </c>
      <c r="AZ588" s="5">
        <v>-120.608</v>
      </c>
      <c r="BA588" s="5">
        <v>1170.0</v>
      </c>
    </row>
    <row r="589" ht="14.25" customHeight="1">
      <c r="B589" s="8">
        <v>12.0</v>
      </c>
      <c r="C589" s="5" t="s">
        <v>7666</v>
      </c>
      <c r="D589" s="5">
        <v>252.0</v>
      </c>
      <c r="E589" s="5">
        <v>1806.0</v>
      </c>
      <c r="F589" s="18" t="s">
        <v>2425</v>
      </c>
      <c r="G589" s="5" t="s">
        <v>2426</v>
      </c>
      <c r="H589" s="5" t="s">
        <v>2427</v>
      </c>
      <c r="I589" s="5" t="s">
        <v>641</v>
      </c>
      <c r="J589" s="5" t="s">
        <v>1746</v>
      </c>
      <c r="K589" s="5">
        <v>1.0</v>
      </c>
      <c r="L589" s="5">
        <v>2209.0</v>
      </c>
      <c r="Y589" s="9"/>
      <c r="AO589" s="5" t="s">
        <v>2425</v>
      </c>
      <c r="AP589" s="5">
        <v>252.0</v>
      </c>
      <c r="AQ589" s="5" t="s">
        <v>1716</v>
      </c>
      <c r="AR589" s="5" t="s">
        <v>1717</v>
      </c>
      <c r="AS589" s="5" t="s">
        <v>1718</v>
      </c>
      <c r="AT589" s="5" t="s">
        <v>1703</v>
      </c>
      <c r="AU589" s="5" t="s">
        <v>1703</v>
      </c>
      <c r="AV589" s="5" t="s">
        <v>1720</v>
      </c>
      <c r="AW589" s="5" t="s">
        <v>2193</v>
      </c>
      <c r="AX589" s="5" t="s">
        <v>2287</v>
      </c>
      <c r="AY589" s="5">
        <v>51.061</v>
      </c>
      <c r="AZ589" s="5">
        <v>-121.182</v>
      </c>
      <c r="BA589" s="5">
        <v>1600.0</v>
      </c>
    </row>
    <row r="590" ht="14.25" customHeight="1">
      <c r="A590" s="5" t="s">
        <v>88</v>
      </c>
      <c r="B590" s="8">
        <v>12.0</v>
      </c>
      <c r="C590" s="5" t="s">
        <v>7666</v>
      </c>
      <c r="D590" s="5">
        <v>253.0</v>
      </c>
      <c r="E590" s="5">
        <v>1807.0</v>
      </c>
      <c r="F590" s="5" t="s">
        <v>2428</v>
      </c>
      <c r="G590" s="10" t="s">
        <v>2429</v>
      </c>
      <c r="H590" s="5" t="s">
        <v>2430</v>
      </c>
      <c r="I590" s="5" t="s">
        <v>641</v>
      </c>
      <c r="J590" s="5" t="s">
        <v>1865</v>
      </c>
      <c r="K590" s="5">
        <v>1.0</v>
      </c>
      <c r="L590" s="5">
        <v>2210.0</v>
      </c>
      <c r="M590" s="5">
        <v>50.88788</v>
      </c>
      <c r="N590" s="5">
        <v>-119.83832</v>
      </c>
      <c r="O590" s="5" t="s">
        <v>142</v>
      </c>
      <c r="P590" s="5">
        <v>253.0</v>
      </c>
      <c r="Q590" s="5">
        <v>6.0</v>
      </c>
      <c r="R590" s="5" t="s">
        <v>2428</v>
      </c>
      <c r="S590" s="5" t="s">
        <v>1737</v>
      </c>
      <c r="T590" s="5">
        <v>1543.0</v>
      </c>
      <c r="W590" s="5">
        <v>31778.0</v>
      </c>
      <c r="X590" s="5" t="s">
        <v>1738</v>
      </c>
      <c r="Y590" s="9"/>
      <c r="AO590" s="5" t="s">
        <v>2428</v>
      </c>
      <c r="AP590" s="5">
        <v>253.0</v>
      </c>
      <c r="AQ590" s="5" t="s">
        <v>1716</v>
      </c>
      <c r="AR590" s="5" t="s">
        <v>1739</v>
      </c>
      <c r="AS590" s="5" t="s">
        <v>1740</v>
      </c>
      <c r="AT590" s="5" t="s">
        <v>1741</v>
      </c>
      <c r="AU590" s="5" t="s">
        <v>1742</v>
      </c>
      <c r="AV590" s="5" t="s">
        <v>1720</v>
      </c>
      <c r="AW590" s="5" t="s">
        <v>2368</v>
      </c>
      <c r="AX590" s="5" t="s">
        <v>2369</v>
      </c>
      <c r="AY590" s="5">
        <v>50.8879</v>
      </c>
      <c r="AZ590" s="5">
        <v>-119.8383</v>
      </c>
      <c r="BA590" s="5">
        <v>1543.0</v>
      </c>
    </row>
    <row r="591" ht="14.25" customHeight="1">
      <c r="B591" s="8">
        <v>12.0</v>
      </c>
      <c r="C591" s="5" t="s">
        <v>7666</v>
      </c>
      <c r="D591" s="5">
        <v>255.0</v>
      </c>
      <c r="E591" s="5">
        <v>1808.0</v>
      </c>
      <c r="F591" s="5" t="s">
        <v>2431</v>
      </c>
      <c r="G591" s="5" t="s">
        <v>2432</v>
      </c>
      <c r="H591" s="5" t="s">
        <v>2433</v>
      </c>
      <c r="I591" s="5" t="s">
        <v>641</v>
      </c>
      <c r="J591" s="5" t="s">
        <v>1865</v>
      </c>
      <c r="K591" s="5">
        <v>1.0</v>
      </c>
      <c r="L591" s="5">
        <v>2211.0</v>
      </c>
      <c r="M591" s="5">
        <v>52.615</v>
      </c>
      <c r="N591" s="5">
        <v>-121.51333</v>
      </c>
      <c r="O591" s="5" t="s">
        <v>170</v>
      </c>
      <c r="P591" s="5">
        <v>255.0</v>
      </c>
      <c r="Q591" s="5">
        <v>2.0</v>
      </c>
      <c r="R591" s="5" t="s">
        <v>2431</v>
      </c>
      <c r="S591" s="5" t="s">
        <v>1737</v>
      </c>
      <c r="T591" s="5">
        <v>1046.0</v>
      </c>
      <c r="U591" s="5" t="s">
        <v>645</v>
      </c>
      <c r="V591" s="5" t="s">
        <v>1813</v>
      </c>
      <c r="W591" s="5">
        <v>25569.0</v>
      </c>
      <c r="X591" s="5" t="s">
        <v>1738</v>
      </c>
      <c r="Y591" s="9"/>
      <c r="AO591" s="5" t="s">
        <v>2431</v>
      </c>
      <c r="AP591" s="5">
        <v>255.0</v>
      </c>
      <c r="AQ591" s="5" t="s">
        <v>1716</v>
      </c>
      <c r="AR591" s="5" t="s">
        <v>1739</v>
      </c>
      <c r="AS591" s="5" t="s">
        <v>1740</v>
      </c>
      <c r="AT591" s="5" t="s">
        <v>1741</v>
      </c>
      <c r="AU591" s="5" t="s">
        <v>1742</v>
      </c>
      <c r="AV591" s="5" t="s">
        <v>1720</v>
      </c>
      <c r="AW591" s="5" t="s">
        <v>2193</v>
      </c>
      <c r="AX591" s="5" t="s">
        <v>2356</v>
      </c>
      <c r="AY591" s="5">
        <v>52.615</v>
      </c>
      <c r="AZ591" s="5">
        <v>-121.5133</v>
      </c>
      <c r="BA591" s="5">
        <v>1046.0</v>
      </c>
    </row>
    <row r="592" ht="14.25" customHeight="1">
      <c r="B592" s="8">
        <v>12.0</v>
      </c>
      <c r="C592" s="5" t="s">
        <v>7666</v>
      </c>
      <c r="D592" s="5">
        <v>256.0</v>
      </c>
      <c r="E592" s="5">
        <v>1809.0</v>
      </c>
      <c r="F592" s="18" t="s">
        <v>2434</v>
      </c>
      <c r="G592" s="5" t="s">
        <v>2435</v>
      </c>
      <c r="H592" s="5" t="s">
        <v>2436</v>
      </c>
      <c r="I592" s="5" t="s">
        <v>641</v>
      </c>
      <c r="J592" s="5" t="s">
        <v>1715</v>
      </c>
      <c r="K592" s="5">
        <v>1.0</v>
      </c>
      <c r="L592" s="5">
        <v>2212.0</v>
      </c>
      <c r="Y592" s="9"/>
      <c r="AO592" s="5" t="s">
        <v>2434</v>
      </c>
      <c r="AP592" s="5">
        <v>256.0</v>
      </c>
      <c r="AQ592" s="5" t="s">
        <v>1716</v>
      </c>
      <c r="AR592" s="5" t="s">
        <v>1717</v>
      </c>
      <c r="AS592" s="5" t="s">
        <v>1718</v>
      </c>
      <c r="AT592" s="5" t="s">
        <v>1703</v>
      </c>
      <c r="AU592" s="5" t="s">
        <v>1703</v>
      </c>
      <c r="AV592" s="5" t="s">
        <v>1720</v>
      </c>
      <c r="AW592" s="5" t="s">
        <v>2368</v>
      </c>
      <c r="AX592" s="5" t="s">
        <v>2401</v>
      </c>
      <c r="AY592" s="5">
        <v>52.5</v>
      </c>
      <c r="AZ592" s="5">
        <v>-120.3</v>
      </c>
      <c r="BA592" s="5">
        <v>9.0</v>
      </c>
    </row>
    <row r="593" ht="14.25" customHeight="1">
      <c r="A593" s="5" t="s">
        <v>88</v>
      </c>
      <c r="B593" s="8">
        <v>12.0</v>
      </c>
      <c r="C593" s="5" t="s">
        <v>7666</v>
      </c>
      <c r="D593" s="5">
        <v>257.0</v>
      </c>
      <c r="E593" s="5">
        <v>1810.0</v>
      </c>
      <c r="F593" s="5" t="s">
        <v>2437</v>
      </c>
      <c r="G593" s="10" t="s">
        <v>2438</v>
      </c>
      <c r="H593" s="5" t="s">
        <v>2439</v>
      </c>
      <c r="I593" s="5" t="s">
        <v>641</v>
      </c>
      <c r="J593" s="5" t="s">
        <v>1715</v>
      </c>
      <c r="K593" s="5">
        <v>1.0</v>
      </c>
      <c r="L593" s="5">
        <v>2213.0</v>
      </c>
      <c r="M593" s="11"/>
      <c r="N593" s="11"/>
      <c r="O593" s="11"/>
      <c r="P593" s="11"/>
      <c r="Q593" s="22"/>
      <c r="R593" s="11"/>
      <c r="S593" s="11"/>
      <c r="T593" s="11"/>
      <c r="U593" s="11"/>
      <c r="V593" s="11"/>
      <c r="W593" s="23"/>
      <c r="X593" s="11"/>
      <c r="Y593" s="9"/>
      <c r="AO593" s="5" t="s">
        <v>2440</v>
      </c>
      <c r="AP593" s="5">
        <v>257.0</v>
      </c>
      <c r="AQ593" s="5" t="s">
        <v>1716</v>
      </c>
      <c r="AR593" s="5" t="s">
        <v>2441</v>
      </c>
      <c r="AS593" s="5" t="s">
        <v>2257</v>
      </c>
      <c r="AT593" s="5" t="s">
        <v>2442</v>
      </c>
      <c r="AU593" s="5" t="s">
        <v>2443</v>
      </c>
      <c r="AV593" s="5" t="s">
        <v>1720</v>
      </c>
      <c r="AW593" s="5" t="s">
        <v>2368</v>
      </c>
      <c r="AY593" s="5">
        <v>52.1205</v>
      </c>
      <c r="AZ593" s="5">
        <v>-119.2981</v>
      </c>
      <c r="BA593" s="5">
        <v>696.0</v>
      </c>
    </row>
    <row r="594" ht="14.25" customHeight="1">
      <c r="B594" s="8">
        <v>12.0</v>
      </c>
      <c r="C594" s="5" t="s">
        <v>7666</v>
      </c>
      <c r="D594" s="5">
        <v>258.0</v>
      </c>
      <c r="E594" s="5">
        <v>1811.0</v>
      </c>
      <c r="F594" s="18" t="s">
        <v>2444</v>
      </c>
      <c r="G594" s="5" t="s">
        <v>2445</v>
      </c>
      <c r="H594" s="5" t="s">
        <v>2446</v>
      </c>
      <c r="I594" s="5" t="s">
        <v>641</v>
      </c>
      <c r="J594" s="5" t="s">
        <v>1715</v>
      </c>
      <c r="K594" s="5">
        <v>1.0</v>
      </c>
      <c r="L594" s="5">
        <v>2214.0</v>
      </c>
      <c r="M594" s="11"/>
      <c r="N594" s="11"/>
      <c r="O594" s="11"/>
      <c r="P594" s="11"/>
      <c r="Q594" s="22"/>
      <c r="R594" s="11"/>
      <c r="S594" s="11"/>
      <c r="T594" s="11"/>
      <c r="U594" s="11"/>
      <c r="V594" s="11"/>
      <c r="W594" s="60"/>
      <c r="X594" s="11"/>
      <c r="Y594" s="9"/>
      <c r="AO594" s="5" t="s">
        <v>2444</v>
      </c>
      <c r="AP594" s="5">
        <v>258.0</v>
      </c>
      <c r="AQ594" s="5" t="s">
        <v>1716</v>
      </c>
      <c r="AR594" s="5" t="s">
        <v>1717</v>
      </c>
      <c r="AS594" s="5" t="s">
        <v>1718</v>
      </c>
      <c r="AT594" s="5" t="s">
        <v>1703</v>
      </c>
      <c r="AU594" s="5" t="s">
        <v>1703</v>
      </c>
      <c r="AV594" s="5" t="s">
        <v>1720</v>
      </c>
      <c r="AW594" s="5" t="s">
        <v>2368</v>
      </c>
      <c r="AX594" s="5" t="s">
        <v>2401</v>
      </c>
      <c r="AY594" s="5">
        <v>51.7817</v>
      </c>
      <c r="AZ594" s="5">
        <v>-119.3267</v>
      </c>
      <c r="BA594" s="5">
        <v>518.0</v>
      </c>
    </row>
    <row r="595" ht="14.25" customHeight="1">
      <c r="B595" s="8">
        <v>12.0</v>
      </c>
      <c r="C595" s="5" t="s">
        <v>7666</v>
      </c>
      <c r="D595" s="5">
        <v>259.0</v>
      </c>
      <c r="E595" s="5">
        <v>1812.0</v>
      </c>
      <c r="F595" s="18" t="s">
        <v>2447</v>
      </c>
      <c r="G595" s="5" t="s">
        <v>2448</v>
      </c>
      <c r="H595" s="5" t="s">
        <v>2449</v>
      </c>
      <c r="I595" s="5" t="s">
        <v>1664</v>
      </c>
      <c r="J595" s="5" t="s">
        <v>1746</v>
      </c>
      <c r="K595" s="5">
        <v>1.0</v>
      </c>
      <c r="L595" s="5">
        <v>2215.0</v>
      </c>
      <c r="Y595" s="9"/>
      <c r="AO595" s="5" t="s">
        <v>2447</v>
      </c>
      <c r="AP595" s="5">
        <v>259.0</v>
      </c>
      <c r="AQ595" s="5" t="s">
        <v>1716</v>
      </c>
      <c r="AR595" s="5" t="s">
        <v>1717</v>
      </c>
      <c r="AS595" s="5" t="s">
        <v>1718</v>
      </c>
      <c r="AT595" s="5" t="s">
        <v>1719</v>
      </c>
      <c r="AU595" s="5" t="s">
        <v>1703</v>
      </c>
      <c r="AV595" s="5" t="s">
        <v>1720</v>
      </c>
      <c r="AW595" s="5" t="s">
        <v>2193</v>
      </c>
      <c r="AX595" s="5" t="s">
        <v>2356</v>
      </c>
      <c r="AY595" s="5">
        <v>52.1</v>
      </c>
      <c r="AZ595" s="5">
        <v>-120.9</v>
      </c>
      <c r="BA595" s="5">
        <v>15.0</v>
      </c>
    </row>
    <row r="596" ht="14.25" customHeight="1">
      <c r="B596" s="8">
        <v>12.0</v>
      </c>
      <c r="C596" s="5" t="s">
        <v>7666</v>
      </c>
      <c r="D596" s="5">
        <v>260.0</v>
      </c>
      <c r="E596" s="5">
        <v>1813.0</v>
      </c>
      <c r="F596" s="18" t="s">
        <v>2450</v>
      </c>
      <c r="G596" s="5" t="s">
        <v>2451</v>
      </c>
      <c r="H596" s="5" t="s">
        <v>2452</v>
      </c>
      <c r="I596" s="5" t="s">
        <v>1664</v>
      </c>
      <c r="J596" s="5" t="s">
        <v>1715</v>
      </c>
      <c r="K596" s="5">
        <v>1.0</v>
      </c>
      <c r="L596" s="5">
        <v>2216.0</v>
      </c>
      <c r="Y596" s="9"/>
      <c r="AO596" s="5" t="s">
        <v>2450</v>
      </c>
      <c r="AP596" s="5">
        <v>260.0</v>
      </c>
      <c r="AQ596" s="5" t="s">
        <v>1716</v>
      </c>
      <c r="AR596" s="5" t="s">
        <v>1717</v>
      </c>
      <c r="AS596" s="5" t="s">
        <v>1718</v>
      </c>
      <c r="AT596" s="5" t="s">
        <v>1703</v>
      </c>
      <c r="AU596" s="5" t="s">
        <v>1703</v>
      </c>
      <c r="AV596" s="5" t="s">
        <v>1720</v>
      </c>
      <c r="AW596" s="5" t="s">
        <v>2193</v>
      </c>
      <c r="AX596" s="5" t="s">
        <v>2194</v>
      </c>
      <c r="AY596" s="5">
        <v>53.3</v>
      </c>
      <c r="AZ596" s="5">
        <v>-121.4</v>
      </c>
      <c r="BA596" s="5">
        <v>9.0</v>
      </c>
    </row>
    <row r="597" ht="14.25" customHeight="1">
      <c r="B597" s="8">
        <v>12.0</v>
      </c>
      <c r="C597" s="5" t="s">
        <v>7666</v>
      </c>
      <c r="D597" s="5">
        <v>261.0</v>
      </c>
      <c r="E597" s="5">
        <v>1814.0</v>
      </c>
      <c r="F597" s="18" t="s">
        <v>2453</v>
      </c>
      <c r="G597" s="5" t="s">
        <v>2454</v>
      </c>
      <c r="H597" s="5" t="s">
        <v>2455</v>
      </c>
      <c r="I597" s="5" t="s">
        <v>641</v>
      </c>
      <c r="J597" s="5" t="s">
        <v>1715</v>
      </c>
      <c r="K597" s="5">
        <v>1.0</v>
      </c>
      <c r="L597" s="5">
        <v>2217.0</v>
      </c>
      <c r="M597" s="11"/>
      <c r="N597" s="11"/>
      <c r="O597" s="11"/>
      <c r="P597" s="11"/>
      <c r="Q597" s="22"/>
      <c r="R597" s="11"/>
      <c r="S597" s="11"/>
      <c r="T597" s="11"/>
      <c r="U597" s="11"/>
      <c r="V597" s="11"/>
      <c r="W597" s="60"/>
      <c r="X597" s="11"/>
      <c r="Y597" s="9"/>
      <c r="AO597" s="5" t="s">
        <v>2453</v>
      </c>
      <c r="AP597" s="5">
        <v>261.0</v>
      </c>
      <c r="AQ597" s="5" t="s">
        <v>1716</v>
      </c>
      <c r="AR597" s="5" t="s">
        <v>1717</v>
      </c>
      <c r="AS597" s="5" t="s">
        <v>1718</v>
      </c>
      <c r="AT597" s="5" t="s">
        <v>1703</v>
      </c>
      <c r="AU597" s="5" t="s">
        <v>1703</v>
      </c>
      <c r="AV597" s="5" t="s">
        <v>1720</v>
      </c>
      <c r="AW597" s="5" t="s">
        <v>2368</v>
      </c>
      <c r="AX597" s="5" t="s">
        <v>2258</v>
      </c>
      <c r="AY597" s="5">
        <v>52.6</v>
      </c>
      <c r="AZ597" s="5">
        <v>-119.2</v>
      </c>
      <c r="BA597" s="5">
        <v>10.0</v>
      </c>
    </row>
    <row r="598" ht="14.25" customHeight="1">
      <c r="B598" s="8">
        <v>12.0</v>
      </c>
      <c r="C598" s="5" t="s">
        <v>7666</v>
      </c>
      <c r="D598" s="5">
        <v>262.0</v>
      </c>
      <c r="E598" s="5">
        <v>1815.0</v>
      </c>
      <c r="F598" s="5" t="s">
        <v>2456</v>
      </c>
      <c r="G598" s="5" t="s">
        <v>2457</v>
      </c>
      <c r="H598" s="5" t="s">
        <v>2458</v>
      </c>
      <c r="I598" s="5" t="s">
        <v>641</v>
      </c>
      <c r="J598" s="5" t="s">
        <v>1736</v>
      </c>
      <c r="K598" s="5">
        <v>1.0</v>
      </c>
      <c r="L598" s="5">
        <v>2218.0</v>
      </c>
      <c r="M598" s="11">
        <v>53.26167</v>
      </c>
      <c r="N598" s="11">
        <v>-121.76167</v>
      </c>
      <c r="O598" s="11" t="s">
        <v>170</v>
      </c>
      <c r="P598" s="11">
        <v>262.0</v>
      </c>
      <c r="Q598" s="22">
        <v>4.0</v>
      </c>
      <c r="R598" s="11" t="s">
        <v>2456</v>
      </c>
      <c r="S598" s="11" t="s">
        <v>1737</v>
      </c>
      <c r="T598" s="11">
        <v>1355.0</v>
      </c>
      <c r="U598" s="11" t="s">
        <v>645</v>
      </c>
      <c r="V598" s="11"/>
      <c r="W598" s="23">
        <v>31778.0</v>
      </c>
      <c r="X598" s="11" t="s">
        <v>1738</v>
      </c>
      <c r="Y598" s="9"/>
      <c r="AO598" s="5" t="s">
        <v>2456</v>
      </c>
      <c r="AP598" s="5">
        <v>262.0</v>
      </c>
      <c r="AQ598" s="5" t="s">
        <v>1716</v>
      </c>
      <c r="AR598" s="5" t="s">
        <v>1739</v>
      </c>
      <c r="AS598" s="5" t="s">
        <v>1740</v>
      </c>
      <c r="AT598" s="5" t="s">
        <v>1741</v>
      </c>
      <c r="AU598" s="5" t="s">
        <v>1742</v>
      </c>
      <c r="AV598" s="5" t="s">
        <v>1720</v>
      </c>
      <c r="AW598" s="5" t="s">
        <v>2193</v>
      </c>
      <c r="AX598" s="5" t="s">
        <v>2194</v>
      </c>
      <c r="AY598" s="5">
        <v>53.2617</v>
      </c>
      <c r="AZ598" s="5">
        <v>-121.7617</v>
      </c>
      <c r="BA598" s="5">
        <v>1355.0</v>
      </c>
    </row>
    <row r="599" ht="14.25" customHeight="1">
      <c r="B599" s="8">
        <v>12.0</v>
      </c>
      <c r="C599" s="5" t="s">
        <v>7666</v>
      </c>
      <c r="D599" s="5">
        <v>263.0</v>
      </c>
      <c r="E599" s="5">
        <v>1816.0</v>
      </c>
      <c r="F599" s="5" t="s">
        <v>2459</v>
      </c>
      <c r="G599" s="5" t="s">
        <v>2460</v>
      </c>
      <c r="H599" s="5" t="s">
        <v>2250</v>
      </c>
      <c r="I599" s="5" t="s">
        <v>641</v>
      </c>
      <c r="J599" s="5" t="s">
        <v>1736</v>
      </c>
      <c r="K599" s="5">
        <v>1.0</v>
      </c>
      <c r="L599" s="5">
        <v>2219.0</v>
      </c>
      <c r="M599" s="11">
        <v>52.91</v>
      </c>
      <c r="N599" s="11">
        <v>-120.91167</v>
      </c>
      <c r="O599" s="11" t="s">
        <v>170</v>
      </c>
      <c r="P599" s="11">
        <v>263.0</v>
      </c>
      <c r="Q599" s="22">
        <v>2.0</v>
      </c>
      <c r="R599" s="11" t="s">
        <v>2459</v>
      </c>
      <c r="S599" s="11" t="s">
        <v>1737</v>
      </c>
      <c r="T599" s="11">
        <v>1108.0</v>
      </c>
      <c r="U599" s="11"/>
      <c r="V599" s="11"/>
      <c r="W599" s="23">
        <v>31778.0</v>
      </c>
      <c r="X599" s="11" t="s">
        <v>1738</v>
      </c>
      <c r="Y599" s="9"/>
      <c r="AO599" s="5" t="s">
        <v>2459</v>
      </c>
      <c r="AP599" s="5">
        <v>263.0</v>
      </c>
      <c r="AQ599" s="5" t="s">
        <v>1716</v>
      </c>
      <c r="AR599" s="5" t="s">
        <v>1739</v>
      </c>
      <c r="AS599" s="5" t="s">
        <v>1740</v>
      </c>
      <c r="AT599" s="5" t="s">
        <v>1741</v>
      </c>
      <c r="AU599" s="5" t="s">
        <v>1742</v>
      </c>
      <c r="AV599" s="5" t="s">
        <v>1720</v>
      </c>
      <c r="AW599" s="5" t="s">
        <v>2193</v>
      </c>
      <c r="AX599" s="5" t="s">
        <v>2194</v>
      </c>
      <c r="AY599" s="5">
        <v>52.91</v>
      </c>
      <c r="AZ599" s="5">
        <v>-120.9117</v>
      </c>
      <c r="BA599" s="5">
        <v>1108.0</v>
      </c>
    </row>
    <row r="600" ht="14.25" customHeight="1">
      <c r="B600" s="8">
        <v>12.0</v>
      </c>
      <c r="C600" s="5" t="s">
        <v>7666</v>
      </c>
      <c r="D600" s="5">
        <v>264.0</v>
      </c>
      <c r="E600" s="5">
        <v>1817.0</v>
      </c>
      <c r="F600" s="5" t="s">
        <v>2461</v>
      </c>
      <c r="G600" s="5" t="s">
        <v>2462</v>
      </c>
      <c r="H600" s="5" t="s">
        <v>2463</v>
      </c>
      <c r="I600" s="5" t="s">
        <v>641</v>
      </c>
      <c r="J600" s="5" t="s">
        <v>1736</v>
      </c>
      <c r="K600" s="5">
        <v>1.0</v>
      </c>
      <c r="L600" s="5">
        <v>2220.0</v>
      </c>
      <c r="M600" s="11">
        <v>52.39127</v>
      </c>
      <c r="N600" s="11">
        <v>-120.985</v>
      </c>
      <c r="O600" s="11" t="s">
        <v>170</v>
      </c>
      <c r="P600" s="11">
        <v>264.0</v>
      </c>
      <c r="Q600" s="22">
        <v>2.0</v>
      </c>
      <c r="R600" s="11" t="s">
        <v>2461</v>
      </c>
      <c r="S600" s="11" t="s">
        <v>1737</v>
      </c>
      <c r="T600" s="11">
        <v>1015.0</v>
      </c>
      <c r="U600" s="11"/>
      <c r="V600" s="11"/>
      <c r="W600" s="23">
        <v>32143.0</v>
      </c>
      <c r="X600" s="11" t="s">
        <v>1738</v>
      </c>
      <c r="Y600" s="9"/>
      <c r="AO600" s="5" t="s">
        <v>2461</v>
      </c>
      <c r="AP600" s="5">
        <v>264.0</v>
      </c>
      <c r="AQ600" s="5" t="s">
        <v>1716</v>
      </c>
      <c r="AR600" s="5" t="s">
        <v>1739</v>
      </c>
      <c r="AS600" s="5" t="s">
        <v>1740</v>
      </c>
      <c r="AT600" s="5" t="s">
        <v>1741</v>
      </c>
      <c r="AU600" s="5" t="s">
        <v>1742</v>
      </c>
      <c r="AV600" s="5" t="s">
        <v>1720</v>
      </c>
      <c r="AW600" s="5" t="s">
        <v>2193</v>
      </c>
      <c r="AX600" s="5" t="s">
        <v>2356</v>
      </c>
      <c r="AY600" s="5">
        <v>52.3917</v>
      </c>
      <c r="AZ600" s="5">
        <v>-120.985</v>
      </c>
      <c r="BA600" s="5">
        <v>1015.0</v>
      </c>
    </row>
    <row r="601" ht="14.25" customHeight="1">
      <c r="B601" s="61">
        <v>12.0</v>
      </c>
      <c r="C601" s="62" t="s">
        <v>7666</v>
      </c>
      <c r="D601" s="62">
        <v>265.0</v>
      </c>
      <c r="E601" s="62">
        <v>1818.0</v>
      </c>
      <c r="F601" s="63" t="s">
        <v>2464</v>
      </c>
      <c r="G601" s="62" t="s">
        <v>2465</v>
      </c>
      <c r="H601" s="62" t="s">
        <v>2466</v>
      </c>
      <c r="I601" s="62" t="s">
        <v>641</v>
      </c>
      <c r="J601" s="62" t="s">
        <v>1715</v>
      </c>
      <c r="K601" s="62">
        <v>1.0</v>
      </c>
      <c r="L601" s="5">
        <v>2221.0</v>
      </c>
      <c r="N601" s="62"/>
      <c r="O601" s="62"/>
      <c r="P601" s="62"/>
      <c r="Q601" s="62"/>
      <c r="R601" s="62"/>
      <c r="S601" s="62"/>
      <c r="T601" s="62"/>
      <c r="U601" s="62"/>
      <c r="V601" s="62"/>
      <c r="W601" s="62"/>
      <c r="X601" s="62"/>
      <c r="Y601" s="9"/>
      <c r="AO601" s="5" t="s">
        <v>2464</v>
      </c>
      <c r="AP601" s="5">
        <v>265.0</v>
      </c>
      <c r="AQ601" s="5" t="s">
        <v>1716</v>
      </c>
      <c r="AR601" s="5" t="s">
        <v>1717</v>
      </c>
      <c r="AS601" s="5" t="s">
        <v>1718</v>
      </c>
      <c r="AT601" s="5" t="s">
        <v>1703</v>
      </c>
      <c r="AU601" s="5" t="s">
        <v>1703</v>
      </c>
      <c r="AV601" s="5" t="s">
        <v>1720</v>
      </c>
      <c r="AW601" s="5" t="s">
        <v>2368</v>
      </c>
      <c r="AX601" s="5" t="s">
        <v>2258</v>
      </c>
      <c r="AY601" s="5">
        <v>52.5467</v>
      </c>
      <c r="AZ601" s="5">
        <v>-119.495</v>
      </c>
      <c r="BA601" s="5">
        <v>914.0</v>
      </c>
    </row>
    <row r="602" ht="14.25" customHeight="1">
      <c r="A602" s="5" t="s">
        <v>88</v>
      </c>
      <c r="B602" s="5">
        <v>12.0</v>
      </c>
      <c r="C602" s="5" t="s">
        <v>7666</v>
      </c>
      <c r="D602" s="5">
        <v>266.0</v>
      </c>
      <c r="E602" s="5">
        <v>1819.0</v>
      </c>
      <c r="F602" s="5" t="s">
        <v>2467</v>
      </c>
      <c r="G602" s="10" t="s">
        <v>2468</v>
      </c>
      <c r="H602" s="5" t="s">
        <v>2469</v>
      </c>
      <c r="I602" s="5" t="s">
        <v>641</v>
      </c>
      <c r="J602" s="5" t="s">
        <v>1865</v>
      </c>
      <c r="K602" s="5">
        <v>1.0</v>
      </c>
      <c r="L602" s="5">
        <v>2222.0</v>
      </c>
      <c r="M602" s="5">
        <v>52.34263</v>
      </c>
      <c r="N602" s="5">
        <v>-120.24375</v>
      </c>
      <c r="O602" s="5" t="s">
        <v>170</v>
      </c>
      <c r="P602" s="5">
        <v>266.0</v>
      </c>
      <c r="Q602" s="5">
        <v>2.0</v>
      </c>
      <c r="R602" s="5" t="s">
        <v>2467</v>
      </c>
      <c r="S602" s="5" t="s">
        <v>1737</v>
      </c>
      <c r="T602" s="5">
        <v>959.0</v>
      </c>
      <c r="W602" s="5">
        <v>34335.0</v>
      </c>
      <c r="X602" s="5" t="s">
        <v>1738</v>
      </c>
      <c r="AO602" s="5" t="s">
        <v>2467</v>
      </c>
      <c r="AP602" s="5">
        <v>266.0</v>
      </c>
      <c r="AQ602" s="5" t="s">
        <v>1716</v>
      </c>
      <c r="AR602" s="5" t="s">
        <v>1739</v>
      </c>
      <c r="AS602" s="5" t="s">
        <v>1740</v>
      </c>
      <c r="AT602" s="5" t="s">
        <v>1741</v>
      </c>
      <c r="AU602" s="5" t="s">
        <v>1742</v>
      </c>
      <c r="AV602" s="5" t="s">
        <v>1720</v>
      </c>
      <c r="AW602" s="5" t="s">
        <v>2368</v>
      </c>
      <c r="AX602" s="5" t="s">
        <v>2369</v>
      </c>
      <c r="AY602" s="5">
        <v>52.3425</v>
      </c>
      <c r="AZ602" s="5">
        <v>-120.2434</v>
      </c>
      <c r="BA602" s="5">
        <v>958.0</v>
      </c>
    </row>
    <row r="603" ht="14.25" customHeight="1">
      <c r="A603" s="5" t="s">
        <v>88</v>
      </c>
      <c r="B603" s="5">
        <v>12.0</v>
      </c>
      <c r="C603" s="5" t="s">
        <v>7666</v>
      </c>
      <c r="D603" s="5">
        <v>267.0</v>
      </c>
      <c r="E603" s="5">
        <v>1820.0</v>
      </c>
      <c r="F603" s="5" t="s">
        <v>2470</v>
      </c>
      <c r="G603" s="10" t="s">
        <v>2471</v>
      </c>
      <c r="H603" s="5" t="s">
        <v>2472</v>
      </c>
      <c r="I603" s="5" t="s">
        <v>641</v>
      </c>
      <c r="J603" s="5" t="s">
        <v>1865</v>
      </c>
      <c r="K603" s="5">
        <v>1.0</v>
      </c>
      <c r="L603" s="5">
        <v>2223.0</v>
      </c>
      <c r="M603" s="5">
        <v>51.97877</v>
      </c>
      <c r="N603" s="5">
        <v>-119.41338</v>
      </c>
      <c r="O603" s="5" t="s">
        <v>170</v>
      </c>
      <c r="P603" s="5">
        <v>267.0</v>
      </c>
      <c r="Q603" s="5">
        <v>4.0</v>
      </c>
      <c r="R603" s="5" t="s">
        <v>2470</v>
      </c>
      <c r="S603" s="5" t="s">
        <v>1737</v>
      </c>
      <c r="T603" s="5">
        <v>1478.0</v>
      </c>
      <c r="W603" s="5">
        <v>33239.0</v>
      </c>
      <c r="X603" s="5" t="s">
        <v>1738</v>
      </c>
      <c r="AO603" s="5" t="s">
        <v>2470</v>
      </c>
      <c r="AP603" s="5">
        <v>267.0</v>
      </c>
      <c r="AQ603" s="5" t="s">
        <v>1716</v>
      </c>
      <c r="AR603" s="5" t="s">
        <v>1739</v>
      </c>
      <c r="AS603" s="5" t="s">
        <v>1740</v>
      </c>
      <c r="AT603" s="5" t="s">
        <v>1741</v>
      </c>
      <c r="AU603" s="5" t="s">
        <v>1742</v>
      </c>
      <c r="AV603" s="5" t="s">
        <v>1720</v>
      </c>
      <c r="AW603" s="5" t="s">
        <v>2368</v>
      </c>
      <c r="AX603" s="5" t="s">
        <v>2369</v>
      </c>
      <c r="AY603" s="5">
        <v>51.9788</v>
      </c>
      <c r="AZ603" s="5">
        <v>-119.4134</v>
      </c>
      <c r="BA603" s="5">
        <v>1469.0</v>
      </c>
    </row>
    <row r="604" ht="14.25" customHeight="1">
      <c r="B604" s="5">
        <v>12.0</v>
      </c>
      <c r="C604" s="5" t="s">
        <v>7666</v>
      </c>
      <c r="D604" s="5">
        <v>268.0</v>
      </c>
      <c r="E604" s="5">
        <v>1821.0</v>
      </c>
      <c r="F604" s="18" t="s">
        <v>2473</v>
      </c>
      <c r="G604" s="5" t="s">
        <v>2474</v>
      </c>
      <c r="H604" s="5" t="s">
        <v>2475</v>
      </c>
      <c r="I604" s="5" t="s">
        <v>641</v>
      </c>
      <c r="J604" s="5" t="s">
        <v>1715</v>
      </c>
      <c r="K604" s="5">
        <v>1.0</v>
      </c>
      <c r="L604" s="5">
        <v>2224.0</v>
      </c>
      <c r="AO604" s="5" t="s">
        <v>2473</v>
      </c>
      <c r="AP604" s="5">
        <v>268.0</v>
      </c>
      <c r="AQ604" s="5" t="s">
        <v>1716</v>
      </c>
      <c r="AR604" s="5" t="s">
        <v>1717</v>
      </c>
      <c r="AS604" s="5" t="s">
        <v>1718</v>
      </c>
      <c r="AT604" s="5" t="s">
        <v>1703</v>
      </c>
      <c r="AU604" s="5" t="s">
        <v>1703</v>
      </c>
      <c r="AV604" s="5" t="s">
        <v>1720</v>
      </c>
      <c r="AW604" s="5" t="s">
        <v>2368</v>
      </c>
      <c r="AX604" s="5" t="s">
        <v>2401</v>
      </c>
      <c r="AY604" s="5">
        <v>51.8333</v>
      </c>
      <c r="AZ604" s="5">
        <v>-119.1367</v>
      </c>
      <c r="BA604" s="5">
        <v>975.0</v>
      </c>
    </row>
    <row r="605" ht="14.25" customHeight="1">
      <c r="B605" s="5">
        <v>12.0</v>
      </c>
      <c r="C605" s="5" t="s">
        <v>7666</v>
      </c>
      <c r="D605" s="5">
        <v>269.0</v>
      </c>
      <c r="E605" s="5">
        <v>1822.0</v>
      </c>
      <c r="F605" s="18" t="s">
        <v>2476</v>
      </c>
      <c r="G605" s="5" t="s">
        <v>2477</v>
      </c>
      <c r="H605" s="5" t="s">
        <v>2478</v>
      </c>
      <c r="I605" s="5" t="s">
        <v>641</v>
      </c>
      <c r="J605" s="5" t="s">
        <v>1715</v>
      </c>
      <c r="K605" s="5">
        <v>1.0</v>
      </c>
      <c r="L605" s="5">
        <v>2225.0</v>
      </c>
      <c r="AO605" s="5" t="s">
        <v>2476</v>
      </c>
      <c r="AP605" s="5">
        <v>269.0</v>
      </c>
      <c r="AQ605" s="5" t="s">
        <v>1716</v>
      </c>
      <c r="AR605" s="5" t="s">
        <v>1717</v>
      </c>
      <c r="AS605" s="5" t="s">
        <v>1718</v>
      </c>
      <c r="AT605" s="5" t="s">
        <v>1703</v>
      </c>
      <c r="AU605" s="5" t="s">
        <v>1703</v>
      </c>
      <c r="AV605" s="5" t="s">
        <v>1720</v>
      </c>
      <c r="AW605" s="5" t="s">
        <v>2368</v>
      </c>
      <c r="AX605" s="5" t="s">
        <v>2401</v>
      </c>
      <c r="AY605" s="5">
        <v>51.8167</v>
      </c>
      <c r="AZ605" s="5">
        <v>-119.6567</v>
      </c>
      <c r="BA605" s="5">
        <v>701.0</v>
      </c>
    </row>
    <row r="606" ht="14.25" customHeight="1">
      <c r="A606" s="5" t="s">
        <v>88</v>
      </c>
      <c r="B606" s="5">
        <v>12.0</v>
      </c>
      <c r="C606" s="5" t="s">
        <v>7666</v>
      </c>
      <c r="D606" s="5">
        <v>270.0</v>
      </c>
      <c r="E606" s="5">
        <v>1823.0</v>
      </c>
      <c r="F606" s="5" t="s">
        <v>2479</v>
      </c>
      <c r="G606" s="10" t="s">
        <v>2480</v>
      </c>
      <c r="H606" s="5" t="s">
        <v>2481</v>
      </c>
      <c r="I606" s="5" t="s">
        <v>641</v>
      </c>
      <c r="J606" s="5" t="s">
        <v>1865</v>
      </c>
      <c r="K606" s="5">
        <v>1.0</v>
      </c>
      <c r="L606" s="5">
        <v>2226.0</v>
      </c>
      <c r="M606" s="5">
        <v>52.4526</v>
      </c>
      <c r="N606" s="5">
        <v>-119.17533</v>
      </c>
      <c r="O606" s="5" t="s">
        <v>170</v>
      </c>
      <c r="P606" s="5">
        <v>270.0</v>
      </c>
      <c r="Q606" s="5">
        <v>6.0</v>
      </c>
      <c r="R606" s="5" t="s">
        <v>2479</v>
      </c>
      <c r="S606" s="5" t="s">
        <v>1737</v>
      </c>
      <c r="T606" s="5">
        <v>1873.0</v>
      </c>
      <c r="U606" s="5" t="s">
        <v>645</v>
      </c>
      <c r="W606" s="5">
        <v>35065.0</v>
      </c>
      <c r="X606" s="5" t="s">
        <v>1738</v>
      </c>
      <c r="AO606" s="5" t="s">
        <v>2479</v>
      </c>
      <c r="AP606" s="5">
        <v>270.0</v>
      </c>
      <c r="AQ606" s="5" t="s">
        <v>1716</v>
      </c>
      <c r="AR606" s="5" t="s">
        <v>1739</v>
      </c>
      <c r="AS606" s="5" t="s">
        <v>1740</v>
      </c>
      <c r="AT606" s="5" t="s">
        <v>1835</v>
      </c>
      <c r="AU606" s="5" t="s">
        <v>1959</v>
      </c>
      <c r="AV606" s="5" t="s">
        <v>1720</v>
      </c>
      <c r="AW606" s="5" t="s">
        <v>2003</v>
      </c>
      <c r="AX606" s="5" t="s">
        <v>2258</v>
      </c>
      <c r="AY606" s="5">
        <v>52.4526</v>
      </c>
      <c r="AZ606" s="5">
        <v>-119.1753</v>
      </c>
      <c r="BA606" s="5">
        <v>1873.0</v>
      </c>
    </row>
    <row r="607" ht="14.25" customHeight="1">
      <c r="B607" s="5">
        <v>12.0</v>
      </c>
      <c r="C607" s="5" t="s">
        <v>7666</v>
      </c>
      <c r="D607" s="5">
        <v>271.0</v>
      </c>
      <c r="E607" s="5">
        <v>1824.0</v>
      </c>
      <c r="F607" s="5" t="s">
        <v>2482</v>
      </c>
      <c r="G607" s="5" t="s">
        <v>2483</v>
      </c>
      <c r="H607" s="5" t="s">
        <v>2484</v>
      </c>
      <c r="I607" s="5" t="s">
        <v>641</v>
      </c>
      <c r="J607" s="5" t="s">
        <v>1715</v>
      </c>
      <c r="K607" s="5">
        <v>1.0</v>
      </c>
      <c r="L607" s="5">
        <v>2227.0</v>
      </c>
      <c r="AO607" s="5" t="s">
        <v>2485</v>
      </c>
      <c r="AP607" s="5">
        <v>271.0</v>
      </c>
      <c r="AQ607" s="5" t="s">
        <v>1716</v>
      </c>
      <c r="AR607" s="5" t="s">
        <v>1717</v>
      </c>
      <c r="AS607" s="5" t="s">
        <v>1718</v>
      </c>
      <c r="AT607" s="5" t="s">
        <v>1835</v>
      </c>
      <c r="AU607" s="5" t="s">
        <v>2162</v>
      </c>
      <c r="AV607" s="5" t="s">
        <v>1720</v>
      </c>
      <c r="AW607" s="5" t="s">
        <v>2193</v>
      </c>
      <c r="AX607" s="5" t="s">
        <v>2356</v>
      </c>
      <c r="AY607" s="5">
        <v>52.625</v>
      </c>
      <c r="AZ607" s="5">
        <v>-120.3583</v>
      </c>
      <c r="BA607" s="5">
        <v>910.0</v>
      </c>
    </row>
    <row r="608" ht="14.25" customHeight="1">
      <c r="B608" s="5">
        <v>12.0</v>
      </c>
      <c r="C608" s="5" t="s">
        <v>7666</v>
      </c>
      <c r="D608" s="5">
        <v>272.0</v>
      </c>
      <c r="E608" s="5">
        <v>1825.0</v>
      </c>
      <c r="F608" s="18" t="s">
        <v>2486</v>
      </c>
      <c r="G608" s="5" t="s">
        <v>2487</v>
      </c>
      <c r="H608" s="5" t="s">
        <v>2488</v>
      </c>
      <c r="I608" s="5" t="s">
        <v>641</v>
      </c>
      <c r="J608" s="5" t="s">
        <v>1715</v>
      </c>
      <c r="K608" s="5">
        <v>1.0</v>
      </c>
      <c r="L608" s="5">
        <v>2228.0</v>
      </c>
      <c r="M608" s="8"/>
      <c r="AK608" s="9"/>
      <c r="AO608" s="5" t="s">
        <v>2486</v>
      </c>
      <c r="AP608" s="5">
        <v>272.0</v>
      </c>
      <c r="AQ608" s="5" t="s">
        <v>1716</v>
      </c>
      <c r="AR608" s="5" t="s">
        <v>1717</v>
      </c>
      <c r="AS608" s="5" t="s">
        <v>1718</v>
      </c>
      <c r="AT608" s="5" t="s">
        <v>1719</v>
      </c>
      <c r="AU608" s="5" t="s">
        <v>2489</v>
      </c>
      <c r="AV608" s="5" t="s">
        <v>1720</v>
      </c>
      <c r="AW608" s="5" t="s">
        <v>2368</v>
      </c>
      <c r="AX608" s="5" t="s">
        <v>2401</v>
      </c>
      <c r="AY608" s="5">
        <v>51.875</v>
      </c>
      <c r="AZ608" s="5">
        <v>-119.2167</v>
      </c>
      <c r="BA608" s="5">
        <v>2133.0</v>
      </c>
    </row>
    <row r="609" ht="14.25" customHeight="1">
      <c r="B609" s="5">
        <v>12.0</v>
      </c>
      <c r="C609" s="5" t="s">
        <v>7666</v>
      </c>
      <c r="D609" s="5">
        <v>273.0</v>
      </c>
      <c r="E609" s="5">
        <v>1826.0</v>
      </c>
      <c r="F609" s="18" t="s">
        <v>2490</v>
      </c>
      <c r="G609" s="5" t="s">
        <v>2491</v>
      </c>
      <c r="H609" s="5" t="s">
        <v>1714</v>
      </c>
      <c r="I609" s="5" t="s">
        <v>1664</v>
      </c>
      <c r="J609" s="5" t="s">
        <v>1715</v>
      </c>
      <c r="K609" s="5">
        <v>1.0</v>
      </c>
      <c r="L609" s="5">
        <v>2229.0</v>
      </c>
      <c r="M609" s="8"/>
      <c r="AK609" s="9"/>
      <c r="AO609" s="5" t="s">
        <v>2490</v>
      </c>
      <c r="AP609" s="5">
        <v>273.0</v>
      </c>
      <c r="AQ609" s="5" t="s">
        <v>1716</v>
      </c>
      <c r="AR609" s="5" t="s">
        <v>1717</v>
      </c>
      <c r="AS609" s="5" t="s">
        <v>1718</v>
      </c>
      <c r="AT609" s="5" t="s">
        <v>1719</v>
      </c>
      <c r="AU609" s="5" t="s">
        <v>1703</v>
      </c>
      <c r="AV609" s="5" t="s">
        <v>1720</v>
      </c>
      <c r="AW609" s="5" t="s">
        <v>2368</v>
      </c>
      <c r="AX609" s="5" t="s">
        <v>2492</v>
      </c>
      <c r="AY609" s="5">
        <v>50.1</v>
      </c>
      <c r="AZ609" s="5">
        <v>-120.4</v>
      </c>
      <c r="BA609" s="5">
        <v>15.0</v>
      </c>
    </row>
    <row r="610" ht="14.25" customHeight="1">
      <c r="B610" s="5">
        <v>12.0</v>
      </c>
      <c r="C610" s="5" t="s">
        <v>7666</v>
      </c>
      <c r="D610" s="5">
        <v>275.0</v>
      </c>
      <c r="E610" s="5">
        <v>1827.0</v>
      </c>
      <c r="F610" s="18" t="s">
        <v>2493</v>
      </c>
      <c r="G610" s="5" t="s">
        <v>2494</v>
      </c>
      <c r="H610" s="5" t="s">
        <v>2495</v>
      </c>
      <c r="I610" s="5" t="s">
        <v>1664</v>
      </c>
      <c r="J610" s="5" t="s">
        <v>1715</v>
      </c>
      <c r="K610" s="5">
        <v>1.0</v>
      </c>
      <c r="L610" s="5">
        <v>2230.0</v>
      </c>
      <c r="M610" s="8"/>
      <c r="AK610" s="9"/>
      <c r="AO610" s="5" t="s">
        <v>2493</v>
      </c>
      <c r="AP610" s="5">
        <v>275.0</v>
      </c>
      <c r="AQ610" s="5" t="s">
        <v>1716</v>
      </c>
      <c r="AR610" s="5" t="s">
        <v>1717</v>
      </c>
      <c r="AS610" s="5" t="s">
        <v>1718</v>
      </c>
      <c r="AT610" s="5" t="s">
        <v>1719</v>
      </c>
      <c r="AU610" s="5" t="s">
        <v>1703</v>
      </c>
      <c r="AV610" s="5" t="s">
        <v>1720</v>
      </c>
      <c r="AW610" s="5" t="s">
        <v>2368</v>
      </c>
      <c r="AX610" s="5" t="s">
        <v>2369</v>
      </c>
      <c r="AY610" s="5">
        <v>50.7</v>
      </c>
      <c r="AZ610" s="5">
        <v>-120.3</v>
      </c>
      <c r="BA610" s="5">
        <v>3.0</v>
      </c>
    </row>
    <row r="611" ht="14.25" customHeight="1">
      <c r="B611" s="5">
        <v>12.0</v>
      </c>
      <c r="C611" s="5" t="s">
        <v>7666</v>
      </c>
      <c r="D611" s="5">
        <v>278.0</v>
      </c>
      <c r="E611" s="5">
        <v>1828.0</v>
      </c>
      <c r="F611" s="18" t="s">
        <v>2496</v>
      </c>
      <c r="G611" s="5" t="s">
        <v>2497</v>
      </c>
      <c r="H611" s="5" t="s">
        <v>2498</v>
      </c>
      <c r="I611" s="5" t="s">
        <v>641</v>
      </c>
      <c r="J611" s="5" t="s">
        <v>1715</v>
      </c>
      <c r="K611" s="5">
        <v>1.0</v>
      </c>
      <c r="L611" s="5">
        <v>2231.0</v>
      </c>
      <c r="M611" s="8"/>
      <c r="AK611" s="9"/>
      <c r="AO611" s="5" t="s">
        <v>2496</v>
      </c>
      <c r="AP611" s="5">
        <v>278.0</v>
      </c>
      <c r="AQ611" s="5" t="s">
        <v>1716</v>
      </c>
      <c r="AR611" s="5" t="s">
        <v>1717</v>
      </c>
      <c r="AS611" s="5" t="s">
        <v>1718</v>
      </c>
      <c r="AT611" s="5" t="s">
        <v>1703</v>
      </c>
      <c r="AU611" s="5" t="s">
        <v>1703</v>
      </c>
      <c r="AV611" s="5" t="s">
        <v>1720</v>
      </c>
      <c r="AW611" s="5" t="s">
        <v>2368</v>
      </c>
      <c r="AX611" s="5" t="s">
        <v>2492</v>
      </c>
      <c r="AY611" s="5">
        <v>49.3233</v>
      </c>
      <c r="AZ611" s="5">
        <v>-120.795</v>
      </c>
      <c r="BA611" s="5">
        <v>1615.0</v>
      </c>
    </row>
    <row r="612" ht="14.25" customHeight="1">
      <c r="A612" s="5" t="s">
        <v>88</v>
      </c>
      <c r="B612" s="5">
        <v>12.0</v>
      </c>
      <c r="C612" s="5" t="s">
        <v>7666</v>
      </c>
      <c r="D612" s="5">
        <v>279.0</v>
      </c>
      <c r="E612" s="5">
        <v>1829.0</v>
      </c>
      <c r="F612" s="5" t="s">
        <v>2499</v>
      </c>
      <c r="G612" s="10" t="s">
        <v>2500</v>
      </c>
      <c r="H612" s="5" t="s">
        <v>2501</v>
      </c>
      <c r="I612" s="5" t="s">
        <v>641</v>
      </c>
      <c r="J612" s="5" t="s">
        <v>1736</v>
      </c>
      <c r="K612" s="5">
        <v>1.0</v>
      </c>
      <c r="L612" s="5">
        <v>2232.0</v>
      </c>
      <c r="M612" s="8">
        <v>49.71515</v>
      </c>
      <c r="N612" s="5">
        <v>-120.86605</v>
      </c>
      <c r="O612" s="5" t="s">
        <v>142</v>
      </c>
      <c r="P612" s="5">
        <v>279.0</v>
      </c>
      <c r="Q612" s="5">
        <v>5.0</v>
      </c>
      <c r="R612" s="5" t="s">
        <v>2499</v>
      </c>
      <c r="S612" s="5" t="s">
        <v>1737</v>
      </c>
      <c r="T612" s="5">
        <v>1407.0</v>
      </c>
      <c r="W612" s="5">
        <v>28126.0</v>
      </c>
      <c r="X612" s="5" t="s">
        <v>1738</v>
      </c>
      <c r="AK612" s="9"/>
      <c r="AO612" s="5" t="s">
        <v>2499</v>
      </c>
      <c r="AP612" s="5">
        <v>279.0</v>
      </c>
      <c r="AQ612" s="5" t="s">
        <v>1700</v>
      </c>
      <c r="AR612" s="5" t="s">
        <v>1739</v>
      </c>
      <c r="AS612" s="5" t="s">
        <v>1740</v>
      </c>
      <c r="AT612" s="5" t="s">
        <v>1741</v>
      </c>
      <c r="AU612" s="5" t="s">
        <v>1959</v>
      </c>
      <c r="AV612" s="5" t="s">
        <v>1720</v>
      </c>
      <c r="AW612" s="5" t="s">
        <v>2368</v>
      </c>
      <c r="AX612" s="5" t="s">
        <v>2492</v>
      </c>
      <c r="AY612" s="5">
        <v>49.7152</v>
      </c>
      <c r="AZ612" s="5">
        <v>-120.866</v>
      </c>
      <c r="BA612" s="5">
        <v>1407.0</v>
      </c>
    </row>
    <row r="613" ht="14.25" customHeight="1">
      <c r="A613" s="5" t="s">
        <v>88</v>
      </c>
      <c r="B613" s="5">
        <v>12.0</v>
      </c>
      <c r="C613" s="5" t="s">
        <v>7666</v>
      </c>
      <c r="D613" s="5">
        <v>280.0</v>
      </c>
      <c r="E613" s="5">
        <v>1830.0</v>
      </c>
      <c r="F613" s="5" t="s">
        <v>2502</v>
      </c>
      <c r="G613" s="10" t="s">
        <v>2503</v>
      </c>
      <c r="H613" s="5" t="s">
        <v>2504</v>
      </c>
      <c r="I613" s="5" t="s">
        <v>641</v>
      </c>
      <c r="J613" s="5" t="s">
        <v>1736</v>
      </c>
      <c r="K613" s="5">
        <v>1.0</v>
      </c>
      <c r="L613" s="5">
        <v>2233.0</v>
      </c>
      <c r="M613" s="8">
        <v>50.67202</v>
      </c>
      <c r="N613" s="5">
        <v>-121.88818</v>
      </c>
      <c r="O613" s="5" t="s">
        <v>142</v>
      </c>
      <c r="P613" s="5">
        <v>280.0</v>
      </c>
      <c r="Q613" s="5">
        <v>1.0</v>
      </c>
      <c r="R613" s="5" t="s">
        <v>2502</v>
      </c>
      <c r="S613" s="5" t="s">
        <v>1737</v>
      </c>
      <c r="T613" s="5">
        <v>408.0</v>
      </c>
      <c r="U613" s="5" t="s">
        <v>645</v>
      </c>
      <c r="V613" s="5" t="s">
        <v>1830</v>
      </c>
      <c r="W613" s="5">
        <v>28126.0</v>
      </c>
      <c r="X613" s="5" t="s">
        <v>1738</v>
      </c>
      <c r="AK613" s="9"/>
      <c r="AO613" s="5" t="s">
        <v>2502</v>
      </c>
      <c r="AP613" s="5">
        <v>280.0</v>
      </c>
      <c r="AQ613" s="5" t="s">
        <v>1700</v>
      </c>
      <c r="AR613" s="5" t="s">
        <v>1739</v>
      </c>
      <c r="AS613" s="5" t="s">
        <v>1740</v>
      </c>
      <c r="AT613" s="5" t="s">
        <v>1741</v>
      </c>
      <c r="AU613" s="5" t="s">
        <v>1772</v>
      </c>
      <c r="AV613" s="5" t="s">
        <v>1720</v>
      </c>
      <c r="AW613" s="5" t="s">
        <v>2368</v>
      </c>
      <c r="AX613" s="5" t="s">
        <v>2505</v>
      </c>
      <c r="AY613" s="5">
        <v>50.672</v>
      </c>
      <c r="AZ613" s="5">
        <v>-121.8882</v>
      </c>
      <c r="BA613" s="5">
        <v>408.0</v>
      </c>
    </row>
    <row r="614" ht="14.25" customHeight="1">
      <c r="A614" s="5" t="s">
        <v>88</v>
      </c>
      <c r="B614" s="5">
        <v>12.0</v>
      </c>
      <c r="C614" s="5" t="s">
        <v>7666</v>
      </c>
      <c r="D614" s="5">
        <v>281.0</v>
      </c>
      <c r="E614" s="5">
        <v>1831.0</v>
      </c>
      <c r="F614" s="5" t="s">
        <v>2506</v>
      </c>
      <c r="G614" s="10" t="s">
        <v>2507</v>
      </c>
      <c r="H614" s="5" t="s">
        <v>2508</v>
      </c>
      <c r="I614" s="5" t="s">
        <v>641</v>
      </c>
      <c r="J614" s="5" t="s">
        <v>1715</v>
      </c>
      <c r="K614" s="5">
        <v>1.0</v>
      </c>
      <c r="L614" s="5">
        <v>2234.0</v>
      </c>
      <c r="M614" s="8"/>
      <c r="AK614" s="9"/>
      <c r="AO614" s="5" t="s">
        <v>2509</v>
      </c>
      <c r="AP614" s="5">
        <v>281.0</v>
      </c>
      <c r="AQ614" s="5" t="s">
        <v>1716</v>
      </c>
      <c r="AR614" s="5" t="s">
        <v>1717</v>
      </c>
      <c r="AS614" s="5" t="s">
        <v>1718</v>
      </c>
      <c r="AT614" s="5" t="s">
        <v>1841</v>
      </c>
      <c r="AU614" s="5" t="s">
        <v>1959</v>
      </c>
      <c r="AV614" s="5" t="s">
        <v>1720</v>
      </c>
      <c r="AW614" s="5" t="s">
        <v>2368</v>
      </c>
      <c r="AX614" s="5" t="s">
        <v>2505</v>
      </c>
      <c r="AY614" s="5">
        <v>50.4</v>
      </c>
      <c r="AZ614" s="5">
        <v>-121.5698</v>
      </c>
      <c r="BA614" s="5">
        <v>1586.0</v>
      </c>
    </row>
    <row r="615" ht="14.25" customHeight="1">
      <c r="B615" s="5">
        <v>12.0</v>
      </c>
      <c r="C615" s="5" t="s">
        <v>7666</v>
      </c>
      <c r="D615" s="5">
        <v>282.0</v>
      </c>
      <c r="E615" s="5">
        <v>1832.0</v>
      </c>
      <c r="F615" s="18" t="s">
        <v>2510</v>
      </c>
      <c r="G615" s="5" t="s">
        <v>2511</v>
      </c>
      <c r="H615" s="5" t="s">
        <v>2512</v>
      </c>
      <c r="I615" s="5" t="s">
        <v>641</v>
      </c>
      <c r="J615" s="5" t="s">
        <v>1715</v>
      </c>
      <c r="K615" s="5">
        <v>1.0</v>
      </c>
      <c r="L615" s="5">
        <v>2235.0</v>
      </c>
      <c r="M615" s="8"/>
      <c r="AK615" s="9"/>
      <c r="AO615" s="5" t="s">
        <v>2510</v>
      </c>
      <c r="AP615" s="5">
        <v>282.0</v>
      </c>
      <c r="AQ615" s="5" t="s">
        <v>1716</v>
      </c>
      <c r="AR615" s="5" t="s">
        <v>1717</v>
      </c>
      <c r="AS615" s="5" t="s">
        <v>1718</v>
      </c>
      <c r="AT615" s="5" t="s">
        <v>1703</v>
      </c>
      <c r="AU615" s="5" t="s">
        <v>1703</v>
      </c>
      <c r="AV615" s="5" t="s">
        <v>1720</v>
      </c>
      <c r="AW615" s="5" t="s">
        <v>2368</v>
      </c>
      <c r="AX615" s="5" t="s">
        <v>2492</v>
      </c>
      <c r="AY615" s="5">
        <v>49.7667</v>
      </c>
      <c r="AZ615" s="5">
        <v>-120.4217</v>
      </c>
      <c r="BA615" s="5">
        <v>1341.0</v>
      </c>
    </row>
    <row r="616" ht="14.25" customHeight="1">
      <c r="A616" s="5" t="s">
        <v>88</v>
      </c>
      <c r="B616" s="5">
        <v>12.0</v>
      </c>
      <c r="C616" s="5" t="s">
        <v>7666</v>
      </c>
      <c r="D616" s="5">
        <v>283.0</v>
      </c>
      <c r="E616" s="5">
        <v>1833.0</v>
      </c>
      <c r="F616" s="5" t="s">
        <v>2513</v>
      </c>
      <c r="G616" s="10" t="s">
        <v>2514</v>
      </c>
      <c r="H616" s="5" t="s">
        <v>2515</v>
      </c>
      <c r="I616" s="5" t="s">
        <v>641</v>
      </c>
      <c r="J616" s="5" t="s">
        <v>1865</v>
      </c>
      <c r="K616" s="5">
        <v>1.0</v>
      </c>
      <c r="L616" s="5">
        <v>2236.0</v>
      </c>
      <c r="M616" s="8">
        <v>49.86842</v>
      </c>
      <c r="N616" s="5">
        <v>-119.99252</v>
      </c>
      <c r="O616" s="5" t="s">
        <v>142</v>
      </c>
      <c r="P616" s="5">
        <v>283.0</v>
      </c>
      <c r="Q616" s="5">
        <v>6.0</v>
      </c>
      <c r="R616" s="5" t="s">
        <v>2513</v>
      </c>
      <c r="S616" s="5" t="s">
        <v>1737</v>
      </c>
      <c r="T616" s="5">
        <v>1476.0</v>
      </c>
      <c r="W616" s="5">
        <v>28126.0</v>
      </c>
      <c r="X616" s="5" t="s">
        <v>1738</v>
      </c>
      <c r="AK616" s="9"/>
      <c r="AO616" s="5" t="s">
        <v>2513</v>
      </c>
      <c r="AP616" s="5">
        <v>283.0</v>
      </c>
      <c r="AQ616" s="5" t="s">
        <v>1700</v>
      </c>
      <c r="AR616" s="5" t="s">
        <v>1739</v>
      </c>
      <c r="AS616" s="5" t="s">
        <v>1740</v>
      </c>
      <c r="AT616" s="5" t="s">
        <v>1835</v>
      </c>
      <c r="AU616" s="5" t="s">
        <v>1959</v>
      </c>
      <c r="AV616" s="5" t="s">
        <v>1720</v>
      </c>
      <c r="AW616" s="5" t="s">
        <v>2368</v>
      </c>
      <c r="AX616" s="5" t="s">
        <v>2516</v>
      </c>
      <c r="AY616" s="5">
        <v>49.8684</v>
      </c>
      <c r="AZ616" s="5">
        <v>-119.9925</v>
      </c>
      <c r="BA616" s="5">
        <v>1463.0</v>
      </c>
    </row>
    <row r="617" ht="14.25" customHeight="1">
      <c r="B617" s="5">
        <v>12.0</v>
      </c>
      <c r="C617" s="5" t="s">
        <v>7666</v>
      </c>
      <c r="D617" s="5">
        <v>284.0</v>
      </c>
      <c r="E617" s="5">
        <v>1834.0</v>
      </c>
      <c r="F617" s="18" t="s">
        <v>2517</v>
      </c>
      <c r="G617" s="5" t="s">
        <v>2518</v>
      </c>
      <c r="H617" s="5" t="s">
        <v>2519</v>
      </c>
      <c r="I617" s="5" t="s">
        <v>641</v>
      </c>
      <c r="J617" s="5" t="s">
        <v>1715</v>
      </c>
      <c r="K617" s="5">
        <v>1.0</v>
      </c>
      <c r="L617" s="5">
        <v>2237.0</v>
      </c>
      <c r="M617" s="8"/>
      <c r="AK617" s="9"/>
      <c r="AO617" s="5" t="s">
        <v>2517</v>
      </c>
      <c r="AP617" s="5">
        <v>284.0</v>
      </c>
      <c r="AQ617" s="5" t="s">
        <v>1716</v>
      </c>
      <c r="AR617" s="5" t="s">
        <v>1717</v>
      </c>
      <c r="AS617" s="5" t="s">
        <v>1718</v>
      </c>
      <c r="AT617" s="5" t="s">
        <v>1703</v>
      </c>
      <c r="AU617" s="5" t="s">
        <v>1703</v>
      </c>
      <c r="AV617" s="5" t="s">
        <v>1720</v>
      </c>
      <c r="AW617" s="5" t="s">
        <v>2368</v>
      </c>
      <c r="AX617" s="5" t="s">
        <v>2492</v>
      </c>
      <c r="AY617" s="5">
        <v>49.9317</v>
      </c>
      <c r="AZ617" s="5">
        <v>-121.1183</v>
      </c>
      <c r="BA617" s="5">
        <v>1036.0</v>
      </c>
    </row>
    <row r="618" ht="14.25" customHeight="1">
      <c r="B618" s="5">
        <v>12.0</v>
      </c>
      <c r="C618" s="5" t="s">
        <v>7666</v>
      </c>
      <c r="D618" s="5">
        <v>285.0</v>
      </c>
      <c r="E618" s="5">
        <v>1835.0</v>
      </c>
      <c r="F618" s="18" t="s">
        <v>2520</v>
      </c>
      <c r="G618" s="5" t="s">
        <v>2521</v>
      </c>
      <c r="H618" s="5" t="s">
        <v>2027</v>
      </c>
      <c r="I618" s="5" t="s">
        <v>1664</v>
      </c>
      <c r="J618" s="5" t="s">
        <v>1715</v>
      </c>
      <c r="K618" s="5">
        <v>1.0</v>
      </c>
      <c r="L618" s="5">
        <v>2238.0</v>
      </c>
      <c r="M618" s="8"/>
      <c r="AK618" s="9"/>
      <c r="AO618" s="5" t="s">
        <v>2520</v>
      </c>
      <c r="AP618" s="5">
        <v>285.0</v>
      </c>
      <c r="AQ618" s="5" t="s">
        <v>1716</v>
      </c>
      <c r="AR618" s="5" t="s">
        <v>1717</v>
      </c>
      <c r="AS618" s="5" t="s">
        <v>1718</v>
      </c>
      <c r="AT618" s="5" t="s">
        <v>1719</v>
      </c>
      <c r="AU618" s="5" t="s">
        <v>1703</v>
      </c>
      <c r="AV618" s="5" t="s">
        <v>1720</v>
      </c>
      <c r="AW618" s="5" t="s">
        <v>2368</v>
      </c>
      <c r="AX618" s="5" t="s">
        <v>2522</v>
      </c>
      <c r="AY618" s="5">
        <v>50.2</v>
      </c>
      <c r="AZ618" s="5">
        <v>-119.0</v>
      </c>
      <c r="BA618" s="5">
        <v>0.0</v>
      </c>
    </row>
    <row r="619" ht="14.25" customHeight="1">
      <c r="A619" s="5" t="s">
        <v>88</v>
      </c>
      <c r="B619" s="5">
        <v>12.0</v>
      </c>
      <c r="C619" s="5" t="s">
        <v>7666</v>
      </c>
      <c r="D619" s="5">
        <v>286.0</v>
      </c>
      <c r="E619" s="5">
        <v>1836.0</v>
      </c>
      <c r="F619" s="5" t="s">
        <v>2523</v>
      </c>
      <c r="G619" s="10" t="s">
        <v>2524</v>
      </c>
      <c r="H619" s="5" t="s">
        <v>2525</v>
      </c>
      <c r="I619" s="5" t="s">
        <v>641</v>
      </c>
      <c r="J619" s="5" t="s">
        <v>1736</v>
      </c>
      <c r="K619" s="5">
        <v>1.0</v>
      </c>
      <c r="L619" s="5">
        <v>2239.0</v>
      </c>
      <c r="M619" s="8">
        <v>50.80333</v>
      </c>
      <c r="N619" s="5">
        <v>-119.63</v>
      </c>
      <c r="O619" s="5" t="s">
        <v>142</v>
      </c>
      <c r="P619" s="5">
        <v>286.0</v>
      </c>
      <c r="Q619" s="5">
        <v>1.0</v>
      </c>
      <c r="R619" s="5" t="s">
        <v>2523</v>
      </c>
      <c r="S619" s="5" t="s">
        <v>1737</v>
      </c>
      <c r="T619" s="5">
        <v>640.0</v>
      </c>
      <c r="U619" s="5" t="s">
        <v>645</v>
      </c>
      <c r="W619" s="5">
        <v>28126.0</v>
      </c>
      <c r="X619" s="5" t="s">
        <v>1738</v>
      </c>
      <c r="AK619" s="9"/>
      <c r="AO619" s="5" t="s">
        <v>2523</v>
      </c>
      <c r="AP619" s="5">
        <v>286.0</v>
      </c>
      <c r="AQ619" s="5" t="s">
        <v>1700</v>
      </c>
      <c r="AR619" s="5" t="s">
        <v>1739</v>
      </c>
      <c r="AS619" s="5" t="s">
        <v>1740</v>
      </c>
      <c r="AT619" s="5" t="s">
        <v>1741</v>
      </c>
      <c r="AU619" s="5" t="s">
        <v>1772</v>
      </c>
      <c r="AV619" s="5" t="s">
        <v>1720</v>
      </c>
      <c r="AW619" s="5" t="s">
        <v>2368</v>
      </c>
      <c r="AX619" s="5" t="s">
        <v>2522</v>
      </c>
      <c r="AY619" s="5">
        <v>50.8036</v>
      </c>
      <c r="AZ619" s="5">
        <v>-119.6307</v>
      </c>
      <c r="BA619" s="5">
        <v>660.0</v>
      </c>
    </row>
    <row r="620" ht="14.25" customHeight="1">
      <c r="B620" s="5">
        <v>12.0</v>
      </c>
      <c r="C620" s="5" t="s">
        <v>7666</v>
      </c>
      <c r="D620" s="5">
        <v>287.0</v>
      </c>
      <c r="E620" s="5">
        <v>1837.0</v>
      </c>
      <c r="F620" s="18" t="s">
        <v>2526</v>
      </c>
      <c r="G620" s="5" t="s">
        <v>2527</v>
      </c>
      <c r="H620" s="5" t="s">
        <v>2528</v>
      </c>
      <c r="I620" s="5" t="s">
        <v>1664</v>
      </c>
      <c r="J620" s="5" t="s">
        <v>1715</v>
      </c>
      <c r="K620" s="5">
        <v>1.0</v>
      </c>
      <c r="L620" s="5">
        <v>2240.0</v>
      </c>
      <c r="M620" s="8"/>
      <c r="AK620" s="9"/>
      <c r="AO620" s="5" t="s">
        <v>2529</v>
      </c>
      <c r="AP620" s="5">
        <v>287.0</v>
      </c>
      <c r="AQ620" s="5" t="s">
        <v>1716</v>
      </c>
      <c r="AR620" s="5" t="s">
        <v>1717</v>
      </c>
      <c r="AS620" s="5" t="s">
        <v>1718</v>
      </c>
      <c r="AT620" s="5" t="s">
        <v>1703</v>
      </c>
      <c r="AU620" s="5" t="s">
        <v>1703</v>
      </c>
      <c r="AV620" s="5" t="s">
        <v>1720</v>
      </c>
      <c r="AW620" s="5" t="s">
        <v>2368</v>
      </c>
      <c r="AX620" s="5" t="s">
        <v>2505</v>
      </c>
      <c r="AY620" s="5">
        <v>50.8</v>
      </c>
      <c r="AZ620" s="5">
        <v>-122.8</v>
      </c>
      <c r="BA620" s="5">
        <v>0.0</v>
      </c>
    </row>
    <row r="621" ht="14.25" customHeight="1">
      <c r="B621" s="5">
        <v>12.0</v>
      </c>
      <c r="C621" s="5" t="s">
        <v>7666</v>
      </c>
      <c r="D621" s="5">
        <v>288.0</v>
      </c>
      <c r="E621" s="5">
        <v>1838.0</v>
      </c>
      <c r="F621" s="18" t="s">
        <v>2530</v>
      </c>
      <c r="G621" s="5" t="s">
        <v>2531</v>
      </c>
      <c r="H621" s="5" t="s">
        <v>1787</v>
      </c>
      <c r="I621" s="5" t="s">
        <v>1664</v>
      </c>
      <c r="J621" s="5" t="s">
        <v>1715</v>
      </c>
      <c r="K621" s="5">
        <v>1.0</v>
      </c>
      <c r="L621" s="5">
        <v>2241.0</v>
      </c>
      <c r="M621" s="8"/>
      <c r="AK621" s="9"/>
      <c r="AO621" s="5" t="s">
        <v>2530</v>
      </c>
      <c r="AP621" s="5">
        <v>288.0</v>
      </c>
      <c r="AQ621" s="5" t="s">
        <v>1716</v>
      </c>
      <c r="AR621" s="5" t="s">
        <v>1717</v>
      </c>
      <c r="AS621" s="5" t="s">
        <v>1718</v>
      </c>
      <c r="AT621" s="5" t="s">
        <v>1719</v>
      </c>
      <c r="AU621" s="5" t="s">
        <v>1703</v>
      </c>
      <c r="AV621" s="5" t="s">
        <v>1720</v>
      </c>
      <c r="AW621" s="5" t="s">
        <v>2368</v>
      </c>
      <c r="AX621" s="5" t="s">
        <v>2522</v>
      </c>
      <c r="AY621" s="5">
        <v>50.3</v>
      </c>
      <c r="AZ621" s="5">
        <v>-119.3</v>
      </c>
      <c r="BA621" s="5">
        <v>0.0</v>
      </c>
    </row>
    <row r="622" ht="14.25" customHeight="1">
      <c r="B622" s="5">
        <v>12.0</v>
      </c>
      <c r="C622" s="5" t="s">
        <v>7666</v>
      </c>
      <c r="D622" s="5">
        <v>289.0</v>
      </c>
      <c r="E622" s="5">
        <v>1839.0</v>
      </c>
      <c r="F622" s="18" t="s">
        <v>2532</v>
      </c>
      <c r="G622" s="5" t="s">
        <v>2533</v>
      </c>
      <c r="H622" s="5" t="s">
        <v>2534</v>
      </c>
      <c r="I622" s="5" t="s">
        <v>1664</v>
      </c>
      <c r="J622" s="5" t="s">
        <v>1746</v>
      </c>
      <c r="K622" s="5">
        <v>1.0</v>
      </c>
      <c r="L622" s="5">
        <v>2242.0</v>
      </c>
      <c r="M622" s="8"/>
      <c r="AO622" s="5" t="s">
        <v>2532</v>
      </c>
      <c r="AP622" s="5">
        <v>289.0</v>
      </c>
      <c r="AQ622" s="5" t="s">
        <v>1716</v>
      </c>
      <c r="AR622" s="5" t="s">
        <v>1717</v>
      </c>
      <c r="AS622" s="5" t="s">
        <v>1718</v>
      </c>
      <c r="AT622" s="5" t="s">
        <v>1719</v>
      </c>
      <c r="AU622" s="5" t="s">
        <v>1703</v>
      </c>
      <c r="AV622" s="5" t="s">
        <v>1720</v>
      </c>
      <c r="AW622" s="5" t="s">
        <v>2368</v>
      </c>
      <c r="AX622" s="5" t="s">
        <v>2522</v>
      </c>
      <c r="AY622" s="5">
        <v>50.2</v>
      </c>
      <c r="AZ622" s="5">
        <v>-119.3</v>
      </c>
      <c r="BA622" s="5">
        <v>4.0</v>
      </c>
    </row>
    <row r="623" ht="14.25" customHeight="1">
      <c r="B623" s="5">
        <v>12.0</v>
      </c>
      <c r="C623" s="5" t="s">
        <v>7666</v>
      </c>
      <c r="D623" s="5">
        <v>290.0</v>
      </c>
      <c r="E623" s="5">
        <v>1840.0</v>
      </c>
      <c r="F623" s="18" t="s">
        <v>2535</v>
      </c>
      <c r="G623" s="5" t="s">
        <v>2536</v>
      </c>
      <c r="H623" s="5" t="s">
        <v>2537</v>
      </c>
      <c r="I623" s="5" t="s">
        <v>641</v>
      </c>
      <c r="J623" s="5" t="s">
        <v>1715</v>
      </c>
      <c r="K623" s="5">
        <v>1.0</v>
      </c>
      <c r="L623" s="5">
        <v>2243.0</v>
      </c>
      <c r="M623" s="8"/>
      <c r="AO623" s="5" t="s">
        <v>2535</v>
      </c>
      <c r="AP623" s="5">
        <v>290.0</v>
      </c>
      <c r="AQ623" s="5" t="s">
        <v>1716</v>
      </c>
      <c r="AR623" s="5" t="s">
        <v>1717</v>
      </c>
      <c r="AS623" s="5" t="s">
        <v>1718</v>
      </c>
      <c r="AT623" s="5" t="s">
        <v>1703</v>
      </c>
      <c r="AU623" s="5" t="s">
        <v>1703</v>
      </c>
      <c r="AV623" s="5" t="s">
        <v>1720</v>
      </c>
      <c r="AW623" s="5" t="s">
        <v>2368</v>
      </c>
      <c r="AX623" s="5" t="s">
        <v>2522</v>
      </c>
      <c r="AY623" s="5">
        <v>50.4133</v>
      </c>
      <c r="AZ623" s="5">
        <v>-119.9967</v>
      </c>
      <c r="BA623" s="5">
        <v>1462.0</v>
      </c>
    </row>
    <row r="624" ht="14.25" customHeight="1">
      <c r="A624" s="5" t="s">
        <v>88</v>
      </c>
      <c r="B624" s="5">
        <v>12.0</v>
      </c>
      <c r="C624" s="5" t="s">
        <v>7666</v>
      </c>
      <c r="D624" s="5">
        <v>291.0</v>
      </c>
      <c r="E624" s="5">
        <v>1841.0</v>
      </c>
      <c r="F624" s="5" t="s">
        <v>2538</v>
      </c>
      <c r="G624" s="10" t="s">
        <v>2539</v>
      </c>
      <c r="H624" s="5" t="s">
        <v>2540</v>
      </c>
      <c r="I624" s="5" t="s">
        <v>641</v>
      </c>
      <c r="J624" s="5" t="s">
        <v>1736</v>
      </c>
      <c r="K624" s="5">
        <v>1.0</v>
      </c>
      <c r="L624" s="5">
        <v>2244.0</v>
      </c>
      <c r="M624" s="8">
        <v>50.27045</v>
      </c>
      <c r="N624" s="5">
        <v>-120.2883</v>
      </c>
      <c r="O624" s="5" t="s">
        <v>142</v>
      </c>
      <c r="P624" s="5">
        <v>291.0</v>
      </c>
      <c r="Q624" s="5">
        <v>5.0</v>
      </c>
      <c r="R624" s="5" t="s">
        <v>2538</v>
      </c>
      <c r="S624" s="5" t="s">
        <v>1737</v>
      </c>
      <c r="T624" s="5">
        <v>1381.0</v>
      </c>
      <c r="W624" s="5">
        <v>28491.0</v>
      </c>
      <c r="X624" s="5" t="s">
        <v>1738</v>
      </c>
      <c r="AO624" s="5" t="s">
        <v>2538</v>
      </c>
      <c r="AP624" s="5">
        <v>291.0</v>
      </c>
      <c r="AQ624" s="5" t="s">
        <v>1700</v>
      </c>
      <c r="AR624" s="5" t="s">
        <v>1739</v>
      </c>
      <c r="AS624" s="5" t="s">
        <v>1740</v>
      </c>
      <c r="AT624" s="5" t="s">
        <v>1741</v>
      </c>
      <c r="AU624" s="5" t="s">
        <v>1959</v>
      </c>
      <c r="AV624" s="5" t="s">
        <v>1720</v>
      </c>
      <c r="AW624" s="5" t="s">
        <v>2368</v>
      </c>
      <c r="AX624" s="5" t="s">
        <v>2492</v>
      </c>
      <c r="AY624" s="5">
        <v>50.2704</v>
      </c>
      <c r="AZ624" s="5">
        <v>-120.2883</v>
      </c>
      <c r="BA624" s="5">
        <v>1372.0</v>
      </c>
    </row>
    <row r="625" ht="14.25" customHeight="1">
      <c r="A625" s="5" t="s">
        <v>1908</v>
      </c>
      <c r="B625" s="5">
        <v>12.0</v>
      </c>
      <c r="C625" s="5" t="s">
        <v>7666</v>
      </c>
      <c r="D625" s="5">
        <v>292.0</v>
      </c>
      <c r="E625" s="5">
        <v>1842.0</v>
      </c>
      <c r="F625" s="10" t="s">
        <v>2541</v>
      </c>
      <c r="G625" s="10" t="s">
        <v>2542</v>
      </c>
      <c r="H625" s="5" t="s">
        <v>2543</v>
      </c>
      <c r="I625" s="5" t="s">
        <v>641</v>
      </c>
      <c r="J625" s="5" t="s">
        <v>1736</v>
      </c>
      <c r="K625" s="5">
        <v>1.0</v>
      </c>
      <c r="L625" s="5">
        <v>2245.0</v>
      </c>
      <c r="M625" s="8">
        <v>50.52167</v>
      </c>
      <c r="N625" s="11">
        <v>-122.49806</v>
      </c>
      <c r="O625" s="11" t="s">
        <v>142</v>
      </c>
      <c r="P625" s="11">
        <v>292.0</v>
      </c>
      <c r="Q625" s="22">
        <v>1.0</v>
      </c>
      <c r="R625" s="11" t="s">
        <v>2544</v>
      </c>
      <c r="S625" s="11" t="s">
        <v>1737</v>
      </c>
      <c r="T625" s="11">
        <v>346.0</v>
      </c>
      <c r="U625" s="11"/>
      <c r="V625" s="11" t="s">
        <v>1830</v>
      </c>
      <c r="W625" s="23">
        <v>28491.0</v>
      </c>
      <c r="X625" s="11" t="s">
        <v>1738</v>
      </c>
      <c r="AO625" s="5" t="s">
        <v>2545</v>
      </c>
      <c r="AP625" s="5">
        <v>292.0</v>
      </c>
      <c r="AQ625" s="5" t="s">
        <v>1716</v>
      </c>
      <c r="AR625" s="5" t="s">
        <v>1739</v>
      </c>
      <c r="AS625" s="5" t="s">
        <v>1740</v>
      </c>
      <c r="AT625" s="5" t="s">
        <v>1741</v>
      </c>
      <c r="AU625" s="5" t="s">
        <v>1742</v>
      </c>
      <c r="AV625" s="5" t="s">
        <v>1720</v>
      </c>
      <c r="AW625" s="5" t="s">
        <v>1705</v>
      </c>
      <c r="AX625" s="5" t="s">
        <v>1879</v>
      </c>
      <c r="AY625" s="5">
        <v>50.5217</v>
      </c>
      <c r="AZ625" s="5">
        <v>-122.4978</v>
      </c>
      <c r="BA625" s="5">
        <v>334.0</v>
      </c>
    </row>
    <row r="626" ht="14.25" customHeight="1">
      <c r="B626" s="5">
        <v>12.0</v>
      </c>
      <c r="C626" s="5" t="s">
        <v>7666</v>
      </c>
      <c r="D626" s="5">
        <v>293.0</v>
      </c>
      <c r="E626" s="5">
        <v>1843.0</v>
      </c>
      <c r="F626" s="18" t="s">
        <v>2546</v>
      </c>
      <c r="G626" s="5" t="s">
        <v>2547</v>
      </c>
      <c r="H626" s="5" t="s">
        <v>2548</v>
      </c>
      <c r="I626" s="5" t="s">
        <v>1664</v>
      </c>
      <c r="J626" s="5" t="s">
        <v>1715</v>
      </c>
      <c r="K626" s="5">
        <v>1.0</v>
      </c>
      <c r="L626" s="5">
        <v>2246.0</v>
      </c>
      <c r="M626" s="8"/>
      <c r="AO626" s="5" t="s">
        <v>2546</v>
      </c>
      <c r="AP626" s="5">
        <v>293.0</v>
      </c>
      <c r="AQ626" s="5" t="s">
        <v>1716</v>
      </c>
      <c r="AR626" s="5" t="s">
        <v>1717</v>
      </c>
      <c r="AS626" s="5" t="s">
        <v>1718</v>
      </c>
      <c r="AT626" s="5" t="s">
        <v>1719</v>
      </c>
      <c r="AU626" s="5" t="s">
        <v>1703</v>
      </c>
      <c r="AV626" s="5" t="s">
        <v>1720</v>
      </c>
      <c r="AW626" s="5" t="s">
        <v>1705</v>
      </c>
      <c r="AY626" s="5">
        <v>49.0</v>
      </c>
      <c r="AZ626" s="5">
        <v>-120.8</v>
      </c>
      <c r="BA626" s="5">
        <v>0.0</v>
      </c>
    </row>
    <row r="627" ht="14.25" customHeight="1">
      <c r="A627" s="5" t="s">
        <v>88</v>
      </c>
      <c r="B627" s="5">
        <v>12.0</v>
      </c>
      <c r="C627" s="5" t="s">
        <v>7666</v>
      </c>
      <c r="D627" s="5">
        <v>294.0</v>
      </c>
      <c r="E627" s="5">
        <v>1844.0</v>
      </c>
      <c r="F627" s="5" t="s">
        <v>2549</v>
      </c>
      <c r="G627" s="10" t="s">
        <v>2550</v>
      </c>
      <c r="H627" s="5" t="s">
        <v>2551</v>
      </c>
      <c r="I627" s="5" t="s">
        <v>641</v>
      </c>
      <c r="J627" s="5" t="s">
        <v>1736</v>
      </c>
      <c r="K627" s="5">
        <v>1.0</v>
      </c>
      <c r="L627" s="5">
        <v>2247.0</v>
      </c>
      <c r="M627" s="8"/>
      <c r="N627" s="11"/>
      <c r="O627" s="11"/>
      <c r="P627" s="11"/>
      <c r="Q627" s="22"/>
      <c r="R627" s="11"/>
      <c r="S627" s="11"/>
      <c r="T627" s="11"/>
      <c r="U627" s="11"/>
      <c r="V627" s="11"/>
      <c r="W627" s="23"/>
      <c r="X627" s="11"/>
      <c r="AO627" s="55" t="s">
        <v>2552</v>
      </c>
      <c r="AP627" s="5">
        <v>294.0</v>
      </c>
      <c r="AQ627" s="5" t="s">
        <v>1716</v>
      </c>
      <c r="AR627" s="5" t="s">
        <v>1717</v>
      </c>
      <c r="AS627" s="5" t="s">
        <v>2257</v>
      </c>
      <c r="AT627" s="5" t="s">
        <v>1835</v>
      </c>
      <c r="AU627" s="5" t="s">
        <v>2043</v>
      </c>
      <c r="AV627" s="5" t="s">
        <v>1720</v>
      </c>
      <c r="AW627" s="5" t="s">
        <v>2368</v>
      </c>
      <c r="AX627" s="5" t="s">
        <v>2492</v>
      </c>
      <c r="AY627" s="5">
        <v>50.0874</v>
      </c>
      <c r="AZ627" s="5">
        <v>-120.7457</v>
      </c>
      <c r="BA627" s="5">
        <v>640.0</v>
      </c>
    </row>
    <row r="628" ht="14.25" customHeight="1">
      <c r="B628" s="5">
        <v>12.0</v>
      </c>
      <c r="C628" s="5" t="s">
        <v>7666</v>
      </c>
      <c r="D628" s="5">
        <v>295.0</v>
      </c>
      <c r="E628" s="5">
        <v>1845.0</v>
      </c>
      <c r="F628" s="18" t="s">
        <v>2553</v>
      </c>
      <c r="G628" s="5" t="s">
        <v>2554</v>
      </c>
      <c r="H628" s="5" t="s">
        <v>2555</v>
      </c>
      <c r="I628" s="5" t="s">
        <v>1664</v>
      </c>
      <c r="J628" s="5" t="s">
        <v>1715</v>
      </c>
      <c r="K628" s="5">
        <v>1.0</v>
      </c>
      <c r="L628" s="5">
        <v>2248.0</v>
      </c>
      <c r="M628" s="64"/>
      <c r="N628" s="36"/>
      <c r="P628" s="36"/>
      <c r="R628" s="36"/>
      <c r="T628" s="37"/>
      <c r="AO628" s="5" t="s">
        <v>2553</v>
      </c>
      <c r="AP628" s="5">
        <v>295.0</v>
      </c>
      <c r="AQ628" s="5" t="s">
        <v>1716</v>
      </c>
      <c r="AR628" s="5" t="s">
        <v>1717</v>
      </c>
      <c r="AS628" s="5" t="s">
        <v>1718</v>
      </c>
      <c r="AT628" s="5" t="s">
        <v>1719</v>
      </c>
      <c r="AU628" s="5" t="s">
        <v>1703</v>
      </c>
      <c r="AV628" s="5" t="s">
        <v>1720</v>
      </c>
      <c r="AW628" s="5" t="s">
        <v>2368</v>
      </c>
      <c r="AX628" s="5" t="s">
        <v>2369</v>
      </c>
      <c r="AY628" s="5">
        <v>50.7</v>
      </c>
      <c r="AZ628" s="5">
        <v>-121.4</v>
      </c>
      <c r="BA628" s="5">
        <v>20.0</v>
      </c>
    </row>
    <row r="629" ht="14.25" customHeight="1">
      <c r="B629" s="5">
        <v>12.0</v>
      </c>
      <c r="C629" s="5" t="s">
        <v>7666</v>
      </c>
      <c r="D629" s="5">
        <v>296.0</v>
      </c>
      <c r="E629" s="5">
        <v>1846.0</v>
      </c>
      <c r="F629" s="18" t="s">
        <v>2556</v>
      </c>
      <c r="G629" s="5" t="s">
        <v>2557</v>
      </c>
      <c r="H629" s="5" t="s">
        <v>2558</v>
      </c>
      <c r="I629" s="5" t="s">
        <v>1664</v>
      </c>
      <c r="J629" s="5" t="s">
        <v>1746</v>
      </c>
      <c r="K629" s="5">
        <v>1.0</v>
      </c>
      <c r="L629" s="5">
        <v>2249.0</v>
      </c>
      <c r="M629" s="8"/>
      <c r="AO629" s="5" t="s">
        <v>2556</v>
      </c>
      <c r="AP629" s="5">
        <v>296.0</v>
      </c>
      <c r="AQ629" s="5" t="s">
        <v>1716</v>
      </c>
      <c r="AR629" s="5" t="s">
        <v>1717</v>
      </c>
      <c r="AS629" s="5" t="s">
        <v>1718</v>
      </c>
      <c r="AT629" s="5" t="s">
        <v>1719</v>
      </c>
      <c r="AU629" s="5" t="s">
        <v>1703</v>
      </c>
      <c r="AV629" s="5" t="s">
        <v>1720</v>
      </c>
      <c r="AW629" s="5" t="s">
        <v>2368</v>
      </c>
      <c r="AX629" s="5" t="s">
        <v>2369</v>
      </c>
      <c r="AY629" s="5">
        <v>50.9</v>
      </c>
      <c r="AZ629" s="5">
        <v>-119.8</v>
      </c>
      <c r="BA629" s="5">
        <v>14.0</v>
      </c>
    </row>
    <row r="630" ht="14.25" customHeight="1">
      <c r="A630" s="5" t="s">
        <v>88</v>
      </c>
      <c r="B630" s="5">
        <v>12.0</v>
      </c>
      <c r="C630" s="5" t="s">
        <v>7666</v>
      </c>
      <c r="D630" s="5">
        <v>297.0</v>
      </c>
      <c r="E630" s="5">
        <v>1847.0</v>
      </c>
      <c r="F630" s="5" t="s">
        <v>2559</v>
      </c>
      <c r="G630" s="10" t="s">
        <v>2560</v>
      </c>
      <c r="H630" s="5" t="s">
        <v>2561</v>
      </c>
      <c r="I630" s="5" t="s">
        <v>641</v>
      </c>
      <c r="J630" s="5" t="s">
        <v>1715</v>
      </c>
      <c r="K630" s="5">
        <v>1.0</v>
      </c>
      <c r="L630" s="5">
        <v>2250.0</v>
      </c>
      <c r="M630" s="8"/>
      <c r="N630" s="11"/>
      <c r="O630" s="11"/>
      <c r="P630" s="11"/>
      <c r="Q630" s="22"/>
      <c r="R630" s="11"/>
      <c r="S630" s="11"/>
      <c r="T630" s="11"/>
      <c r="U630" s="11"/>
      <c r="V630" s="11"/>
      <c r="W630" s="60"/>
      <c r="X630" s="11"/>
      <c r="AO630" s="5" t="s">
        <v>2562</v>
      </c>
      <c r="AP630" s="5">
        <v>297.0</v>
      </c>
      <c r="AQ630" s="5" t="s">
        <v>1716</v>
      </c>
      <c r="AR630" s="5" t="s">
        <v>1717</v>
      </c>
      <c r="AS630" s="5" t="s">
        <v>1718</v>
      </c>
      <c r="AT630" s="5" t="s">
        <v>1841</v>
      </c>
      <c r="AU630" s="5" t="s">
        <v>1959</v>
      </c>
      <c r="AV630" s="5" t="s">
        <v>1720</v>
      </c>
      <c r="AW630" s="5" t="s">
        <v>2368</v>
      </c>
      <c r="AX630" s="5" t="s">
        <v>2505</v>
      </c>
      <c r="AY630" s="5">
        <v>50.2475</v>
      </c>
      <c r="AZ630" s="5">
        <v>-121.5648</v>
      </c>
      <c r="BA630" s="5">
        <v>290.0</v>
      </c>
    </row>
    <row r="631" ht="14.25" customHeight="1">
      <c r="A631" s="5" t="s">
        <v>88</v>
      </c>
      <c r="B631" s="5">
        <v>12.0</v>
      </c>
      <c r="C631" s="5" t="s">
        <v>7666</v>
      </c>
      <c r="D631" s="5">
        <v>298.0</v>
      </c>
      <c r="E631" s="5">
        <v>1848.0</v>
      </c>
      <c r="F631" s="5" t="s">
        <v>2563</v>
      </c>
      <c r="G631" s="10" t="s">
        <v>2564</v>
      </c>
      <c r="H631" s="5" t="s">
        <v>2565</v>
      </c>
      <c r="I631" s="5" t="s">
        <v>641</v>
      </c>
      <c r="J631" s="5" t="s">
        <v>1865</v>
      </c>
      <c r="K631" s="5">
        <v>1.0</v>
      </c>
      <c r="L631" s="5">
        <v>2251.0</v>
      </c>
      <c r="M631" s="8">
        <v>50.20667</v>
      </c>
      <c r="N631" s="11">
        <v>-119.48</v>
      </c>
      <c r="O631" s="11" t="s">
        <v>142</v>
      </c>
      <c r="P631" s="11">
        <v>298.0</v>
      </c>
      <c r="Q631" s="22">
        <v>1.0</v>
      </c>
      <c r="R631" s="11" t="s">
        <v>2563</v>
      </c>
      <c r="S631" s="11" t="s">
        <v>1737</v>
      </c>
      <c r="T631" s="11">
        <v>670.0</v>
      </c>
      <c r="U631" s="11"/>
      <c r="V631" s="11"/>
      <c r="W631" s="23">
        <v>32509.0</v>
      </c>
      <c r="X631" s="11" t="s">
        <v>1738</v>
      </c>
      <c r="AO631" s="5" t="s">
        <v>2563</v>
      </c>
      <c r="AP631" s="5">
        <v>298.0</v>
      </c>
      <c r="AQ631" s="5" t="s">
        <v>1700</v>
      </c>
      <c r="AR631" s="5" t="s">
        <v>1739</v>
      </c>
      <c r="AS631" s="5" t="s">
        <v>1740</v>
      </c>
      <c r="AT631" s="5" t="s">
        <v>1741</v>
      </c>
      <c r="AU631" s="5" t="s">
        <v>1959</v>
      </c>
      <c r="AV631" s="5" t="s">
        <v>1720</v>
      </c>
      <c r="AW631" s="5" t="s">
        <v>2368</v>
      </c>
      <c r="AX631" s="5" t="s">
        <v>2522</v>
      </c>
      <c r="AY631" s="5">
        <v>50.2062</v>
      </c>
      <c r="AZ631" s="5">
        <v>-119.4804</v>
      </c>
      <c r="BA631" s="5">
        <v>526.0</v>
      </c>
    </row>
    <row r="632" ht="14.25" customHeight="1">
      <c r="B632" s="5">
        <v>12.0</v>
      </c>
      <c r="C632" s="5" t="s">
        <v>7666</v>
      </c>
      <c r="D632" s="5">
        <v>299.0</v>
      </c>
      <c r="E632" s="5">
        <v>1849.0</v>
      </c>
      <c r="F632" s="18" t="s">
        <v>2566</v>
      </c>
      <c r="G632" s="5" t="s">
        <v>2567</v>
      </c>
      <c r="H632" s="5" t="s">
        <v>2568</v>
      </c>
      <c r="I632" s="5" t="s">
        <v>641</v>
      </c>
      <c r="J632" s="5" t="s">
        <v>1715</v>
      </c>
      <c r="K632" s="5">
        <v>1.0</v>
      </c>
      <c r="L632" s="5">
        <v>2252.0</v>
      </c>
      <c r="M632" s="64"/>
      <c r="N632" s="36"/>
      <c r="R632" s="36"/>
      <c r="T632" s="37"/>
      <c r="AO632" s="5" t="s">
        <v>2566</v>
      </c>
      <c r="AP632" s="5">
        <v>299.0</v>
      </c>
      <c r="AQ632" s="5" t="s">
        <v>1716</v>
      </c>
      <c r="AR632" s="5" t="s">
        <v>1717</v>
      </c>
      <c r="AS632" s="5" t="s">
        <v>1718</v>
      </c>
      <c r="AT632" s="5" t="s">
        <v>1703</v>
      </c>
      <c r="AU632" s="5" t="s">
        <v>1703</v>
      </c>
      <c r="AV632" s="5" t="s">
        <v>1720</v>
      </c>
      <c r="AW632" s="5" t="s">
        <v>2368</v>
      </c>
      <c r="AX632" s="5" t="s">
        <v>2369</v>
      </c>
      <c r="AY632" s="5">
        <v>50.6</v>
      </c>
      <c r="AZ632" s="5">
        <v>-120.3</v>
      </c>
      <c r="BA632" s="5">
        <v>5.0</v>
      </c>
    </row>
    <row r="633" ht="14.25" customHeight="1">
      <c r="A633" s="5" t="s">
        <v>1908</v>
      </c>
      <c r="B633" s="5">
        <v>12.0</v>
      </c>
      <c r="C633" s="5" t="s">
        <v>7666</v>
      </c>
      <c r="D633" s="5">
        <v>300.0</v>
      </c>
      <c r="E633" s="5">
        <v>1850.0</v>
      </c>
      <c r="F633" s="5" t="s">
        <v>898</v>
      </c>
      <c r="G633" s="10" t="s">
        <v>2569</v>
      </c>
      <c r="H633" s="5" t="s">
        <v>2570</v>
      </c>
      <c r="I633" s="5" t="s">
        <v>641</v>
      </c>
      <c r="J633" s="5" t="s">
        <v>1715</v>
      </c>
      <c r="K633" s="5">
        <v>1.0</v>
      </c>
      <c r="L633" s="5">
        <v>2253.0</v>
      </c>
      <c r="M633" s="8"/>
      <c r="N633" s="11"/>
      <c r="O633" s="11"/>
      <c r="P633" s="11"/>
      <c r="Q633" s="22"/>
      <c r="R633" s="11"/>
      <c r="S633" s="11"/>
      <c r="T633" s="11"/>
      <c r="U633" s="11"/>
      <c r="V633" s="11"/>
      <c r="W633" s="23"/>
      <c r="X633" s="11"/>
      <c r="AO633" s="5" t="s">
        <v>2526</v>
      </c>
      <c r="AP633" s="5">
        <v>300.0</v>
      </c>
      <c r="AQ633" s="5" t="s">
        <v>1716</v>
      </c>
      <c r="AR633" s="5" t="s">
        <v>1717</v>
      </c>
      <c r="AS633" s="5" t="s">
        <v>1718</v>
      </c>
      <c r="AT633" s="5" t="s">
        <v>1719</v>
      </c>
      <c r="AU633" s="5" t="s">
        <v>2043</v>
      </c>
      <c r="AV633" s="5" t="s">
        <v>1720</v>
      </c>
      <c r="AW633" s="5" t="s">
        <v>2368</v>
      </c>
      <c r="AX633" s="5" t="s">
        <v>2505</v>
      </c>
      <c r="AY633" s="5">
        <v>50.8535</v>
      </c>
      <c r="AZ633" s="5">
        <v>-122.8358</v>
      </c>
      <c r="BA633" s="5">
        <v>704.0</v>
      </c>
    </row>
    <row r="634" ht="14.25" customHeight="1">
      <c r="A634" s="5" t="s">
        <v>88</v>
      </c>
      <c r="B634" s="5">
        <v>12.0</v>
      </c>
      <c r="C634" s="5" t="s">
        <v>7666</v>
      </c>
      <c r="D634" s="5">
        <v>301.0</v>
      </c>
      <c r="E634" s="5">
        <v>1851.0</v>
      </c>
      <c r="F634" s="5" t="s">
        <v>2571</v>
      </c>
      <c r="G634" s="10" t="s">
        <v>2572</v>
      </c>
      <c r="H634" s="5" t="s">
        <v>2573</v>
      </c>
      <c r="I634" s="5" t="s">
        <v>641</v>
      </c>
      <c r="J634" s="5" t="s">
        <v>1891</v>
      </c>
      <c r="K634" s="5">
        <v>1.0</v>
      </c>
      <c r="L634" s="5">
        <v>2254.0</v>
      </c>
      <c r="M634" s="8">
        <v>50.30593</v>
      </c>
      <c r="N634" s="11">
        <v>-122.72878</v>
      </c>
      <c r="O634" s="11" t="s">
        <v>51</v>
      </c>
      <c r="P634" s="11">
        <v>301.0</v>
      </c>
      <c r="Q634" s="22">
        <v>2.0</v>
      </c>
      <c r="R634" s="11" t="s">
        <v>2571</v>
      </c>
      <c r="S634" s="11" t="s">
        <v>1737</v>
      </c>
      <c r="T634" s="11">
        <v>204.0</v>
      </c>
      <c r="U634" s="11"/>
      <c r="V634" s="11"/>
      <c r="W634" s="23">
        <v>36892.0</v>
      </c>
      <c r="X634" s="11" t="s">
        <v>1738</v>
      </c>
      <c r="AO634" s="5" t="s">
        <v>2571</v>
      </c>
      <c r="AP634" s="5">
        <v>301.0</v>
      </c>
      <c r="AQ634" s="5" t="s">
        <v>1700</v>
      </c>
      <c r="AR634" s="5" t="s">
        <v>1739</v>
      </c>
      <c r="AS634" s="5" t="s">
        <v>1740</v>
      </c>
      <c r="AT634" s="5" t="s">
        <v>1741</v>
      </c>
      <c r="AU634" s="5" t="s">
        <v>1772</v>
      </c>
      <c r="AV634" s="5" t="s">
        <v>1720</v>
      </c>
      <c r="AW634" s="5" t="s">
        <v>1705</v>
      </c>
      <c r="AX634" s="5" t="s">
        <v>1879</v>
      </c>
      <c r="AY634" s="5">
        <v>50.3059</v>
      </c>
      <c r="AZ634" s="5">
        <v>-122.7287</v>
      </c>
      <c r="BA634" s="5">
        <v>203.0</v>
      </c>
    </row>
    <row r="635" ht="14.25" customHeight="1">
      <c r="A635" s="5" t="s">
        <v>88</v>
      </c>
      <c r="B635" s="5">
        <v>12.0</v>
      </c>
      <c r="C635" s="5" t="s">
        <v>7666</v>
      </c>
      <c r="D635" s="5">
        <v>302.0</v>
      </c>
      <c r="E635" s="5">
        <v>1852.0</v>
      </c>
      <c r="F635" s="5" t="s">
        <v>2574</v>
      </c>
      <c r="G635" s="10" t="s">
        <v>2575</v>
      </c>
      <c r="H635" s="5" t="s">
        <v>2576</v>
      </c>
      <c r="I635" s="5" t="s">
        <v>641</v>
      </c>
      <c r="J635" s="5" t="s">
        <v>1736</v>
      </c>
      <c r="K635" s="5">
        <v>1.0</v>
      </c>
      <c r="L635" s="5">
        <v>2255.0</v>
      </c>
      <c r="M635" s="64">
        <v>49.94811</v>
      </c>
      <c r="N635" s="36">
        <v>-120.62107</v>
      </c>
      <c r="O635" s="11" t="s">
        <v>142</v>
      </c>
      <c r="P635" s="65">
        <v>302.0</v>
      </c>
      <c r="Q635" s="22">
        <v>3.0</v>
      </c>
      <c r="R635" s="36" t="s">
        <v>2574</v>
      </c>
      <c r="S635" s="11" t="s">
        <v>1737</v>
      </c>
      <c r="T635" s="37">
        <v>1065.0</v>
      </c>
      <c r="U635" s="11"/>
      <c r="V635" s="11"/>
      <c r="W635" s="23">
        <v>35796.0</v>
      </c>
      <c r="X635" s="11" t="s">
        <v>1738</v>
      </c>
      <c r="AO635" s="5" t="s">
        <v>2574</v>
      </c>
      <c r="AP635" s="5">
        <v>302.0</v>
      </c>
      <c r="AQ635" s="5" t="s">
        <v>1700</v>
      </c>
      <c r="AR635" s="5" t="s">
        <v>1739</v>
      </c>
      <c r="AS635" s="5" t="s">
        <v>1740</v>
      </c>
      <c r="AT635" s="5" t="s">
        <v>1835</v>
      </c>
      <c r="AU635" s="5" t="s">
        <v>1772</v>
      </c>
      <c r="AV635" s="5" t="s">
        <v>1720</v>
      </c>
      <c r="AW635" s="5" t="s">
        <v>2368</v>
      </c>
      <c r="AX635" s="5" t="s">
        <v>2492</v>
      </c>
      <c r="AY635" s="5">
        <v>49.9481</v>
      </c>
      <c r="AZ635" s="5">
        <v>-120.6211</v>
      </c>
      <c r="BA635" s="5">
        <v>1065.0</v>
      </c>
    </row>
    <row r="636" ht="14.25" customHeight="1">
      <c r="B636" s="5">
        <v>12.0</v>
      </c>
      <c r="C636" s="5" t="s">
        <v>7666</v>
      </c>
      <c r="D636" s="5">
        <v>303.0</v>
      </c>
      <c r="E636" s="5">
        <v>1853.0</v>
      </c>
      <c r="F636" s="18" t="s">
        <v>2577</v>
      </c>
      <c r="G636" s="5" t="s">
        <v>2578</v>
      </c>
      <c r="H636" s="5" t="s">
        <v>2579</v>
      </c>
      <c r="I636" s="5" t="s">
        <v>641</v>
      </c>
      <c r="J636" s="5" t="s">
        <v>1715</v>
      </c>
      <c r="K636" s="5">
        <v>1.0</v>
      </c>
      <c r="L636" s="5">
        <v>2256.0</v>
      </c>
      <c r="M636" s="64"/>
      <c r="N636" s="36"/>
      <c r="P636" s="36"/>
      <c r="R636" s="36"/>
      <c r="T636" s="37"/>
      <c r="AO636" s="5" t="s">
        <v>2577</v>
      </c>
      <c r="AP636" s="5">
        <v>303.0</v>
      </c>
      <c r="AQ636" s="5" t="s">
        <v>1716</v>
      </c>
      <c r="AR636" s="5" t="s">
        <v>1717</v>
      </c>
      <c r="AS636" s="5" t="s">
        <v>1718</v>
      </c>
      <c r="AT636" s="5" t="s">
        <v>1703</v>
      </c>
      <c r="AU636" s="5" t="s">
        <v>1703</v>
      </c>
      <c r="AV636" s="5" t="s">
        <v>1720</v>
      </c>
      <c r="AW636" s="5" t="s">
        <v>2368</v>
      </c>
      <c r="AX636" s="5" t="s">
        <v>2369</v>
      </c>
      <c r="AY636" s="5">
        <v>50.7</v>
      </c>
      <c r="AZ636" s="5">
        <v>-120.6</v>
      </c>
      <c r="BA636" s="5">
        <v>7.0</v>
      </c>
    </row>
    <row r="637" ht="14.25" customHeight="1">
      <c r="B637" s="5">
        <v>12.0</v>
      </c>
      <c r="C637" s="5" t="s">
        <v>7666</v>
      </c>
      <c r="D637" s="5">
        <v>304.0</v>
      </c>
      <c r="E637" s="5">
        <v>1854.0</v>
      </c>
      <c r="F637" s="18" t="s">
        <v>2580</v>
      </c>
      <c r="G637" s="5" t="s">
        <v>2581</v>
      </c>
      <c r="H637" s="5" t="s">
        <v>2579</v>
      </c>
      <c r="I637" s="5" t="s">
        <v>641</v>
      </c>
      <c r="J637" s="5" t="s">
        <v>1715</v>
      </c>
      <c r="K637" s="5">
        <v>1.0</v>
      </c>
      <c r="L637" s="5">
        <v>2257.0</v>
      </c>
      <c r="M637" s="8"/>
      <c r="AO637" s="5" t="s">
        <v>2580</v>
      </c>
      <c r="AP637" s="5">
        <v>304.0</v>
      </c>
      <c r="AQ637" s="5" t="s">
        <v>1716</v>
      </c>
      <c r="AR637" s="5" t="s">
        <v>1717</v>
      </c>
      <c r="AS637" s="5" t="s">
        <v>1718</v>
      </c>
      <c r="AT637" s="5" t="s">
        <v>1703</v>
      </c>
      <c r="AU637" s="5" t="s">
        <v>1703</v>
      </c>
      <c r="AV637" s="5" t="s">
        <v>1720</v>
      </c>
      <c r="AW637" s="5" t="s">
        <v>2368</v>
      </c>
      <c r="AX637" s="5" t="s">
        <v>2369</v>
      </c>
      <c r="AY637" s="5">
        <v>50.8</v>
      </c>
      <c r="AZ637" s="5">
        <v>-120.6</v>
      </c>
      <c r="BA637" s="5">
        <v>12.0</v>
      </c>
    </row>
    <row r="638" ht="14.25" customHeight="1">
      <c r="A638" s="5" t="s">
        <v>1908</v>
      </c>
      <c r="B638" s="5">
        <v>12.0</v>
      </c>
      <c r="C638" s="5" t="s">
        <v>7666</v>
      </c>
      <c r="D638" s="5">
        <v>305.0</v>
      </c>
      <c r="E638" s="5">
        <v>1855.0</v>
      </c>
      <c r="F638" s="10" t="s">
        <v>2582</v>
      </c>
      <c r="G638" s="10" t="s">
        <v>2583</v>
      </c>
      <c r="H638" s="5" t="s">
        <v>2584</v>
      </c>
      <c r="I638" s="5" t="s">
        <v>641</v>
      </c>
      <c r="J638" s="5" t="s">
        <v>1736</v>
      </c>
      <c r="K638" s="5">
        <v>1.0</v>
      </c>
      <c r="L638" s="5">
        <v>2258.0</v>
      </c>
      <c r="M638" s="8">
        <v>50.9237</v>
      </c>
      <c r="N638" s="11">
        <v>-120.86715</v>
      </c>
      <c r="O638" s="11" t="s">
        <v>142</v>
      </c>
      <c r="P638" s="11">
        <v>305.0</v>
      </c>
      <c r="Q638" s="22">
        <v>2.0</v>
      </c>
      <c r="R638" s="11" t="s">
        <v>2585</v>
      </c>
      <c r="S638" s="11" t="s">
        <v>1737</v>
      </c>
      <c r="T638" s="11">
        <v>972.0</v>
      </c>
      <c r="U638" s="11"/>
      <c r="V638" s="11"/>
      <c r="W638" s="23">
        <v>33239.0</v>
      </c>
      <c r="X638" s="11" t="s">
        <v>1738</v>
      </c>
      <c r="AO638" s="5" t="s">
        <v>2585</v>
      </c>
      <c r="AP638" s="5">
        <v>305.0</v>
      </c>
      <c r="AQ638" s="5" t="s">
        <v>1716</v>
      </c>
      <c r="AR638" s="5" t="s">
        <v>1739</v>
      </c>
      <c r="AS638" s="5" t="s">
        <v>1740</v>
      </c>
      <c r="AT638" s="5" t="s">
        <v>1741</v>
      </c>
      <c r="AU638" s="5" t="s">
        <v>1742</v>
      </c>
      <c r="AV638" s="5" t="s">
        <v>1720</v>
      </c>
      <c r="AW638" s="5" t="s">
        <v>2368</v>
      </c>
      <c r="AX638" s="5" t="s">
        <v>2369</v>
      </c>
      <c r="AY638" s="5">
        <v>50.9237</v>
      </c>
      <c r="AZ638" s="5">
        <v>-120.8671</v>
      </c>
      <c r="BA638" s="5">
        <v>960.0</v>
      </c>
    </row>
    <row r="639" ht="14.25" customHeight="1">
      <c r="A639" s="5" t="s">
        <v>1908</v>
      </c>
      <c r="B639" s="5">
        <v>12.0</v>
      </c>
      <c r="C639" s="5" t="s">
        <v>7666</v>
      </c>
      <c r="D639" s="5">
        <v>306.0</v>
      </c>
      <c r="E639" s="5">
        <v>1856.0</v>
      </c>
      <c r="F639" s="10" t="s">
        <v>2586</v>
      </c>
      <c r="G639" s="10" t="s">
        <v>2587</v>
      </c>
      <c r="H639" s="5" t="s">
        <v>2341</v>
      </c>
      <c r="I639" s="5" t="s">
        <v>641</v>
      </c>
      <c r="J639" s="5" t="s">
        <v>1865</v>
      </c>
      <c r="K639" s="5">
        <v>1.0</v>
      </c>
      <c r="L639" s="5">
        <v>2259.0</v>
      </c>
      <c r="M639" s="8">
        <v>51.17747</v>
      </c>
      <c r="N639" s="11">
        <v>-122.24893</v>
      </c>
      <c r="O639" s="11" t="s">
        <v>148</v>
      </c>
      <c r="P639" s="11">
        <v>306.0</v>
      </c>
      <c r="Q639" s="22">
        <v>7.0</v>
      </c>
      <c r="R639" s="11" t="s">
        <v>2588</v>
      </c>
      <c r="S639" s="11" t="s">
        <v>1737</v>
      </c>
      <c r="T639" s="11">
        <v>1320.0</v>
      </c>
      <c r="U639" s="11"/>
      <c r="V639" s="11"/>
      <c r="W639" s="23">
        <v>28856.0</v>
      </c>
      <c r="X639" s="11" t="s">
        <v>1738</v>
      </c>
      <c r="AO639" s="5" t="s">
        <v>2588</v>
      </c>
      <c r="AP639" s="5">
        <v>306.0</v>
      </c>
      <c r="AQ639" s="5" t="s">
        <v>1716</v>
      </c>
      <c r="AR639" s="5" t="s">
        <v>1739</v>
      </c>
      <c r="AS639" s="5" t="s">
        <v>1740</v>
      </c>
      <c r="AT639" s="5" t="s">
        <v>1741</v>
      </c>
      <c r="AU639" s="5" t="s">
        <v>1742</v>
      </c>
      <c r="AV639" s="5" t="s">
        <v>1720</v>
      </c>
      <c r="AW639" s="5" t="s">
        <v>2368</v>
      </c>
      <c r="AX639" s="5" t="s">
        <v>2505</v>
      </c>
      <c r="AY639" s="5">
        <v>51.1775</v>
      </c>
      <c r="AZ639" s="5">
        <v>-122.2489</v>
      </c>
      <c r="BA639" s="5">
        <v>1320.0</v>
      </c>
    </row>
    <row r="640" ht="14.25" customHeight="1">
      <c r="A640" s="5" t="s">
        <v>1908</v>
      </c>
      <c r="B640" s="5">
        <v>12.0</v>
      </c>
      <c r="C640" s="5" t="s">
        <v>7666</v>
      </c>
      <c r="D640" s="5">
        <v>307.0</v>
      </c>
      <c r="E640" s="5">
        <v>1857.0</v>
      </c>
      <c r="F640" s="10" t="s">
        <v>2589</v>
      </c>
      <c r="G640" s="10" t="s">
        <v>2590</v>
      </c>
      <c r="H640" s="5" t="s">
        <v>2591</v>
      </c>
      <c r="I640" s="5" t="s">
        <v>641</v>
      </c>
      <c r="J640" s="5" t="s">
        <v>1865</v>
      </c>
      <c r="K640" s="5">
        <v>1.0</v>
      </c>
      <c r="L640" s="5">
        <v>2260.0</v>
      </c>
      <c r="M640" s="64">
        <v>50.61525</v>
      </c>
      <c r="N640" s="36">
        <v>-120.8361</v>
      </c>
      <c r="O640" s="11" t="s">
        <v>142</v>
      </c>
      <c r="P640" s="11">
        <v>307.0</v>
      </c>
      <c r="Q640" s="22">
        <v>4.0</v>
      </c>
      <c r="R640" s="36" t="s">
        <v>2592</v>
      </c>
      <c r="S640" s="11" t="s">
        <v>1737</v>
      </c>
      <c r="T640" s="37">
        <v>1167.0</v>
      </c>
      <c r="U640" s="11"/>
      <c r="V640" s="11"/>
      <c r="W640" s="23">
        <v>29952.0</v>
      </c>
      <c r="X640" s="11" t="s">
        <v>1738</v>
      </c>
      <c r="AO640" s="5" t="s">
        <v>2592</v>
      </c>
      <c r="AP640" s="5">
        <v>307.0</v>
      </c>
      <c r="AQ640" s="5" t="s">
        <v>1700</v>
      </c>
      <c r="AR640" s="5" t="s">
        <v>1739</v>
      </c>
      <c r="AS640" s="5" t="s">
        <v>1740</v>
      </c>
      <c r="AT640" s="5" t="s">
        <v>1741</v>
      </c>
      <c r="AU640" s="5" t="s">
        <v>1959</v>
      </c>
      <c r="AV640" s="5" t="s">
        <v>1720</v>
      </c>
      <c r="AW640" s="5" t="s">
        <v>2368</v>
      </c>
      <c r="AX640" s="5" t="s">
        <v>2369</v>
      </c>
      <c r="AY640" s="5">
        <v>50.6153</v>
      </c>
      <c r="AZ640" s="5">
        <v>-120.8362</v>
      </c>
      <c r="BA640" s="5">
        <v>1153.0</v>
      </c>
    </row>
    <row r="641" ht="14.25" customHeight="1">
      <c r="B641" s="5">
        <v>12.0</v>
      </c>
      <c r="C641" s="5" t="s">
        <v>7666</v>
      </c>
      <c r="D641" s="5">
        <v>308.0</v>
      </c>
      <c r="E641" s="5">
        <v>1858.0</v>
      </c>
      <c r="F641" s="18" t="s">
        <v>2593</v>
      </c>
      <c r="G641" s="5" t="s">
        <v>2594</v>
      </c>
      <c r="H641" s="5" t="s">
        <v>2595</v>
      </c>
      <c r="I641" s="5" t="s">
        <v>641</v>
      </c>
      <c r="J641" s="5" t="s">
        <v>1715</v>
      </c>
      <c r="K641" s="5">
        <v>1.0</v>
      </c>
      <c r="L641" s="5">
        <v>2261.0</v>
      </c>
      <c r="M641" s="8"/>
      <c r="AO641" s="5" t="s">
        <v>2593</v>
      </c>
      <c r="AP641" s="5">
        <v>308.0</v>
      </c>
      <c r="AQ641" s="5" t="s">
        <v>1716</v>
      </c>
      <c r="AR641" s="5" t="s">
        <v>1717</v>
      </c>
      <c r="AS641" s="5" t="s">
        <v>1718</v>
      </c>
      <c r="AT641" s="5" t="s">
        <v>1703</v>
      </c>
      <c r="AU641" s="5" t="s">
        <v>1703</v>
      </c>
      <c r="AV641" s="5" t="s">
        <v>1720</v>
      </c>
      <c r="AW641" s="5" t="s">
        <v>2368</v>
      </c>
      <c r="AX641" s="5" t="s">
        <v>2505</v>
      </c>
      <c r="AY641" s="5">
        <v>51.0517</v>
      </c>
      <c r="AZ641" s="5">
        <v>-122.7683</v>
      </c>
      <c r="BA641" s="5">
        <v>1432.0</v>
      </c>
    </row>
    <row r="642" ht="14.25" customHeight="1">
      <c r="A642" s="5" t="s">
        <v>1908</v>
      </c>
      <c r="B642" s="5">
        <v>12.0</v>
      </c>
      <c r="C642" s="5" t="s">
        <v>7666</v>
      </c>
      <c r="D642" s="5">
        <v>309.0</v>
      </c>
      <c r="E642" s="5">
        <v>1859.0</v>
      </c>
      <c r="F642" s="10" t="s">
        <v>2596</v>
      </c>
      <c r="G642" s="10" t="s">
        <v>2597</v>
      </c>
      <c r="H642" s="5" t="s">
        <v>2598</v>
      </c>
      <c r="I642" s="5" t="s">
        <v>641</v>
      </c>
      <c r="J642" s="5" t="s">
        <v>1865</v>
      </c>
      <c r="K642" s="5">
        <v>1.0</v>
      </c>
      <c r="L642" s="5">
        <v>2262.0</v>
      </c>
      <c r="M642" s="64">
        <v>50.79633</v>
      </c>
      <c r="N642" s="36">
        <v>-122.88047</v>
      </c>
      <c r="O642" s="11" t="s">
        <v>142</v>
      </c>
      <c r="P642" s="11">
        <v>309.0</v>
      </c>
      <c r="Q642" s="22">
        <v>4.0</v>
      </c>
      <c r="R642" s="36" t="s">
        <v>2599</v>
      </c>
      <c r="S642" s="11" t="s">
        <v>1737</v>
      </c>
      <c r="T642" s="37">
        <v>1205.0</v>
      </c>
      <c r="U642" s="11"/>
      <c r="V642" s="11"/>
      <c r="W642" s="23">
        <v>31413.0</v>
      </c>
      <c r="X642" s="11" t="s">
        <v>1738</v>
      </c>
      <c r="AO642" s="5" t="s">
        <v>2599</v>
      </c>
      <c r="AP642" s="5">
        <v>309.0</v>
      </c>
      <c r="AQ642" s="5" t="s">
        <v>1716</v>
      </c>
      <c r="AR642" s="5" t="s">
        <v>1739</v>
      </c>
      <c r="AS642" s="5" t="s">
        <v>1740</v>
      </c>
      <c r="AT642" s="5" t="s">
        <v>1741</v>
      </c>
      <c r="AU642" s="5" t="s">
        <v>1742</v>
      </c>
      <c r="AV642" s="5" t="s">
        <v>1720</v>
      </c>
      <c r="AW642" s="5" t="s">
        <v>2368</v>
      </c>
      <c r="AX642" s="5" t="s">
        <v>2505</v>
      </c>
      <c r="AY642" s="5">
        <v>50.7963</v>
      </c>
      <c r="AZ642" s="5">
        <v>-122.8805</v>
      </c>
      <c r="BA642" s="5">
        <v>1191.0</v>
      </c>
    </row>
    <row r="643" ht="14.25" customHeight="1">
      <c r="B643" s="5">
        <v>12.0</v>
      </c>
      <c r="C643" s="5" t="s">
        <v>7666</v>
      </c>
      <c r="D643" s="5">
        <v>310.0</v>
      </c>
      <c r="E643" s="5">
        <v>1860.0</v>
      </c>
      <c r="F643" s="18" t="s">
        <v>2600</v>
      </c>
      <c r="G643" s="5" t="s">
        <v>2601</v>
      </c>
      <c r="H643" s="5" t="s">
        <v>2602</v>
      </c>
      <c r="I643" s="5" t="s">
        <v>641</v>
      </c>
      <c r="J643" s="5" t="s">
        <v>1715</v>
      </c>
      <c r="K643" s="5">
        <v>1.0</v>
      </c>
      <c r="L643" s="5">
        <v>2263.0</v>
      </c>
      <c r="M643" s="64"/>
      <c r="N643" s="36"/>
      <c r="R643" s="36"/>
      <c r="T643" s="37"/>
      <c r="AO643" s="5" t="s">
        <v>2600</v>
      </c>
      <c r="AP643" s="5">
        <v>310.0</v>
      </c>
      <c r="AQ643" s="5" t="s">
        <v>1716</v>
      </c>
      <c r="AR643" s="5" t="s">
        <v>1717</v>
      </c>
      <c r="AS643" s="5" t="s">
        <v>1718</v>
      </c>
      <c r="AT643" s="5" t="s">
        <v>1703</v>
      </c>
      <c r="AU643" s="5" t="s">
        <v>1703</v>
      </c>
      <c r="AV643" s="5" t="s">
        <v>1720</v>
      </c>
      <c r="AW643" s="5" t="s">
        <v>2368</v>
      </c>
      <c r="AX643" s="5" t="s">
        <v>2492</v>
      </c>
      <c r="AY643" s="5">
        <v>50.2633</v>
      </c>
      <c r="AZ643" s="5">
        <v>-121.1533</v>
      </c>
      <c r="BA643" s="5">
        <v>853.0</v>
      </c>
    </row>
    <row r="644" ht="14.25" customHeight="1">
      <c r="A644" s="5" t="s">
        <v>1908</v>
      </c>
      <c r="B644" s="5">
        <v>12.0</v>
      </c>
      <c r="C644" s="5" t="s">
        <v>7666</v>
      </c>
      <c r="D644" s="5">
        <v>311.0</v>
      </c>
      <c r="E644" s="5">
        <v>1861.0</v>
      </c>
      <c r="F644" s="10" t="s">
        <v>2603</v>
      </c>
      <c r="G644" s="10" t="s">
        <v>2604</v>
      </c>
      <c r="H644" s="5" t="s">
        <v>2605</v>
      </c>
      <c r="I644" s="5" t="s">
        <v>641</v>
      </c>
      <c r="J644" s="5" t="s">
        <v>1865</v>
      </c>
      <c r="K644" s="5">
        <v>1.0</v>
      </c>
      <c r="L644" s="5">
        <v>2264.0</v>
      </c>
      <c r="M644" s="8">
        <v>50.7923</v>
      </c>
      <c r="N644" s="5">
        <v>-121.35815</v>
      </c>
      <c r="O644" s="5" t="s">
        <v>142</v>
      </c>
      <c r="P644" s="5">
        <v>311.0</v>
      </c>
      <c r="Q644" s="5">
        <v>3.0</v>
      </c>
      <c r="R644" s="5" t="s">
        <v>2606</v>
      </c>
      <c r="S644" s="5" t="s">
        <v>1737</v>
      </c>
      <c r="T644" s="5">
        <v>1123.0</v>
      </c>
      <c r="U644" s="5" t="s">
        <v>645</v>
      </c>
      <c r="W644" s="5">
        <v>31778.0</v>
      </c>
      <c r="X644" s="5" t="s">
        <v>1738</v>
      </c>
      <c r="AO644" s="5" t="s">
        <v>2606</v>
      </c>
      <c r="AP644" s="5">
        <v>311.0</v>
      </c>
      <c r="AQ644" s="5" t="s">
        <v>1700</v>
      </c>
      <c r="AR644" s="5" t="s">
        <v>1739</v>
      </c>
      <c r="AS644" s="5" t="s">
        <v>1740</v>
      </c>
      <c r="AT644" s="5" t="s">
        <v>1741</v>
      </c>
      <c r="AU644" s="5" t="s">
        <v>1959</v>
      </c>
      <c r="AV644" s="5" t="s">
        <v>1720</v>
      </c>
      <c r="AW644" s="5" t="s">
        <v>2368</v>
      </c>
      <c r="AX644" s="5" t="s">
        <v>2369</v>
      </c>
      <c r="AY644" s="5">
        <v>50.7923</v>
      </c>
      <c r="AZ644" s="5">
        <v>-121.3581</v>
      </c>
      <c r="BA644" s="5">
        <v>1123.0</v>
      </c>
    </row>
    <row r="645" ht="14.25" customHeight="1">
      <c r="B645" s="5">
        <v>12.0</v>
      </c>
      <c r="C645" s="5" t="s">
        <v>7666</v>
      </c>
      <c r="D645" s="5">
        <v>312.0</v>
      </c>
      <c r="E645" s="5">
        <v>1862.0</v>
      </c>
      <c r="F645" s="18" t="s">
        <v>2607</v>
      </c>
      <c r="G645" s="5" t="s">
        <v>2608</v>
      </c>
      <c r="H645" s="5" t="s">
        <v>2609</v>
      </c>
      <c r="I645" s="5" t="s">
        <v>641</v>
      </c>
      <c r="J645" s="5" t="s">
        <v>1715</v>
      </c>
      <c r="K645" s="5">
        <v>1.0</v>
      </c>
      <c r="L645" s="5">
        <v>2265.0</v>
      </c>
      <c r="M645" s="8"/>
      <c r="AO645" s="5" t="s">
        <v>2607</v>
      </c>
      <c r="AP645" s="5">
        <v>312.0</v>
      </c>
      <c r="AQ645" s="5" t="s">
        <v>1716</v>
      </c>
      <c r="AR645" s="5" t="s">
        <v>1717</v>
      </c>
      <c r="AS645" s="5" t="s">
        <v>1718</v>
      </c>
      <c r="AT645" s="5" t="s">
        <v>1703</v>
      </c>
      <c r="AU645" s="5" t="s">
        <v>1703</v>
      </c>
      <c r="AV645" s="5" t="s">
        <v>1720</v>
      </c>
      <c r="AW645" s="5" t="s">
        <v>2368</v>
      </c>
      <c r="AX645" s="5" t="s">
        <v>2369</v>
      </c>
      <c r="AY645" s="5">
        <v>50.9683</v>
      </c>
      <c r="AZ645" s="5">
        <v>-120.4867</v>
      </c>
      <c r="BA645" s="5">
        <v>1646.0</v>
      </c>
    </row>
    <row r="646" ht="14.25" customHeight="1">
      <c r="B646" s="5">
        <v>12.0</v>
      </c>
      <c r="C646" s="5" t="s">
        <v>7666</v>
      </c>
      <c r="D646" s="5">
        <v>313.0</v>
      </c>
      <c r="E646" s="5">
        <v>1863.0</v>
      </c>
      <c r="F646" s="18" t="s">
        <v>2610</v>
      </c>
      <c r="G646" s="5" t="s">
        <v>2611</v>
      </c>
      <c r="H646" s="5" t="s">
        <v>2612</v>
      </c>
      <c r="I646" s="5" t="s">
        <v>1664</v>
      </c>
      <c r="J646" s="5" t="s">
        <v>1715</v>
      </c>
      <c r="K646" s="5">
        <v>1.0</v>
      </c>
      <c r="L646" s="5">
        <v>2266.0</v>
      </c>
      <c r="M646" s="64"/>
      <c r="N646" s="36"/>
      <c r="P646" s="36"/>
      <c r="R646" s="36"/>
      <c r="T646" s="37"/>
      <c r="AO646" s="5" t="s">
        <v>2610</v>
      </c>
      <c r="AP646" s="5">
        <v>313.0</v>
      </c>
      <c r="AQ646" s="5" t="s">
        <v>1716</v>
      </c>
      <c r="AR646" s="5" t="s">
        <v>1717</v>
      </c>
      <c r="AS646" s="5" t="s">
        <v>1718</v>
      </c>
      <c r="AT646" s="5" t="s">
        <v>1703</v>
      </c>
      <c r="AU646" s="5" t="s">
        <v>1703</v>
      </c>
      <c r="AV646" s="5" t="s">
        <v>1720</v>
      </c>
      <c r="AW646" s="5" t="s">
        <v>2368</v>
      </c>
      <c r="AX646" s="5" t="s">
        <v>2369</v>
      </c>
      <c r="AY646" s="5">
        <v>50.888</v>
      </c>
      <c r="AZ646" s="5">
        <v>-119.838</v>
      </c>
      <c r="BA646" s="5">
        <v>1615.0</v>
      </c>
    </row>
    <row r="647" ht="14.25" customHeight="1">
      <c r="B647" s="5">
        <v>12.0</v>
      </c>
      <c r="C647" s="5" t="s">
        <v>7666</v>
      </c>
      <c r="D647" s="5">
        <v>314.0</v>
      </c>
      <c r="E647" s="5">
        <v>1864.0</v>
      </c>
      <c r="F647" s="18" t="s">
        <v>2613</v>
      </c>
      <c r="G647" s="5" t="s">
        <v>2614</v>
      </c>
      <c r="H647" s="5" t="s">
        <v>2615</v>
      </c>
      <c r="I647" s="5" t="s">
        <v>641</v>
      </c>
      <c r="J647" s="5" t="s">
        <v>1715</v>
      </c>
      <c r="K647" s="5">
        <v>1.0</v>
      </c>
      <c r="L647" s="5">
        <v>2267.0</v>
      </c>
      <c r="M647" s="64"/>
      <c r="N647" s="36"/>
      <c r="P647" s="36"/>
      <c r="R647" s="36"/>
      <c r="T647" s="37"/>
      <c r="AO647" s="5" t="s">
        <v>2613</v>
      </c>
      <c r="AP647" s="5">
        <v>314.0</v>
      </c>
      <c r="AQ647" s="5" t="s">
        <v>1716</v>
      </c>
      <c r="AR647" s="5" t="s">
        <v>1717</v>
      </c>
      <c r="AS647" s="5" t="s">
        <v>1718</v>
      </c>
      <c r="AT647" s="5" t="s">
        <v>1703</v>
      </c>
      <c r="AU647" s="5" t="s">
        <v>1703</v>
      </c>
      <c r="AV647" s="5" t="s">
        <v>1720</v>
      </c>
      <c r="AW647" s="5" t="s">
        <v>2193</v>
      </c>
      <c r="AX647" s="5" t="s">
        <v>2283</v>
      </c>
      <c r="AY647" s="5">
        <v>51.3</v>
      </c>
      <c r="AZ647" s="5">
        <v>-124.7</v>
      </c>
      <c r="BA647" s="5">
        <v>10.0</v>
      </c>
    </row>
    <row r="648" ht="14.25" customHeight="1">
      <c r="B648" s="5">
        <v>12.0</v>
      </c>
      <c r="C648" s="5" t="s">
        <v>7666</v>
      </c>
      <c r="D648" s="5">
        <v>315.0</v>
      </c>
      <c r="E648" s="5">
        <v>1865.0</v>
      </c>
      <c r="F648" s="18" t="s">
        <v>2616</v>
      </c>
      <c r="G648" s="5" t="s">
        <v>2617</v>
      </c>
      <c r="H648" s="5" t="s">
        <v>2618</v>
      </c>
      <c r="I648" s="5" t="s">
        <v>641</v>
      </c>
      <c r="J648" s="5" t="s">
        <v>1746</v>
      </c>
      <c r="K648" s="5">
        <v>1.0</v>
      </c>
      <c r="L648" s="5">
        <v>2268.0</v>
      </c>
      <c r="M648" s="64"/>
      <c r="N648" s="36"/>
      <c r="P648" s="36"/>
      <c r="R648" s="36"/>
      <c r="T648" s="37"/>
      <c r="AO648" s="5" t="s">
        <v>2616</v>
      </c>
      <c r="AP648" s="5">
        <v>315.0</v>
      </c>
      <c r="AQ648" s="5" t="s">
        <v>1716</v>
      </c>
      <c r="AR648" s="5" t="s">
        <v>1717</v>
      </c>
      <c r="AS648" s="5" t="s">
        <v>1718</v>
      </c>
      <c r="AT648" s="5" t="s">
        <v>1703</v>
      </c>
      <c r="AU648" s="5" t="s">
        <v>1703</v>
      </c>
      <c r="AV648" s="5" t="s">
        <v>1720</v>
      </c>
      <c r="AW648" s="5" t="s">
        <v>1705</v>
      </c>
      <c r="AX648" s="5" t="s">
        <v>1879</v>
      </c>
      <c r="AY648" s="5">
        <v>50.3517</v>
      </c>
      <c r="AZ648" s="5">
        <v>-122.7967</v>
      </c>
      <c r="BA648" s="5">
        <v>774.0</v>
      </c>
    </row>
    <row r="649" ht="14.25" customHeight="1">
      <c r="A649" s="5" t="s">
        <v>88</v>
      </c>
      <c r="B649" s="5">
        <v>12.0</v>
      </c>
      <c r="C649" s="5" t="s">
        <v>7666</v>
      </c>
      <c r="D649" s="5">
        <v>316.0</v>
      </c>
      <c r="E649" s="5">
        <v>1866.0</v>
      </c>
      <c r="F649" s="5" t="s">
        <v>2619</v>
      </c>
      <c r="G649" s="10" t="s">
        <v>2620</v>
      </c>
      <c r="H649" s="5" t="s">
        <v>2621</v>
      </c>
      <c r="I649" s="5" t="s">
        <v>641</v>
      </c>
      <c r="J649" s="5" t="s">
        <v>1829</v>
      </c>
      <c r="K649" s="5">
        <v>1.0</v>
      </c>
      <c r="L649" s="5">
        <v>2269.0</v>
      </c>
      <c r="M649" s="64">
        <v>49.90178</v>
      </c>
      <c r="N649" s="36">
        <v>-122.0207</v>
      </c>
      <c r="O649" s="5" t="s">
        <v>51</v>
      </c>
      <c r="P649" s="5">
        <v>316.0</v>
      </c>
      <c r="Q649" s="5">
        <v>7.0</v>
      </c>
      <c r="R649" s="36" t="s">
        <v>2619</v>
      </c>
      <c r="S649" s="5" t="s">
        <v>1737</v>
      </c>
      <c r="T649" s="37">
        <v>1400.0</v>
      </c>
      <c r="W649" s="5">
        <v>36892.0</v>
      </c>
      <c r="X649" s="5" t="s">
        <v>1738</v>
      </c>
      <c r="AO649" s="5" t="s">
        <v>2619</v>
      </c>
      <c r="AP649" s="5">
        <v>316.0</v>
      </c>
      <c r="AQ649" s="5" t="s">
        <v>1716</v>
      </c>
      <c r="AR649" s="5" t="s">
        <v>1739</v>
      </c>
      <c r="AS649" s="5" t="s">
        <v>1740</v>
      </c>
      <c r="AT649" s="5" t="s">
        <v>1741</v>
      </c>
      <c r="AU649" s="5" t="s">
        <v>1742</v>
      </c>
      <c r="AV649" s="5" t="s">
        <v>1720</v>
      </c>
      <c r="AW649" s="5" t="s">
        <v>1705</v>
      </c>
      <c r="AX649" s="5" t="s">
        <v>1883</v>
      </c>
      <c r="AY649" s="5">
        <v>49.9018</v>
      </c>
      <c r="AZ649" s="5">
        <v>-122.0209</v>
      </c>
      <c r="BA649" s="5">
        <v>551.0</v>
      </c>
    </row>
    <row r="650" ht="14.25" customHeight="1">
      <c r="A650" s="5" t="s">
        <v>88</v>
      </c>
      <c r="B650" s="5">
        <v>12.0</v>
      </c>
      <c r="C650" s="5" t="s">
        <v>7666</v>
      </c>
      <c r="D650" s="5">
        <v>317.0</v>
      </c>
      <c r="E650" s="5">
        <v>1867.0</v>
      </c>
      <c r="F650" s="5" t="s">
        <v>770</v>
      </c>
      <c r="G650" s="10" t="s">
        <v>2622</v>
      </c>
      <c r="H650" s="5" t="s">
        <v>2623</v>
      </c>
      <c r="I650" s="5" t="s">
        <v>641</v>
      </c>
      <c r="J650" s="5" t="s">
        <v>1736</v>
      </c>
      <c r="K650" s="5">
        <v>1.0</v>
      </c>
      <c r="L650" s="5">
        <v>2270.0</v>
      </c>
      <c r="M650" s="64">
        <v>49.0623</v>
      </c>
      <c r="N650" s="36">
        <v>-120.7674</v>
      </c>
      <c r="O650" s="5" t="s">
        <v>142</v>
      </c>
      <c r="P650" s="36">
        <v>317.0</v>
      </c>
      <c r="Q650" s="5">
        <v>4.0</v>
      </c>
      <c r="R650" s="36" t="s">
        <v>770</v>
      </c>
      <c r="S650" s="5" t="s">
        <v>1737</v>
      </c>
      <c r="T650" s="37">
        <v>1215.0</v>
      </c>
      <c r="W650" s="5">
        <v>31778.0</v>
      </c>
      <c r="X650" s="5" t="s">
        <v>1738</v>
      </c>
      <c r="AO650" s="5" t="s">
        <v>770</v>
      </c>
      <c r="AP650" s="5">
        <v>317.0</v>
      </c>
      <c r="AQ650" s="5" t="s">
        <v>1716</v>
      </c>
      <c r="AR650" s="5" t="s">
        <v>1739</v>
      </c>
      <c r="AS650" s="5" t="s">
        <v>1740</v>
      </c>
      <c r="AT650" s="5" t="s">
        <v>1741</v>
      </c>
      <c r="AU650" s="5" t="s">
        <v>1742</v>
      </c>
      <c r="AV650" s="5" t="s">
        <v>1720</v>
      </c>
      <c r="AW650" s="5" t="s">
        <v>1705</v>
      </c>
      <c r="AX650" s="5" t="s">
        <v>1883</v>
      </c>
      <c r="AY650" s="5">
        <v>49.0625</v>
      </c>
      <c r="AZ650" s="5">
        <v>-120.7668</v>
      </c>
      <c r="BA650" s="5">
        <v>1174.0</v>
      </c>
    </row>
    <row r="651" ht="14.25" customHeight="1">
      <c r="B651" s="5">
        <v>12.0</v>
      </c>
      <c r="C651" s="5" t="s">
        <v>7666</v>
      </c>
      <c r="D651" s="5">
        <v>319.0</v>
      </c>
      <c r="E651" s="5">
        <v>1868.0</v>
      </c>
      <c r="F651" s="18" t="s">
        <v>2624</v>
      </c>
      <c r="G651" s="5" t="s">
        <v>2625</v>
      </c>
      <c r="H651" s="5" t="s">
        <v>2626</v>
      </c>
      <c r="I651" s="5" t="s">
        <v>641</v>
      </c>
      <c r="J651" s="5" t="s">
        <v>1715</v>
      </c>
      <c r="K651" s="5">
        <v>1.0</v>
      </c>
      <c r="L651" s="5">
        <v>2271.0</v>
      </c>
      <c r="M651" s="64"/>
      <c r="N651" s="36"/>
      <c r="P651" s="36"/>
      <c r="R651" s="36"/>
      <c r="T651" s="37"/>
      <c r="AO651" s="5" t="s">
        <v>2624</v>
      </c>
      <c r="AP651" s="5">
        <v>319.0</v>
      </c>
      <c r="AQ651" s="5" t="s">
        <v>1716</v>
      </c>
      <c r="AR651" s="5" t="s">
        <v>1717</v>
      </c>
      <c r="AS651" s="5" t="s">
        <v>1718</v>
      </c>
      <c r="AT651" s="5" t="s">
        <v>1703</v>
      </c>
      <c r="AU651" s="5" t="s">
        <v>1703</v>
      </c>
      <c r="AV651" s="5" t="s">
        <v>1720</v>
      </c>
      <c r="AW651" s="5" t="s">
        <v>2368</v>
      </c>
      <c r="AX651" s="5" t="s">
        <v>2492</v>
      </c>
      <c r="AY651" s="5">
        <v>49.3083</v>
      </c>
      <c r="AZ651" s="5">
        <v>-120.2183</v>
      </c>
      <c r="BA651" s="5">
        <v>1402.0</v>
      </c>
    </row>
    <row r="652" ht="14.25" customHeight="1">
      <c r="B652" s="5">
        <v>12.0</v>
      </c>
      <c r="C652" s="5" t="s">
        <v>7666</v>
      </c>
      <c r="D652" s="5">
        <v>320.0</v>
      </c>
      <c r="E652" s="5">
        <v>1869.0</v>
      </c>
      <c r="F652" s="18" t="s">
        <v>2627</v>
      </c>
      <c r="G652" s="5" t="s">
        <v>2628</v>
      </c>
      <c r="H652" s="5" t="s">
        <v>2629</v>
      </c>
      <c r="I652" s="5" t="s">
        <v>641</v>
      </c>
      <c r="J652" s="5" t="s">
        <v>1715</v>
      </c>
      <c r="K652" s="5">
        <v>1.0</v>
      </c>
      <c r="L652" s="5">
        <v>2272.0</v>
      </c>
      <c r="M652" s="64"/>
      <c r="N652" s="36"/>
      <c r="R652" s="36"/>
      <c r="T652" s="37"/>
      <c r="AO652" s="5" t="s">
        <v>2627</v>
      </c>
      <c r="AP652" s="5">
        <v>320.0</v>
      </c>
      <c r="AQ652" s="5" t="s">
        <v>1716</v>
      </c>
      <c r="AR652" s="5" t="s">
        <v>1717</v>
      </c>
      <c r="AS652" s="5" t="s">
        <v>1718</v>
      </c>
      <c r="AT652" s="5" t="s">
        <v>1703</v>
      </c>
      <c r="AU652" s="5" t="s">
        <v>1703</v>
      </c>
      <c r="AV652" s="5" t="s">
        <v>1720</v>
      </c>
      <c r="AW652" s="5" t="s">
        <v>2368</v>
      </c>
      <c r="AX652" s="5" t="s">
        <v>2492</v>
      </c>
      <c r="AY652" s="5">
        <v>50.3133</v>
      </c>
      <c r="AZ652" s="5">
        <v>-120.9267</v>
      </c>
      <c r="BA652" s="5">
        <v>1402.0</v>
      </c>
    </row>
    <row r="653" ht="14.25" customHeight="1">
      <c r="A653" s="5" t="s">
        <v>88</v>
      </c>
      <c r="B653" s="5">
        <v>12.0</v>
      </c>
      <c r="C653" s="5" t="s">
        <v>7666</v>
      </c>
      <c r="D653" s="5">
        <v>321.0</v>
      </c>
      <c r="E653" s="5">
        <v>1870.0</v>
      </c>
      <c r="F653" s="5" t="s">
        <v>2630</v>
      </c>
      <c r="G653" s="10" t="s">
        <v>2631</v>
      </c>
      <c r="H653" s="5" t="s">
        <v>2632</v>
      </c>
      <c r="I653" s="5" t="s">
        <v>641</v>
      </c>
      <c r="J653" s="5" t="s">
        <v>1865</v>
      </c>
      <c r="K653" s="5">
        <v>1.0</v>
      </c>
      <c r="L653" s="5">
        <v>2273.0</v>
      </c>
      <c r="M653" s="8">
        <v>50.61125</v>
      </c>
      <c r="N653" s="5">
        <v>-120.64155</v>
      </c>
      <c r="O653" s="5" t="s">
        <v>142</v>
      </c>
      <c r="P653" s="5">
        <v>321.0</v>
      </c>
      <c r="Q653" s="5">
        <v>8.0</v>
      </c>
      <c r="R653" s="5" t="s">
        <v>2633</v>
      </c>
      <c r="S653" s="5" t="s">
        <v>1737</v>
      </c>
      <c r="T653" s="5">
        <v>1780.0</v>
      </c>
      <c r="W653" s="5">
        <v>32509.0</v>
      </c>
      <c r="X653" s="5" t="s">
        <v>1738</v>
      </c>
      <c r="AO653" s="55" t="s">
        <v>2633</v>
      </c>
      <c r="AP653" s="5">
        <v>321.0</v>
      </c>
      <c r="AQ653" s="5" t="s">
        <v>1700</v>
      </c>
      <c r="AR653" s="5" t="s">
        <v>1701</v>
      </c>
      <c r="AS653" s="5" t="s">
        <v>1740</v>
      </c>
      <c r="AT653" s="5" t="s">
        <v>1741</v>
      </c>
      <c r="AU653" s="5" t="s">
        <v>2043</v>
      </c>
      <c r="AV653" s="5" t="s">
        <v>1720</v>
      </c>
      <c r="AW653" s="5" t="s">
        <v>2368</v>
      </c>
      <c r="AX653" s="5" t="s">
        <v>2369</v>
      </c>
      <c r="AY653" s="5">
        <v>50.6112</v>
      </c>
      <c r="AZ653" s="5">
        <v>-120.6415</v>
      </c>
      <c r="BA653" s="5">
        <v>1780.0</v>
      </c>
    </row>
    <row r="654" ht="14.25" customHeight="1">
      <c r="A654" s="5" t="s">
        <v>88</v>
      </c>
      <c r="B654" s="5">
        <v>12.0</v>
      </c>
      <c r="C654" s="5" t="s">
        <v>7666</v>
      </c>
      <c r="D654" s="5">
        <v>322.0</v>
      </c>
      <c r="E654" s="5">
        <v>1871.0</v>
      </c>
      <c r="F654" s="5" t="s">
        <v>2634</v>
      </c>
      <c r="G654" s="10" t="s">
        <v>2635</v>
      </c>
      <c r="H654" s="5" t="s">
        <v>2636</v>
      </c>
      <c r="I654" s="5" t="s">
        <v>641</v>
      </c>
      <c r="J654" s="5" t="s">
        <v>1736</v>
      </c>
      <c r="K654" s="5">
        <v>1.0</v>
      </c>
      <c r="L654" s="5">
        <v>2274.0</v>
      </c>
      <c r="M654" s="64">
        <v>50.67333</v>
      </c>
      <c r="N654" s="36">
        <v>-120.48167</v>
      </c>
      <c r="O654" s="5" t="s">
        <v>142</v>
      </c>
      <c r="P654" s="36">
        <v>322.0</v>
      </c>
      <c r="Q654" s="5">
        <v>2.0</v>
      </c>
      <c r="R654" s="36" t="s">
        <v>2634</v>
      </c>
      <c r="S654" s="5" t="s">
        <v>1737</v>
      </c>
      <c r="T654" s="37">
        <v>780.0</v>
      </c>
      <c r="U654" s="5" t="s">
        <v>645</v>
      </c>
      <c r="V654" s="5" t="s">
        <v>1830</v>
      </c>
      <c r="W654" s="5">
        <v>32143.0</v>
      </c>
      <c r="X654" s="5" t="s">
        <v>1738</v>
      </c>
      <c r="AO654" s="5" t="s">
        <v>2634</v>
      </c>
      <c r="AP654" s="5">
        <v>322.0</v>
      </c>
      <c r="AQ654" s="5" t="s">
        <v>1700</v>
      </c>
      <c r="AR654" s="5" t="s">
        <v>1739</v>
      </c>
      <c r="AS654" s="5" t="s">
        <v>1740</v>
      </c>
      <c r="AT654" s="5" t="s">
        <v>1741</v>
      </c>
      <c r="AU654" s="5" t="s">
        <v>1772</v>
      </c>
      <c r="AV654" s="5" t="s">
        <v>1720</v>
      </c>
      <c r="AW654" s="5" t="s">
        <v>2368</v>
      </c>
      <c r="AX654" s="5" t="s">
        <v>2369</v>
      </c>
      <c r="AY654" s="5">
        <v>50.6727</v>
      </c>
      <c r="AZ654" s="5">
        <v>-120.4822</v>
      </c>
      <c r="BA654" s="5">
        <v>693.0</v>
      </c>
    </row>
    <row r="655" ht="14.25" customHeight="1">
      <c r="B655" s="5">
        <v>12.0</v>
      </c>
      <c r="C655" s="5" t="s">
        <v>7666</v>
      </c>
      <c r="D655" s="5">
        <v>323.0</v>
      </c>
      <c r="E655" s="5">
        <v>1872.0</v>
      </c>
      <c r="F655" s="18" t="s">
        <v>2637</v>
      </c>
      <c r="G655" s="5" t="s">
        <v>2638</v>
      </c>
      <c r="H655" s="5" t="s">
        <v>2639</v>
      </c>
      <c r="I655" s="5" t="s">
        <v>641</v>
      </c>
      <c r="J655" s="5" t="s">
        <v>1715</v>
      </c>
      <c r="K655" s="5">
        <v>1.0</v>
      </c>
      <c r="L655" s="5">
        <v>2275.0</v>
      </c>
      <c r="M655" s="64"/>
      <c r="N655" s="36"/>
      <c r="R655" s="36"/>
      <c r="T655" s="37"/>
      <c r="AO655" s="5" t="s">
        <v>2637</v>
      </c>
      <c r="AP655" s="5">
        <v>323.0</v>
      </c>
      <c r="AQ655" s="5" t="s">
        <v>1716</v>
      </c>
      <c r="AR655" s="5" t="s">
        <v>1717</v>
      </c>
      <c r="AS655" s="5" t="s">
        <v>1718</v>
      </c>
      <c r="AT655" s="5" t="s">
        <v>1703</v>
      </c>
      <c r="AU655" s="5" t="s">
        <v>1703</v>
      </c>
      <c r="AV655" s="5" t="s">
        <v>1720</v>
      </c>
      <c r="AW655" s="5" t="s">
        <v>2368</v>
      </c>
      <c r="AX655" s="5" t="s">
        <v>2369</v>
      </c>
      <c r="AY655" s="5">
        <v>50.6</v>
      </c>
      <c r="AZ655" s="5">
        <v>-120.5</v>
      </c>
      <c r="BA655" s="5">
        <v>12.0</v>
      </c>
    </row>
    <row r="656" ht="14.25" customHeight="1">
      <c r="B656" s="5">
        <v>12.0</v>
      </c>
      <c r="C656" s="5" t="s">
        <v>7666</v>
      </c>
      <c r="D656" s="5">
        <v>324.0</v>
      </c>
      <c r="E656" s="5">
        <v>1873.0</v>
      </c>
      <c r="F656" s="18" t="s">
        <v>2640</v>
      </c>
      <c r="G656" s="5" t="s">
        <v>2641</v>
      </c>
      <c r="H656" s="5" t="s">
        <v>2642</v>
      </c>
      <c r="I656" s="5" t="s">
        <v>641</v>
      </c>
      <c r="J656" s="5" t="s">
        <v>1715</v>
      </c>
      <c r="K656" s="5">
        <v>1.0</v>
      </c>
      <c r="L656" s="5">
        <v>2276.0</v>
      </c>
      <c r="M656" s="64"/>
      <c r="N656" s="36"/>
      <c r="P656" s="36"/>
      <c r="R656" s="36"/>
      <c r="T656" s="37"/>
      <c r="AO656" s="5" t="s">
        <v>2640</v>
      </c>
      <c r="AP656" s="5">
        <v>324.0</v>
      </c>
      <c r="AQ656" s="5" t="s">
        <v>1716</v>
      </c>
      <c r="AR656" s="5" t="s">
        <v>1717</v>
      </c>
      <c r="AS656" s="5" t="s">
        <v>1718</v>
      </c>
      <c r="AT656" s="5" t="s">
        <v>1719</v>
      </c>
      <c r="AU656" s="5" t="s">
        <v>1836</v>
      </c>
      <c r="AV656" s="5" t="s">
        <v>1720</v>
      </c>
      <c r="AW656" s="5" t="s">
        <v>1705</v>
      </c>
      <c r="AX656" s="5" t="s">
        <v>1883</v>
      </c>
      <c r="AY656" s="5">
        <v>49.855</v>
      </c>
      <c r="AZ656" s="5">
        <v>-121.435</v>
      </c>
      <c r="BA656" s="5">
        <v>150.0</v>
      </c>
    </row>
    <row r="657" ht="14.25" customHeight="1">
      <c r="B657" s="5">
        <v>12.0</v>
      </c>
      <c r="C657" s="5" t="s">
        <v>7666</v>
      </c>
      <c r="D657" s="5">
        <v>325.0</v>
      </c>
      <c r="E657" s="5">
        <v>1874.0</v>
      </c>
      <c r="F657" s="5" t="s">
        <v>2643</v>
      </c>
      <c r="G657" s="5" t="s">
        <v>2644</v>
      </c>
      <c r="H657" s="5" t="s">
        <v>2645</v>
      </c>
      <c r="I657" s="5" t="s">
        <v>641</v>
      </c>
      <c r="J657" s="5" t="s">
        <v>1715</v>
      </c>
      <c r="K657" s="5">
        <v>1.0</v>
      </c>
      <c r="L657" s="5">
        <v>2277.0</v>
      </c>
      <c r="M657" s="64">
        <v>50.50025</v>
      </c>
      <c r="N657" s="36">
        <v>-119.7013889</v>
      </c>
      <c r="O657" s="5" t="s">
        <v>142</v>
      </c>
      <c r="P657" s="36">
        <v>1359.0</v>
      </c>
      <c r="Q657" s="5">
        <v>3.0</v>
      </c>
      <c r="R657" s="36" t="s">
        <v>2646</v>
      </c>
      <c r="S657" s="5" t="s">
        <v>1737</v>
      </c>
      <c r="T657" s="37">
        <v>1153.0</v>
      </c>
      <c r="W657" s="5">
        <v>43614.0</v>
      </c>
      <c r="X657" s="5" t="s">
        <v>1738</v>
      </c>
      <c r="AO657" s="5" t="s">
        <v>2647</v>
      </c>
      <c r="AP657" s="5">
        <v>325.0</v>
      </c>
      <c r="AQ657" s="5" t="s">
        <v>1716</v>
      </c>
      <c r="AR657" s="5" t="s">
        <v>1717</v>
      </c>
      <c r="AS657" s="5" t="s">
        <v>1718</v>
      </c>
      <c r="AT657" s="5" t="s">
        <v>1835</v>
      </c>
      <c r="AU657" s="5" t="s">
        <v>1836</v>
      </c>
      <c r="AV657" s="5" t="s">
        <v>1720</v>
      </c>
      <c r="AW657" s="5" t="s">
        <v>2368</v>
      </c>
      <c r="AX657" s="5" t="s">
        <v>2492</v>
      </c>
      <c r="AY657" s="5">
        <v>49.38</v>
      </c>
      <c r="AZ657" s="5">
        <v>-120.1533</v>
      </c>
      <c r="BA657" s="5">
        <v>579.0</v>
      </c>
    </row>
    <row r="658" ht="14.25" customHeight="1">
      <c r="A658" s="5" t="s">
        <v>88</v>
      </c>
      <c r="B658" s="5">
        <v>12.0</v>
      </c>
      <c r="C658" s="5" t="s">
        <v>7666</v>
      </c>
      <c r="D658" s="5">
        <v>326.0</v>
      </c>
      <c r="E658" s="5">
        <v>1875.0</v>
      </c>
      <c r="F658" s="5" t="s">
        <v>2648</v>
      </c>
      <c r="G658" s="10" t="s">
        <v>2649</v>
      </c>
      <c r="H658" s="5" t="s">
        <v>2650</v>
      </c>
      <c r="I658" s="5" t="s">
        <v>641</v>
      </c>
      <c r="J658" s="5" t="s">
        <v>1865</v>
      </c>
      <c r="K658" s="5">
        <v>1.0</v>
      </c>
      <c r="L658" s="5">
        <v>2278.0</v>
      </c>
      <c r="M658" s="64">
        <v>50.504</v>
      </c>
      <c r="N658" s="36">
        <v>-120.674</v>
      </c>
      <c r="O658" s="5" t="s">
        <v>142</v>
      </c>
      <c r="P658" s="36">
        <v>326.0</v>
      </c>
      <c r="Q658" s="5">
        <v>6.0</v>
      </c>
      <c r="R658" s="36" t="s">
        <v>2648</v>
      </c>
      <c r="S658" s="5" t="s">
        <v>1737</v>
      </c>
      <c r="T658" s="37">
        <v>1440.0</v>
      </c>
      <c r="U658" s="5" t="s">
        <v>645</v>
      </c>
      <c r="W658" s="5">
        <v>36161.0</v>
      </c>
      <c r="X658" s="5" t="s">
        <v>1738</v>
      </c>
      <c r="AO658" s="5" t="s">
        <v>2648</v>
      </c>
      <c r="AP658" s="5">
        <v>326.0</v>
      </c>
      <c r="AQ658" s="5" t="s">
        <v>1700</v>
      </c>
      <c r="AR658" s="5" t="s">
        <v>1739</v>
      </c>
      <c r="AS658" s="5" t="s">
        <v>1740</v>
      </c>
      <c r="AT658" s="5" t="s">
        <v>1835</v>
      </c>
      <c r="AU658" s="5" t="s">
        <v>1959</v>
      </c>
      <c r="AV658" s="5" t="s">
        <v>1720</v>
      </c>
      <c r="AW658" s="5" t="s">
        <v>2368</v>
      </c>
      <c r="AX658" s="5" t="s">
        <v>2369</v>
      </c>
      <c r="AY658" s="5">
        <v>50.504</v>
      </c>
      <c r="AZ658" s="5">
        <v>-120.674</v>
      </c>
      <c r="BA658" s="5">
        <v>1488.0</v>
      </c>
    </row>
    <row r="659" ht="14.25" customHeight="1">
      <c r="A659" s="5" t="s">
        <v>88</v>
      </c>
      <c r="B659" s="5">
        <v>12.0</v>
      </c>
      <c r="C659" s="5" t="s">
        <v>7666</v>
      </c>
      <c r="D659" s="5">
        <v>328.0</v>
      </c>
      <c r="E659" s="5">
        <v>1876.0</v>
      </c>
      <c r="F659" s="5" t="s">
        <v>2651</v>
      </c>
      <c r="G659" s="10" t="s">
        <v>2652</v>
      </c>
      <c r="H659" s="5" t="s">
        <v>2653</v>
      </c>
      <c r="I659" s="5" t="s">
        <v>641</v>
      </c>
      <c r="J659" s="5" t="s">
        <v>1736</v>
      </c>
      <c r="K659" s="5">
        <v>1.0</v>
      </c>
      <c r="L659" s="5">
        <v>2279.0</v>
      </c>
      <c r="M659" s="8">
        <v>49.51833</v>
      </c>
      <c r="N659" s="11">
        <v>-119.55333</v>
      </c>
      <c r="O659" s="11" t="s">
        <v>142</v>
      </c>
      <c r="P659" s="11">
        <v>328.0</v>
      </c>
      <c r="Q659" s="22">
        <v>1.0</v>
      </c>
      <c r="R659" s="11" t="s">
        <v>2651</v>
      </c>
      <c r="S659" s="11" t="s">
        <v>1737</v>
      </c>
      <c r="T659" s="11">
        <v>427.0</v>
      </c>
      <c r="U659" s="11" t="s">
        <v>645</v>
      </c>
      <c r="V659" s="11"/>
      <c r="W659" s="23">
        <v>25569.0</v>
      </c>
      <c r="X659" s="11" t="s">
        <v>1738</v>
      </c>
      <c r="AO659" s="5" t="s">
        <v>2651</v>
      </c>
      <c r="AP659" s="5">
        <v>328.0</v>
      </c>
      <c r="AQ659" s="5" t="s">
        <v>1700</v>
      </c>
      <c r="AR659" s="5" t="s">
        <v>1739</v>
      </c>
      <c r="AS659" s="5" t="s">
        <v>1740</v>
      </c>
      <c r="AT659" s="5" t="s">
        <v>1741</v>
      </c>
      <c r="AU659" s="5" t="s">
        <v>1772</v>
      </c>
      <c r="AV659" s="5" t="s">
        <v>1720</v>
      </c>
      <c r="AW659" s="5" t="s">
        <v>2368</v>
      </c>
      <c r="AX659" s="5" t="s">
        <v>2516</v>
      </c>
      <c r="AY659" s="5">
        <v>49.5177</v>
      </c>
      <c r="AZ659" s="5">
        <v>-119.5529</v>
      </c>
      <c r="BA659" s="5">
        <v>492.0</v>
      </c>
    </row>
    <row r="660" ht="14.25" customHeight="1">
      <c r="B660" s="5">
        <v>12.0</v>
      </c>
      <c r="C660" s="5" t="s">
        <v>7666</v>
      </c>
      <c r="D660" s="5">
        <v>329.0</v>
      </c>
      <c r="E660" s="5">
        <v>1877.0</v>
      </c>
      <c r="F660" s="18" t="s">
        <v>2654</v>
      </c>
      <c r="G660" s="5" t="s">
        <v>2655</v>
      </c>
      <c r="H660" s="5" t="s">
        <v>2656</v>
      </c>
      <c r="I660" s="5" t="s">
        <v>1664</v>
      </c>
      <c r="J660" s="5" t="s">
        <v>1715</v>
      </c>
      <c r="K660" s="5">
        <v>1.0</v>
      </c>
      <c r="L660" s="5">
        <v>2280.0</v>
      </c>
      <c r="M660" s="64"/>
      <c r="N660" s="36"/>
      <c r="R660" s="36"/>
      <c r="T660" s="37"/>
      <c r="AO660" s="5" t="s">
        <v>2654</v>
      </c>
      <c r="AP660" s="5">
        <v>329.0</v>
      </c>
      <c r="AQ660" s="5" t="s">
        <v>1716</v>
      </c>
      <c r="AR660" s="5" t="s">
        <v>1717</v>
      </c>
      <c r="AS660" s="5" t="s">
        <v>1718</v>
      </c>
      <c r="AT660" s="5" t="s">
        <v>1719</v>
      </c>
      <c r="AU660" s="5" t="s">
        <v>1703</v>
      </c>
      <c r="AV660" s="5" t="s">
        <v>1720</v>
      </c>
      <c r="AW660" s="5" t="s">
        <v>2368</v>
      </c>
      <c r="AX660" s="5" t="s">
        <v>2516</v>
      </c>
      <c r="AY660" s="5">
        <v>49.7</v>
      </c>
      <c r="AZ660" s="5">
        <v>-119.3</v>
      </c>
      <c r="BA660" s="5">
        <v>0.0</v>
      </c>
    </row>
    <row r="661" ht="14.25" customHeight="1">
      <c r="B661" s="5">
        <v>12.0</v>
      </c>
      <c r="C661" s="5" t="s">
        <v>7666</v>
      </c>
      <c r="D661" s="5">
        <v>330.0</v>
      </c>
      <c r="E661" s="5">
        <v>1878.0</v>
      </c>
      <c r="F661" s="18" t="s">
        <v>2657</v>
      </c>
      <c r="G661" s="5" t="s">
        <v>2658</v>
      </c>
      <c r="H661" s="5" t="s">
        <v>2659</v>
      </c>
      <c r="I661" s="5" t="s">
        <v>641</v>
      </c>
      <c r="J661" s="5" t="s">
        <v>1715</v>
      </c>
      <c r="K661" s="5">
        <v>1.0</v>
      </c>
      <c r="L661" s="5">
        <v>2281.0</v>
      </c>
      <c r="M661" s="64"/>
      <c r="N661" s="36"/>
      <c r="P661" s="36"/>
      <c r="R661" s="36"/>
      <c r="T661" s="37"/>
      <c r="AO661" s="5" t="s">
        <v>2657</v>
      </c>
      <c r="AP661" s="5">
        <v>330.0</v>
      </c>
      <c r="AQ661" s="5" t="s">
        <v>1716</v>
      </c>
      <c r="AR661" s="5" t="s">
        <v>1717</v>
      </c>
      <c r="AS661" s="5" t="s">
        <v>1718</v>
      </c>
      <c r="AT661" s="5" t="s">
        <v>1703</v>
      </c>
      <c r="AU661" s="5" t="s">
        <v>1703</v>
      </c>
      <c r="AV661" s="5" t="s">
        <v>1720</v>
      </c>
      <c r="AW661" s="5" t="s">
        <v>2368</v>
      </c>
      <c r="AX661" s="5" t="s">
        <v>2522</v>
      </c>
      <c r="AY661" s="5">
        <v>50.1233</v>
      </c>
      <c r="AZ661" s="5">
        <v>-118.9833</v>
      </c>
      <c r="BA661" s="5">
        <v>1402.0</v>
      </c>
    </row>
    <row r="662" ht="14.25" customHeight="1">
      <c r="A662" s="5" t="s">
        <v>1908</v>
      </c>
      <c r="B662" s="5">
        <v>12.0</v>
      </c>
      <c r="C662" s="5" t="s">
        <v>7666</v>
      </c>
      <c r="D662" s="5">
        <v>331.0</v>
      </c>
      <c r="E662" s="5">
        <v>1879.0</v>
      </c>
      <c r="F662" s="10" t="s">
        <v>2660</v>
      </c>
      <c r="G662" s="10" t="s">
        <v>2661</v>
      </c>
      <c r="H662" s="5" t="s">
        <v>2662</v>
      </c>
      <c r="I662" s="5" t="s">
        <v>641</v>
      </c>
      <c r="J662" s="5" t="s">
        <v>1736</v>
      </c>
      <c r="K662" s="5">
        <v>1.0</v>
      </c>
      <c r="L662" s="5">
        <v>2282.0</v>
      </c>
      <c r="M662" s="8">
        <v>49.13905</v>
      </c>
      <c r="N662" s="11">
        <v>-120.1844</v>
      </c>
      <c r="O662" s="11" t="s">
        <v>142</v>
      </c>
      <c r="P662" s="16">
        <v>331.0</v>
      </c>
      <c r="Q662" s="22">
        <v>7.0</v>
      </c>
      <c r="R662" s="11" t="s">
        <v>2663</v>
      </c>
      <c r="S662" s="11" t="s">
        <v>1737</v>
      </c>
      <c r="T662" s="11">
        <v>1683.0</v>
      </c>
      <c r="U662" s="11"/>
      <c r="V662" s="11"/>
      <c r="W662" s="23">
        <v>33604.0</v>
      </c>
      <c r="X662" s="11" t="s">
        <v>1738</v>
      </c>
      <c r="AO662" s="5" t="s">
        <v>2663</v>
      </c>
      <c r="AP662" s="5">
        <v>331.0</v>
      </c>
      <c r="AQ662" s="5" t="s">
        <v>1716</v>
      </c>
      <c r="AR662" s="5" t="s">
        <v>1739</v>
      </c>
      <c r="AS662" s="5" t="s">
        <v>1740</v>
      </c>
      <c r="AT662" s="5" t="s">
        <v>1741</v>
      </c>
      <c r="AU662" s="5" t="s">
        <v>1742</v>
      </c>
      <c r="AV662" s="5" t="s">
        <v>1720</v>
      </c>
      <c r="AW662" s="5" t="s">
        <v>2368</v>
      </c>
      <c r="AX662" s="5" t="s">
        <v>2516</v>
      </c>
      <c r="AY662" s="5">
        <v>49.1391</v>
      </c>
      <c r="AZ662" s="5">
        <v>-120.1844</v>
      </c>
      <c r="BA662" s="5">
        <v>1683.0</v>
      </c>
    </row>
    <row r="663" ht="14.25" customHeight="1">
      <c r="B663" s="5">
        <v>12.0</v>
      </c>
      <c r="C663" s="5" t="s">
        <v>7666</v>
      </c>
      <c r="D663" s="5">
        <v>332.0</v>
      </c>
      <c r="E663" s="5">
        <v>1880.0</v>
      </c>
      <c r="F663" s="18" t="s">
        <v>2664</v>
      </c>
      <c r="G663" s="5" t="s">
        <v>2665</v>
      </c>
      <c r="H663" s="5" t="s">
        <v>1794</v>
      </c>
      <c r="I663" s="5" t="s">
        <v>1664</v>
      </c>
      <c r="J663" s="5" t="s">
        <v>1715</v>
      </c>
      <c r="K663" s="5">
        <v>1.0</v>
      </c>
      <c r="L663" s="5">
        <v>2283.0</v>
      </c>
      <c r="M663" s="64"/>
      <c r="N663" s="36"/>
      <c r="P663" s="36"/>
      <c r="R663" s="36"/>
      <c r="T663" s="37"/>
      <c r="AO663" s="5" t="s">
        <v>2664</v>
      </c>
      <c r="AP663" s="5">
        <v>332.0</v>
      </c>
      <c r="AQ663" s="5" t="s">
        <v>1716</v>
      </c>
      <c r="AR663" s="5" t="s">
        <v>1717</v>
      </c>
      <c r="AS663" s="5" t="s">
        <v>1718</v>
      </c>
      <c r="AT663" s="5" t="s">
        <v>1719</v>
      </c>
      <c r="AU663" s="5" t="s">
        <v>1703</v>
      </c>
      <c r="AV663" s="5" t="s">
        <v>1720</v>
      </c>
      <c r="AW663" s="5" t="s">
        <v>2368</v>
      </c>
      <c r="AX663" s="5" t="s">
        <v>2492</v>
      </c>
      <c r="AY663" s="5">
        <v>49.7</v>
      </c>
      <c r="AZ663" s="5">
        <v>-120.3</v>
      </c>
      <c r="BA663" s="5">
        <v>10.0</v>
      </c>
    </row>
    <row r="664" ht="14.25" customHeight="1">
      <c r="B664" s="5">
        <v>12.0</v>
      </c>
      <c r="C664" s="5" t="s">
        <v>7666</v>
      </c>
      <c r="D664" s="5">
        <v>333.0</v>
      </c>
      <c r="E664" s="5">
        <v>1881.0</v>
      </c>
      <c r="F664" s="18" t="s">
        <v>2666</v>
      </c>
      <c r="G664" s="5" t="s">
        <v>2667</v>
      </c>
      <c r="H664" s="5" t="s">
        <v>2668</v>
      </c>
      <c r="I664" s="5" t="s">
        <v>641</v>
      </c>
      <c r="J664" s="5" t="s">
        <v>1715</v>
      </c>
      <c r="K664" s="5">
        <v>1.0</v>
      </c>
      <c r="L664" s="5">
        <v>2284.0</v>
      </c>
      <c r="M664" s="8"/>
      <c r="AO664" s="5" t="s">
        <v>2666</v>
      </c>
      <c r="AP664" s="5">
        <v>333.0</v>
      </c>
      <c r="AQ664" s="5" t="s">
        <v>1716</v>
      </c>
      <c r="AR664" s="5" t="s">
        <v>1717</v>
      </c>
      <c r="AS664" s="5" t="s">
        <v>1718</v>
      </c>
      <c r="AT664" s="5" t="s">
        <v>1703</v>
      </c>
      <c r="AU664" s="5" t="s">
        <v>1703</v>
      </c>
      <c r="AV664" s="5" t="s">
        <v>1720</v>
      </c>
      <c r="AW664" s="5" t="s">
        <v>2368</v>
      </c>
      <c r="AY664" s="5">
        <v>49.0</v>
      </c>
      <c r="AZ664" s="5">
        <v>-119.7</v>
      </c>
      <c r="BA664" s="5">
        <v>4.0</v>
      </c>
    </row>
    <row r="665" ht="14.25" customHeight="1">
      <c r="A665" s="5" t="s">
        <v>88</v>
      </c>
      <c r="B665" s="5">
        <v>12.0</v>
      </c>
      <c r="C665" s="5" t="s">
        <v>7666</v>
      </c>
      <c r="D665" s="5">
        <v>334.0</v>
      </c>
      <c r="E665" s="5">
        <v>1882.0</v>
      </c>
      <c r="F665" s="5" t="s">
        <v>2669</v>
      </c>
      <c r="G665" s="10" t="s">
        <v>2670</v>
      </c>
      <c r="H665" s="5" t="s">
        <v>2671</v>
      </c>
      <c r="I665" s="5" t="s">
        <v>641</v>
      </c>
      <c r="J665" s="5" t="s">
        <v>1865</v>
      </c>
      <c r="K665" s="5">
        <v>1.0</v>
      </c>
      <c r="L665" s="5">
        <v>2285.0</v>
      </c>
      <c r="M665" s="64">
        <v>49.14833</v>
      </c>
      <c r="N665" s="36">
        <v>-119.415</v>
      </c>
      <c r="O665" s="11" t="s">
        <v>142</v>
      </c>
      <c r="P665" s="36">
        <v>334.0</v>
      </c>
      <c r="Q665" s="22">
        <v>3.0</v>
      </c>
      <c r="R665" s="36" t="s">
        <v>2669</v>
      </c>
      <c r="S665" s="11" t="s">
        <v>1737</v>
      </c>
      <c r="T665" s="37">
        <v>1067.0</v>
      </c>
      <c r="U665" s="11"/>
      <c r="V665" s="11"/>
      <c r="W665" s="23">
        <v>30682.0</v>
      </c>
      <c r="X665" s="11" t="s">
        <v>1738</v>
      </c>
      <c r="AO665" s="5" t="s">
        <v>2669</v>
      </c>
      <c r="AP665" s="5">
        <v>334.0</v>
      </c>
      <c r="AQ665" s="5" t="s">
        <v>1700</v>
      </c>
      <c r="AR665" s="5" t="s">
        <v>1739</v>
      </c>
      <c r="AS665" s="5" t="s">
        <v>1740</v>
      </c>
      <c r="AT665" s="5" t="s">
        <v>1741</v>
      </c>
      <c r="AU665" s="5" t="s">
        <v>1772</v>
      </c>
      <c r="AV665" s="5" t="s">
        <v>1720</v>
      </c>
      <c r="AW665" s="5" t="s">
        <v>2368</v>
      </c>
      <c r="AX665" s="5" t="s">
        <v>2516</v>
      </c>
      <c r="AY665" s="5">
        <v>49.1483</v>
      </c>
      <c r="AZ665" s="5">
        <v>-119.415</v>
      </c>
      <c r="BA665" s="5">
        <v>1023.0</v>
      </c>
    </row>
    <row r="666" ht="14.25" customHeight="1">
      <c r="B666" s="5">
        <v>12.0</v>
      </c>
      <c r="C666" s="5" t="s">
        <v>7666</v>
      </c>
      <c r="D666" s="5">
        <v>335.0</v>
      </c>
      <c r="E666" s="5">
        <v>1883.0</v>
      </c>
      <c r="F666" s="18" t="s">
        <v>2672</v>
      </c>
      <c r="G666" s="5" t="s">
        <v>2673</v>
      </c>
      <c r="H666" s="5" t="s">
        <v>2674</v>
      </c>
      <c r="I666" s="5" t="s">
        <v>1664</v>
      </c>
      <c r="J666" s="5" t="s">
        <v>1746</v>
      </c>
      <c r="K666" s="5">
        <v>1.0</v>
      </c>
      <c r="L666" s="5">
        <v>2286.0</v>
      </c>
      <c r="M666" s="8"/>
      <c r="AO666" s="5" t="s">
        <v>2672</v>
      </c>
      <c r="AP666" s="5">
        <v>335.0</v>
      </c>
      <c r="AQ666" s="5" t="s">
        <v>1716</v>
      </c>
      <c r="AR666" s="5" t="s">
        <v>1717</v>
      </c>
      <c r="AS666" s="5" t="s">
        <v>1718</v>
      </c>
      <c r="AT666" s="5" t="s">
        <v>1719</v>
      </c>
      <c r="AU666" s="5" t="s">
        <v>1703</v>
      </c>
      <c r="AV666" s="5" t="s">
        <v>1720</v>
      </c>
      <c r="AW666" s="5" t="s">
        <v>2368</v>
      </c>
      <c r="AX666" s="5" t="s">
        <v>2516</v>
      </c>
      <c r="AY666" s="5">
        <v>49.7</v>
      </c>
      <c r="AZ666" s="5">
        <v>-119.2</v>
      </c>
      <c r="BA666" s="5">
        <v>12.0</v>
      </c>
    </row>
    <row r="667" ht="14.25" customHeight="1">
      <c r="B667" s="5">
        <v>12.0</v>
      </c>
      <c r="C667" s="5" t="s">
        <v>7666</v>
      </c>
      <c r="D667" s="5">
        <v>336.0</v>
      </c>
      <c r="E667" s="5">
        <v>1884.0</v>
      </c>
      <c r="F667" s="18" t="s">
        <v>2675</v>
      </c>
      <c r="G667" s="5" t="s">
        <v>2676</v>
      </c>
      <c r="H667" s="5" t="s">
        <v>2677</v>
      </c>
      <c r="I667" s="5" t="s">
        <v>641</v>
      </c>
      <c r="J667" s="5" t="s">
        <v>1715</v>
      </c>
      <c r="K667" s="5">
        <v>1.0</v>
      </c>
      <c r="L667" s="5">
        <v>2287.0</v>
      </c>
      <c r="M667" s="8"/>
      <c r="AO667" s="5" t="s">
        <v>2675</v>
      </c>
      <c r="AP667" s="5">
        <v>336.0</v>
      </c>
      <c r="AQ667" s="5" t="s">
        <v>1716</v>
      </c>
      <c r="AR667" s="5" t="s">
        <v>1717</v>
      </c>
      <c r="AS667" s="5" t="s">
        <v>1718</v>
      </c>
      <c r="AT667" s="5" t="s">
        <v>1719</v>
      </c>
      <c r="AU667" s="5" t="s">
        <v>1959</v>
      </c>
      <c r="AV667" s="5" t="s">
        <v>1720</v>
      </c>
      <c r="AW667" s="5" t="s">
        <v>2368</v>
      </c>
      <c r="AX667" s="5" t="s">
        <v>2516</v>
      </c>
      <c r="AY667" s="5">
        <v>49.7367</v>
      </c>
      <c r="AZ667" s="5">
        <v>-119.1767</v>
      </c>
      <c r="BA667" s="5">
        <v>1250.0</v>
      </c>
    </row>
    <row r="668" ht="14.25" customHeight="1">
      <c r="B668" s="5">
        <v>12.0</v>
      </c>
      <c r="C668" s="5" t="s">
        <v>7666</v>
      </c>
      <c r="D668" s="5">
        <v>338.0</v>
      </c>
      <c r="E668" s="5">
        <v>1885.0</v>
      </c>
      <c r="F668" s="18" t="s">
        <v>2678</v>
      </c>
      <c r="G668" s="5" t="s">
        <v>2679</v>
      </c>
      <c r="H668" s="5" t="s">
        <v>2680</v>
      </c>
      <c r="I668" s="5" t="s">
        <v>641</v>
      </c>
      <c r="J668" s="5" t="s">
        <v>1715</v>
      </c>
      <c r="K668" s="5">
        <v>1.0</v>
      </c>
      <c r="L668" s="5">
        <v>2288.0</v>
      </c>
      <c r="M668" s="64"/>
      <c r="N668" s="36"/>
      <c r="O668" s="11"/>
      <c r="P668" s="36"/>
      <c r="Q668" s="22"/>
      <c r="R668" s="36"/>
      <c r="S668" s="11"/>
      <c r="T668" s="37"/>
      <c r="U668" s="11"/>
      <c r="V668" s="11"/>
      <c r="W668" s="23"/>
      <c r="X668" s="11"/>
      <c r="AO668" s="5" t="s">
        <v>2678</v>
      </c>
      <c r="AP668" s="5">
        <v>338.0</v>
      </c>
      <c r="AQ668" s="5" t="s">
        <v>1716</v>
      </c>
      <c r="AR668" s="5" t="s">
        <v>1717</v>
      </c>
      <c r="AS668" s="5" t="s">
        <v>1718</v>
      </c>
      <c r="AT668" s="5" t="s">
        <v>1703</v>
      </c>
      <c r="AU668" s="5" t="s">
        <v>1703</v>
      </c>
      <c r="AV668" s="5" t="s">
        <v>1720</v>
      </c>
      <c r="AW668" s="5" t="s">
        <v>2368</v>
      </c>
      <c r="AX668" s="5" t="s">
        <v>2516</v>
      </c>
      <c r="AY668" s="5">
        <v>49.57</v>
      </c>
      <c r="AZ668" s="5">
        <v>-119.825</v>
      </c>
      <c r="BA668" s="5">
        <v>1189.0</v>
      </c>
    </row>
    <row r="669" ht="14.25" customHeight="1">
      <c r="B669" s="5">
        <v>12.0</v>
      </c>
      <c r="C669" s="5" t="s">
        <v>7666</v>
      </c>
      <c r="D669" s="5">
        <v>340.0</v>
      </c>
      <c r="E669" s="5">
        <v>1886.0</v>
      </c>
      <c r="F669" s="18" t="s">
        <v>2681</v>
      </c>
      <c r="G669" s="5" t="s">
        <v>2682</v>
      </c>
      <c r="H669" s="5" t="s">
        <v>2683</v>
      </c>
      <c r="I669" s="5" t="s">
        <v>641</v>
      </c>
      <c r="J669" s="5" t="s">
        <v>1715</v>
      </c>
      <c r="K669" s="5">
        <v>1.0</v>
      </c>
      <c r="L669" s="5">
        <v>2289.0</v>
      </c>
      <c r="M669" s="64"/>
      <c r="N669" s="36"/>
      <c r="P669" s="36"/>
      <c r="R669" s="36"/>
      <c r="T669" s="37"/>
      <c r="AO669" s="5" t="s">
        <v>2681</v>
      </c>
      <c r="AP669" s="5">
        <v>340.0</v>
      </c>
      <c r="AQ669" s="5" t="s">
        <v>1716</v>
      </c>
      <c r="AR669" s="5" t="s">
        <v>1717</v>
      </c>
      <c r="AS669" s="5" t="s">
        <v>1718</v>
      </c>
      <c r="AT669" s="5" t="s">
        <v>1703</v>
      </c>
      <c r="AU669" s="5" t="s">
        <v>1703</v>
      </c>
      <c r="AV669" s="5" t="s">
        <v>1720</v>
      </c>
      <c r="AW669" s="5" t="s">
        <v>2368</v>
      </c>
      <c r="AX669" s="5" t="s">
        <v>2516</v>
      </c>
      <c r="AY669" s="5">
        <v>49.055</v>
      </c>
      <c r="AZ669" s="5">
        <v>-119.5117</v>
      </c>
      <c r="BA669" s="5">
        <v>305.0</v>
      </c>
    </row>
    <row r="670" ht="14.25" customHeight="1">
      <c r="B670" s="5">
        <v>12.0</v>
      </c>
      <c r="C670" s="5" t="s">
        <v>7666</v>
      </c>
      <c r="D670" s="5">
        <v>341.0</v>
      </c>
      <c r="E670" s="5">
        <v>1887.0</v>
      </c>
      <c r="F670" s="18" t="s">
        <v>2684</v>
      </c>
      <c r="G670" s="5" t="s">
        <v>2685</v>
      </c>
      <c r="H670" s="5" t="s">
        <v>2686</v>
      </c>
      <c r="I670" s="5" t="s">
        <v>641</v>
      </c>
      <c r="J670" s="5" t="s">
        <v>1715</v>
      </c>
      <c r="K670" s="5">
        <v>1.0</v>
      </c>
      <c r="L670" s="5">
        <v>2290.0</v>
      </c>
      <c r="M670" s="64"/>
      <c r="N670" s="36"/>
      <c r="P670" s="36"/>
      <c r="R670" s="36"/>
      <c r="T670" s="37"/>
      <c r="AO670" s="5" t="s">
        <v>2684</v>
      </c>
      <c r="AP670" s="5">
        <v>341.0</v>
      </c>
      <c r="AQ670" s="5" t="s">
        <v>1716</v>
      </c>
      <c r="AR670" s="5" t="s">
        <v>1717</v>
      </c>
      <c r="AS670" s="5" t="s">
        <v>1718</v>
      </c>
      <c r="AT670" s="5" t="s">
        <v>1703</v>
      </c>
      <c r="AU670" s="5" t="s">
        <v>1703</v>
      </c>
      <c r="AV670" s="5" t="s">
        <v>1720</v>
      </c>
      <c r="AW670" s="5" t="s">
        <v>2368</v>
      </c>
      <c r="AX670" s="5" t="s">
        <v>2522</v>
      </c>
      <c r="AY670" s="5">
        <v>50.2367</v>
      </c>
      <c r="AZ670" s="5">
        <v>-119.2767</v>
      </c>
      <c r="BA670" s="5">
        <v>457.0</v>
      </c>
    </row>
    <row r="671" ht="14.25" customHeight="1">
      <c r="A671" s="5" t="s">
        <v>1908</v>
      </c>
      <c r="B671" s="5">
        <v>12.0</v>
      </c>
      <c r="C671" s="5" t="s">
        <v>7666</v>
      </c>
      <c r="D671" s="5">
        <v>343.0</v>
      </c>
      <c r="E671" s="5">
        <v>1888.0</v>
      </c>
      <c r="F671" s="5" t="s">
        <v>2687</v>
      </c>
      <c r="G671" s="10" t="s">
        <v>2688</v>
      </c>
      <c r="H671" s="5" t="s">
        <v>2689</v>
      </c>
      <c r="I671" s="5" t="s">
        <v>641</v>
      </c>
      <c r="J671" s="5" t="s">
        <v>1736</v>
      </c>
      <c r="K671" s="5">
        <v>1.0</v>
      </c>
      <c r="L671" s="5">
        <v>2291.0</v>
      </c>
      <c r="M671" s="64"/>
      <c r="N671" s="36"/>
      <c r="O671" s="11"/>
      <c r="P671" s="36"/>
      <c r="Q671" s="22"/>
      <c r="R671" s="36"/>
      <c r="S671" s="11"/>
      <c r="T671" s="37"/>
      <c r="U671" s="11"/>
      <c r="V671" s="11"/>
      <c r="W671" s="23"/>
      <c r="X671" s="11"/>
      <c r="AO671" s="5" t="s">
        <v>2690</v>
      </c>
      <c r="AP671" s="5">
        <v>343.0</v>
      </c>
      <c r="AQ671" s="5" t="s">
        <v>1716</v>
      </c>
      <c r="AR671" s="5" t="s">
        <v>1717</v>
      </c>
      <c r="AS671" s="5" t="s">
        <v>1740</v>
      </c>
      <c r="AT671" s="5" t="s">
        <v>1835</v>
      </c>
      <c r="AU671" s="5" t="s">
        <v>1742</v>
      </c>
      <c r="AV671" s="5" t="s">
        <v>1720</v>
      </c>
      <c r="AW671" s="5" t="s">
        <v>2003</v>
      </c>
      <c r="AX671" s="5" t="s">
        <v>2258</v>
      </c>
      <c r="AY671" s="5">
        <v>52.3721</v>
      </c>
      <c r="AZ671" s="5">
        <v>-118.6603</v>
      </c>
      <c r="BA671" s="5">
        <v>838.0</v>
      </c>
    </row>
    <row r="672" ht="14.25" customHeight="1">
      <c r="A672" s="5" t="s">
        <v>1908</v>
      </c>
      <c r="B672" s="5">
        <v>12.0</v>
      </c>
      <c r="C672" s="5" t="s">
        <v>7666</v>
      </c>
      <c r="D672" s="5">
        <v>344.0</v>
      </c>
      <c r="E672" s="5">
        <v>1889.0</v>
      </c>
      <c r="F672" s="10" t="s">
        <v>2691</v>
      </c>
      <c r="G672" s="10" t="s">
        <v>2692</v>
      </c>
      <c r="H672" s="5" t="s">
        <v>2693</v>
      </c>
      <c r="I672" s="5" t="s">
        <v>641</v>
      </c>
      <c r="J672" s="5" t="s">
        <v>1736</v>
      </c>
      <c r="K672" s="5">
        <v>1.0</v>
      </c>
      <c r="L672" s="5">
        <v>2292.0</v>
      </c>
      <c r="M672" s="8">
        <v>51.27352</v>
      </c>
      <c r="N672" s="11">
        <v>-118.9147</v>
      </c>
      <c r="O672" s="11" t="s">
        <v>170</v>
      </c>
      <c r="P672" s="11">
        <v>344.0</v>
      </c>
      <c r="Q672" s="22">
        <v>1.0</v>
      </c>
      <c r="R672" s="11" t="s">
        <v>2694</v>
      </c>
      <c r="S672" s="11" t="s">
        <v>1737</v>
      </c>
      <c r="T672" s="11">
        <v>511.0</v>
      </c>
      <c r="U672" s="11"/>
      <c r="V672" s="11"/>
      <c r="W672" s="23">
        <v>29587.0</v>
      </c>
      <c r="X672" s="11" t="s">
        <v>1738</v>
      </c>
      <c r="AO672" s="5" t="s">
        <v>2694</v>
      </c>
      <c r="AP672" s="5">
        <v>344.0</v>
      </c>
      <c r="AQ672" s="5" t="s">
        <v>1716</v>
      </c>
      <c r="AR672" s="5" t="s">
        <v>1739</v>
      </c>
      <c r="AS672" s="5" t="s">
        <v>1740</v>
      </c>
      <c r="AT672" s="5" t="s">
        <v>1741</v>
      </c>
      <c r="AU672" s="5" t="s">
        <v>1742</v>
      </c>
      <c r="AV672" s="5" t="s">
        <v>1720</v>
      </c>
      <c r="AW672" s="5" t="s">
        <v>2368</v>
      </c>
      <c r="AX672" s="5" t="s">
        <v>2522</v>
      </c>
      <c r="AY672" s="5">
        <v>51.2735</v>
      </c>
      <c r="AZ672" s="5">
        <v>-118.9147</v>
      </c>
      <c r="BA672" s="5">
        <v>497.0</v>
      </c>
    </row>
    <row r="673" ht="14.25" customHeight="1">
      <c r="B673" s="5">
        <v>12.0</v>
      </c>
      <c r="C673" s="5" t="s">
        <v>7666</v>
      </c>
      <c r="D673" s="5">
        <v>345.0</v>
      </c>
      <c r="E673" s="5">
        <v>1890.0</v>
      </c>
      <c r="F673" s="18" t="s">
        <v>2695</v>
      </c>
      <c r="G673" s="5" t="s">
        <v>2696</v>
      </c>
      <c r="H673" s="5" t="s">
        <v>2697</v>
      </c>
      <c r="I673" s="5" t="s">
        <v>641</v>
      </c>
      <c r="J673" s="5" t="s">
        <v>1715</v>
      </c>
      <c r="K673" s="5">
        <v>1.0</v>
      </c>
      <c r="L673" s="5">
        <v>2293.0</v>
      </c>
      <c r="M673" s="64"/>
      <c r="N673" s="36"/>
      <c r="R673" s="36"/>
      <c r="T673" s="37"/>
      <c r="AO673" s="5" t="s">
        <v>2695</v>
      </c>
      <c r="AP673" s="5">
        <v>345.0</v>
      </c>
      <c r="AQ673" s="5" t="s">
        <v>1716</v>
      </c>
      <c r="AR673" s="5" t="s">
        <v>1717</v>
      </c>
      <c r="AS673" s="5" t="s">
        <v>1718</v>
      </c>
      <c r="AT673" s="5" t="s">
        <v>1719</v>
      </c>
      <c r="AU673" s="5" t="s">
        <v>1959</v>
      </c>
      <c r="AV673" s="5" t="s">
        <v>1720</v>
      </c>
      <c r="AW673" s="5" t="s">
        <v>2698</v>
      </c>
      <c r="AX673" s="5" t="s">
        <v>2699</v>
      </c>
      <c r="AY673" s="5">
        <v>51.8288</v>
      </c>
      <c r="AZ673" s="5">
        <v>-118.3612</v>
      </c>
      <c r="BA673" s="5">
        <v>832.0</v>
      </c>
    </row>
    <row r="674" ht="14.25" customHeight="1">
      <c r="A674" s="5" t="s">
        <v>2037</v>
      </c>
      <c r="B674" s="5">
        <v>12.0</v>
      </c>
      <c r="C674" s="5" t="s">
        <v>7666</v>
      </c>
      <c r="D674" s="5">
        <v>346.0</v>
      </c>
      <c r="E674" s="5">
        <v>1891.0</v>
      </c>
      <c r="F674" s="5" t="s">
        <v>2700</v>
      </c>
      <c r="G674" s="5" t="s">
        <v>2701</v>
      </c>
      <c r="H674" s="5" t="s">
        <v>2702</v>
      </c>
      <c r="I674" s="5" t="s">
        <v>641</v>
      </c>
      <c r="J674" s="5" t="s">
        <v>1736</v>
      </c>
      <c r="K674" s="5">
        <v>1.0</v>
      </c>
      <c r="L674" s="5">
        <v>2294.0</v>
      </c>
      <c r="M674" s="64"/>
      <c r="N674" s="36"/>
      <c r="O674" s="11"/>
      <c r="P674" s="11"/>
      <c r="Q674" s="22"/>
      <c r="R674" s="36"/>
      <c r="S674" s="11"/>
      <c r="T674" s="37"/>
      <c r="U674" s="11"/>
      <c r="V674" s="11"/>
      <c r="W674" s="23"/>
      <c r="X674" s="11"/>
      <c r="AO674" s="5" t="s">
        <v>2703</v>
      </c>
      <c r="AP674" s="5">
        <v>346.0</v>
      </c>
      <c r="AQ674" s="5" t="s">
        <v>1716</v>
      </c>
      <c r="AR674" s="5" t="s">
        <v>1717</v>
      </c>
      <c r="AS674" s="5" t="s">
        <v>1740</v>
      </c>
      <c r="AT674" s="5" t="s">
        <v>1835</v>
      </c>
      <c r="AU674" s="5" t="s">
        <v>1959</v>
      </c>
      <c r="AV674" s="5" t="s">
        <v>1720</v>
      </c>
      <c r="AW674" s="5" t="s">
        <v>2368</v>
      </c>
      <c r="AX674" s="5" t="s">
        <v>2522</v>
      </c>
      <c r="AY674" s="5">
        <v>50.685</v>
      </c>
      <c r="AZ674" s="5">
        <v>-119.235</v>
      </c>
      <c r="BA674" s="5">
        <v>527.0</v>
      </c>
    </row>
    <row r="675" ht="14.25" customHeight="1">
      <c r="B675" s="5">
        <v>12.0</v>
      </c>
      <c r="C675" s="5" t="s">
        <v>7666</v>
      </c>
      <c r="D675" s="5">
        <v>347.0</v>
      </c>
      <c r="E675" s="5">
        <v>1892.0</v>
      </c>
      <c r="F675" s="18" t="s">
        <v>2704</v>
      </c>
      <c r="G675" s="5" t="s">
        <v>2705</v>
      </c>
      <c r="H675" s="5" t="s">
        <v>2706</v>
      </c>
      <c r="I675" s="5" t="s">
        <v>1664</v>
      </c>
      <c r="J675" s="5" t="s">
        <v>1715</v>
      </c>
      <c r="K675" s="5">
        <v>1.0</v>
      </c>
      <c r="L675" s="5">
        <v>2295.0</v>
      </c>
      <c r="M675" s="64"/>
      <c r="N675" s="36"/>
      <c r="R675" s="36"/>
      <c r="AO675" s="5" t="s">
        <v>2704</v>
      </c>
      <c r="AP675" s="5">
        <v>347.0</v>
      </c>
      <c r="AQ675" s="5" t="s">
        <v>1716</v>
      </c>
      <c r="AR675" s="5" t="s">
        <v>1717</v>
      </c>
      <c r="AS675" s="5" t="s">
        <v>1718</v>
      </c>
      <c r="AT675" s="5" t="s">
        <v>1719</v>
      </c>
      <c r="AU675" s="5" t="s">
        <v>1703</v>
      </c>
      <c r="AV675" s="5" t="s">
        <v>1720</v>
      </c>
      <c r="AW675" s="5" t="s">
        <v>2368</v>
      </c>
      <c r="AX675" s="5" t="s">
        <v>2707</v>
      </c>
      <c r="AY675" s="5">
        <v>50.8</v>
      </c>
      <c r="AZ675" s="5">
        <v>-119.0</v>
      </c>
      <c r="BA675" s="5">
        <v>0.0</v>
      </c>
    </row>
    <row r="676" ht="14.25" customHeight="1">
      <c r="B676" s="5">
        <v>12.0</v>
      </c>
      <c r="C676" s="5" t="s">
        <v>7666</v>
      </c>
      <c r="D676" s="5">
        <v>348.0</v>
      </c>
      <c r="E676" s="5">
        <v>1893.0</v>
      </c>
      <c r="F676" s="18" t="s">
        <v>2708</v>
      </c>
      <c r="G676" s="5" t="s">
        <v>2709</v>
      </c>
      <c r="H676" s="5" t="s">
        <v>2710</v>
      </c>
      <c r="I676" s="5" t="s">
        <v>1664</v>
      </c>
      <c r="J676" s="5" t="s">
        <v>1715</v>
      </c>
      <c r="K676" s="5">
        <v>1.0</v>
      </c>
      <c r="L676" s="5">
        <v>2296.0</v>
      </c>
      <c r="M676" s="8"/>
      <c r="AO676" s="5" t="s">
        <v>2708</v>
      </c>
      <c r="AP676" s="5">
        <v>348.0</v>
      </c>
      <c r="AQ676" s="5" t="s">
        <v>1716</v>
      </c>
      <c r="AR676" s="5" t="s">
        <v>1717</v>
      </c>
      <c r="AS676" s="5" t="s">
        <v>1718</v>
      </c>
      <c r="AT676" s="5" t="s">
        <v>1719</v>
      </c>
      <c r="AU676" s="5" t="s">
        <v>1703</v>
      </c>
      <c r="AV676" s="5" t="s">
        <v>1720</v>
      </c>
      <c r="AW676" s="5" t="s">
        <v>2368</v>
      </c>
      <c r="AX676" s="5" t="s">
        <v>2401</v>
      </c>
      <c r="AY676" s="5">
        <v>51.3</v>
      </c>
      <c r="AZ676" s="5">
        <v>-119.5</v>
      </c>
      <c r="BA676" s="5">
        <v>0.0</v>
      </c>
    </row>
    <row r="677" ht="14.25" customHeight="1">
      <c r="B677" s="5">
        <v>12.0</v>
      </c>
      <c r="C677" s="5" t="s">
        <v>7666</v>
      </c>
      <c r="D677" s="5">
        <v>349.0</v>
      </c>
      <c r="E677" s="5">
        <v>1894.0</v>
      </c>
      <c r="F677" s="18" t="s">
        <v>2711</v>
      </c>
      <c r="G677" s="5" t="s">
        <v>2712</v>
      </c>
      <c r="H677" s="5" t="s">
        <v>2713</v>
      </c>
      <c r="I677" s="5" t="s">
        <v>1664</v>
      </c>
      <c r="J677" s="5" t="s">
        <v>1715</v>
      </c>
      <c r="K677" s="5">
        <v>1.0</v>
      </c>
      <c r="L677" s="5">
        <v>2297.0</v>
      </c>
      <c r="M677" s="64"/>
      <c r="N677" s="36"/>
      <c r="P677" s="36"/>
      <c r="R677" s="36"/>
      <c r="T677" s="37"/>
      <c r="AO677" s="5" t="s">
        <v>2711</v>
      </c>
      <c r="AP677" s="5">
        <v>349.0</v>
      </c>
      <c r="AQ677" s="5" t="s">
        <v>1716</v>
      </c>
      <c r="AR677" s="5" t="s">
        <v>1717</v>
      </c>
      <c r="AS677" s="5" t="s">
        <v>1718</v>
      </c>
      <c r="AT677" s="5" t="s">
        <v>1719</v>
      </c>
      <c r="AU677" s="5" t="s">
        <v>1703</v>
      </c>
      <c r="AV677" s="5" t="s">
        <v>1720</v>
      </c>
      <c r="AW677" s="5" t="s">
        <v>2698</v>
      </c>
      <c r="AX677" s="5" t="s">
        <v>2699</v>
      </c>
      <c r="AY677" s="5">
        <v>51.2</v>
      </c>
      <c r="AZ677" s="5">
        <v>-118.2</v>
      </c>
      <c r="BA677" s="5">
        <v>5.0</v>
      </c>
    </row>
    <row r="678" ht="14.25" customHeight="1">
      <c r="B678" s="5">
        <v>12.0</v>
      </c>
      <c r="C678" s="5" t="s">
        <v>7666</v>
      </c>
      <c r="D678" s="5">
        <v>350.0</v>
      </c>
      <c r="E678" s="5">
        <v>1895.0</v>
      </c>
      <c r="F678" s="18" t="s">
        <v>2714</v>
      </c>
      <c r="G678" s="5" t="s">
        <v>2715</v>
      </c>
      <c r="H678" s="5" t="s">
        <v>2716</v>
      </c>
      <c r="I678" s="5" t="s">
        <v>641</v>
      </c>
      <c r="J678" s="5" t="s">
        <v>1715</v>
      </c>
      <c r="K678" s="5">
        <v>1.0</v>
      </c>
      <c r="L678" s="5">
        <v>2298.0</v>
      </c>
      <c r="M678" s="64"/>
      <c r="N678" s="36"/>
      <c r="P678" s="36"/>
      <c r="R678" s="36"/>
      <c r="T678" s="37"/>
      <c r="AO678" s="5" t="s">
        <v>2714</v>
      </c>
      <c r="AP678" s="5">
        <v>350.0</v>
      </c>
      <c r="AQ678" s="5" t="s">
        <v>1716</v>
      </c>
      <c r="AR678" s="5" t="s">
        <v>1717</v>
      </c>
      <c r="AS678" s="5" t="s">
        <v>1718</v>
      </c>
      <c r="AT678" s="5" t="s">
        <v>1835</v>
      </c>
      <c r="AU678" s="5" t="s">
        <v>1959</v>
      </c>
      <c r="AV678" s="5" t="s">
        <v>1720</v>
      </c>
      <c r="AW678" s="5" t="s">
        <v>2368</v>
      </c>
      <c r="AX678" s="5" t="s">
        <v>2707</v>
      </c>
      <c r="AY678" s="5">
        <v>50.92</v>
      </c>
      <c r="AZ678" s="5">
        <v>-118.9633</v>
      </c>
      <c r="BA678" s="5">
        <v>1250.0</v>
      </c>
    </row>
    <row r="679" ht="14.25" customHeight="1">
      <c r="B679" s="5">
        <v>12.0</v>
      </c>
      <c r="C679" s="5" t="s">
        <v>7666</v>
      </c>
      <c r="D679" s="5">
        <v>351.0</v>
      </c>
      <c r="E679" s="5">
        <v>1896.0</v>
      </c>
      <c r="F679" s="18" t="s">
        <v>2717</v>
      </c>
      <c r="G679" s="5" t="s">
        <v>2718</v>
      </c>
      <c r="H679" s="5" t="s">
        <v>2719</v>
      </c>
      <c r="I679" s="5" t="s">
        <v>641</v>
      </c>
      <c r="J679" s="5" t="s">
        <v>1715</v>
      </c>
      <c r="K679" s="5">
        <v>1.0</v>
      </c>
      <c r="L679" s="5">
        <v>2299.0</v>
      </c>
      <c r="M679" s="8"/>
      <c r="AO679" s="5" t="s">
        <v>2717</v>
      </c>
      <c r="AP679" s="5">
        <v>351.0</v>
      </c>
      <c r="AQ679" s="5" t="s">
        <v>1716</v>
      </c>
      <c r="AR679" s="5" t="s">
        <v>1717</v>
      </c>
      <c r="AS679" s="5" t="s">
        <v>1718</v>
      </c>
      <c r="AT679" s="5" t="s">
        <v>1703</v>
      </c>
      <c r="AU679" s="5" t="s">
        <v>1703</v>
      </c>
      <c r="AV679" s="5" t="s">
        <v>1720</v>
      </c>
      <c r="AW679" s="5" t="s">
        <v>2368</v>
      </c>
      <c r="AX679" s="5" t="s">
        <v>2522</v>
      </c>
      <c r="AY679" s="5">
        <v>50.6117</v>
      </c>
      <c r="AZ679" s="5">
        <v>-118.6467</v>
      </c>
      <c r="BA679" s="5">
        <v>1768.0</v>
      </c>
    </row>
    <row r="680" ht="14.25" customHeight="1">
      <c r="A680" s="5" t="s">
        <v>1908</v>
      </c>
      <c r="B680" s="5">
        <v>12.0</v>
      </c>
      <c r="C680" s="5" t="s">
        <v>7666</v>
      </c>
      <c r="D680" s="5">
        <v>352.0</v>
      </c>
      <c r="E680" s="5">
        <v>1897.0</v>
      </c>
      <c r="F680" s="10" t="s">
        <v>2720</v>
      </c>
      <c r="G680" s="10" t="s">
        <v>2721</v>
      </c>
      <c r="H680" s="5" t="s">
        <v>2722</v>
      </c>
      <c r="I680" s="5" t="s">
        <v>641</v>
      </c>
      <c r="J680" s="5" t="s">
        <v>1865</v>
      </c>
      <c r="K680" s="5">
        <v>1.0</v>
      </c>
      <c r="L680" s="5">
        <v>2300.0</v>
      </c>
      <c r="M680" s="64">
        <v>50.60215</v>
      </c>
      <c r="N680" s="36">
        <v>-118.42292</v>
      </c>
      <c r="O680" s="5" t="s">
        <v>170</v>
      </c>
      <c r="P680" s="36">
        <v>352.0</v>
      </c>
      <c r="Q680" s="5">
        <v>3.0</v>
      </c>
      <c r="R680" s="36" t="s">
        <v>2723</v>
      </c>
      <c r="S680" s="5" t="s">
        <v>1737</v>
      </c>
      <c r="T680" s="37">
        <v>1286.0</v>
      </c>
      <c r="W680" s="5">
        <v>28856.0</v>
      </c>
      <c r="X680" s="5" t="s">
        <v>1738</v>
      </c>
      <c r="AO680" s="5" t="s">
        <v>2723</v>
      </c>
      <c r="AP680" s="5">
        <v>352.0</v>
      </c>
      <c r="AQ680" s="5" t="s">
        <v>1716</v>
      </c>
      <c r="AR680" s="5" t="s">
        <v>1739</v>
      </c>
      <c r="AS680" s="5" t="s">
        <v>1740</v>
      </c>
      <c r="AT680" s="5" t="s">
        <v>1741</v>
      </c>
      <c r="AU680" s="5" t="s">
        <v>1742</v>
      </c>
      <c r="AV680" s="5" t="s">
        <v>1720</v>
      </c>
      <c r="AW680" s="5" t="s">
        <v>2368</v>
      </c>
      <c r="AX680" s="5" t="s">
        <v>2522</v>
      </c>
      <c r="AY680" s="5">
        <v>50.6022</v>
      </c>
      <c r="AZ680" s="5">
        <v>-118.4229</v>
      </c>
      <c r="BA680" s="5">
        <v>1286.0</v>
      </c>
    </row>
    <row r="681" ht="14.25" customHeight="1">
      <c r="B681" s="5">
        <v>12.0</v>
      </c>
      <c r="C681" s="5" t="s">
        <v>7666</v>
      </c>
      <c r="D681" s="5">
        <v>353.0</v>
      </c>
      <c r="E681" s="5">
        <v>1898.0</v>
      </c>
      <c r="F681" s="18" t="s">
        <v>2724</v>
      </c>
      <c r="G681" s="5" t="s">
        <v>2725</v>
      </c>
      <c r="H681" s="5" t="s">
        <v>2726</v>
      </c>
      <c r="I681" s="5" t="s">
        <v>641</v>
      </c>
      <c r="J681" s="5" t="s">
        <v>1715</v>
      </c>
      <c r="K681" s="5">
        <v>1.0</v>
      </c>
      <c r="L681" s="5">
        <v>2301.0</v>
      </c>
      <c r="M681" s="64"/>
      <c r="N681" s="36"/>
      <c r="P681" s="36"/>
      <c r="R681" s="36"/>
      <c r="T681" s="37"/>
      <c r="AO681" s="5" t="s">
        <v>2724</v>
      </c>
      <c r="AP681" s="5">
        <v>353.0</v>
      </c>
      <c r="AQ681" s="5" t="s">
        <v>1716</v>
      </c>
      <c r="AR681" s="5" t="s">
        <v>1717</v>
      </c>
      <c r="AS681" s="5" t="s">
        <v>1718</v>
      </c>
      <c r="AT681" s="5" t="s">
        <v>1703</v>
      </c>
      <c r="AU681" s="5" t="s">
        <v>1703</v>
      </c>
      <c r="AV681" s="5" t="s">
        <v>1720</v>
      </c>
      <c r="AW681" s="5" t="s">
        <v>2368</v>
      </c>
      <c r="AX681" s="5" t="s">
        <v>2707</v>
      </c>
      <c r="AY681" s="5">
        <v>51.01</v>
      </c>
      <c r="AZ681" s="5">
        <v>-119.3983</v>
      </c>
      <c r="BA681" s="5">
        <v>1097.0</v>
      </c>
    </row>
    <row r="682" ht="14.25" customHeight="1">
      <c r="B682" s="5">
        <v>12.0</v>
      </c>
      <c r="C682" s="5" t="s">
        <v>7666</v>
      </c>
      <c r="D682" s="5">
        <v>354.0</v>
      </c>
      <c r="E682" s="5">
        <v>1899.0</v>
      </c>
      <c r="F682" s="18" t="s">
        <v>2727</v>
      </c>
      <c r="G682" s="5" t="s">
        <v>2728</v>
      </c>
      <c r="H682" s="5" t="s">
        <v>2729</v>
      </c>
      <c r="I682" s="5" t="s">
        <v>1664</v>
      </c>
      <c r="J682" s="5" t="s">
        <v>1715</v>
      </c>
      <c r="K682" s="5">
        <v>1.0</v>
      </c>
      <c r="L682" s="5">
        <v>2302.0</v>
      </c>
      <c r="M682" s="8"/>
      <c r="AO682" s="5" t="s">
        <v>2727</v>
      </c>
      <c r="AP682" s="5">
        <v>354.0</v>
      </c>
      <c r="AQ682" s="5" t="s">
        <v>1716</v>
      </c>
      <c r="AR682" s="5" t="s">
        <v>1717</v>
      </c>
      <c r="AS682" s="5" t="s">
        <v>1718</v>
      </c>
      <c r="AT682" s="5" t="s">
        <v>1719</v>
      </c>
      <c r="AU682" s="5" t="s">
        <v>1703</v>
      </c>
      <c r="AV682" s="5" t="s">
        <v>1720</v>
      </c>
      <c r="AW682" s="5" t="s">
        <v>2368</v>
      </c>
      <c r="AX682" s="5" t="s">
        <v>2707</v>
      </c>
      <c r="AY682" s="5">
        <v>50.7</v>
      </c>
      <c r="AZ682" s="5">
        <v>-118.7</v>
      </c>
      <c r="BA682" s="5">
        <v>13.0</v>
      </c>
    </row>
    <row r="683" ht="14.25" customHeight="1">
      <c r="B683" s="5">
        <v>12.0</v>
      </c>
      <c r="C683" s="5" t="s">
        <v>7666</v>
      </c>
      <c r="D683" s="5">
        <v>355.0</v>
      </c>
      <c r="E683" s="5">
        <v>1900.0</v>
      </c>
      <c r="F683" s="18" t="s">
        <v>2730</v>
      </c>
      <c r="G683" s="5" t="s">
        <v>2731</v>
      </c>
      <c r="H683" s="5" t="s">
        <v>2732</v>
      </c>
      <c r="I683" s="5" t="s">
        <v>641</v>
      </c>
      <c r="J683" s="5" t="s">
        <v>1715</v>
      </c>
      <c r="K683" s="5">
        <v>1.0</v>
      </c>
      <c r="L683" s="5">
        <v>2303.0</v>
      </c>
      <c r="M683" s="64"/>
      <c r="N683" s="36"/>
      <c r="P683" s="36"/>
      <c r="R683" s="36"/>
      <c r="T683" s="37"/>
      <c r="AO683" s="5" t="s">
        <v>2730</v>
      </c>
      <c r="AP683" s="5">
        <v>355.0</v>
      </c>
      <c r="AQ683" s="5" t="s">
        <v>1716</v>
      </c>
      <c r="AR683" s="5" t="s">
        <v>1717</v>
      </c>
      <c r="AS683" s="5" t="s">
        <v>1718</v>
      </c>
      <c r="AT683" s="5" t="s">
        <v>1719</v>
      </c>
      <c r="AU683" s="5" t="s">
        <v>1959</v>
      </c>
      <c r="AV683" s="5" t="s">
        <v>1720</v>
      </c>
      <c r="AW683" s="5" t="s">
        <v>2698</v>
      </c>
      <c r="AX683" s="5" t="s">
        <v>2699</v>
      </c>
      <c r="AY683" s="5">
        <v>51.7453</v>
      </c>
      <c r="AZ683" s="5">
        <v>-118.6578</v>
      </c>
      <c r="BA683" s="5">
        <v>632.0</v>
      </c>
    </row>
    <row r="684" ht="14.25" customHeight="1">
      <c r="B684" s="5">
        <v>12.0</v>
      </c>
      <c r="C684" s="5" t="s">
        <v>7666</v>
      </c>
      <c r="D684" s="5">
        <v>356.0</v>
      </c>
      <c r="E684" s="5">
        <v>1901.0</v>
      </c>
      <c r="F684" s="18" t="s">
        <v>2733</v>
      </c>
      <c r="G684" s="5" t="s">
        <v>2734</v>
      </c>
      <c r="H684" s="5" t="s">
        <v>2735</v>
      </c>
      <c r="I684" s="5" t="s">
        <v>641</v>
      </c>
      <c r="J684" s="5" t="s">
        <v>1746</v>
      </c>
      <c r="K684" s="5">
        <v>1.0</v>
      </c>
      <c r="L684" s="5">
        <v>2304.0</v>
      </c>
      <c r="M684" s="8"/>
      <c r="AO684" s="5" t="s">
        <v>2733</v>
      </c>
      <c r="AP684" s="5">
        <v>356.0</v>
      </c>
      <c r="AQ684" s="5" t="s">
        <v>1716</v>
      </c>
      <c r="AR684" s="5" t="s">
        <v>1717</v>
      </c>
      <c r="AS684" s="5" t="s">
        <v>1718</v>
      </c>
      <c r="AT684" s="5" t="s">
        <v>1703</v>
      </c>
      <c r="AU684" s="5" t="s">
        <v>1703</v>
      </c>
      <c r="AV684" s="5" t="s">
        <v>1720</v>
      </c>
      <c r="AW684" s="5" t="s">
        <v>2698</v>
      </c>
      <c r="AX684" s="5" t="s">
        <v>2258</v>
      </c>
      <c r="AY684" s="5">
        <v>52.2</v>
      </c>
      <c r="AZ684" s="5">
        <v>-118.5</v>
      </c>
      <c r="BA684" s="5">
        <v>12.0</v>
      </c>
    </row>
    <row r="685" ht="14.25" customHeight="1">
      <c r="B685" s="5">
        <v>12.0</v>
      </c>
      <c r="C685" s="5" t="s">
        <v>7666</v>
      </c>
      <c r="D685" s="5">
        <v>357.0</v>
      </c>
      <c r="E685" s="5">
        <v>1902.0</v>
      </c>
      <c r="F685" s="18" t="s">
        <v>2736</v>
      </c>
      <c r="G685" s="5" t="s">
        <v>2737</v>
      </c>
      <c r="H685" s="5" t="s">
        <v>2738</v>
      </c>
      <c r="I685" s="5" t="s">
        <v>641</v>
      </c>
      <c r="J685" s="5" t="s">
        <v>1715</v>
      </c>
      <c r="K685" s="5">
        <v>1.0</v>
      </c>
      <c r="L685" s="5">
        <v>2305.0</v>
      </c>
      <c r="M685" s="8"/>
      <c r="AO685" s="5" t="s">
        <v>2736</v>
      </c>
      <c r="AP685" s="5">
        <v>357.0</v>
      </c>
      <c r="AQ685" s="5" t="s">
        <v>1716</v>
      </c>
      <c r="AR685" s="5" t="s">
        <v>1717</v>
      </c>
      <c r="AS685" s="5" t="s">
        <v>1718</v>
      </c>
      <c r="AT685" s="5" t="s">
        <v>1703</v>
      </c>
      <c r="AU685" s="5" t="s">
        <v>1703</v>
      </c>
      <c r="AV685" s="5" t="s">
        <v>1720</v>
      </c>
      <c r="AW685" s="5" t="s">
        <v>2368</v>
      </c>
      <c r="AX685" s="5" t="s">
        <v>2707</v>
      </c>
      <c r="AY685" s="5">
        <v>50.6983</v>
      </c>
      <c r="AZ685" s="5">
        <v>-118.7583</v>
      </c>
      <c r="BA685" s="5">
        <v>640.0</v>
      </c>
    </row>
    <row r="686" ht="14.25" customHeight="1">
      <c r="A686" s="5" t="s">
        <v>422</v>
      </c>
      <c r="B686" s="5">
        <v>12.0</v>
      </c>
      <c r="C686" s="5" t="s">
        <v>7666</v>
      </c>
      <c r="D686" s="5">
        <v>358.0</v>
      </c>
      <c r="E686" s="5">
        <v>1903.0</v>
      </c>
      <c r="F686" s="18" t="s">
        <v>2739</v>
      </c>
      <c r="G686" s="5" t="s">
        <v>2740</v>
      </c>
      <c r="H686" s="5" t="s">
        <v>2741</v>
      </c>
      <c r="I686" s="5" t="s">
        <v>1664</v>
      </c>
      <c r="J686" s="5" t="s">
        <v>1746</v>
      </c>
      <c r="K686" s="5">
        <v>1.0</v>
      </c>
      <c r="L686" s="5">
        <v>2306.0</v>
      </c>
      <c r="M686" s="64"/>
      <c r="N686" s="36"/>
      <c r="P686" s="36"/>
      <c r="R686" s="36"/>
      <c r="T686" s="37"/>
      <c r="AO686" s="5" t="s">
        <v>2739</v>
      </c>
      <c r="AP686" s="5">
        <v>358.0</v>
      </c>
      <c r="AQ686" s="5" t="s">
        <v>1716</v>
      </c>
      <c r="AR686" s="5" t="s">
        <v>1717</v>
      </c>
      <c r="AS686" s="5" t="s">
        <v>1718</v>
      </c>
      <c r="AT686" s="5" t="s">
        <v>1719</v>
      </c>
      <c r="AU686" s="5" t="s">
        <v>1703</v>
      </c>
      <c r="AV686" s="5" t="s">
        <v>1720</v>
      </c>
      <c r="AW686" s="5" t="s">
        <v>2368</v>
      </c>
      <c r="AX686" s="5" t="s">
        <v>2707</v>
      </c>
      <c r="AY686" s="5">
        <v>51.0</v>
      </c>
      <c r="AZ686" s="5">
        <v>-118.8</v>
      </c>
      <c r="BA686" s="5">
        <v>10.0</v>
      </c>
    </row>
    <row r="687" ht="14.25" customHeight="1">
      <c r="B687" s="5">
        <v>12.0</v>
      </c>
      <c r="C687" s="5" t="s">
        <v>7666</v>
      </c>
      <c r="D687" s="5">
        <v>359.0</v>
      </c>
      <c r="E687" s="5">
        <v>1904.0</v>
      </c>
      <c r="F687" s="18" t="s">
        <v>2742</v>
      </c>
      <c r="G687" s="5" t="s">
        <v>2743</v>
      </c>
      <c r="H687" s="5" t="s">
        <v>2744</v>
      </c>
      <c r="I687" s="5" t="s">
        <v>1664</v>
      </c>
      <c r="J687" s="5" t="s">
        <v>1715</v>
      </c>
      <c r="K687" s="5">
        <v>1.0</v>
      </c>
      <c r="L687" s="5">
        <v>2307.0</v>
      </c>
      <c r="M687" s="8"/>
      <c r="AO687" s="5" t="s">
        <v>2742</v>
      </c>
      <c r="AP687" s="5">
        <v>359.0</v>
      </c>
      <c r="AQ687" s="5" t="s">
        <v>1716</v>
      </c>
      <c r="AR687" s="5" t="s">
        <v>1717</v>
      </c>
      <c r="AS687" s="5" t="s">
        <v>1718</v>
      </c>
      <c r="AT687" s="5" t="s">
        <v>1719</v>
      </c>
      <c r="AU687" s="5" t="s">
        <v>1703</v>
      </c>
      <c r="AV687" s="5" t="s">
        <v>1720</v>
      </c>
      <c r="AW687" s="5" t="s">
        <v>2368</v>
      </c>
      <c r="AX687" s="5" t="s">
        <v>2522</v>
      </c>
      <c r="AY687" s="5">
        <v>50.4</v>
      </c>
      <c r="AZ687" s="5">
        <v>-118.7</v>
      </c>
      <c r="BA687" s="5">
        <v>4.0</v>
      </c>
    </row>
    <row r="688" ht="14.25" customHeight="1">
      <c r="B688" s="5">
        <v>12.0</v>
      </c>
      <c r="C688" s="5" t="s">
        <v>7666</v>
      </c>
      <c r="D688" s="5">
        <v>360.0</v>
      </c>
      <c r="E688" s="5">
        <v>1905.0</v>
      </c>
      <c r="F688" s="18" t="s">
        <v>2745</v>
      </c>
      <c r="G688" s="5" t="s">
        <v>2746</v>
      </c>
      <c r="H688" s="5" t="s">
        <v>2747</v>
      </c>
      <c r="I688" s="5" t="s">
        <v>641</v>
      </c>
      <c r="J688" s="5" t="s">
        <v>1715</v>
      </c>
      <c r="K688" s="5">
        <v>1.0</v>
      </c>
      <c r="L688" s="5">
        <v>2308.0</v>
      </c>
      <c r="M688" s="8"/>
      <c r="AO688" s="5" t="s">
        <v>2745</v>
      </c>
      <c r="AP688" s="5">
        <v>360.0</v>
      </c>
      <c r="AQ688" s="5" t="s">
        <v>1716</v>
      </c>
      <c r="AR688" s="5" t="s">
        <v>1717</v>
      </c>
      <c r="AS688" s="5" t="s">
        <v>1718</v>
      </c>
      <c r="AT688" s="5" t="s">
        <v>1703</v>
      </c>
      <c r="AU688" s="5" t="s">
        <v>1703</v>
      </c>
      <c r="AV688" s="5" t="s">
        <v>1720</v>
      </c>
      <c r="AW688" s="5" t="s">
        <v>2368</v>
      </c>
      <c r="AX688" s="5" t="s">
        <v>2401</v>
      </c>
      <c r="AY688" s="5">
        <v>51.265</v>
      </c>
      <c r="AZ688" s="5">
        <v>-119.44</v>
      </c>
      <c r="BA688" s="5">
        <v>1067.0</v>
      </c>
    </row>
    <row r="689" ht="14.25" customHeight="1">
      <c r="B689" s="5">
        <v>12.0</v>
      </c>
      <c r="C689" s="5" t="s">
        <v>7666</v>
      </c>
      <c r="D689" s="5">
        <v>361.0</v>
      </c>
      <c r="E689" s="5">
        <v>1906.0</v>
      </c>
      <c r="F689" s="5" t="s">
        <v>2748</v>
      </c>
      <c r="G689" s="5" t="s">
        <v>2749</v>
      </c>
      <c r="H689" s="5" t="s">
        <v>2750</v>
      </c>
      <c r="I689" s="5" t="s">
        <v>641</v>
      </c>
      <c r="J689" s="5" t="s">
        <v>1736</v>
      </c>
      <c r="K689" s="5">
        <v>1.0</v>
      </c>
      <c r="L689" s="5">
        <v>2309.0</v>
      </c>
      <c r="M689" s="64">
        <v>51.99722</v>
      </c>
      <c r="N689" s="36">
        <v>-118.1025</v>
      </c>
      <c r="O689" s="5" t="s">
        <v>170</v>
      </c>
      <c r="P689" s="36">
        <v>361.0</v>
      </c>
      <c r="Q689" s="5">
        <v>3.0</v>
      </c>
      <c r="R689" s="36" t="s">
        <v>2748</v>
      </c>
      <c r="S689" s="5" t="s">
        <v>1737</v>
      </c>
      <c r="T689" s="37">
        <v>1200.0</v>
      </c>
      <c r="W689" s="5">
        <v>31413.0</v>
      </c>
      <c r="X689" s="5" t="s">
        <v>1738</v>
      </c>
      <c r="AO689" s="5" t="s">
        <v>2748</v>
      </c>
      <c r="AP689" s="5">
        <v>361.0</v>
      </c>
      <c r="AQ689" s="5" t="s">
        <v>1716</v>
      </c>
      <c r="AR689" s="5" t="s">
        <v>1739</v>
      </c>
      <c r="AS689" s="5" t="s">
        <v>1740</v>
      </c>
      <c r="AT689" s="5" t="s">
        <v>1741</v>
      </c>
      <c r="AU689" s="5" t="s">
        <v>1742</v>
      </c>
      <c r="AV689" s="5" t="s">
        <v>1720</v>
      </c>
      <c r="AW689" s="5" t="s">
        <v>2698</v>
      </c>
      <c r="AX689" s="5" t="s">
        <v>2699</v>
      </c>
      <c r="AY689" s="5">
        <v>51.9972</v>
      </c>
      <c r="AZ689" s="5">
        <v>-118.1025</v>
      </c>
      <c r="BA689" s="5">
        <v>1200.0</v>
      </c>
    </row>
    <row r="690" ht="14.25" customHeight="1">
      <c r="A690" s="5" t="s">
        <v>88</v>
      </c>
      <c r="B690" s="5">
        <v>12.0</v>
      </c>
      <c r="C690" s="5" t="s">
        <v>7666</v>
      </c>
      <c r="D690" s="5">
        <v>362.0</v>
      </c>
      <c r="E690" s="5">
        <v>1907.0</v>
      </c>
      <c r="F690" s="5" t="s">
        <v>2751</v>
      </c>
      <c r="G690" s="10" t="s">
        <v>2752</v>
      </c>
      <c r="H690" s="5" t="s">
        <v>2753</v>
      </c>
      <c r="I690" s="5" t="s">
        <v>641</v>
      </c>
      <c r="J690" s="5" t="s">
        <v>1736</v>
      </c>
      <c r="K690" s="5">
        <v>1.0</v>
      </c>
      <c r="L690" s="5">
        <v>2310.0</v>
      </c>
      <c r="M690" s="8">
        <v>50.35167</v>
      </c>
      <c r="N690" s="5">
        <v>-118.77333</v>
      </c>
      <c r="O690" s="5" t="s">
        <v>170</v>
      </c>
      <c r="P690" s="5">
        <v>362.0</v>
      </c>
      <c r="Q690" s="5">
        <v>1.0</v>
      </c>
      <c r="R690" s="5" t="s">
        <v>2754</v>
      </c>
      <c r="S690" s="5" t="s">
        <v>1737</v>
      </c>
      <c r="T690" s="5">
        <v>488.0</v>
      </c>
      <c r="U690" s="5" t="s">
        <v>645</v>
      </c>
      <c r="W690" s="5">
        <v>31778.0</v>
      </c>
      <c r="X690" s="5" t="s">
        <v>1738</v>
      </c>
      <c r="AO690" s="5" t="s">
        <v>2754</v>
      </c>
      <c r="AP690" s="5">
        <v>362.0</v>
      </c>
      <c r="AQ690" s="5" t="s">
        <v>1700</v>
      </c>
      <c r="AR690" s="5" t="s">
        <v>1739</v>
      </c>
      <c r="AS690" s="5" t="s">
        <v>1740</v>
      </c>
      <c r="AT690" s="5" t="s">
        <v>1741</v>
      </c>
      <c r="AU690" s="5" t="s">
        <v>1959</v>
      </c>
      <c r="AV690" s="5" t="s">
        <v>1720</v>
      </c>
      <c r="AW690" s="5" t="s">
        <v>2368</v>
      </c>
      <c r="AX690" s="5" t="s">
        <v>2522</v>
      </c>
      <c r="AY690" s="5">
        <v>50.3514</v>
      </c>
      <c r="AZ690" s="5">
        <v>-118.7735</v>
      </c>
      <c r="BA690" s="5">
        <v>562.0</v>
      </c>
    </row>
    <row r="691" ht="14.25" customHeight="1">
      <c r="A691" s="5" t="s">
        <v>2037</v>
      </c>
      <c r="B691" s="5">
        <v>12.0</v>
      </c>
      <c r="C691" s="5" t="s">
        <v>7666</v>
      </c>
      <c r="D691" s="5">
        <v>363.0</v>
      </c>
      <c r="E691" s="5">
        <v>1908.0</v>
      </c>
      <c r="F691" s="10" t="s">
        <v>2755</v>
      </c>
      <c r="G691" s="5" t="s">
        <v>2756</v>
      </c>
      <c r="H691" s="5" t="s">
        <v>2757</v>
      </c>
      <c r="I691" s="5" t="s">
        <v>641</v>
      </c>
      <c r="J691" s="5" t="s">
        <v>1736</v>
      </c>
      <c r="K691" s="5">
        <v>1.0</v>
      </c>
      <c r="L691" s="5">
        <v>2311.0</v>
      </c>
      <c r="M691" s="8">
        <v>51.06033</v>
      </c>
      <c r="N691" s="5">
        <v>-118.21717</v>
      </c>
      <c r="O691" s="5" t="s">
        <v>170</v>
      </c>
      <c r="P691" s="5">
        <v>363.0</v>
      </c>
      <c r="Q691" s="5">
        <v>1.0</v>
      </c>
      <c r="R691" s="5" t="s">
        <v>2758</v>
      </c>
      <c r="S691" s="5" t="s">
        <v>1737</v>
      </c>
      <c r="T691" s="5">
        <v>680.0</v>
      </c>
      <c r="W691" s="5">
        <v>34700.0</v>
      </c>
      <c r="X691" s="5" t="s">
        <v>1738</v>
      </c>
      <c r="AO691" s="5" t="s">
        <v>2758</v>
      </c>
      <c r="AP691" s="5">
        <v>363.0</v>
      </c>
      <c r="AQ691" s="5" t="s">
        <v>1700</v>
      </c>
      <c r="AR691" s="5" t="s">
        <v>1739</v>
      </c>
      <c r="AS691" s="5" t="s">
        <v>1740</v>
      </c>
      <c r="AT691" s="5" t="s">
        <v>1741</v>
      </c>
      <c r="AU691" s="5" t="s">
        <v>1772</v>
      </c>
      <c r="AV691" s="5" t="s">
        <v>1720</v>
      </c>
      <c r="AW691" s="5" t="s">
        <v>2698</v>
      </c>
      <c r="AX691" s="5" t="s">
        <v>2699</v>
      </c>
      <c r="AY691" s="5">
        <v>51.0603</v>
      </c>
      <c r="AZ691" s="5">
        <v>-118.2172</v>
      </c>
      <c r="BA691" s="5">
        <v>680.0</v>
      </c>
    </row>
    <row r="692" ht="14.25" customHeight="1">
      <c r="B692" s="5">
        <v>12.0</v>
      </c>
      <c r="C692" s="5" t="s">
        <v>7666</v>
      </c>
      <c r="D692" s="5">
        <v>364.0</v>
      </c>
      <c r="E692" s="5">
        <v>1909.0</v>
      </c>
      <c r="F692" s="18" t="s">
        <v>2759</v>
      </c>
      <c r="G692" s="5" t="s">
        <v>2760</v>
      </c>
      <c r="H692" s="5" t="s">
        <v>2761</v>
      </c>
      <c r="I692" s="5" t="s">
        <v>641</v>
      </c>
      <c r="J692" s="5" t="s">
        <v>1715</v>
      </c>
      <c r="K692" s="5">
        <v>1.0</v>
      </c>
      <c r="L692" s="5">
        <v>2312.0</v>
      </c>
      <c r="M692" s="64"/>
      <c r="N692" s="36"/>
      <c r="P692" s="36"/>
      <c r="R692" s="36"/>
      <c r="AO692" s="5" t="s">
        <v>2759</v>
      </c>
      <c r="AP692" s="5">
        <v>364.0</v>
      </c>
      <c r="AQ692" s="5" t="s">
        <v>1716</v>
      </c>
      <c r="AR692" s="5" t="s">
        <v>1717</v>
      </c>
      <c r="AS692" s="5" t="s">
        <v>1718</v>
      </c>
      <c r="AT692" s="5" t="s">
        <v>1719</v>
      </c>
      <c r="AU692" s="5" t="s">
        <v>1959</v>
      </c>
      <c r="AV692" s="5" t="s">
        <v>1720</v>
      </c>
      <c r="AW692" s="5" t="s">
        <v>2698</v>
      </c>
      <c r="AX692" s="5" t="s">
        <v>2699</v>
      </c>
      <c r="AY692" s="5">
        <v>51.4708</v>
      </c>
      <c r="AZ692" s="5">
        <v>-118.1855</v>
      </c>
      <c r="BA692" s="5">
        <v>761.0</v>
      </c>
    </row>
    <row r="693" ht="14.25" customHeight="1">
      <c r="B693" s="5">
        <v>12.0</v>
      </c>
      <c r="C693" s="5" t="s">
        <v>7666</v>
      </c>
      <c r="D693" s="5">
        <v>365.0</v>
      </c>
      <c r="E693" s="5">
        <v>1910.0</v>
      </c>
      <c r="F693" s="18" t="s">
        <v>2762</v>
      </c>
      <c r="G693" s="5" t="s">
        <v>2763</v>
      </c>
      <c r="H693" s="5" t="s">
        <v>2764</v>
      </c>
      <c r="I693" s="5" t="s">
        <v>641</v>
      </c>
      <c r="J693" s="5" t="s">
        <v>1715</v>
      </c>
      <c r="K693" s="5">
        <v>1.0</v>
      </c>
      <c r="L693" s="5">
        <v>2313.0</v>
      </c>
      <c r="M693" s="64"/>
      <c r="N693" s="36"/>
      <c r="P693" s="36"/>
      <c r="R693" s="36"/>
      <c r="T693" s="37"/>
      <c r="AO693" s="5" t="s">
        <v>2762</v>
      </c>
      <c r="AP693" s="5">
        <v>365.0</v>
      </c>
      <c r="AQ693" s="5" t="s">
        <v>1716</v>
      </c>
      <c r="AR693" s="5" t="s">
        <v>1717</v>
      </c>
      <c r="AS693" s="5" t="s">
        <v>1718</v>
      </c>
      <c r="AT693" s="5" t="s">
        <v>1719</v>
      </c>
      <c r="AU693" s="5" t="s">
        <v>1959</v>
      </c>
      <c r="AV693" s="5" t="s">
        <v>1720</v>
      </c>
      <c r="AW693" s="5" t="s">
        <v>2698</v>
      </c>
      <c r="AX693" s="5" t="s">
        <v>2699</v>
      </c>
      <c r="AY693" s="5">
        <v>50.7288</v>
      </c>
      <c r="AZ693" s="5">
        <v>-117.943</v>
      </c>
      <c r="BA693" s="5">
        <v>1000.0</v>
      </c>
    </row>
    <row r="694" ht="14.25" customHeight="1">
      <c r="A694" s="5" t="s">
        <v>88</v>
      </c>
      <c r="B694" s="5">
        <v>12.0</v>
      </c>
      <c r="C694" s="5" t="s">
        <v>7666</v>
      </c>
      <c r="D694" s="5">
        <v>366.0</v>
      </c>
      <c r="E694" s="5">
        <v>1911.0</v>
      </c>
      <c r="F694" s="5" t="s">
        <v>2765</v>
      </c>
      <c r="G694" s="10" t="s">
        <v>2766</v>
      </c>
      <c r="H694" s="5" t="s">
        <v>2767</v>
      </c>
      <c r="I694" s="5" t="s">
        <v>641</v>
      </c>
      <c r="J694" s="5" t="s">
        <v>1865</v>
      </c>
      <c r="K694" s="5">
        <v>1.0</v>
      </c>
      <c r="L694" s="5">
        <v>2314.0</v>
      </c>
      <c r="M694" s="64">
        <v>51.06533</v>
      </c>
      <c r="N694" s="36">
        <v>-116.785</v>
      </c>
      <c r="O694" s="5" t="s">
        <v>170</v>
      </c>
      <c r="P694" s="36">
        <v>366.0</v>
      </c>
      <c r="Q694" s="5">
        <v>3.0</v>
      </c>
      <c r="R694" s="36" t="s">
        <v>2765</v>
      </c>
      <c r="S694" s="5" t="s">
        <v>1737</v>
      </c>
      <c r="T694" s="37">
        <v>1300.0</v>
      </c>
      <c r="W694" s="5">
        <v>32509.0</v>
      </c>
      <c r="X694" s="5" t="s">
        <v>1738</v>
      </c>
      <c r="AO694" s="5" t="s">
        <v>2765</v>
      </c>
      <c r="AP694" s="5">
        <v>366.0</v>
      </c>
      <c r="AQ694" s="5" t="s">
        <v>1700</v>
      </c>
      <c r="AR694" s="5" t="s">
        <v>1739</v>
      </c>
      <c r="AS694" s="5" t="s">
        <v>1740</v>
      </c>
      <c r="AT694" s="5" t="s">
        <v>1741</v>
      </c>
      <c r="AU694" s="5" t="s">
        <v>1959</v>
      </c>
      <c r="AV694" s="5" t="s">
        <v>1720</v>
      </c>
      <c r="AW694" s="5" t="s">
        <v>2698</v>
      </c>
      <c r="AX694" s="5" t="s">
        <v>2768</v>
      </c>
      <c r="AY694" s="5">
        <v>51.0653</v>
      </c>
      <c r="AZ694" s="5">
        <v>-116.785</v>
      </c>
      <c r="BA694" s="5">
        <v>1354.0</v>
      </c>
    </row>
    <row r="695" ht="14.25" customHeight="1">
      <c r="B695" s="5">
        <v>12.0</v>
      </c>
      <c r="C695" s="5" t="s">
        <v>7666</v>
      </c>
      <c r="D695" s="5">
        <v>367.0</v>
      </c>
      <c r="E695" s="5">
        <v>1912.0</v>
      </c>
      <c r="F695" s="5" t="s">
        <v>2769</v>
      </c>
      <c r="G695" s="5" t="s">
        <v>2770</v>
      </c>
      <c r="H695" s="5" t="s">
        <v>2771</v>
      </c>
      <c r="I695" s="5" t="s">
        <v>641</v>
      </c>
      <c r="J695" s="5" t="s">
        <v>1736</v>
      </c>
      <c r="K695" s="5">
        <v>1.0</v>
      </c>
      <c r="L695" s="5">
        <v>2315.0</v>
      </c>
      <c r="M695" s="64">
        <v>51.04217</v>
      </c>
      <c r="N695" s="36">
        <v>-116.36383</v>
      </c>
      <c r="O695" s="5" t="s">
        <v>170</v>
      </c>
      <c r="P695" s="36">
        <v>367.0</v>
      </c>
      <c r="Q695" s="5">
        <v>3.0</v>
      </c>
      <c r="R695" s="36" t="s">
        <v>2769</v>
      </c>
      <c r="S695" s="5" t="s">
        <v>1737</v>
      </c>
      <c r="T695" s="5">
        <v>1300.0</v>
      </c>
      <c r="W695" s="5">
        <v>34335.0</v>
      </c>
      <c r="X695" s="5" t="s">
        <v>1738</v>
      </c>
      <c r="AO695" s="5" t="s">
        <v>2769</v>
      </c>
      <c r="AP695" s="5">
        <v>367.0</v>
      </c>
      <c r="AQ695" s="5" t="s">
        <v>1700</v>
      </c>
      <c r="AR695" s="5" t="s">
        <v>1739</v>
      </c>
      <c r="AS695" s="5" t="s">
        <v>1740</v>
      </c>
      <c r="AT695" s="5" t="s">
        <v>1741</v>
      </c>
      <c r="AU695" s="5" t="s">
        <v>1959</v>
      </c>
      <c r="AV695" s="5" t="s">
        <v>1720</v>
      </c>
      <c r="AW695" s="5" t="s">
        <v>2698</v>
      </c>
      <c r="AX695" s="5" t="s">
        <v>2699</v>
      </c>
      <c r="AY695" s="5">
        <v>51.0422</v>
      </c>
      <c r="AZ695" s="5">
        <v>-116.3638</v>
      </c>
      <c r="BA695" s="5">
        <v>1300.0</v>
      </c>
    </row>
    <row r="696" ht="14.25" customHeight="1">
      <c r="B696" s="5">
        <v>12.0</v>
      </c>
      <c r="C696" s="5" t="s">
        <v>7666</v>
      </c>
      <c r="D696" s="5">
        <v>369.0</v>
      </c>
      <c r="E696" s="5">
        <v>1913.0</v>
      </c>
      <c r="F696" s="18" t="s">
        <v>2772</v>
      </c>
      <c r="G696" s="5" t="s">
        <v>2773</v>
      </c>
      <c r="H696" s="5" t="s">
        <v>2774</v>
      </c>
      <c r="I696" s="5" t="s">
        <v>1664</v>
      </c>
      <c r="J696" s="5" t="s">
        <v>1715</v>
      </c>
      <c r="K696" s="5">
        <v>1.0</v>
      </c>
      <c r="L696" s="5">
        <v>2316.0</v>
      </c>
      <c r="M696" s="64"/>
      <c r="N696" s="36"/>
      <c r="P696" s="36"/>
      <c r="R696" s="36"/>
      <c r="AO696" s="5" t="s">
        <v>2772</v>
      </c>
      <c r="AP696" s="5">
        <v>369.0</v>
      </c>
      <c r="AQ696" s="5" t="s">
        <v>1716</v>
      </c>
      <c r="AR696" s="5" t="s">
        <v>1717</v>
      </c>
      <c r="AS696" s="5" t="s">
        <v>1718</v>
      </c>
      <c r="AT696" s="5" t="s">
        <v>1719</v>
      </c>
      <c r="AU696" s="5" t="s">
        <v>1703</v>
      </c>
      <c r="AV696" s="5" t="s">
        <v>1720</v>
      </c>
      <c r="AW696" s="5" t="s">
        <v>2698</v>
      </c>
      <c r="AX696" s="5" t="s">
        <v>2768</v>
      </c>
      <c r="AY696" s="5">
        <v>50.9</v>
      </c>
      <c r="AZ696" s="5">
        <v>-116.4</v>
      </c>
      <c r="BA696" s="5">
        <v>0.0</v>
      </c>
    </row>
    <row r="697" ht="14.25" customHeight="1">
      <c r="B697" s="5">
        <v>12.0</v>
      </c>
      <c r="C697" s="5" t="s">
        <v>7666</v>
      </c>
      <c r="D697" s="5">
        <v>370.0</v>
      </c>
      <c r="E697" s="5">
        <v>1914.0</v>
      </c>
      <c r="F697" s="18" t="s">
        <v>2775</v>
      </c>
      <c r="G697" s="5" t="s">
        <v>2776</v>
      </c>
      <c r="H697" s="5" t="s">
        <v>2777</v>
      </c>
      <c r="I697" s="5" t="s">
        <v>1664</v>
      </c>
      <c r="J697" s="5" t="s">
        <v>1746</v>
      </c>
      <c r="K697" s="5">
        <v>1.0</v>
      </c>
      <c r="L697" s="5">
        <v>2317.0</v>
      </c>
      <c r="M697" s="64"/>
      <c r="N697" s="36"/>
      <c r="P697" s="36"/>
      <c r="R697" s="36"/>
      <c r="AO697" s="5" t="s">
        <v>2775</v>
      </c>
      <c r="AP697" s="5">
        <v>370.0</v>
      </c>
      <c r="AQ697" s="5" t="s">
        <v>1716</v>
      </c>
      <c r="AR697" s="5" t="s">
        <v>1717</v>
      </c>
      <c r="AS697" s="5" t="s">
        <v>1718</v>
      </c>
      <c r="AT697" s="5" t="s">
        <v>1719</v>
      </c>
      <c r="AU697" s="5" t="s">
        <v>1703</v>
      </c>
      <c r="AV697" s="5" t="s">
        <v>1720</v>
      </c>
      <c r="AW697" s="5" t="s">
        <v>2698</v>
      </c>
      <c r="AX697" s="5" t="s">
        <v>2699</v>
      </c>
      <c r="AY697" s="5">
        <v>52.0</v>
      </c>
      <c r="AZ697" s="5">
        <v>-118.0</v>
      </c>
      <c r="BA697" s="5">
        <v>9.0</v>
      </c>
    </row>
    <row r="698" ht="14.25" customHeight="1">
      <c r="A698" s="5" t="s">
        <v>422</v>
      </c>
      <c r="B698" s="5">
        <v>12.0</v>
      </c>
      <c r="C698" s="5" t="s">
        <v>7666</v>
      </c>
      <c r="D698" s="5">
        <v>372.0</v>
      </c>
      <c r="E698" s="5">
        <v>1915.0</v>
      </c>
      <c r="F698" s="18" t="s">
        <v>2778</v>
      </c>
      <c r="G698" s="5" t="s">
        <v>2779</v>
      </c>
      <c r="H698" s="5" t="s">
        <v>2780</v>
      </c>
      <c r="I698" s="5" t="s">
        <v>49</v>
      </c>
      <c r="J698" s="5" t="s">
        <v>1746</v>
      </c>
      <c r="K698" s="5">
        <v>1.0</v>
      </c>
      <c r="L698" s="5">
        <v>2318.0</v>
      </c>
      <c r="M698" s="64"/>
      <c r="N698" s="36"/>
      <c r="P698" s="36"/>
      <c r="R698" s="36"/>
      <c r="AO698" s="5" t="s">
        <v>2778</v>
      </c>
      <c r="AP698" s="5">
        <v>372.0</v>
      </c>
      <c r="AQ698" s="5" t="s">
        <v>1716</v>
      </c>
      <c r="AR698" s="5" t="s">
        <v>1717</v>
      </c>
      <c r="AS698" s="5" t="s">
        <v>1718</v>
      </c>
      <c r="AT698" s="5" t="s">
        <v>1719</v>
      </c>
      <c r="AU698" s="5" t="s">
        <v>1703</v>
      </c>
      <c r="AV698" s="5" t="s">
        <v>1720</v>
      </c>
      <c r="AW698" s="5" t="s">
        <v>2698</v>
      </c>
      <c r="AX698" s="5" t="s">
        <v>2699</v>
      </c>
      <c r="AY698" s="5">
        <v>51.3</v>
      </c>
      <c r="AZ698" s="5">
        <v>-117.5</v>
      </c>
      <c r="BA698" s="5">
        <v>0.0</v>
      </c>
    </row>
    <row r="699" ht="14.25" customHeight="1">
      <c r="B699" s="5">
        <v>12.0</v>
      </c>
      <c r="C699" s="5" t="s">
        <v>7666</v>
      </c>
      <c r="D699" s="5">
        <v>373.0</v>
      </c>
      <c r="E699" s="5">
        <v>1916.0</v>
      </c>
      <c r="F699" s="18" t="s">
        <v>2781</v>
      </c>
      <c r="G699" s="5" t="s">
        <v>2782</v>
      </c>
      <c r="H699" s="5" t="s">
        <v>2783</v>
      </c>
      <c r="I699" s="5" t="s">
        <v>641</v>
      </c>
      <c r="J699" s="5" t="s">
        <v>1715</v>
      </c>
      <c r="K699" s="5">
        <v>1.0</v>
      </c>
      <c r="L699" s="5">
        <v>2319.0</v>
      </c>
      <c r="M699" s="64"/>
      <c r="N699" s="36"/>
      <c r="P699" s="36"/>
      <c r="R699" s="36"/>
      <c r="AO699" s="5" t="s">
        <v>2781</v>
      </c>
      <c r="AP699" s="5">
        <v>373.0</v>
      </c>
      <c r="AQ699" s="5" t="s">
        <v>1716</v>
      </c>
      <c r="AR699" s="5" t="s">
        <v>1717</v>
      </c>
      <c r="AS699" s="5" t="s">
        <v>1718</v>
      </c>
      <c r="AT699" s="5" t="s">
        <v>1719</v>
      </c>
      <c r="AU699" s="5" t="s">
        <v>1836</v>
      </c>
      <c r="AV699" s="5" t="s">
        <v>1720</v>
      </c>
      <c r="AW699" s="5" t="s">
        <v>2698</v>
      </c>
      <c r="AX699" s="5" t="s">
        <v>2768</v>
      </c>
      <c r="AY699" s="5">
        <v>50.8458</v>
      </c>
      <c r="AZ699" s="5">
        <v>-116.338</v>
      </c>
      <c r="BA699" s="5">
        <v>938.0</v>
      </c>
    </row>
    <row r="700" ht="14.25" customHeight="1">
      <c r="B700" s="5">
        <v>12.0</v>
      </c>
      <c r="C700" s="5" t="s">
        <v>7666</v>
      </c>
      <c r="D700" s="5">
        <v>374.0</v>
      </c>
      <c r="E700" s="5">
        <v>1917.0</v>
      </c>
      <c r="F700" s="5" t="s">
        <v>2784</v>
      </c>
      <c r="G700" s="5" t="s">
        <v>2785</v>
      </c>
      <c r="H700" s="5" t="s">
        <v>2750</v>
      </c>
      <c r="I700" s="5" t="s">
        <v>641</v>
      </c>
      <c r="J700" s="5" t="s">
        <v>1736</v>
      </c>
      <c r="K700" s="5">
        <v>1.0</v>
      </c>
      <c r="L700" s="5">
        <v>2320.0</v>
      </c>
      <c r="M700" s="64">
        <v>51.71617</v>
      </c>
      <c r="N700" s="36">
        <v>-117.54167</v>
      </c>
      <c r="O700" s="11" t="s">
        <v>170</v>
      </c>
      <c r="P700" s="36">
        <v>374.0</v>
      </c>
      <c r="Q700" s="22">
        <v>2.0</v>
      </c>
      <c r="R700" s="36" t="s">
        <v>2784</v>
      </c>
      <c r="S700" s="11" t="s">
        <v>1737</v>
      </c>
      <c r="T700" s="11">
        <v>1000.0</v>
      </c>
      <c r="U700" s="11"/>
      <c r="V700" s="11"/>
      <c r="W700" s="23">
        <v>31413.0</v>
      </c>
      <c r="X700" s="11" t="s">
        <v>1738</v>
      </c>
      <c r="AO700" s="5" t="s">
        <v>2784</v>
      </c>
      <c r="AP700" s="5">
        <v>374.0</v>
      </c>
      <c r="AQ700" s="5" t="s">
        <v>1716</v>
      </c>
      <c r="AR700" s="5" t="s">
        <v>1739</v>
      </c>
      <c r="AS700" s="5" t="s">
        <v>1740</v>
      </c>
      <c r="AT700" s="5" t="s">
        <v>1741</v>
      </c>
      <c r="AU700" s="5" t="s">
        <v>1742</v>
      </c>
      <c r="AV700" s="5" t="s">
        <v>1720</v>
      </c>
      <c r="AW700" s="5" t="s">
        <v>2698</v>
      </c>
      <c r="AX700" s="5" t="s">
        <v>2699</v>
      </c>
      <c r="AY700" s="5">
        <v>51.7162</v>
      </c>
      <c r="AZ700" s="5">
        <v>-117.5417</v>
      </c>
      <c r="BA700" s="5">
        <v>1000.0</v>
      </c>
    </row>
    <row r="701" ht="14.25" customHeight="1">
      <c r="B701" s="5">
        <v>12.0</v>
      </c>
      <c r="C701" s="5" t="s">
        <v>7666</v>
      </c>
      <c r="D701" s="5">
        <v>375.0</v>
      </c>
      <c r="E701" s="5">
        <v>1918.0</v>
      </c>
      <c r="F701" s="18" t="s">
        <v>2786</v>
      </c>
      <c r="G701" s="5" t="s">
        <v>2787</v>
      </c>
      <c r="H701" s="5" t="s">
        <v>2788</v>
      </c>
      <c r="I701" s="5" t="s">
        <v>641</v>
      </c>
      <c r="J701" s="5" t="s">
        <v>1715</v>
      </c>
      <c r="K701" s="5">
        <v>1.0</v>
      </c>
      <c r="L701" s="5">
        <v>2321.0</v>
      </c>
      <c r="M701" s="64"/>
      <c r="N701" s="36"/>
      <c r="P701" s="36"/>
      <c r="R701" s="36"/>
      <c r="AO701" s="5" t="s">
        <v>2786</v>
      </c>
      <c r="AP701" s="5">
        <v>375.0</v>
      </c>
      <c r="AQ701" s="5" t="s">
        <v>1716</v>
      </c>
      <c r="AR701" s="5" t="s">
        <v>1717</v>
      </c>
      <c r="AS701" s="5" t="s">
        <v>1718</v>
      </c>
      <c r="AT701" s="5" t="s">
        <v>1719</v>
      </c>
      <c r="AU701" s="5" t="s">
        <v>1959</v>
      </c>
      <c r="AV701" s="5" t="s">
        <v>1720</v>
      </c>
      <c r="AW701" s="5" t="s">
        <v>2698</v>
      </c>
      <c r="AX701" s="5" t="s">
        <v>2699</v>
      </c>
      <c r="AY701" s="5">
        <v>51.4312</v>
      </c>
      <c r="AZ701" s="5">
        <v>-117.1638</v>
      </c>
      <c r="BA701" s="5">
        <v>1300.0</v>
      </c>
    </row>
    <row r="702" ht="14.25" customHeight="1">
      <c r="B702" s="5">
        <v>12.0</v>
      </c>
      <c r="C702" s="5" t="s">
        <v>7666</v>
      </c>
      <c r="D702" s="5">
        <v>376.0</v>
      </c>
      <c r="E702" s="5">
        <v>1919.0</v>
      </c>
      <c r="F702" s="5" t="s">
        <v>2789</v>
      </c>
      <c r="G702" s="5" t="s">
        <v>2790</v>
      </c>
      <c r="H702" s="5" t="s">
        <v>2791</v>
      </c>
      <c r="I702" s="5" t="s">
        <v>641</v>
      </c>
      <c r="J702" s="5" t="s">
        <v>1736</v>
      </c>
      <c r="K702" s="5">
        <v>1.0</v>
      </c>
      <c r="L702" s="5">
        <v>2322.0</v>
      </c>
      <c r="M702" s="64">
        <v>51.75133</v>
      </c>
      <c r="N702" s="36">
        <v>-117.76133</v>
      </c>
      <c r="O702" s="11" t="s">
        <v>170</v>
      </c>
      <c r="P702" s="36">
        <v>376.0</v>
      </c>
      <c r="Q702" s="22">
        <v>8.0</v>
      </c>
      <c r="R702" s="36" t="s">
        <v>2792</v>
      </c>
      <c r="S702" s="11" t="s">
        <v>1737</v>
      </c>
      <c r="T702" s="11">
        <v>2438.0</v>
      </c>
      <c r="U702" s="11"/>
      <c r="V702" s="11"/>
      <c r="W702" s="23">
        <v>35796.0</v>
      </c>
      <c r="X702" s="11" t="s">
        <v>1738</v>
      </c>
      <c r="AA702" s="36"/>
      <c r="AC702" s="37"/>
      <c r="AO702" s="5" t="s">
        <v>2793</v>
      </c>
      <c r="AP702" s="5">
        <v>376.0</v>
      </c>
      <c r="AQ702" s="5" t="s">
        <v>1700</v>
      </c>
      <c r="AR702" s="5" t="s">
        <v>1701</v>
      </c>
      <c r="AS702" s="5" t="s">
        <v>1740</v>
      </c>
      <c r="AT702" s="5" t="s">
        <v>1835</v>
      </c>
      <c r="AU702" s="5" t="s">
        <v>2489</v>
      </c>
      <c r="AV702" s="5" t="s">
        <v>1720</v>
      </c>
      <c r="AW702" s="5" t="s">
        <v>2698</v>
      </c>
      <c r="AX702" s="5" t="s">
        <v>2699</v>
      </c>
      <c r="AY702" s="5">
        <v>51.7513</v>
      </c>
      <c r="AZ702" s="5">
        <v>-117.7613</v>
      </c>
      <c r="BA702" s="5">
        <v>2438.0</v>
      </c>
    </row>
    <row r="703" ht="14.25" customHeight="1">
      <c r="B703" s="5">
        <v>12.0</v>
      </c>
      <c r="C703" s="5" t="s">
        <v>7666</v>
      </c>
      <c r="D703" s="5">
        <v>377.0</v>
      </c>
      <c r="E703" s="5">
        <v>1920.0</v>
      </c>
      <c r="F703" s="18" t="s">
        <v>2794</v>
      </c>
      <c r="G703" s="5" t="s">
        <v>2795</v>
      </c>
      <c r="H703" s="5" t="s">
        <v>2796</v>
      </c>
      <c r="I703" s="5" t="s">
        <v>641</v>
      </c>
      <c r="J703" s="5" t="s">
        <v>1715</v>
      </c>
      <c r="K703" s="5">
        <v>1.0</v>
      </c>
      <c r="L703" s="5">
        <v>2323.0</v>
      </c>
      <c r="M703" s="64"/>
      <c r="N703" s="36"/>
      <c r="P703" s="36"/>
      <c r="R703" s="36"/>
      <c r="AO703" s="5" t="s">
        <v>2794</v>
      </c>
      <c r="AP703" s="5">
        <v>377.0</v>
      </c>
      <c r="AQ703" s="5" t="s">
        <v>1716</v>
      </c>
      <c r="AR703" s="5" t="s">
        <v>1717</v>
      </c>
      <c r="AS703" s="5" t="s">
        <v>1718</v>
      </c>
      <c r="AT703" s="5" t="s">
        <v>1703</v>
      </c>
      <c r="AU703" s="5" t="s">
        <v>1703</v>
      </c>
      <c r="AV703" s="5" t="s">
        <v>1720</v>
      </c>
      <c r="AW703" s="5" t="s">
        <v>2698</v>
      </c>
      <c r="AX703" s="5" t="s">
        <v>2797</v>
      </c>
      <c r="AY703" s="5">
        <v>50.2525</v>
      </c>
      <c r="AZ703" s="5">
        <v>-117.7763</v>
      </c>
      <c r="BA703" s="5">
        <v>651.0</v>
      </c>
    </row>
    <row r="704" ht="14.25" customHeight="1">
      <c r="B704" s="5">
        <v>12.0</v>
      </c>
      <c r="C704" s="5" t="s">
        <v>7666</v>
      </c>
      <c r="D704" s="5">
        <v>378.0</v>
      </c>
      <c r="E704" s="5">
        <v>1921.0</v>
      </c>
      <c r="F704" s="18" t="s">
        <v>2798</v>
      </c>
      <c r="G704" s="5" t="s">
        <v>2799</v>
      </c>
      <c r="H704" s="5" t="s">
        <v>2800</v>
      </c>
      <c r="I704" s="5" t="s">
        <v>641</v>
      </c>
      <c r="J704" s="5" t="s">
        <v>1715</v>
      </c>
      <c r="K704" s="5">
        <v>1.0</v>
      </c>
      <c r="L704" s="5">
        <v>2324.0</v>
      </c>
      <c r="M704" s="64"/>
      <c r="N704" s="36"/>
      <c r="P704" s="36"/>
      <c r="R704" s="36"/>
      <c r="AA704" s="36"/>
      <c r="AC704" s="37"/>
      <c r="AO704" s="5" t="s">
        <v>2798</v>
      </c>
      <c r="AP704" s="5">
        <v>378.0</v>
      </c>
      <c r="AQ704" s="5" t="s">
        <v>1716</v>
      </c>
      <c r="AR704" s="5" t="s">
        <v>1717</v>
      </c>
      <c r="AS704" s="5" t="s">
        <v>1718</v>
      </c>
      <c r="AT704" s="5" t="s">
        <v>1703</v>
      </c>
      <c r="AU704" s="5" t="s">
        <v>1703</v>
      </c>
      <c r="AV704" s="5" t="s">
        <v>1720</v>
      </c>
      <c r="AW704" s="5" t="s">
        <v>2698</v>
      </c>
      <c r="AX704" s="5" t="s">
        <v>2801</v>
      </c>
      <c r="AY704" s="5">
        <v>49.747</v>
      </c>
      <c r="AZ704" s="5">
        <v>-116.851</v>
      </c>
      <c r="BA704" s="5">
        <v>701.0</v>
      </c>
    </row>
    <row r="705" ht="14.25" customHeight="1">
      <c r="B705" s="5">
        <v>12.0</v>
      </c>
      <c r="C705" s="5" t="s">
        <v>7666</v>
      </c>
      <c r="D705" s="5">
        <v>379.0</v>
      </c>
      <c r="E705" s="5">
        <v>1922.0</v>
      </c>
      <c r="F705" s="5" t="s">
        <v>2802</v>
      </c>
      <c r="G705" s="5" t="s">
        <v>2803</v>
      </c>
      <c r="H705" s="5" t="s">
        <v>2804</v>
      </c>
      <c r="I705" s="5" t="s">
        <v>641</v>
      </c>
      <c r="J705" s="5" t="s">
        <v>1865</v>
      </c>
      <c r="K705" s="5">
        <v>1.0</v>
      </c>
      <c r="L705" s="5">
        <v>2325.0</v>
      </c>
      <c r="M705" s="64">
        <v>50.36583</v>
      </c>
      <c r="N705" s="36">
        <v>-117.0645</v>
      </c>
      <c r="O705" s="11" t="s">
        <v>170</v>
      </c>
      <c r="P705" s="36">
        <v>379.0</v>
      </c>
      <c r="Q705" s="22">
        <v>1.0</v>
      </c>
      <c r="R705" s="36" t="s">
        <v>2802</v>
      </c>
      <c r="S705" s="11" t="s">
        <v>1737</v>
      </c>
      <c r="T705" s="11">
        <v>800.0</v>
      </c>
      <c r="U705" s="11"/>
      <c r="V705" s="11"/>
      <c r="W705" s="23">
        <v>28856.0</v>
      </c>
      <c r="X705" s="11" t="s">
        <v>1738</v>
      </c>
      <c r="AO705" s="5" t="s">
        <v>2802</v>
      </c>
      <c r="AP705" s="5">
        <v>379.0</v>
      </c>
      <c r="AQ705" s="5" t="s">
        <v>1716</v>
      </c>
      <c r="AR705" s="5" t="s">
        <v>1739</v>
      </c>
      <c r="AS705" s="5" t="s">
        <v>1740</v>
      </c>
      <c r="AT705" s="5" t="s">
        <v>1741</v>
      </c>
      <c r="AU705" s="5" t="s">
        <v>1742</v>
      </c>
      <c r="AV705" s="5" t="s">
        <v>1720</v>
      </c>
      <c r="AW705" s="5" t="s">
        <v>2698</v>
      </c>
      <c r="AX705" s="5" t="s">
        <v>2801</v>
      </c>
      <c r="AY705" s="5">
        <v>50.3658</v>
      </c>
      <c r="AZ705" s="5">
        <v>-117.0645</v>
      </c>
      <c r="BA705" s="5">
        <v>800.0</v>
      </c>
    </row>
    <row r="706" ht="14.25" customHeight="1">
      <c r="B706" s="5">
        <v>12.0</v>
      </c>
      <c r="C706" s="5" t="s">
        <v>7666</v>
      </c>
      <c r="D706" s="5">
        <v>380.0</v>
      </c>
      <c r="E706" s="5">
        <v>1923.0</v>
      </c>
      <c r="F706" s="5" t="s">
        <v>2805</v>
      </c>
      <c r="G706" s="5" t="s">
        <v>2806</v>
      </c>
      <c r="H706" s="5" t="s">
        <v>2807</v>
      </c>
      <c r="I706" s="5" t="s">
        <v>641</v>
      </c>
      <c r="J706" s="5" t="s">
        <v>1891</v>
      </c>
      <c r="K706" s="5">
        <v>1.0</v>
      </c>
      <c r="L706" s="5">
        <v>2326.0</v>
      </c>
      <c r="M706" s="64">
        <v>49.9065</v>
      </c>
      <c r="N706" s="36">
        <v>-116.8551</v>
      </c>
      <c r="O706" s="11" t="s">
        <v>170</v>
      </c>
      <c r="P706" s="36">
        <v>380.0</v>
      </c>
      <c r="Q706" s="22">
        <v>2.0</v>
      </c>
      <c r="R706" s="36" t="s">
        <v>2805</v>
      </c>
      <c r="S706" s="11" t="s">
        <v>1737</v>
      </c>
      <c r="T706" s="11">
        <v>1019.0</v>
      </c>
      <c r="U706" s="11"/>
      <c r="V706" s="11"/>
      <c r="W706" s="23">
        <v>36892.0</v>
      </c>
      <c r="X706" s="11" t="s">
        <v>1738</v>
      </c>
      <c r="AO706" s="5" t="s">
        <v>2805</v>
      </c>
      <c r="AP706" s="5">
        <v>380.0</v>
      </c>
      <c r="AQ706" s="5" t="s">
        <v>1700</v>
      </c>
      <c r="AR706" s="5" t="s">
        <v>1739</v>
      </c>
      <c r="AS706" s="5" t="s">
        <v>1740</v>
      </c>
      <c r="AT706" s="5" t="s">
        <v>1741</v>
      </c>
      <c r="AU706" s="5" t="s">
        <v>1959</v>
      </c>
      <c r="AV706" s="5" t="s">
        <v>1720</v>
      </c>
      <c r="AW706" s="5" t="s">
        <v>2698</v>
      </c>
      <c r="AX706" s="5" t="s">
        <v>2801</v>
      </c>
      <c r="AY706" s="5">
        <v>49.9065</v>
      </c>
      <c r="AZ706" s="5">
        <v>-116.8551</v>
      </c>
      <c r="BA706" s="5">
        <v>1019.0</v>
      </c>
    </row>
    <row r="707" ht="14.25" customHeight="1">
      <c r="B707" s="5">
        <v>12.0</v>
      </c>
      <c r="C707" s="5" t="s">
        <v>7666</v>
      </c>
      <c r="D707" s="5">
        <v>381.0</v>
      </c>
      <c r="E707" s="5">
        <v>1924.0</v>
      </c>
      <c r="F707" s="18" t="s">
        <v>2808</v>
      </c>
      <c r="G707" s="5" t="s">
        <v>2809</v>
      </c>
      <c r="H707" s="5" t="s">
        <v>2810</v>
      </c>
      <c r="I707" s="5" t="s">
        <v>1664</v>
      </c>
      <c r="J707" s="5" t="s">
        <v>1715</v>
      </c>
      <c r="K707" s="5">
        <v>1.0</v>
      </c>
      <c r="L707" s="5">
        <v>2327.0</v>
      </c>
      <c r="M707" s="64"/>
      <c r="N707" s="36"/>
      <c r="P707" s="36"/>
      <c r="R707" s="36"/>
      <c r="AO707" s="5" t="s">
        <v>2808</v>
      </c>
      <c r="AP707" s="5">
        <v>381.0</v>
      </c>
      <c r="AQ707" s="5" t="s">
        <v>1716</v>
      </c>
      <c r="AR707" s="5" t="s">
        <v>1717</v>
      </c>
      <c r="AS707" s="5" t="s">
        <v>1718</v>
      </c>
      <c r="AT707" s="5" t="s">
        <v>1719</v>
      </c>
      <c r="AU707" s="5" t="s">
        <v>1703</v>
      </c>
      <c r="AV707" s="5" t="s">
        <v>1720</v>
      </c>
      <c r="AW707" s="5" t="s">
        <v>2698</v>
      </c>
      <c r="AX707" s="5" t="s">
        <v>2797</v>
      </c>
      <c r="AY707" s="5">
        <v>50.3</v>
      </c>
      <c r="AZ707" s="5">
        <v>-117.9</v>
      </c>
      <c r="BA707" s="5">
        <v>0.0</v>
      </c>
    </row>
    <row r="708" ht="14.25" customHeight="1">
      <c r="B708" s="5">
        <v>12.0</v>
      </c>
      <c r="C708" s="5" t="s">
        <v>7666</v>
      </c>
      <c r="D708" s="5">
        <v>382.0</v>
      </c>
      <c r="E708" s="5">
        <v>1925.0</v>
      </c>
      <c r="F708" s="18" t="s">
        <v>2811</v>
      </c>
      <c r="G708" s="5" t="s">
        <v>2812</v>
      </c>
      <c r="H708" s="5" t="s">
        <v>2813</v>
      </c>
      <c r="I708" s="5" t="s">
        <v>1664</v>
      </c>
      <c r="J708" s="5" t="s">
        <v>1715</v>
      </c>
      <c r="K708" s="5">
        <v>1.0</v>
      </c>
      <c r="L708" s="5">
        <v>2328.0</v>
      </c>
      <c r="M708" s="64"/>
      <c r="N708" s="36"/>
      <c r="P708" s="36"/>
      <c r="R708" s="36"/>
      <c r="AO708" s="5" t="s">
        <v>2811</v>
      </c>
      <c r="AP708" s="5">
        <v>382.0</v>
      </c>
      <c r="AQ708" s="5" t="s">
        <v>1716</v>
      </c>
      <c r="AR708" s="5" t="s">
        <v>1717</v>
      </c>
      <c r="AS708" s="5" t="s">
        <v>1718</v>
      </c>
      <c r="AT708" s="5" t="s">
        <v>1703</v>
      </c>
      <c r="AU708" s="5" t="s">
        <v>1703</v>
      </c>
      <c r="AV708" s="5" t="s">
        <v>1720</v>
      </c>
      <c r="AW708" s="5" t="s">
        <v>2698</v>
      </c>
      <c r="AY708" s="5">
        <v>49.0</v>
      </c>
      <c r="AZ708" s="5">
        <v>-116.5</v>
      </c>
      <c r="BA708" s="5">
        <v>0.0</v>
      </c>
    </row>
    <row r="709" ht="14.25" customHeight="1">
      <c r="A709" s="5" t="s">
        <v>2037</v>
      </c>
      <c r="B709" s="5">
        <v>12.0</v>
      </c>
      <c r="C709" s="5" t="s">
        <v>7666</v>
      </c>
      <c r="D709" s="5">
        <v>383.0</v>
      </c>
      <c r="E709" s="5">
        <v>1926.0</v>
      </c>
      <c r="F709" s="10" t="s">
        <v>2814</v>
      </c>
      <c r="G709" s="5" t="s">
        <v>2815</v>
      </c>
      <c r="H709" s="5" t="s">
        <v>2816</v>
      </c>
      <c r="I709" s="5" t="s">
        <v>641</v>
      </c>
      <c r="J709" s="5" t="s">
        <v>1891</v>
      </c>
      <c r="K709" s="5">
        <v>1.0</v>
      </c>
      <c r="L709" s="5">
        <v>2329.0</v>
      </c>
      <c r="M709" s="64">
        <v>50.383</v>
      </c>
      <c r="N709" s="36">
        <v>-117.8799</v>
      </c>
      <c r="O709" s="11" t="s">
        <v>170</v>
      </c>
      <c r="P709" s="36">
        <v>383.0</v>
      </c>
      <c r="Q709" s="22">
        <v>1.0</v>
      </c>
      <c r="R709" s="36" t="s">
        <v>2817</v>
      </c>
      <c r="S709" s="11" t="s">
        <v>1737</v>
      </c>
      <c r="T709" s="11">
        <v>790.0</v>
      </c>
      <c r="U709" s="11" t="s">
        <v>645</v>
      </c>
      <c r="V709" s="11"/>
      <c r="W709" s="23">
        <v>37257.0</v>
      </c>
      <c r="X709" s="11" t="s">
        <v>1738</v>
      </c>
      <c r="AO709" s="5" t="s">
        <v>2817</v>
      </c>
      <c r="AP709" s="5">
        <v>383.0</v>
      </c>
      <c r="AQ709" s="5" t="s">
        <v>1716</v>
      </c>
      <c r="AR709" s="5" t="s">
        <v>1739</v>
      </c>
      <c r="AS709" s="5" t="s">
        <v>1740</v>
      </c>
      <c r="AT709" s="5" t="s">
        <v>1741</v>
      </c>
      <c r="AU709" s="5" t="s">
        <v>1742</v>
      </c>
      <c r="AV709" s="5" t="s">
        <v>1720</v>
      </c>
      <c r="AW709" s="5" t="s">
        <v>2698</v>
      </c>
      <c r="AX709" s="5" t="s">
        <v>2797</v>
      </c>
      <c r="AY709" s="5">
        <v>50.383</v>
      </c>
      <c r="AZ709" s="5">
        <v>-117.8799</v>
      </c>
      <c r="BA709" s="5">
        <v>790.0</v>
      </c>
    </row>
    <row r="710" ht="14.25" customHeight="1">
      <c r="A710" s="5" t="s">
        <v>2037</v>
      </c>
      <c r="B710" s="5">
        <v>12.0</v>
      </c>
      <c r="C710" s="5" t="s">
        <v>7666</v>
      </c>
      <c r="D710" s="5">
        <v>384.0</v>
      </c>
      <c r="E710" s="5">
        <v>1927.0</v>
      </c>
      <c r="F710" s="5" t="s">
        <v>2818</v>
      </c>
      <c r="G710" s="5" t="s">
        <v>2819</v>
      </c>
      <c r="H710" s="5" t="s">
        <v>2820</v>
      </c>
      <c r="I710" s="5" t="s">
        <v>641</v>
      </c>
      <c r="J710" s="5" t="s">
        <v>1715</v>
      </c>
      <c r="K710" s="5">
        <v>1.0</v>
      </c>
      <c r="L710" s="5">
        <v>2330.0</v>
      </c>
      <c r="M710" s="64"/>
      <c r="N710" s="36"/>
      <c r="O710" s="11"/>
      <c r="P710" s="36"/>
      <c r="Q710" s="22"/>
      <c r="R710" s="36"/>
      <c r="S710" s="11"/>
      <c r="T710" s="11"/>
      <c r="U710" s="11"/>
      <c r="V710" s="11"/>
      <c r="W710" s="23"/>
      <c r="X710" s="11"/>
      <c r="AO710" s="5" t="s">
        <v>2821</v>
      </c>
      <c r="AP710" s="5">
        <v>384.0</v>
      </c>
      <c r="AQ710" s="5" t="s">
        <v>1716</v>
      </c>
      <c r="AR710" s="5" t="s">
        <v>1717</v>
      </c>
      <c r="AS710" s="5" t="s">
        <v>1718</v>
      </c>
      <c r="AT710" s="5" t="s">
        <v>1835</v>
      </c>
      <c r="AU710" s="5" t="s">
        <v>1959</v>
      </c>
      <c r="AV710" s="5" t="s">
        <v>1720</v>
      </c>
      <c r="AW710" s="5" t="s">
        <v>2698</v>
      </c>
      <c r="AX710" s="5" t="s">
        <v>2801</v>
      </c>
      <c r="AY710" s="5">
        <v>50.3663</v>
      </c>
      <c r="AZ710" s="5">
        <v>-117.0017</v>
      </c>
      <c r="BA710" s="5">
        <v>1300.0</v>
      </c>
    </row>
    <row r="711" ht="14.25" customHeight="1">
      <c r="B711" s="5">
        <v>12.0</v>
      </c>
      <c r="C711" s="5" t="s">
        <v>7666</v>
      </c>
      <c r="D711" s="5">
        <v>385.0</v>
      </c>
      <c r="E711" s="5">
        <v>1928.0</v>
      </c>
      <c r="F711" s="5" t="s">
        <v>2822</v>
      </c>
      <c r="G711" s="5" t="s">
        <v>2823</v>
      </c>
      <c r="H711" s="5" t="s">
        <v>2804</v>
      </c>
      <c r="I711" s="5" t="s">
        <v>641</v>
      </c>
      <c r="J711" s="5" t="s">
        <v>1865</v>
      </c>
      <c r="K711" s="5">
        <v>1.0</v>
      </c>
      <c r="L711" s="5">
        <v>2331.0</v>
      </c>
      <c r="M711" s="64">
        <v>50.78083</v>
      </c>
      <c r="N711" s="36">
        <v>-117.1805</v>
      </c>
      <c r="O711" s="11" t="s">
        <v>170</v>
      </c>
      <c r="P711" s="36">
        <v>385.0</v>
      </c>
      <c r="Q711" s="22">
        <v>4.0</v>
      </c>
      <c r="R711" s="36" t="s">
        <v>2822</v>
      </c>
      <c r="S711" s="11" t="s">
        <v>1737</v>
      </c>
      <c r="T711" s="11">
        <v>1376.0</v>
      </c>
      <c r="U711" s="11"/>
      <c r="V711" s="11"/>
      <c r="W711" s="23">
        <v>29587.0</v>
      </c>
      <c r="X711" s="11" t="s">
        <v>1738</v>
      </c>
      <c r="AO711" s="5" t="s">
        <v>2822</v>
      </c>
      <c r="AP711" s="5">
        <v>385.0</v>
      </c>
      <c r="AQ711" s="5" t="s">
        <v>1716</v>
      </c>
      <c r="AR711" s="5" t="s">
        <v>1739</v>
      </c>
      <c r="AS711" s="5" t="s">
        <v>1740</v>
      </c>
      <c r="AT711" s="5" t="s">
        <v>1741</v>
      </c>
      <c r="AU711" s="5" t="s">
        <v>1742</v>
      </c>
      <c r="AV711" s="5" t="s">
        <v>1720</v>
      </c>
      <c r="AW711" s="5" t="s">
        <v>2698</v>
      </c>
      <c r="AX711" s="5" t="s">
        <v>2801</v>
      </c>
      <c r="AY711" s="5">
        <v>50.7808</v>
      </c>
      <c r="AZ711" s="5">
        <v>-117.1805</v>
      </c>
      <c r="BA711" s="5">
        <v>1376.0</v>
      </c>
    </row>
    <row r="712" ht="14.25" customHeight="1">
      <c r="B712" s="5">
        <v>12.0</v>
      </c>
      <c r="C712" s="5" t="s">
        <v>7666</v>
      </c>
      <c r="D712" s="5">
        <v>386.0</v>
      </c>
      <c r="E712" s="5">
        <v>1929.0</v>
      </c>
      <c r="F712" s="18" t="s">
        <v>2824</v>
      </c>
      <c r="G712" s="5" t="s">
        <v>2825</v>
      </c>
      <c r="H712" s="5" t="s">
        <v>2826</v>
      </c>
      <c r="I712" s="5" t="s">
        <v>1664</v>
      </c>
      <c r="J712" s="5" t="s">
        <v>1715</v>
      </c>
      <c r="K712" s="5">
        <v>1.0</v>
      </c>
      <c r="L712" s="5">
        <v>2332.0</v>
      </c>
      <c r="M712" s="64"/>
      <c r="N712" s="36"/>
      <c r="P712" s="36"/>
      <c r="R712" s="36"/>
      <c r="AO712" s="5" t="s">
        <v>2824</v>
      </c>
      <c r="AP712" s="5">
        <v>386.0</v>
      </c>
      <c r="AQ712" s="5" t="s">
        <v>1716</v>
      </c>
      <c r="AR712" s="5" t="s">
        <v>1717</v>
      </c>
      <c r="AS712" s="5" t="s">
        <v>1718</v>
      </c>
      <c r="AT712" s="5" t="s">
        <v>1719</v>
      </c>
      <c r="AU712" s="5" t="s">
        <v>1703</v>
      </c>
      <c r="AV712" s="5" t="s">
        <v>1720</v>
      </c>
      <c r="AW712" s="5" t="s">
        <v>2368</v>
      </c>
      <c r="AX712" s="5" t="s">
        <v>2827</v>
      </c>
      <c r="AY712" s="5">
        <v>49.8</v>
      </c>
      <c r="AZ712" s="5">
        <v>-118.5</v>
      </c>
      <c r="BA712" s="5">
        <v>12.0</v>
      </c>
    </row>
    <row r="713" ht="14.25" customHeight="1">
      <c r="A713" s="5" t="s">
        <v>88</v>
      </c>
      <c r="B713" s="5">
        <v>12.0</v>
      </c>
      <c r="C713" s="5" t="s">
        <v>7666</v>
      </c>
      <c r="D713" s="5">
        <v>387.0</v>
      </c>
      <c r="E713" s="5">
        <v>1930.0</v>
      </c>
      <c r="F713" s="5" t="s">
        <v>693</v>
      </c>
      <c r="G713" s="10" t="s">
        <v>2828</v>
      </c>
      <c r="H713" s="5" t="s">
        <v>2829</v>
      </c>
      <c r="I713" s="5" t="s">
        <v>641</v>
      </c>
      <c r="J713" s="5" t="s">
        <v>1865</v>
      </c>
      <c r="K713" s="5">
        <v>1.0</v>
      </c>
      <c r="L713" s="5">
        <v>2333.0</v>
      </c>
      <c r="M713" s="64">
        <v>50.62133</v>
      </c>
      <c r="N713" s="36">
        <v>-117.4645</v>
      </c>
      <c r="O713" s="11" t="s">
        <v>170</v>
      </c>
      <c r="P713" s="36">
        <v>387.0</v>
      </c>
      <c r="Q713" s="22">
        <v>2.0</v>
      </c>
      <c r="R713" s="36" t="s">
        <v>693</v>
      </c>
      <c r="S713" s="11" t="s">
        <v>1737</v>
      </c>
      <c r="T713" s="11">
        <v>991.0</v>
      </c>
      <c r="U713" s="11"/>
      <c r="V713" s="11"/>
      <c r="W713" s="23">
        <v>31778.0</v>
      </c>
      <c r="X713" s="11" t="s">
        <v>1738</v>
      </c>
      <c r="AO713" s="5" t="s">
        <v>693</v>
      </c>
      <c r="AP713" s="5">
        <v>387.0</v>
      </c>
      <c r="AQ713" s="5" t="s">
        <v>1716</v>
      </c>
      <c r="AR713" s="5" t="s">
        <v>1739</v>
      </c>
      <c r="AS713" s="5" t="s">
        <v>1740</v>
      </c>
      <c r="AT713" s="5" t="s">
        <v>1741</v>
      </c>
      <c r="AU713" s="5" t="s">
        <v>1742</v>
      </c>
      <c r="AV713" s="5" t="s">
        <v>1720</v>
      </c>
      <c r="AW713" s="5" t="s">
        <v>2698</v>
      </c>
      <c r="AX713" s="5" t="s">
        <v>2797</v>
      </c>
      <c r="AY713" s="5">
        <v>50.6053</v>
      </c>
      <c r="AZ713" s="5">
        <v>-117.4272</v>
      </c>
      <c r="BA713" s="5">
        <v>991.0</v>
      </c>
    </row>
    <row r="714" ht="14.25" customHeight="1">
      <c r="A714" s="5" t="s">
        <v>1908</v>
      </c>
      <c r="B714" s="5">
        <v>12.0</v>
      </c>
      <c r="C714" s="5" t="s">
        <v>7666</v>
      </c>
      <c r="D714" s="5">
        <v>388.0</v>
      </c>
      <c r="E714" s="5">
        <v>1931.0</v>
      </c>
      <c r="F714" s="10" t="s">
        <v>2830</v>
      </c>
      <c r="G714" s="10" t="s">
        <v>2831</v>
      </c>
      <c r="H714" s="5" t="s">
        <v>2832</v>
      </c>
      <c r="I714" s="5" t="s">
        <v>641</v>
      </c>
      <c r="J714" s="5" t="s">
        <v>1865</v>
      </c>
      <c r="K714" s="5">
        <v>1.0</v>
      </c>
      <c r="L714" s="5">
        <v>2334.0</v>
      </c>
      <c r="M714" s="64">
        <v>49.95998</v>
      </c>
      <c r="N714" s="36">
        <v>-118.62603</v>
      </c>
      <c r="O714" s="11" t="s">
        <v>142</v>
      </c>
      <c r="P714" s="36">
        <v>388.0</v>
      </c>
      <c r="Q714" s="22">
        <v>5.0</v>
      </c>
      <c r="R714" s="36" t="s">
        <v>2833</v>
      </c>
      <c r="S714" s="11" t="s">
        <v>1737</v>
      </c>
      <c r="T714" s="11">
        <v>1389.0</v>
      </c>
      <c r="U714" s="11"/>
      <c r="V714" s="11"/>
      <c r="W714" s="23">
        <v>31778.0</v>
      </c>
      <c r="X714" s="11" t="s">
        <v>1738</v>
      </c>
      <c r="AO714" s="5" t="s">
        <v>2833</v>
      </c>
      <c r="AP714" s="5">
        <v>388.0</v>
      </c>
      <c r="AQ714" s="5" t="s">
        <v>1700</v>
      </c>
      <c r="AR714" s="5" t="s">
        <v>1739</v>
      </c>
      <c r="AS714" s="5" t="s">
        <v>1740</v>
      </c>
      <c r="AT714" s="5" t="s">
        <v>1741</v>
      </c>
      <c r="AU714" s="5" t="s">
        <v>1959</v>
      </c>
      <c r="AV714" s="5" t="s">
        <v>1720</v>
      </c>
      <c r="AW714" s="5" t="s">
        <v>2368</v>
      </c>
      <c r="AX714" s="5" t="s">
        <v>2522</v>
      </c>
      <c r="AY714" s="5">
        <v>49.96</v>
      </c>
      <c r="AZ714" s="5">
        <v>-118.626</v>
      </c>
      <c r="BA714" s="5">
        <v>1389.0</v>
      </c>
    </row>
    <row r="715" ht="14.25" customHeight="1">
      <c r="B715" s="5">
        <v>12.0</v>
      </c>
      <c r="C715" s="5" t="s">
        <v>7666</v>
      </c>
      <c r="D715" s="5">
        <v>389.0</v>
      </c>
      <c r="E715" s="5">
        <v>1932.0</v>
      </c>
      <c r="F715" s="18" t="s">
        <v>2834</v>
      </c>
      <c r="G715" s="5" t="s">
        <v>2835</v>
      </c>
      <c r="H715" s="5" t="s">
        <v>2836</v>
      </c>
      <c r="I715" s="5" t="s">
        <v>641</v>
      </c>
      <c r="J715" s="5" t="s">
        <v>1715</v>
      </c>
      <c r="K715" s="5">
        <v>1.0</v>
      </c>
      <c r="L715" s="5">
        <v>2335.0</v>
      </c>
      <c r="M715" s="8"/>
      <c r="AO715" s="5" t="s">
        <v>2834</v>
      </c>
      <c r="AP715" s="5">
        <v>389.0</v>
      </c>
      <c r="AQ715" s="5" t="s">
        <v>1716</v>
      </c>
      <c r="AR715" s="5" t="s">
        <v>1717</v>
      </c>
      <c r="AS715" s="5" t="s">
        <v>1718</v>
      </c>
      <c r="AT715" s="5" t="s">
        <v>1703</v>
      </c>
      <c r="AU715" s="5" t="s">
        <v>1703</v>
      </c>
      <c r="AV715" s="5" t="s">
        <v>1720</v>
      </c>
      <c r="AW715" s="5" t="s">
        <v>2698</v>
      </c>
      <c r="AX715" s="5" t="s">
        <v>2801</v>
      </c>
      <c r="AY715" s="5">
        <v>50.2533</v>
      </c>
      <c r="AZ715" s="5">
        <v>-116.8967</v>
      </c>
      <c r="BA715" s="5">
        <v>2259.0</v>
      </c>
    </row>
    <row r="716" ht="14.25" customHeight="1">
      <c r="A716" s="5" t="s">
        <v>88</v>
      </c>
      <c r="B716" s="5">
        <v>12.0</v>
      </c>
      <c r="C716" s="5" t="s">
        <v>7666</v>
      </c>
      <c r="D716" s="5">
        <v>390.0</v>
      </c>
      <c r="E716" s="5">
        <v>1933.0</v>
      </c>
      <c r="F716" s="5" t="s">
        <v>2837</v>
      </c>
      <c r="G716" s="10" t="s">
        <v>2838</v>
      </c>
      <c r="H716" s="5" t="s">
        <v>2839</v>
      </c>
      <c r="I716" s="5" t="s">
        <v>641</v>
      </c>
      <c r="J716" s="5" t="s">
        <v>1736</v>
      </c>
      <c r="K716" s="5">
        <v>1.0</v>
      </c>
      <c r="L716" s="5">
        <v>2336.0</v>
      </c>
      <c r="M716" s="8">
        <v>49.457</v>
      </c>
      <c r="N716" s="11">
        <v>-119.08833</v>
      </c>
      <c r="O716" s="11" t="s">
        <v>142</v>
      </c>
      <c r="P716" s="11">
        <v>390.0</v>
      </c>
      <c r="Q716" s="22">
        <v>2.0</v>
      </c>
      <c r="R716" s="11" t="s">
        <v>2837</v>
      </c>
      <c r="S716" s="11" t="s">
        <v>1737</v>
      </c>
      <c r="T716" s="11">
        <v>807.0</v>
      </c>
      <c r="U716" s="11" t="s">
        <v>645</v>
      </c>
      <c r="V716" s="11"/>
      <c r="W716" s="23">
        <v>25569.0</v>
      </c>
      <c r="X716" s="11" t="s">
        <v>1738</v>
      </c>
      <c r="AO716" s="5" t="s">
        <v>2837</v>
      </c>
      <c r="AP716" s="5">
        <v>390.0</v>
      </c>
      <c r="AQ716" s="5" t="s">
        <v>1700</v>
      </c>
      <c r="AR716" s="5" t="s">
        <v>1739</v>
      </c>
      <c r="AS716" s="5" t="s">
        <v>1740</v>
      </c>
      <c r="AT716" s="5" t="s">
        <v>1741</v>
      </c>
      <c r="AU716" s="5" t="s">
        <v>1772</v>
      </c>
      <c r="AV716" s="5" t="s">
        <v>1720</v>
      </c>
      <c r="AW716" s="5" t="s">
        <v>2698</v>
      </c>
      <c r="AX716" s="5" t="s">
        <v>2827</v>
      </c>
      <c r="AY716" s="5">
        <v>49.4564</v>
      </c>
      <c r="AZ716" s="5">
        <v>-119.0886</v>
      </c>
      <c r="BA716" s="5">
        <v>807.0</v>
      </c>
    </row>
    <row r="717" ht="14.25" customHeight="1">
      <c r="A717" s="5" t="s">
        <v>2037</v>
      </c>
      <c r="B717" s="5">
        <v>12.0</v>
      </c>
      <c r="C717" s="5" t="s">
        <v>7666</v>
      </c>
      <c r="D717" s="5">
        <v>391.0</v>
      </c>
      <c r="E717" s="5">
        <v>1934.0</v>
      </c>
      <c r="F717" s="10" t="s">
        <v>2840</v>
      </c>
      <c r="G717" s="5" t="s">
        <v>2841</v>
      </c>
      <c r="H717" s="5" t="s">
        <v>2842</v>
      </c>
      <c r="I717" s="5" t="s">
        <v>641</v>
      </c>
      <c r="J717" s="5" t="s">
        <v>1736</v>
      </c>
      <c r="K717" s="5">
        <v>1.0</v>
      </c>
      <c r="L717" s="5">
        <v>2337.0</v>
      </c>
      <c r="M717" s="8">
        <v>49.43283</v>
      </c>
      <c r="N717" s="11">
        <v>-118.57833</v>
      </c>
      <c r="O717" s="11" t="s">
        <v>170</v>
      </c>
      <c r="P717" s="16">
        <v>391.0</v>
      </c>
      <c r="Q717" s="22">
        <v>3.0</v>
      </c>
      <c r="R717" s="11" t="s">
        <v>2843</v>
      </c>
      <c r="S717" s="11" t="s">
        <v>1737</v>
      </c>
      <c r="T717" s="11">
        <v>1338.0</v>
      </c>
      <c r="U717" s="11"/>
      <c r="V717" s="11"/>
      <c r="W717" s="23">
        <v>29221.0</v>
      </c>
      <c r="X717" s="11" t="s">
        <v>1738</v>
      </c>
      <c r="AO717" s="5" t="s">
        <v>2843</v>
      </c>
      <c r="AP717" s="5">
        <v>391.0</v>
      </c>
      <c r="AQ717" s="5" t="s">
        <v>1716</v>
      </c>
      <c r="AR717" s="5" t="s">
        <v>1739</v>
      </c>
      <c r="AS717" s="5" t="s">
        <v>1740</v>
      </c>
      <c r="AT717" s="5" t="s">
        <v>1741</v>
      </c>
      <c r="AU717" s="5" t="s">
        <v>1742</v>
      </c>
      <c r="AV717" s="5" t="s">
        <v>1720</v>
      </c>
      <c r="AW717" s="5" t="s">
        <v>2698</v>
      </c>
      <c r="AX717" s="5" t="s">
        <v>2827</v>
      </c>
      <c r="AY717" s="5">
        <v>49.4328</v>
      </c>
      <c r="AZ717" s="5">
        <v>-118.5783</v>
      </c>
      <c r="BA717" s="5">
        <v>1338.0</v>
      </c>
    </row>
    <row r="718" ht="14.25" customHeight="1">
      <c r="B718" s="5">
        <v>12.0</v>
      </c>
      <c r="C718" s="5" t="s">
        <v>7666</v>
      </c>
      <c r="D718" s="5">
        <v>392.0</v>
      </c>
      <c r="E718" s="5">
        <v>1935.0</v>
      </c>
      <c r="F718" s="5" t="s">
        <v>2844</v>
      </c>
      <c r="G718" s="5" t="s">
        <v>2845</v>
      </c>
      <c r="H718" s="5" t="s">
        <v>2846</v>
      </c>
      <c r="I718" s="5" t="s">
        <v>641</v>
      </c>
      <c r="J718" s="5" t="s">
        <v>1736</v>
      </c>
      <c r="K718" s="5">
        <v>1.0</v>
      </c>
      <c r="L718" s="5">
        <v>2338.0</v>
      </c>
      <c r="M718" s="8">
        <v>49.0307</v>
      </c>
      <c r="N718" s="11">
        <v>-118.4156</v>
      </c>
      <c r="O718" s="11" t="s">
        <v>142</v>
      </c>
      <c r="P718" s="11">
        <v>392.0</v>
      </c>
      <c r="Q718" s="22">
        <v>1.0</v>
      </c>
      <c r="R718" s="11" t="s">
        <v>2844</v>
      </c>
      <c r="S718" s="11" t="s">
        <v>1737</v>
      </c>
      <c r="T718" s="11">
        <v>630.0</v>
      </c>
      <c r="U718" s="11"/>
      <c r="V718" s="11"/>
      <c r="W718" s="23">
        <v>29587.0</v>
      </c>
      <c r="X718" s="11" t="s">
        <v>1738</v>
      </c>
      <c r="AO718" s="5" t="s">
        <v>2844</v>
      </c>
      <c r="AP718" s="5">
        <v>392.0</v>
      </c>
      <c r="AQ718" s="5" t="s">
        <v>1700</v>
      </c>
      <c r="AR718" s="5" t="s">
        <v>1739</v>
      </c>
      <c r="AS718" s="5" t="s">
        <v>1740</v>
      </c>
      <c r="AT718" s="5" t="s">
        <v>1741</v>
      </c>
      <c r="AU718" s="5" t="s">
        <v>1772</v>
      </c>
      <c r="AV718" s="5" t="s">
        <v>1720</v>
      </c>
      <c r="AW718" s="5" t="s">
        <v>2698</v>
      </c>
      <c r="AX718" s="5" t="s">
        <v>2827</v>
      </c>
      <c r="AY718" s="5">
        <v>49.0307</v>
      </c>
      <c r="AZ718" s="5">
        <v>-118.4156</v>
      </c>
      <c r="BA718" s="5">
        <v>630.0</v>
      </c>
    </row>
    <row r="719" ht="14.25" customHeight="1">
      <c r="B719" s="5">
        <v>12.0</v>
      </c>
      <c r="C719" s="5" t="s">
        <v>7666</v>
      </c>
      <c r="D719" s="5">
        <v>393.0</v>
      </c>
      <c r="E719" s="5">
        <v>1936.0</v>
      </c>
      <c r="F719" s="5" t="s">
        <v>2847</v>
      </c>
      <c r="G719" s="5" t="s">
        <v>2848</v>
      </c>
      <c r="H719" s="5" t="s">
        <v>2849</v>
      </c>
      <c r="I719" s="5" t="s">
        <v>641</v>
      </c>
      <c r="J719" s="5" t="s">
        <v>1865</v>
      </c>
      <c r="K719" s="5">
        <v>1.0</v>
      </c>
      <c r="L719" s="5">
        <v>2339.0</v>
      </c>
      <c r="M719" s="8">
        <v>49.52667</v>
      </c>
      <c r="N719" s="11">
        <v>-118.36033</v>
      </c>
      <c r="O719" s="11" t="s">
        <v>170</v>
      </c>
      <c r="P719" s="11">
        <v>393.0</v>
      </c>
      <c r="Q719" s="22">
        <v>1.0</v>
      </c>
      <c r="R719" s="11" t="s">
        <v>2847</v>
      </c>
      <c r="S719" s="11" t="s">
        <v>1737</v>
      </c>
      <c r="T719" s="11">
        <v>866.0</v>
      </c>
      <c r="U719" s="11"/>
      <c r="V719" s="11"/>
      <c r="W719" s="23">
        <v>29587.0</v>
      </c>
      <c r="X719" s="11" t="s">
        <v>1738</v>
      </c>
      <c r="AO719" s="5" t="s">
        <v>2847</v>
      </c>
      <c r="AP719" s="5">
        <v>393.0</v>
      </c>
      <c r="AQ719" s="5" t="s">
        <v>1716</v>
      </c>
      <c r="AR719" s="5" t="s">
        <v>1739</v>
      </c>
      <c r="AS719" s="5" t="s">
        <v>1740</v>
      </c>
      <c r="AT719" s="5" t="s">
        <v>1741</v>
      </c>
      <c r="AU719" s="5" t="s">
        <v>1742</v>
      </c>
      <c r="AV719" s="5" t="s">
        <v>1720</v>
      </c>
      <c r="AW719" s="5" t="s">
        <v>2698</v>
      </c>
      <c r="AX719" s="5" t="s">
        <v>2827</v>
      </c>
      <c r="AY719" s="5">
        <v>49.5267</v>
      </c>
      <c r="AZ719" s="5">
        <v>-118.3603</v>
      </c>
      <c r="BA719" s="5">
        <v>866.0</v>
      </c>
    </row>
    <row r="720" ht="14.25" customHeight="1">
      <c r="B720" s="5">
        <v>12.0</v>
      </c>
      <c r="C720" s="5" t="s">
        <v>7666</v>
      </c>
      <c r="D720" s="5">
        <v>394.0</v>
      </c>
      <c r="E720" s="5">
        <v>1937.0</v>
      </c>
      <c r="F720" s="5" t="s">
        <v>2850</v>
      </c>
      <c r="G720" s="5" t="s">
        <v>2851</v>
      </c>
      <c r="H720" s="5" t="s">
        <v>2852</v>
      </c>
      <c r="I720" s="5" t="s">
        <v>641</v>
      </c>
      <c r="J720" s="5" t="s">
        <v>1736</v>
      </c>
      <c r="K720" s="5">
        <v>1.0</v>
      </c>
      <c r="L720" s="5">
        <v>2340.0</v>
      </c>
      <c r="M720" s="8">
        <v>49.052</v>
      </c>
      <c r="N720" s="5">
        <v>-118.93667</v>
      </c>
      <c r="O720" s="5" t="s">
        <v>142</v>
      </c>
      <c r="P720" s="5">
        <v>394.0</v>
      </c>
      <c r="Q720" s="5">
        <v>1.0</v>
      </c>
      <c r="R720" s="5" t="s">
        <v>2850</v>
      </c>
      <c r="S720" s="5" t="s">
        <v>1737</v>
      </c>
      <c r="T720" s="5">
        <v>609.0</v>
      </c>
      <c r="U720" s="5" t="s">
        <v>645</v>
      </c>
      <c r="W720" s="5">
        <v>32874.0</v>
      </c>
      <c r="X720" s="5" t="s">
        <v>1738</v>
      </c>
      <c r="AO720" s="5" t="s">
        <v>2850</v>
      </c>
      <c r="AP720" s="5">
        <v>394.0</v>
      </c>
      <c r="AQ720" s="5" t="s">
        <v>1700</v>
      </c>
      <c r="AR720" s="5" t="s">
        <v>1739</v>
      </c>
      <c r="AS720" s="5" t="s">
        <v>1740</v>
      </c>
      <c r="AT720" s="5" t="s">
        <v>1741</v>
      </c>
      <c r="AU720" s="5" t="s">
        <v>1772</v>
      </c>
      <c r="AV720" s="5" t="s">
        <v>1720</v>
      </c>
      <c r="AW720" s="5" t="s">
        <v>2698</v>
      </c>
      <c r="AX720" s="5" t="s">
        <v>2827</v>
      </c>
      <c r="AY720" s="5">
        <v>49.052</v>
      </c>
      <c r="AZ720" s="5">
        <v>-118.9367</v>
      </c>
      <c r="BA720" s="5">
        <v>609.0</v>
      </c>
    </row>
    <row r="721" ht="14.25" customHeight="1">
      <c r="A721" s="5" t="s">
        <v>422</v>
      </c>
      <c r="B721" s="5">
        <v>12.0</v>
      </c>
      <c r="C721" s="5" t="s">
        <v>7671</v>
      </c>
      <c r="D721" s="5">
        <v>395.0</v>
      </c>
      <c r="E721" s="5">
        <v>12972.0</v>
      </c>
      <c r="F721" s="51" t="s">
        <v>2853</v>
      </c>
      <c r="G721" s="5" t="s">
        <v>127</v>
      </c>
      <c r="H721" s="5" t="s">
        <v>1697</v>
      </c>
      <c r="I721" s="5" t="s">
        <v>49</v>
      </c>
      <c r="J721" s="5" t="s">
        <v>1698</v>
      </c>
      <c r="K721" s="5">
        <v>1.0</v>
      </c>
      <c r="L721" s="5">
        <v>14904.0</v>
      </c>
      <c r="M721" s="8"/>
      <c r="AO721" s="50" t="s">
        <v>2854</v>
      </c>
      <c r="AP721" s="50">
        <v>395.0</v>
      </c>
      <c r="AQ721" s="50" t="s">
        <v>1700</v>
      </c>
      <c r="AR721" s="50" t="s">
        <v>1701</v>
      </c>
      <c r="AS721" s="50" t="s">
        <v>1702</v>
      </c>
      <c r="AT721" s="50" t="s">
        <v>1703</v>
      </c>
      <c r="AU721" s="50" t="s">
        <v>1704</v>
      </c>
      <c r="AV721" s="50" t="s">
        <v>1702</v>
      </c>
      <c r="AW721" s="50" t="s">
        <v>2698</v>
      </c>
      <c r="AX721" s="50" t="s">
        <v>2797</v>
      </c>
      <c r="AY721" s="50">
        <v>49.3</v>
      </c>
      <c r="AZ721" s="50">
        <v>-117.6</v>
      </c>
      <c r="BA721" s="50">
        <v>495.0</v>
      </c>
    </row>
    <row r="722" ht="14.25" customHeight="1">
      <c r="B722" s="5">
        <v>12.0</v>
      </c>
      <c r="C722" s="5" t="s">
        <v>7666</v>
      </c>
      <c r="D722" s="5">
        <v>396.0</v>
      </c>
      <c r="E722" s="5">
        <v>1938.0</v>
      </c>
      <c r="F722" s="5" t="s">
        <v>2855</v>
      </c>
      <c r="G722" s="5" t="s">
        <v>2856</v>
      </c>
      <c r="H722" s="5" t="s">
        <v>2857</v>
      </c>
      <c r="I722" s="5" t="s">
        <v>641</v>
      </c>
      <c r="J722" s="5" t="s">
        <v>1865</v>
      </c>
      <c r="K722" s="5">
        <v>1.0</v>
      </c>
      <c r="L722" s="5">
        <v>2341.0</v>
      </c>
      <c r="M722" s="8">
        <v>49.699</v>
      </c>
      <c r="N722" s="5">
        <v>-118.081</v>
      </c>
      <c r="O722" s="5" t="s">
        <v>170</v>
      </c>
      <c r="P722" s="5">
        <v>396.0</v>
      </c>
      <c r="Q722" s="5">
        <v>4.0</v>
      </c>
      <c r="R722" s="5" t="s">
        <v>2855</v>
      </c>
      <c r="S722" s="5" t="s">
        <v>1737</v>
      </c>
      <c r="T722" s="5">
        <v>1432.0</v>
      </c>
      <c r="W722" s="5">
        <v>36526.0</v>
      </c>
      <c r="X722" s="5" t="s">
        <v>1738</v>
      </c>
      <c r="AO722" s="5" t="s">
        <v>2855</v>
      </c>
      <c r="AP722" s="5">
        <v>396.0</v>
      </c>
      <c r="AQ722" s="5" t="s">
        <v>1716</v>
      </c>
      <c r="AR722" s="5" t="s">
        <v>1739</v>
      </c>
      <c r="AS722" s="5" t="s">
        <v>1740</v>
      </c>
      <c r="AT722" s="5" t="s">
        <v>1741</v>
      </c>
      <c r="AU722" s="5" t="s">
        <v>1742</v>
      </c>
      <c r="AV722" s="5" t="s">
        <v>1720</v>
      </c>
      <c r="AW722" s="5" t="s">
        <v>2698</v>
      </c>
      <c r="AX722" s="5" t="s">
        <v>2797</v>
      </c>
      <c r="AY722" s="5">
        <v>49.699</v>
      </c>
      <c r="AZ722" s="5">
        <v>-118.081</v>
      </c>
      <c r="BA722" s="5">
        <v>1432.0</v>
      </c>
    </row>
    <row r="723" ht="14.25" customHeight="1">
      <c r="B723" s="5">
        <v>12.0</v>
      </c>
      <c r="C723" s="5" t="s">
        <v>7666</v>
      </c>
      <c r="D723" s="5">
        <v>397.0</v>
      </c>
      <c r="E723" s="5">
        <v>1939.0</v>
      </c>
      <c r="F723" s="18" t="s">
        <v>2858</v>
      </c>
      <c r="G723" s="5" t="s">
        <v>2859</v>
      </c>
      <c r="H723" s="5" t="s">
        <v>1900</v>
      </c>
      <c r="I723" s="5" t="s">
        <v>1664</v>
      </c>
      <c r="J723" s="5" t="s">
        <v>1715</v>
      </c>
      <c r="K723" s="5">
        <v>1.0</v>
      </c>
      <c r="L723" s="5">
        <v>2342.0</v>
      </c>
      <c r="M723" s="8"/>
      <c r="AO723" s="5" t="s">
        <v>2858</v>
      </c>
      <c r="AP723" s="5">
        <v>397.0</v>
      </c>
      <c r="AQ723" s="5" t="s">
        <v>1716</v>
      </c>
      <c r="AR723" s="5" t="s">
        <v>1717</v>
      </c>
      <c r="AS723" s="5" t="s">
        <v>1718</v>
      </c>
      <c r="AT723" s="5" t="s">
        <v>1719</v>
      </c>
      <c r="AU723" s="5" t="s">
        <v>1703</v>
      </c>
      <c r="AV723" s="5" t="s">
        <v>1720</v>
      </c>
      <c r="AW723" s="5" t="s">
        <v>2698</v>
      </c>
      <c r="AY723" s="5">
        <v>49.0</v>
      </c>
      <c r="AZ723" s="5">
        <v>-117.3</v>
      </c>
      <c r="BA723" s="5">
        <v>0.0</v>
      </c>
    </row>
    <row r="724" ht="14.25" customHeight="1">
      <c r="A724" s="5" t="s">
        <v>2037</v>
      </c>
      <c r="B724" s="5">
        <v>12.0</v>
      </c>
      <c r="C724" s="5" t="s">
        <v>7666</v>
      </c>
      <c r="D724" s="5">
        <v>398.0</v>
      </c>
      <c r="E724" s="5">
        <v>1940.0</v>
      </c>
      <c r="F724" s="5" t="s">
        <v>2860</v>
      </c>
      <c r="G724" s="5" t="s">
        <v>2861</v>
      </c>
      <c r="H724" s="5" t="s">
        <v>2862</v>
      </c>
      <c r="I724" s="5" t="s">
        <v>641</v>
      </c>
      <c r="J724" s="5" t="s">
        <v>1715</v>
      </c>
      <c r="K724" s="5">
        <v>1.0</v>
      </c>
      <c r="L724" s="5">
        <v>2343.0</v>
      </c>
      <c r="M724" s="8"/>
      <c r="N724" s="11"/>
      <c r="O724" s="11"/>
      <c r="P724" s="11"/>
      <c r="Q724" s="22"/>
      <c r="R724" s="11"/>
      <c r="S724" s="11"/>
      <c r="T724" s="11"/>
      <c r="U724" s="11"/>
      <c r="V724" s="11"/>
      <c r="W724" s="60"/>
      <c r="X724" s="11"/>
      <c r="AO724" s="5" t="s">
        <v>2863</v>
      </c>
      <c r="AP724" s="5">
        <v>398.0</v>
      </c>
      <c r="AQ724" s="5" t="s">
        <v>1716</v>
      </c>
      <c r="AR724" s="5" t="s">
        <v>1717</v>
      </c>
      <c r="AS724" s="5" t="s">
        <v>1718</v>
      </c>
      <c r="AT724" s="5" t="s">
        <v>1835</v>
      </c>
      <c r="AU724" s="5" t="s">
        <v>1836</v>
      </c>
      <c r="AV724" s="5" t="s">
        <v>1720</v>
      </c>
      <c r="AW724" s="5" t="s">
        <v>2698</v>
      </c>
      <c r="AX724" s="5" t="s">
        <v>2801</v>
      </c>
      <c r="AY724" s="5">
        <v>49.038</v>
      </c>
      <c r="AZ724" s="5">
        <v>-116.4958</v>
      </c>
      <c r="BA724" s="5">
        <v>683.0</v>
      </c>
    </row>
    <row r="725" ht="14.25" customHeight="1">
      <c r="B725" s="5">
        <v>12.0</v>
      </c>
      <c r="C725" s="5" t="s">
        <v>7666</v>
      </c>
      <c r="D725" s="5">
        <v>399.0</v>
      </c>
      <c r="E725" s="5">
        <v>1941.0</v>
      </c>
      <c r="F725" s="18" t="s">
        <v>2864</v>
      </c>
      <c r="G725" s="5" t="s">
        <v>2865</v>
      </c>
      <c r="H725" s="5" t="s">
        <v>2866</v>
      </c>
      <c r="I725" s="5" t="s">
        <v>1664</v>
      </c>
      <c r="J725" s="5" t="s">
        <v>1746</v>
      </c>
      <c r="K725" s="5">
        <v>1.0</v>
      </c>
      <c r="L725" s="5">
        <v>2344.0</v>
      </c>
      <c r="M725" s="8"/>
      <c r="AO725" s="5" t="s">
        <v>2864</v>
      </c>
      <c r="AP725" s="5">
        <v>399.0</v>
      </c>
      <c r="AQ725" s="5" t="s">
        <v>1716</v>
      </c>
      <c r="AR725" s="5" t="s">
        <v>1717</v>
      </c>
      <c r="AS725" s="5" t="s">
        <v>1718</v>
      </c>
      <c r="AT725" s="5" t="s">
        <v>1719</v>
      </c>
      <c r="AU725" s="5" t="s">
        <v>1703</v>
      </c>
      <c r="AV725" s="5" t="s">
        <v>1720</v>
      </c>
      <c r="AW725" s="5" t="s">
        <v>2698</v>
      </c>
      <c r="AX725" s="5" t="s">
        <v>2801</v>
      </c>
      <c r="AY725" s="5">
        <v>49.6</v>
      </c>
      <c r="AZ725" s="5">
        <v>-117.0</v>
      </c>
      <c r="BA725" s="5">
        <v>0.0</v>
      </c>
    </row>
    <row r="726" ht="14.25" customHeight="1">
      <c r="B726" s="5">
        <v>12.0</v>
      </c>
      <c r="C726" s="5" t="s">
        <v>7666</v>
      </c>
      <c r="D726" s="5">
        <v>400.0</v>
      </c>
      <c r="E726" s="5">
        <v>1942.0</v>
      </c>
      <c r="F726" s="18" t="s">
        <v>2867</v>
      </c>
      <c r="G726" s="5" t="s">
        <v>2868</v>
      </c>
      <c r="H726" s="5" t="s">
        <v>2869</v>
      </c>
      <c r="I726" s="5" t="s">
        <v>1664</v>
      </c>
      <c r="J726" s="5" t="s">
        <v>1715</v>
      </c>
      <c r="K726" s="5">
        <v>1.0</v>
      </c>
      <c r="L726" s="5">
        <v>2345.0</v>
      </c>
      <c r="M726" s="8"/>
      <c r="AO726" s="5" t="s">
        <v>2867</v>
      </c>
      <c r="AP726" s="5">
        <v>400.0</v>
      </c>
      <c r="AQ726" s="5" t="s">
        <v>1716</v>
      </c>
      <c r="AR726" s="5" t="s">
        <v>1717</v>
      </c>
      <c r="AS726" s="5" t="s">
        <v>1718</v>
      </c>
      <c r="AT726" s="5" t="s">
        <v>1719</v>
      </c>
      <c r="AU726" s="5" t="s">
        <v>1703</v>
      </c>
      <c r="AV726" s="5" t="s">
        <v>1720</v>
      </c>
      <c r="AW726" s="5" t="s">
        <v>2698</v>
      </c>
      <c r="AX726" s="5" t="s">
        <v>2801</v>
      </c>
      <c r="AY726" s="5">
        <v>49.6</v>
      </c>
      <c r="AZ726" s="5">
        <v>-117.1</v>
      </c>
      <c r="BA726" s="5">
        <v>0.0</v>
      </c>
    </row>
    <row r="727" ht="14.25" customHeight="1">
      <c r="B727" s="5">
        <v>12.0</v>
      </c>
      <c r="C727" s="5" t="s">
        <v>7666</v>
      </c>
      <c r="D727" s="5">
        <v>401.0</v>
      </c>
      <c r="E727" s="5">
        <v>1943.0</v>
      </c>
      <c r="F727" s="5" t="s">
        <v>1278</v>
      </c>
      <c r="G727" s="5" t="s">
        <v>2870</v>
      </c>
      <c r="H727" s="5" t="s">
        <v>2871</v>
      </c>
      <c r="I727" s="5" t="s">
        <v>641</v>
      </c>
      <c r="J727" s="5" t="s">
        <v>1865</v>
      </c>
      <c r="K727" s="5">
        <v>1.0</v>
      </c>
      <c r="L727" s="5">
        <v>2346.0</v>
      </c>
      <c r="M727" s="64">
        <v>49.12533</v>
      </c>
      <c r="N727" s="36">
        <v>-116.16383</v>
      </c>
      <c r="O727" s="11" t="s">
        <v>170</v>
      </c>
      <c r="P727" s="11">
        <v>401.0</v>
      </c>
      <c r="Q727" s="22">
        <v>2.0</v>
      </c>
      <c r="R727" s="36" t="s">
        <v>1278</v>
      </c>
      <c r="S727" s="11" t="s">
        <v>1737</v>
      </c>
      <c r="T727" s="37">
        <v>1098.0</v>
      </c>
      <c r="U727" s="11"/>
      <c r="V727" s="11"/>
      <c r="W727" s="23">
        <v>31413.0</v>
      </c>
      <c r="X727" s="11" t="s">
        <v>1738</v>
      </c>
      <c r="AO727" s="5" t="s">
        <v>1278</v>
      </c>
      <c r="AP727" s="5">
        <v>401.0</v>
      </c>
      <c r="AQ727" s="5" t="s">
        <v>1700</v>
      </c>
      <c r="AR727" s="5" t="s">
        <v>1739</v>
      </c>
      <c r="AS727" s="5" t="s">
        <v>1740</v>
      </c>
      <c r="AT727" s="5" t="s">
        <v>1741</v>
      </c>
      <c r="AU727" s="5" t="s">
        <v>1959</v>
      </c>
      <c r="AV727" s="5" t="s">
        <v>1720</v>
      </c>
      <c r="AW727" s="5" t="s">
        <v>2698</v>
      </c>
      <c r="AX727" s="5" t="s">
        <v>2801</v>
      </c>
      <c r="AY727" s="5">
        <v>49.1253</v>
      </c>
      <c r="AZ727" s="5">
        <v>-116.1638</v>
      </c>
      <c r="BA727" s="5">
        <v>1098.0</v>
      </c>
    </row>
    <row r="728" ht="14.25" customHeight="1">
      <c r="A728" s="5" t="s">
        <v>88</v>
      </c>
      <c r="B728" s="5">
        <v>12.0</v>
      </c>
      <c r="C728" s="5" t="s">
        <v>7666</v>
      </c>
      <c r="D728" s="5">
        <v>402.0</v>
      </c>
      <c r="E728" s="5">
        <v>1944.0</v>
      </c>
      <c r="F728" s="5" t="s">
        <v>2872</v>
      </c>
      <c r="G728" s="10" t="s">
        <v>2873</v>
      </c>
      <c r="H728" s="5" t="s">
        <v>2750</v>
      </c>
      <c r="I728" s="5" t="s">
        <v>641</v>
      </c>
      <c r="J728" s="5" t="s">
        <v>1865</v>
      </c>
      <c r="K728" s="5">
        <v>1.0</v>
      </c>
      <c r="L728" s="5">
        <v>2347.0</v>
      </c>
      <c r="M728" s="8">
        <v>49.05056</v>
      </c>
      <c r="N728" s="11">
        <v>-117.41389</v>
      </c>
      <c r="O728" s="11" t="s">
        <v>170</v>
      </c>
      <c r="P728" s="11">
        <v>402.0</v>
      </c>
      <c r="Q728" s="22">
        <v>1.0</v>
      </c>
      <c r="R728" s="11" t="s">
        <v>2872</v>
      </c>
      <c r="S728" s="11" t="s">
        <v>1737</v>
      </c>
      <c r="T728" s="11">
        <v>725.0</v>
      </c>
      <c r="U728" s="11"/>
      <c r="V728" s="11"/>
      <c r="W728" s="23">
        <v>31413.0</v>
      </c>
      <c r="X728" s="11" t="s">
        <v>1738</v>
      </c>
      <c r="AO728" s="5" t="s">
        <v>2872</v>
      </c>
      <c r="AP728" s="5">
        <v>402.0</v>
      </c>
      <c r="AQ728" s="5" t="s">
        <v>1716</v>
      </c>
      <c r="AR728" s="5" t="s">
        <v>1739</v>
      </c>
      <c r="AS728" s="5" t="s">
        <v>1740</v>
      </c>
      <c r="AT728" s="5" t="s">
        <v>1741</v>
      </c>
      <c r="AU728" s="5" t="s">
        <v>1742</v>
      </c>
      <c r="AV728" s="5" t="s">
        <v>1720</v>
      </c>
      <c r="AW728" s="5" t="s">
        <v>2698</v>
      </c>
      <c r="AX728" s="5" t="s">
        <v>2797</v>
      </c>
      <c r="AY728" s="5">
        <v>49.0506</v>
      </c>
      <c r="AZ728" s="5">
        <v>-117.4139</v>
      </c>
      <c r="BA728" s="5">
        <v>725.0</v>
      </c>
    </row>
    <row r="729" ht="14.25" customHeight="1">
      <c r="B729" s="5">
        <v>12.0</v>
      </c>
      <c r="C729" s="5" t="s">
        <v>7666</v>
      </c>
      <c r="D729" s="5">
        <v>403.0</v>
      </c>
      <c r="E729" s="5">
        <v>1945.0</v>
      </c>
      <c r="F729" s="18" t="s">
        <v>2874</v>
      </c>
      <c r="G729" s="5" t="s">
        <v>2875</v>
      </c>
      <c r="H729" s="5" t="s">
        <v>2876</v>
      </c>
      <c r="I729" s="5" t="s">
        <v>641</v>
      </c>
      <c r="J729" s="5" t="s">
        <v>1715</v>
      </c>
      <c r="K729" s="5">
        <v>1.0</v>
      </c>
      <c r="L729" s="5">
        <v>2348.0</v>
      </c>
      <c r="M729" s="64"/>
      <c r="N729" s="36"/>
      <c r="R729" s="36"/>
      <c r="T729" s="37"/>
      <c r="AO729" s="5" t="s">
        <v>2874</v>
      </c>
      <c r="AP729" s="5">
        <v>403.0</v>
      </c>
      <c r="AQ729" s="5" t="s">
        <v>1716</v>
      </c>
      <c r="AR729" s="5" t="s">
        <v>1717</v>
      </c>
      <c r="AS729" s="5" t="s">
        <v>1718</v>
      </c>
      <c r="AT729" s="5" t="s">
        <v>1703</v>
      </c>
      <c r="AU729" s="5" t="s">
        <v>1703</v>
      </c>
      <c r="AV729" s="5" t="s">
        <v>1720</v>
      </c>
      <c r="AW729" s="5" t="s">
        <v>2698</v>
      </c>
      <c r="AX729" s="5" t="s">
        <v>2801</v>
      </c>
      <c r="AY729" s="5">
        <v>49.6</v>
      </c>
      <c r="AZ729" s="5">
        <v>-117.3</v>
      </c>
      <c r="BA729" s="5">
        <v>6.0</v>
      </c>
    </row>
    <row r="730" ht="14.25" customHeight="1">
      <c r="B730" s="5">
        <v>12.0</v>
      </c>
      <c r="C730" s="5" t="s">
        <v>7666</v>
      </c>
      <c r="D730" s="5">
        <v>404.0</v>
      </c>
      <c r="E730" s="5">
        <v>1946.0</v>
      </c>
      <c r="F730" s="5" t="s">
        <v>2877</v>
      </c>
      <c r="G730" s="5" t="s">
        <v>2878</v>
      </c>
      <c r="H730" s="5" t="s">
        <v>2879</v>
      </c>
      <c r="I730" s="5" t="s">
        <v>641</v>
      </c>
      <c r="J730" s="5" t="s">
        <v>1736</v>
      </c>
      <c r="K730" s="5">
        <v>1.0</v>
      </c>
      <c r="L730" s="5">
        <v>2349.0</v>
      </c>
      <c r="M730" s="8">
        <v>49.49667</v>
      </c>
      <c r="N730" s="11">
        <v>-117.4475</v>
      </c>
      <c r="O730" s="11" t="s">
        <v>170</v>
      </c>
      <c r="P730" s="11">
        <v>404.0</v>
      </c>
      <c r="Q730" s="22">
        <v>2.0</v>
      </c>
      <c r="R730" s="11" t="s">
        <v>2877</v>
      </c>
      <c r="S730" s="11" t="s">
        <v>1737</v>
      </c>
      <c r="T730" s="11">
        <v>997.0</v>
      </c>
      <c r="U730" s="11" t="s">
        <v>645</v>
      </c>
      <c r="V730" s="11"/>
      <c r="W730" s="23">
        <v>33239.0</v>
      </c>
      <c r="X730" s="11" t="s">
        <v>1738</v>
      </c>
      <c r="AO730" s="5" t="s">
        <v>2877</v>
      </c>
      <c r="AP730" s="5">
        <v>404.0</v>
      </c>
      <c r="AQ730" s="5" t="s">
        <v>1700</v>
      </c>
      <c r="AR730" s="5" t="s">
        <v>1739</v>
      </c>
      <c r="AS730" s="5" t="s">
        <v>1740</v>
      </c>
      <c r="AT730" s="5" t="s">
        <v>1741</v>
      </c>
      <c r="AU730" s="5" t="s">
        <v>1772</v>
      </c>
      <c r="AV730" s="5" t="s">
        <v>1720</v>
      </c>
      <c r="AW730" s="5" t="s">
        <v>2698</v>
      </c>
      <c r="AX730" s="5" t="s">
        <v>2801</v>
      </c>
      <c r="AY730" s="5">
        <v>49.4967</v>
      </c>
      <c r="AZ730" s="5">
        <v>-117.4475</v>
      </c>
      <c r="BA730" s="5">
        <v>997.0</v>
      </c>
    </row>
    <row r="731" ht="14.25" customHeight="1">
      <c r="B731" s="5">
        <v>12.0</v>
      </c>
      <c r="C731" s="5" t="s">
        <v>7666</v>
      </c>
      <c r="D731" s="5">
        <v>405.0</v>
      </c>
      <c r="E731" s="5">
        <v>1947.0</v>
      </c>
      <c r="F731" s="18" t="s">
        <v>2880</v>
      </c>
      <c r="G731" s="5" t="s">
        <v>2881</v>
      </c>
      <c r="H731" s="5" t="s">
        <v>2882</v>
      </c>
      <c r="I731" s="5" t="s">
        <v>641</v>
      </c>
      <c r="J731" s="5" t="s">
        <v>1715</v>
      </c>
      <c r="K731" s="5">
        <v>1.0</v>
      </c>
      <c r="L731" s="5">
        <v>2350.0</v>
      </c>
      <c r="M731" s="64"/>
      <c r="N731" s="36"/>
      <c r="P731" s="36"/>
      <c r="R731" s="36"/>
      <c r="T731" s="37"/>
      <c r="AO731" s="5" t="s">
        <v>2880</v>
      </c>
      <c r="AP731" s="5">
        <v>405.0</v>
      </c>
      <c r="AQ731" s="5" t="s">
        <v>1716</v>
      </c>
      <c r="AR731" s="5" t="s">
        <v>1717</v>
      </c>
      <c r="AS731" s="5" t="s">
        <v>1718</v>
      </c>
      <c r="AT731" s="5" t="s">
        <v>1703</v>
      </c>
      <c r="AU731" s="5" t="s">
        <v>1703</v>
      </c>
      <c r="AV731" s="5" t="s">
        <v>1720</v>
      </c>
      <c r="AW731" s="5" t="s">
        <v>2698</v>
      </c>
      <c r="AX731" s="5" t="s">
        <v>2797</v>
      </c>
      <c r="AY731" s="5">
        <v>49.8</v>
      </c>
      <c r="AZ731" s="5">
        <v>-118.2</v>
      </c>
      <c r="BA731" s="5">
        <v>15.0</v>
      </c>
    </row>
    <row r="732" ht="14.25" customHeight="1">
      <c r="B732" s="5">
        <v>12.0</v>
      </c>
      <c r="C732" s="5" t="s">
        <v>7666</v>
      </c>
      <c r="D732" s="5">
        <v>406.0</v>
      </c>
      <c r="E732" s="5">
        <v>1948.0</v>
      </c>
      <c r="F732" s="5" t="s">
        <v>2883</v>
      </c>
      <c r="G732" s="5" t="s">
        <v>2884</v>
      </c>
      <c r="H732" s="5" t="s">
        <v>2885</v>
      </c>
      <c r="I732" s="5" t="s">
        <v>641</v>
      </c>
      <c r="J732" s="5" t="s">
        <v>1736</v>
      </c>
      <c r="K732" s="5">
        <v>1.0</v>
      </c>
      <c r="L732" s="5">
        <v>2351.0</v>
      </c>
      <c r="M732" s="8">
        <v>49.78467</v>
      </c>
      <c r="N732" s="11">
        <v>-117.44</v>
      </c>
      <c r="O732" s="11" t="s">
        <v>170</v>
      </c>
      <c r="P732" s="11">
        <v>406.0</v>
      </c>
      <c r="Q732" s="22">
        <v>3.0</v>
      </c>
      <c r="R732" s="11" t="s">
        <v>2883</v>
      </c>
      <c r="S732" s="11" t="s">
        <v>1737</v>
      </c>
      <c r="T732" s="11">
        <v>1230.0</v>
      </c>
      <c r="U732" s="11" t="s">
        <v>645</v>
      </c>
      <c r="V732" s="11"/>
      <c r="W732" s="23">
        <v>33604.0</v>
      </c>
      <c r="X732" s="11" t="s">
        <v>1738</v>
      </c>
      <c r="AO732" s="5" t="s">
        <v>2883</v>
      </c>
      <c r="AP732" s="5">
        <v>406.0</v>
      </c>
      <c r="AQ732" s="5" t="s">
        <v>1700</v>
      </c>
      <c r="AR732" s="5" t="s">
        <v>1739</v>
      </c>
      <c r="AS732" s="5" t="s">
        <v>1740</v>
      </c>
      <c r="AT732" s="5" t="s">
        <v>1741</v>
      </c>
      <c r="AU732" s="5" t="s">
        <v>1772</v>
      </c>
      <c r="AV732" s="5" t="s">
        <v>1720</v>
      </c>
      <c r="AW732" s="5" t="s">
        <v>2698</v>
      </c>
      <c r="AX732" s="5" t="s">
        <v>2797</v>
      </c>
      <c r="AY732" s="5">
        <v>49.7847</v>
      </c>
      <c r="AZ732" s="5">
        <v>-117.44</v>
      </c>
      <c r="BA732" s="5">
        <v>1230.0</v>
      </c>
    </row>
    <row r="733" ht="14.25" customHeight="1">
      <c r="B733" s="5">
        <v>12.0</v>
      </c>
      <c r="C733" s="5" t="s">
        <v>7666</v>
      </c>
      <c r="D733" s="5">
        <v>407.0</v>
      </c>
      <c r="E733" s="5">
        <v>1949.0</v>
      </c>
      <c r="F733" s="5" t="s">
        <v>2886</v>
      </c>
      <c r="G733" s="5" t="s">
        <v>2887</v>
      </c>
      <c r="H733" s="5" t="s">
        <v>2888</v>
      </c>
      <c r="I733" s="5" t="s">
        <v>641</v>
      </c>
      <c r="J733" s="5" t="s">
        <v>1736</v>
      </c>
      <c r="K733" s="5">
        <v>1.0</v>
      </c>
      <c r="L733" s="5">
        <v>2352.0</v>
      </c>
      <c r="M733" s="8">
        <v>49.2545</v>
      </c>
      <c r="N733" s="11">
        <v>-117.99417</v>
      </c>
      <c r="O733" s="11" t="s">
        <v>170</v>
      </c>
      <c r="P733" s="11">
        <v>407.0</v>
      </c>
      <c r="Q733" s="22">
        <v>4.0</v>
      </c>
      <c r="R733" s="11" t="s">
        <v>2886</v>
      </c>
      <c r="S733" s="11" t="s">
        <v>1737</v>
      </c>
      <c r="T733" s="11">
        <v>1397.0</v>
      </c>
      <c r="U733" s="11"/>
      <c r="V733" s="11"/>
      <c r="W733" s="23">
        <v>33604.0</v>
      </c>
      <c r="X733" s="11" t="s">
        <v>1738</v>
      </c>
      <c r="AO733" s="5" t="s">
        <v>2886</v>
      </c>
      <c r="AP733" s="5">
        <v>407.0</v>
      </c>
      <c r="AQ733" s="5" t="s">
        <v>1716</v>
      </c>
      <c r="AR733" s="5" t="s">
        <v>1739</v>
      </c>
      <c r="AS733" s="5" t="s">
        <v>1740</v>
      </c>
      <c r="AT733" s="5" t="s">
        <v>1741</v>
      </c>
      <c r="AU733" s="5" t="s">
        <v>1742</v>
      </c>
      <c r="AV733" s="5" t="s">
        <v>1720</v>
      </c>
      <c r="AW733" s="5" t="s">
        <v>2698</v>
      </c>
      <c r="AX733" s="5" t="s">
        <v>2797</v>
      </c>
      <c r="AY733" s="5">
        <v>49.2545</v>
      </c>
      <c r="AZ733" s="5">
        <v>-117.9942</v>
      </c>
      <c r="BA733" s="5">
        <v>1397.0</v>
      </c>
    </row>
    <row r="734" ht="14.25" customHeight="1">
      <c r="B734" s="5">
        <v>12.0</v>
      </c>
      <c r="C734" s="5" t="s">
        <v>7666</v>
      </c>
      <c r="D734" s="5">
        <v>408.0</v>
      </c>
      <c r="E734" s="5">
        <v>1950.0</v>
      </c>
      <c r="F734" s="5" t="s">
        <v>2889</v>
      </c>
      <c r="G734" s="5" t="s">
        <v>2890</v>
      </c>
      <c r="H734" s="5" t="s">
        <v>2891</v>
      </c>
      <c r="I734" s="5" t="s">
        <v>641</v>
      </c>
      <c r="J734" s="5" t="s">
        <v>1865</v>
      </c>
      <c r="K734" s="5">
        <v>1.0</v>
      </c>
      <c r="L734" s="5">
        <v>2353.0</v>
      </c>
      <c r="M734" s="8">
        <v>49.5025</v>
      </c>
      <c r="N734" s="11">
        <v>-117.787</v>
      </c>
      <c r="O734" s="11" t="s">
        <v>170</v>
      </c>
      <c r="P734" s="11">
        <v>408.0</v>
      </c>
      <c r="Q734" s="22">
        <v>8.0</v>
      </c>
      <c r="R734" s="11" t="s">
        <v>2889</v>
      </c>
      <c r="S734" s="11" t="s">
        <v>1737</v>
      </c>
      <c r="T734" s="11">
        <v>2423.0</v>
      </c>
      <c r="U734" s="11"/>
      <c r="V734" s="11"/>
      <c r="W734" s="23">
        <v>33604.0</v>
      </c>
      <c r="X734" s="11" t="s">
        <v>1738</v>
      </c>
      <c r="AO734" s="5" t="s">
        <v>2892</v>
      </c>
      <c r="AP734" s="5">
        <v>408.0</v>
      </c>
      <c r="AQ734" s="5" t="s">
        <v>1700</v>
      </c>
      <c r="AR734" s="5" t="s">
        <v>1701</v>
      </c>
      <c r="AS734" s="5" t="s">
        <v>1740</v>
      </c>
      <c r="AT734" s="5" t="s">
        <v>1835</v>
      </c>
      <c r="AU734" s="5" t="s">
        <v>2489</v>
      </c>
      <c r="AV734" s="5" t="s">
        <v>1720</v>
      </c>
      <c r="AW734" s="5" t="s">
        <v>2698</v>
      </c>
      <c r="AX734" s="5" t="s">
        <v>2797</v>
      </c>
      <c r="AY734" s="5">
        <v>49.5025</v>
      </c>
      <c r="AZ734" s="5">
        <v>-117.787</v>
      </c>
      <c r="BA734" s="5">
        <v>2423.0</v>
      </c>
    </row>
    <row r="735" ht="14.25" customHeight="1">
      <c r="B735" s="5">
        <v>12.0</v>
      </c>
      <c r="C735" s="5" t="s">
        <v>7666</v>
      </c>
      <c r="D735" s="5">
        <v>410.0</v>
      </c>
      <c r="E735" s="5">
        <v>1951.0</v>
      </c>
      <c r="F735" s="18" t="s">
        <v>2893</v>
      </c>
      <c r="G735" s="5" t="s">
        <v>2894</v>
      </c>
      <c r="H735" s="5" t="s">
        <v>2895</v>
      </c>
      <c r="I735" s="5" t="s">
        <v>641</v>
      </c>
      <c r="J735" s="5" t="s">
        <v>1715</v>
      </c>
      <c r="K735" s="5">
        <v>1.0</v>
      </c>
      <c r="L735" s="5">
        <v>2354.0</v>
      </c>
      <c r="M735" s="64"/>
      <c r="N735" s="36"/>
      <c r="P735" s="36"/>
      <c r="R735" s="36"/>
      <c r="T735" s="37"/>
      <c r="AO735" s="5" t="s">
        <v>2893</v>
      </c>
      <c r="AP735" s="5">
        <v>410.0</v>
      </c>
      <c r="AQ735" s="5" t="s">
        <v>1716</v>
      </c>
      <c r="AR735" s="5" t="s">
        <v>1717</v>
      </c>
      <c r="AS735" s="5" t="s">
        <v>1718</v>
      </c>
      <c r="AT735" s="5" t="s">
        <v>1703</v>
      </c>
      <c r="AU735" s="5" t="s">
        <v>1703</v>
      </c>
      <c r="AV735" s="5" t="s">
        <v>1720</v>
      </c>
      <c r="AW735" s="5" t="s">
        <v>2698</v>
      </c>
      <c r="AX735" s="5" t="s">
        <v>2768</v>
      </c>
      <c r="AY735" s="5">
        <v>50.1722</v>
      </c>
      <c r="AZ735" s="5">
        <v>-116.0217</v>
      </c>
      <c r="BA735" s="5">
        <v>1301.0</v>
      </c>
    </row>
    <row r="736" ht="14.25" customHeight="1">
      <c r="A736" s="5" t="s">
        <v>88</v>
      </c>
      <c r="B736" s="5">
        <v>12.0</v>
      </c>
      <c r="C736" s="5" t="s">
        <v>7666</v>
      </c>
      <c r="D736" s="5">
        <v>411.0</v>
      </c>
      <c r="E736" s="5">
        <v>1952.0</v>
      </c>
      <c r="F736" s="5" t="s">
        <v>2896</v>
      </c>
      <c r="G736" s="10" t="s">
        <v>2897</v>
      </c>
      <c r="H736" s="5" t="s">
        <v>2898</v>
      </c>
      <c r="I736" s="5" t="s">
        <v>641</v>
      </c>
      <c r="J736" s="5" t="s">
        <v>1736</v>
      </c>
      <c r="K736" s="5">
        <v>1.0</v>
      </c>
      <c r="L736" s="5">
        <v>2355.0</v>
      </c>
      <c r="M736" s="8">
        <v>50.49461</v>
      </c>
      <c r="N736" s="11">
        <v>-115.66644</v>
      </c>
      <c r="O736" s="11" t="s">
        <v>170</v>
      </c>
      <c r="P736" s="11">
        <v>411.0</v>
      </c>
      <c r="Q736" s="22">
        <v>2.0</v>
      </c>
      <c r="R736" s="11" t="s">
        <v>2896</v>
      </c>
      <c r="S736" s="11" t="s">
        <v>1737</v>
      </c>
      <c r="T736" s="11">
        <v>1100.0</v>
      </c>
      <c r="U736" s="11"/>
      <c r="V736" s="11"/>
      <c r="W736" s="23">
        <v>26665.0</v>
      </c>
      <c r="X736" s="11" t="s">
        <v>1738</v>
      </c>
      <c r="AO736" s="5" t="s">
        <v>2896</v>
      </c>
      <c r="AP736" s="5">
        <v>411.0</v>
      </c>
      <c r="AQ736" s="5" t="s">
        <v>1716</v>
      </c>
      <c r="AR736" s="5" t="s">
        <v>1739</v>
      </c>
      <c r="AS736" s="5" t="s">
        <v>1740</v>
      </c>
      <c r="AT736" s="5" t="s">
        <v>1741</v>
      </c>
      <c r="AU736" s="5" t="s">
        <v>1742</v>
      </c>
      <c r="AV736" s="5" t="s">
        <v>1720</v>
      </c>
      <c r="AW736" s="5" t="s">
        <v>2698</v>
      </c>
      <c r="AX736" s="5" t="s">
        <v>2768</v>
      </c>
      <c r="AY736" s="5">
        <v>50.4946</v>
      </c>
      <c r="AZ736" s="5">
        <v>-115.6664</v>
      </c>
      <c r="BA736" s="5">
        <v>1100.0</v>
      </c>
    </row>
    <row r="737" ht="14.25" customHeight="1">
      <c r="A737" s="5" t="s">
        <v>88</v>
      </c>
      <c r="B737" s="5">
        <v>12.0</v>
      </c>
      <c r="C737" s="5" t="s">
        <v>7666</v>
      </c>
      <c r="D737" s="5">
        <v>412.0</v>
      </c>
      <c r="E737" s="5">
        <v>1953.0</v>
      </c>
      <c r="F737" s="5" t="s">
        <v>2899</v>
      </c>
      <c r="G737" s="10" t="s">
        <v>2900</v>
      </c>
      <c r="H737" s="5" t="s">
        <v>2901</v>
      </c>
      <c r="I737" s="5" t="s">
        <v>641</v>
      </c>
      <c r="J737" s="5" t="s">
        <v>1865</v>
      </c>
      <c r="K737" s="5">
        <v>1.0</v>
      </c>
      <c r="L737" s="5">
        <v>2356.0</v>
      </c>
      <c r="M737" s="64">
        <v>49.28767</v>
      </c>
      <c r="N737" s="36">
        <v>-115.15456</v>
      </c>
      <c r="O737" s="11" t="s">
        <v>170</v>
      </c>
      <c r="P737" s="11">
        <v>412.0</v>
      </c>
      <c r="Q737" s="22">
        <v>1.0</v>
      </c>
      <c r="R737" s="36" t="s">
        <v>2899</v>
      </c>
      <c r="S737" s="11" t="s">
        <v>1737</v>
      </c>
      <c r="T737" s="37">
        <v>775.0</v>
      </c>
      <c r="U737" s="11"/>
      <c r="V737" s="11"/>
      <c r="W737" s="23">
        <v>35431.0</v>
      </c>
      <c r="X737" s="11" t="s">
        <v>1738</v>
      </c>
      <c r="AO737" s="5" t="s">
        <v>2899</v>
      </c>
      <c r="AP737" s="5">
        <v>412.0</v>
      </c>
      <c r="AQ737" s="5" t="s">
        <v>1700</v>
      </c>
      <c r="AR737" s="5" t="s">
        <v>1739</v>
      </c>
      <c r="AS737" s="5" t="s">
        <v>1740</v>
      </c>
      <c r="AT737" s="5" t="s">
        <v>1741</v>
      </c>
      <c r="AU737" s="5" t="s">
        <v>1959</v>
      </c>
      <c r="AV737" s="5" t="s">
        <v>1720</v>
      </c>
      <c r="AW737" s="5" t="s">
        <v>2698</v>
      </c>
      <c r="AX737" s="5" t="s">
        <v>2902</v>
      </c>
      <c r="AY737" s="5">
        <v>49.2876</v>
      </c>
      <c r="AZ737" s="5">
        <v>-115.1545</v>
      </c>
      <c r="BA737" s="5">
        <v>876.0</v>
      </c>
    </row>
    <row r="738" ht="14.25" customHeight="1">
      <c r="B738" s="5">
        <v>12.0</v>
      </c>
      <c r="C738" s="5" t="s">
        <v>7666</v>
      </c>
      <c r="D738" s="5">
        <v>413.0</v>
      </c>
      <c r="E738" s="5">
        <v>1954.0</v>
      </c>
      <c r="F738" s="18" t="s">
        <v>2903</v>
      </c>
      <c r="G738" s="5" t="s">
        <v>2904</v>
      </c>
      <c r="H738" s="5" t="s">
        <v>1714</v>
      </c>
      <c r="I738" s="5" t="s">
        <v>1664</v>
      </c>
      <c r="J738" s="5" t="s">
        <v>1715</v>
      </c>
      <c r="K738" s="5">
        <v>1.0</v>
      </c>
      <c r="L738" s="5">
        <v>2357.0</v>
      </c>
      <c r="M738" s="8"/>
      <c r="AO738" s="5" t="s">
        <v>2903</v>
      </c>
      <c r="AP738" s="5">
        <v>413.0</v>
      </c>
      <c r="AQ738" s="5" t="s">
        <v>1716</v>
      </c>
      <c r="AR738" s="5" t="s">
        <v>1717</v>
      </c>
      <c r="AS738" s="5" t="s">
        <v>1718</v>
      </c>
      <c r="AT738" s="5" t="s">
        <v>1719</v>
      </c>
      <c r="AU738" s="5" t="s">
        <v>1703</v>
      </c>
      <c r="AV738" s="5" t="s">
        <v>1720</v>
      </c>
      <c r="AW738" s="5" t="s">
        <v>2698</v>
      </c>
      <c r="AX738" s="5" t="s">
        <v>2768</v>
      </c>
      <c r="AY738" s="5">
        <v>50.5</v>
      </c>
      <c r="AZ738" s="5">
        <v>-116.0</v>
      </c>
      <c r="BA738" s="5">
        <v>0.0</v>
      </c>
    </row>
    <row r="739" ht="14.25" customHeight="1">
      <c r="B739" s="5">
        <v>12.0</v>
      </c>
      <c r="C739" s="5" t="s">
        <v>7666</v>
      </c>
      <c r="D739" s="5">
        <v>414.0</v>
      </c>
      <c r="E739" s="5">
        <v>1955.0</v>
      </c>
      <c r="F739" s="18" t="s">
        <v>2905</v>
      </c>
      <c r="G739" s="5" t="s">
        <v>2906</v>
      </c>
      <c r="H739" s="5" t="s">
        <v>2907</v>
      </c>
      <c r="I739" s="5" t="s">
        <v>1664</v>
      </c>
      <c r="J739" s="5" t="s">
        <v>1715</v>
      </c>
      <c r="K739" s="5">
        <v>1.0</v>
      </c>
      <c r="L739" s="5">
        <v>2358.0</v>
      </c>
      <c r="M739" s="64"/>
      <c r="N739" s="36"/>
      <c r="R739" s="36"/>
      <c r="T739" s="37"/>
      <c r="AO739" s="5" t="s">
        <v>2905</v>
      </c>
      <c r="AP739" s="5">
        <v>414.0</v>
      </c>
      <c r="AQ739" s="5" t="s">
        <v>1716</v>
      </c>
      <c r="AR739" s="5" t="s">
        <v>1717</v>
      </c>
      <c r="AS739" s="5" t="s">
        <v>1718</v>
      </c>
      <c r="AT739" s="5" t="s">
        <v>1719</v>
      </c>
      <c r="AU739" s="5" t="s">
        <v>1703</v>
      </c>
      <c r="AV739" s="5" t="s">
        <v>1720</v>
      </c>
      <c r="AW739" s="5" t="s">
        <v>2698</v>
      </c>
      <c r="AY739" s="5">
        <v>49.0</v>
      </c>
      <c r="AZ739" s="5">
        <v>-114.5</v>
      </c>
      <c r="BA739" s="5">
        <v>0.0</v>
      </c>
    </row>
    <row r="740" ht="14.25" customHeight="1">
      <c r="A740" s="5" t="s">
        <v>422</v>
      </c>
      <c r="B740" s="5">
        <v>12.0</v>
      </c>
      <c r="C740" s="5" t="s">
        <v>7665</v>
      </c>
      <c r="D740" s="5">
        <v>415.0</v>
      </c>
      <c r="E740" s="5">
        <v>12973.0</v>
      </c>
      <c r="F740" s="51" t="s">
        <v>2908</v>
      </c>
      <c r="G740" s="5" t="s">
        <v>127</v>
      </c>
      <c r="H740" s="5" t="s">
        <v>1697</v>
      </c>
      <c r="I740" s="5" t="s">
        <v>49</v>
      </c>
      <c r="J740" s="5" t="s">
        <v>1698</v>
      </c>
      <c r="K740" s="5">
        <v>1.0</v>
      </c>
      <c r="L740" s="5">
        <v>14905.0</v>
      </c>
      <c r="M740" s="8"/>
      <c r="AO740" s="50" t="s">
        <v>2909</v>
      </c>
      <c r="AP740" s="50">
        <v>415.0</v>
      </c>
      <c r="AQ740" s="50" t="s">
        <v>1716</v>
      </c>
      <c r="AR740" s="50" t="s">
        <v>1717</v>
      </c>
      <c r="AS740" s="50" t="s">
        <v>1702</v>
      </c>
      <c r="AT740" s="50" t="s">
        <v>1703</v>
      </c>
      <c r="AU740" s="50" t="s">
        <v>1704</v>
      </c>
      <c r="AV740" s="50" t="s">
        <v>1702</v>
      </c>
      <c r="AW740" s="50" t="s">
        <v>2698</v>
      </c>
      <c r="AX740" s="50" t="s">
        <v>2902</v>
      </c>
      <c r="AY740" s="50">
        <v>49.75</v>
      </c>
      <c r="AZ740" s="50">
        <v>-114.87</v>
      </c>
      <c r="BA740" s="50">
        <v>1138.0</v>
      </c>
    </row>
    <row r="741" ht="14.25" customHeight="1">
      <c r="B741" s="5">
        <v>12.0</v>
      </c>
      <c r="C741" s="5" t="s">
        <v>7666</v>
      </c>
      <c r="D741" s="5">
        <v>416.0</v>
      </c>
      <c r="E741" s="5">
        <v>1956.0</v>
      </c>
      <c r="F741" s="18" t="s">
        <v>2910</v>
      </c>
      <c r="G741" s="5" t="s">
        <v>2911</v>
      </c>
      <c r="H741" s="5" t="s">
        <v>2912</v>
      </c>
      <c r="I741" s="5" t="s">
        <v>641</v>
      </c>
      <c r="J741" s="5" t="s">
        <v>1715</v>
      </c>
      <c r="K741" s="5">
        <v>1.0</v>
      </c>
      <c r="L741" s="5">
        <v>2359.0</v>
      </c>
      <c r="M741" s="64"/>
      <c r="N741" s="36"/>
      <c r="R741" s="36"/>
      <c r="T741" s="37"/>
      <c r="AO741" s="5" t="s">
        <v>2910</v>
      </c>
      <c r="AP741" s="5">
        <v>416.0</v>
      </c>
      <c r="AQ741" s="5" t="s">
        <v>1716</v>
      </c>
      <c r="AR741" s="5" t="s">
        <v>1717</v>
      </c>
      <c r="AS741" s="5" t="s">
        <v>1718</v>
      </c>
      <c r="AT741" s="5" t="s">
        <v>1703</v>
      </c>
      <c r="AU741" s="5" t="s">
        <v>1703</v>
      </c>
      <c r="AV741" s="5" t="s">
        <v>1720</v>
      </c>
      <c r="AW741" s="5" t="s">
        <v>2698</v>
      </c>
      <c r="AX741" s="5" t="s">
        <v>2902</v>
      </c>
      <c r="AY741" s="5">
        <v>49.3</v>
      </c>
      <c r="AZ741" s="5">
        <v>-115.2</v>
      </c>
      <c r="BA741" s="5">
        <v>10.0</v>
      </c>
    </row>
    <row r="742" ht="14.25" customHeight="1">
      <c r="A742" s="5" t="s">
        <v>2037</v>
      </c>
      <c r="B742" s="5">
        <v>12.0</v>
      </c>
      <c r="C742" s="5" t="s">
        <v>7666</v>
      </c>
      <c r="D742" s="5">
        <v>417.0</v>
      </c>
      <c r="E742" s="5">
        <v>1957.0</v>
      </c>
      <c r="F742" s="10" t="s">
        <v>2913</v>
      </c>
      <c r="G742" s="5" t="s">
        <v>2914</v>
      </c>
      <c r="H742" s="5" t="s">
        <v>2915</v>
      </c>
      <c r="I742" s="5" t="s">
        <v>641</v>
      </c>
      <c r="J742" s="5" t="s">
        <v>1736</v>
      </c>
      <c r="K742" s="5">
        <v>1.0</v>
      </c>
      <c r="L742" s="5">
        <v>2360.0</v>
      </c>
      <c r="M742" s="8">
        <v>50.51283</v>
      </c>
      <c r="N742" s="11">
        <v>-116.05533</v>
      </c>
      <c r="O742" s="11" t="s">
        <v>170</v>
      </c>
      <c r="P742" s="11">
        <v>417.0</v>
      </c>
      <c r="Q742" s="22">
        <v>1.0</v>
      </c>
      <c r="R742" s="11" t="s">
        <v>2916</v>
      </c>
      <c r="S742" s="11" t="s">
        <v>1737</v>
      </c>
      <c r="T742" s="11">
        <v>894.0</v>
      </c>
      <c r="U742" s="11" t="s">
        <v>645</v>
      </c>
      <c r="V742" s="11" t="s">
        <v>1830</v>
      </c>
      <c r="W742" s="23">
        <v>31413.0</v>
      </c>
      <c r="X742" s="11" t="s">
        <v>1738</v>
      </c>
      <c r="AO742" s="55" t="s">
        <v>2916</v>
      </c>
      <c r="AP742" s="5">
        <v>417.0</v>
      </c>
      <c r="AQ742" s="5" t="s">
        <v>1700</v>
      </c>
      <c r="AR742" s="5" t="s">
        <v>1739</v>
      </c>
      <c r="AS742" s="5" t="s">
        <v>1740</v>
      </c>
      <c r="AT742" s="5" t="s">
        <v>1741</v>
      </c>
      <c r="AU742" s="5" t="s">
        <v>2043</v>
      </c>
      <c r="AV742" s="5" t="s">
        <v>1720</v>
      </c>
      <c r="AW742" s="5" t="s">
        <v>2698</v>
      </c>
      <c r="AX742" s="5" t="s">
        <v>2768</v>
      </c>
      <c r="AY742" s="5">
        <v>50.5128</v>
      </c>
      <c r="AZ742" s="5">
        <v>-116.0553</v>
      </c>
      <c r="BA742" s="5">
        <v>894.0</v>
      </c>
    </row>
    <row r="743" ht="14.25" customHeight="1">
      <c r="A743" s="5" t="s">
        <v>88</v>
      </c>
      <c r="B743" s="5">
        <v>12.0</v>
      </c>
      <c r="C743" s="5" t="s">
        <v>7666</v>
      </c>
      <c r="D743" s="5">
        <v>418.0</v>
      </c>
      <c r="E743" s="5">
        <v>1958.0</v>
      </c>
      <c r="F743" s="5" t="s">
        <v>2917</v>
      </c>
      <c r="G743" s="10" t="s">
        <v>2918</v>
      </c>
      <c r="H743" s="5" t="s">
        <v>2919</v>
      </c>
      <c r="I743" s="5" t="s">
        <v>641</v>
      </c>
      <c r="J743" s="5" t="s">
        <v>1865</v>
      </c>
      <c r="K743" s="5">
        <v>1.0</v>
      </c>
      <c r="L743" s="5">
        <v>2361.0</v>
      </c>
      <c r="M743" s="8">
        <v>49.07913</v>
      </c>
      <c r="N743" s="11">
        <v>-114.53734</v>
      </c>
      <c r="O743" s="11" t="s">
        <v>170</v>
      </c>
      <c r="P743" s="11">
        <v>418.0</v>
      </c>
      <c r="Q743" s="22">
        <v>3.0</v>
      </c>
      <c r="R743" s="11" t="s">
        <v>2917</v>
      </c>
      <c r="S743" s="11" t="s">
        <v>1737</v>
      </c>
      <c r="T743" s="11">
        <v>1311.0</v>
      </c>
      <c r="U743" s="11"/>
      <c r="V743" s="11"/>
      <c r="W743" s="23">
        <v>31413.0</v>
      </c>
      <c r="X743" s="11" t="s">
        <v>1738</v>
      </c>
      <c r="AO743" s="5" t="s">
        <v>2917</v>
      </c>
      <c r="AP743" s="5">
        <v>418.0</v>
      </c>
      <c r="AQ743" s="5" t="s">
        <v>1716</v>
      </c>
      <c r="AR743" s="5" t="s">
        <v>1739</v>
      </c>
      <c r="AS743" s="5" t="s">
        <v>1740</v>
      </c>
      <c r="AT743" s="5" t="s">
        <v>1741</v>
      </c>
      <c r="AU743" s="5" t="s">
        <v>1742</v>
      </c>
      <c r="AV743" s="5" t="s">
        <v>1720</v>
      </c>
      <c r="AW743" s="5" t="s">
        <v>2698</v>
      </c>
      <c r="AX743" s="5" t="s">
        <v>2902</v>
      </c>
      <c r="AY743" s="5">
        <v>49.0791</v>
      </c>
      <c r="AZ743" s="5">
        <v>-114.5373</v>
      </c>
      <c r="BA743" s="5">
        <v>1311.0</v>
      </c>
    </row>
    <row r="744" ht="14.25" customHeight="1">
      <c r="A744" s="5" t="s">
        <v>88</v>
      </c>
      <c r="B744" s="5">
        <v>12.0</v>
      </c>
      <c r="C744" s="5" t="s">
        <v>7666</v>
      </c>
      <c r="D744" s="5">
        <v>419.0</v>
      </c>
      <c r="E744" s="5">
        <v>1959.0</v>
      </c>
      <c r="F744" s="5" t="s">
        <v>2920</v>
      </c>
      <c r="G744" s="10" t="s">
        <v>2921</v>
      </c>
      <c r="H744" s="5" t="s">
        <v>2839</v>
      </c>
      <c r="I744" s="5" t="s">
        <v>641</v>
      </c>
      <c r="J744" s="5" t="s">
        <v>1865</v>
      </c>
      <c r="K744" s="5">
        <v>1.0</v>
      </c>
      <c r="L744" s="5">
        <v>2362.0</v>
      </c>
      <c r="M744" s="8">
        <v>49.922</v>
      </c>
      <c r="N744" s="11">
        <v>-115.73667</v>
      </c>
      <c r="O744" s="11" t="s">
        <v>170</v>
      </c>
      <c r="P744" s="11">
        <v>419.0</v>
      </c>
      <c r="Q744" s="22">
        <v>1.0</v>
      </c>
      <c r="R744" s="11" t="s">
        <v>2920</v>
      </c>
      <c r="S744" s="11" t="s">
        <v>1737</v>
      </c>
      <c r="T744" s="11">
        <v>853.0</v>
      </c>
      <c r="U744" s="11" t="s">
        <v>645</v>
      </c>
      <c r="V744" s="11"/>
      <c r="W744" s="23">
        <v>31413.0</v>
      </c>
      <c r="X744" s="11" t="s">
        <v>1738</v>
      </c>
      <c r="AO744" s="5" t="s">
        <v>2920</v>
      </c>
      <c r="AP744" s="5">
        <v>419.0</v>
      </c>
      <c r="AQ744" s="5" t="s">
        <v>1700</v>
      </c>
      <c r="AR744" s="5" t="s">
        <v>1739</v>
      </c>
      <c r="AS744" s="5" t="s">
        <v>1740</v>
      </c>
      <c r="AT744" s="5" t="s">
        <v>1741</v>
      </c>
      <c r="AU744" s="5" t="s">
        <v>1959</v>
      </c>
      <c r="AV744" s="5" t="s">
        <v>1720</v>
      </c>
      <c r="AW744" s="5" t="s">
        <v>2698</v>
      </c>
      <c r="AX744" s="5" t="s">
        <v>2768</v>
      </c>
      <c r="AY744" s="5">
        <v>49.9444</v>
      </c>
      <c r="AZ744" s="5">
        <v>-115.7583</v>
      </c>
      <c r="BA744" s="5">
        <v>853.0</v>
      </c>
    </row>
    <row r="745" ht="14.25" customHeight="1">
      <c r="B745" s="5">
        <v>12.0</v>
      </c>
      <c r="C745" s="5" t="s">
        <v>7666</v>
      </c>
      <c r="D745" s="5">
        <v>420.0</v>
      </c>
      <c r="E745" s="5">
        <v>1960.0</v>
      </c>
      <c r="F745" s="18" t="s">
        <v>2922</v>
      </c>
      <c r="G745" s="5" t="s">
        <v>2923</v>
      </c>
      <c r="H745" s="5" t="s">
        <v>2924</v>
      </c>
      <c r="I745" s="5" t="s">
        <v>1664</v>
      </c>
      <c r="J745" s="5" t="s">
        <v>1715</v>
      </c>
      <c r="K745" s="5">
        <v>1.0</v>
      </c>
      <c r="L745" s="5">
        <v>2363.0</v>
      </c>
      <c r="M745" s="64"/>
      <c r="N745" s="36"/>
      <c r="O745" s="36"/>
      <c r="Q745" s="36"/>
      <c r="R745" s="36"/>
      <c r="T745" s="36"/>
      <c r="AO745" s="5" t="s">
        <v>2922</v>
      </c>
      <c r="AP745" s="5">
        <v>420.0</v>
      </c>
      <c r="AQ745" s="5" t="s">
        <v>1716</v>
      </c>
      <c r="AR745" s="5" t="s">
        <v>1717</v>
      </c>
      <c r="AS745" s="5" t="s">
        <v>1718</v>
      </c>
      <c r="AT745" s="5" t="s">
        <v>1719</v>
      </c>
      <c r="AU745" s="5" t="s">
        <v>1703</v>
      </c>
      <c r="AV745" s="5" t="s">
        <v>1720</v>
      </c>
      <c r="AW745" s="5" t="s">
        <v>2698</v>
      </c>
      <c r="AX745" s="5" t="s">
        <v>2902</v>
      </c>
      <c r="AY745" s="5">
        <v>49.8</v>
      </c>
      <c r="AZ745" s="5">
        <v>-115.2</v>
      </c>
      <c r="BA745" s="5">
        <v>17.0</v>
      </c>
    </row>
    <row r="746" ht="14.25" customHeight="1">
      <c r="B746" s="5">
        <v>12.0</v>
      </c>
      <c r="C746" s="5" t="s">
        <v>7666</v>
      </c>
      <c r="D746" s="5">
        <v>421.0</v>
      </c>
      <c r="E746" s="5">
        <v>1961.0</v>
      </c>
      <c r="F746" s="5" t="s">
        <v>2925</v>
      </c>
      <c r="G746" s="5" t="s">
        <v>2926</v>
      </c>
      <c r="H746" s="5" t="s">
        <v>2842</v>
      </c>
      <c r="I746" s="5" t="s">
        <v>641</v>
      </c>
      <c r="J746" s="5" t="s">
        <v>1865</v>
      </c>
      <c r="K746" s="5">
        <v>1.0</v>
      </c>
      <c r="L746" s="5">
        <v>2364.0</v>
      </c>
      <c r="M746" s="8">
        <v>49.7845</v>
      </c>
      <c r="N746" s="11">
        <v>-116.383</v>
      </c>
      <c r="O746" s="11" t="s">
        <v>170</v>
      </c>
      <c r="P746" s="11">
        <v>421.0</v>
      </c>
      <c r="Q746" s="22">
        <v>5.0</v>
      </c>
      <c r="R746" s="11" t="s">
        <v>2925</v>
      </c>
      <c r="S746" s="11" t="s">
        <v>1737</v>
      </c>
      <c r="T746" s="11">
        <v>1608.0</v>
      </c>
      <c r="U746" s="11"/>
      <c r="V746" s="11"/>
      <c r="W746" s="23">
        <v>31413.0</v>
      </c>
      <c r="X746" s="11" t="s">
        <v>1738</v>
      </c>
      <c r="AO746" s="5" t="s">
        <v>2925</v>
      </c>
      <c r="AP746" s="5">
        <v>421.0</v>
      </c>
      <c r="AQ746" s="5" t="s">
        <v>1716</v>
      </c>
      <c r="AR746" s="5" t="s">
        <v>1739</v>
      </c>
      <c r="AS746" s="5" t="s">
        <v>1740</v>
      </c>
      <c r="AT746" s="5" t="s">
        <v>1741</v>
      </c>
      <c r="AU746" s="5" t="s">
        <v>1742</v>
      </c>
      <c r="AV746" s="5" t="s">
        <v>1720</v>
      </c>
      <c r="AW746" s="5" t="s">
        <v>2698</v>
      </c>
      <c r="AX746" s="5" t="s">
        <v>2902</v>
      </c>
      <c r="AY746" s="5">
        <v>49.7845</v>
      </c>
      <c r="AZ746" s="5">
        <v>-116.383</v>
      </c>
      <c r="BA746" s="5">
        <v>1608.0</v>
      </c>
    </row>
    <row r="747" ht="14.25" customHeight="1">
      <c r="B747" s="5">
        <v>12.0</v>
      </c>
      <c r="C747" s="5" t="s">
        <v>7666</v>
      </c>
      <c r="D747" s="5">
        <v>422.0</v>
      </c>
      <c r="E747" s="5">
        <v>1962.0</v>
      </c>
      <c r="F747" s="18" t="s">
        <v>2927</v>
      </c>
      <c r="G747" s="5" t="s">
        <v>2928</v>
      </c>
      <c r="H747" s="5" t="s">
        <v>2929</v>
      </c>
      <c r="I747" s="5" t="s">
        <v>641</v>
      </c>
      <c r="J747" s="5" t="s">
        <v>1715</v>
      </c>
      <c r="K747" s="5">
        <v>1.0</v>
      </c>
      <c r="L747" s="5">
        <v>2365.0</v>
      </c>
      <c r="M747" s="8"/>
      <c r="AO747" s="5" t="s">
        <v>2927</v>
      </c>
      <c r="AP747" s="5">
        <v>422.0</v>
      </c>
      <c r="AQ747" s="5" t="s">
        <v>1716</v>
      </c>
      <c r="AR747" s="5" t="s">
        <v>1717</v>
      </c>
      <c r="AS747" s="5" t="s">
        <v>1718</v>
      </c>
      <c r="AT747" s="5" t="s">
        <v>1719</v>
      </c>
      <c r="AU747" s="5" t="s">
        <v>1959</v>
      </c>
      <c r="AV747" s="5" t="s">
        <v>1720</v>
      </c>
      <c r="AW747" s="5" t="s">
        <v>2698</v>
      </c>
      <c r="AX747" s="5" t="s">
        <v>2902</v>
      </c>
      <c r="AY747" s="5">
        <v>49.9025</v>
      </c>
      <c r="AZ747" s="5">
        <v>-115.1388</v>
      </c>
      <c r="BA747" s="5">
        <v>1326.0</v>
      </c>
    </row>
    <row r="748" ht="14.25" customHeight="1">
      <c r="B748" s="5">
        <v>12.0</v>
      </c>
      <c r="C748" s="5" t="s">
        <v>7666</v>
      </c>
      <c r="D748" s="5">
        <v>423.0</v>
      </c>
      <c r="E748" s="5">
        <v>1963.0</v>
      </c>
      <c r="F748" s="5" t="s">
        <v>2930</v>
      </c>
      <c r="G748" s="5" t="s">
        <v>2931</v>
      </c>
      <c r="H748" s="5" t="s">
        <v>2932</v>
      </c>
      <c r="I748" s="5" t="s">
        <v>641</v>
      </c>
      <c r="J748" s="5" t="s">
        <v>1715</v>
      </c>
      <c r="K748" s="5">
        <v>1.0</v>
      </c>
      <c r="L748" s="5">
        <v>2366.0</v>
      </c>
      <c r="M748" s="8"/>
      <c r="N748" s="11"/>
      <c r="O748" s="11"/>
      <c r="P748" s="16"/>
      <c r="Q748" s="22"/>
      <c r="R748" s="11"/>
      <c r="S748" s="11"/>
      <c r="T748" s="11"/>
      <c r="U748" s="11"/>
      <c r="V748" s="11"/>
      <c r="W748" s="23"/>
      <c r="X748" s="11"/>
      <c r="AO748" s="55" t="s">
        <v>2933</v>
      </c>
      <c r="AP748" s="5">
        <v>423.0</v>
      </c>
      <c r="AQ748" s="5" t="s">
        <v>1716</v>
      </c>
      <c r="AR748" s="5" t="s">
        <v>1717</v>
      </c>
      <c r="AS748" s="5" t="s">
        <v>1718</v>
      </c>
      <c r="AT748" s="5" t="s">
        <v>1719</v>
      </c>
      <c r="AU748" s="5" t="s">
        <v>2443</v>
      </c>
      <c r="AV748" s="5" t="s">
        <v>1720</v>
      </c>
      <c r="AW748" s="5" t="s">
        <v>2698</v>
      </c>
      <c r="AX748" s="5" t="s">
        <v>2902</v>
      </c>
      <c r="AY748" s="5">
        <v>49.4562</v>
      </c>
      <c r="AZ748" s="5">
        <v>-115.6263</v>
      </c>
      <c r="BA748" s="5">
        <v>2262.0</v>
      </c>
    </row>
    <row r="749" ht="14.25" customHeight="1">
      <c r="B749" s="5">
        <v>12.0</v>
      </c>
      <c r="C749" s="5" t="s">
        <v>7666</v>
      </c>
      <c r="D749" s="5">
        <v>425.0</v>
      </c>
      <c r="E749" s="5">
        <v>1964.0</v>
      </c>
      <c r="F749" s="5" t="s">
        <v>2934</v>
      </c>
      <c r="G749" s="5" t="s">
        <v>2935</v>
      </c>
      <c r="H749" s="5" t="s">
        <v>2936</v>
      </c>
      <c r="I749" s="5" t="s">
        <v>641</v>
      </c>
      <c r="J749" s="5" t="s">
        <v>1829</v>
      </c>
      <c r="K749" s="5">
        <v>1.0</v>
      </c>
      <c r="L749" s="5">
        <v>2367.0</v>
      </c>
      <c r="M749" s="64">
        <v>50.14508</v>
      </c>
      <c r="N749" s="36">
        <v>-115.97723</v>
      </c>
      <c r="O749" s="11" t="s">
        <v>170</v>
      </c>
      <c r="P749" s="36">
        <v>425.0</v>
      </c>
      <c r="Q749" s="22">
        <v>3.0</v>
      </c>
      <c r="R749" s="36" t="s">
        <v>2934</v>
      </c>
      <c r="S749" s="11" t="s">
        <v>1737</v>
      </c>
      <c r="T749" s="37">
        <v>1190.0</v>
      </c>
      <c r="U749" s="11" t="s">
        <v>645</v>
      </c>
      <c r="V749" s="11"/>
      <c r="W749" s="23">
        <v>37257.0</v>
      </c>
      <c r="X749" s="11" t="s">
        <v>1738</v>
      </c>
      <c r="AO749" s="5" t="s">
        <v>2934</v>
      </c>
      <c r="AP749" s="5">
        <v>425.0</v>
      </c>
      <c r="AQ749" s="5" t="s">
        <v>1700</v>
      </c>
      <c r="AR749" s="5" t="s">
        <v>1739</v>
      </c>
      <c r="AS749" s="5" t="s">
        <v>1740</v>
      </c>
      <c r="AT749" s="5" t="s">
        <v>1741</v>
      </c>
      <c r="AU749" s="5" t="s">
        <v>1959</v>
      </c>
      <c r="AV749" s="5" t="s">
        <v>1720</v>
      </c>
      <c r="AW749" s="5" t="s">
        <v>2698</v>
      </c>
      <c r="AX749" s="5" t="s">
        <v>2768</v>
      </c>
      <c r="AY749" s="5">
        <v>50.1451</v>
      </c>
      <c r="AZ749" s="5">
        <v>-115.9772</v>
      </c>
      <c r="BA749" s="5">
        <v>1190.0</v>
      </c>
    </row>
    <row r="750" ht="14.25" customHeight="1">
      <c r="A750" s="5" t="s">
        <v>88</v>
      </c>
      <c r="B750" s="5">
        <v>12.0</v>
      </c>
      <c r="C750" s="5" t="s">
        <v>7666</v>
      </c>
      <c r="D750" s="5">
        <v>426.0</v>
      </c>
      <c r="E750" s="5">
        <v>1965.0</v>
      </c>
      <c r="F750" s="5" t="s">
        <v>2937</v>
      </c>
      <c r="G750" s="10" t="s">
        <v>2938</v>
      </c>
      <c r="H750" s="5" t="s">
        <v>2939</v>
      </c>
      <c r="I750" s="5" t="s">
        <v>641</v>
      </c>
      <c r="J750" s="5" t="s">
        <v>1891</v>
      </c>
      <c r="K750" s="5">
        <v>1.0</v>
      </c>
      <c r="L750" s="5">
        <v>2368.0</v>
      </c>
      <c r="M750" s="8">
        <v>49.6673</v>
      </c>
      <c r="N750" s="11">
        <v>-115.848</v>
      </c>
      <c r="O750" s="11" t="s">
        <v>170</v>
      </c>
      <c r="P750" s="11">
        <v>426.0</v>
      </c>
      <c r="Q750" s="22">
        <v>2.0</v>
      </c>
      <c r="R750" s="11" t="s">
        <v>2937</v>
      </c>
      <c r="S750" s="11" t="s">
        <v>1737</v>
      </c>
      <c r="T750" s="11">
        <v>996.0</v>
      </c>
      <c r="U750" s="11"/>
      <c r="V750" s="11"/>
      <c r="W750" s="23">
        <v>36892.0</v>
      </c>
      <c r="X750" s="11" t="s">
        <v>1738</v>
      </c>
      <c r="AO750" s="5" t="s">
        <v>2940</v>
      </c>
      <c r="AP750" s="5">
        <v>426.0</v>
      </c>
      <c r="AQ750" s="5" t="s">
        <v>1700</v>
      </c>
      <c r="AR750" s="5" t="s">
        <v>1739</v>
      </c>
      <c r="AS750" s="5" t="s">
        <v>1740</v>
      </c>
      <c r="AT750" s="5" t="s">
        <v>1741</v>
      </c>
      <c r="AU750" s="5" t="s">
        <v>1959</v>
      </c>
      <c r="AV750" s="5" t="s">
        <v>1720</v>
      </c>
      <c r="AW750" s="5" t="s">
        <v>2698</v>
      </c>
      <c r="AX750" s="5" t="s">
        <v>2902</v>
      </c>
      <c r="AY750" s="5">
        <v>49.6673</v>
      </c>
      <c r="AZ750" s="5">
        <v>-115.8483</v>
      </c>
      <c r="BA750" s="5">
        <v>996.0</v>
      </c>
    </row>
    <row r="751" ht="14.25" customHeight="1">
      <c r="A751" s="5" t="s">
        <v>88</v>
      </c>
      <c r="B751" s="5">
        <v>12.0</v>
      </c>
      <c r="C751" s="5" t="s">
        <v>7666</v>
      </c>
      <c r="D751" s="5">
        <v>427.0</v>
      </c>
      <c r="E751" s="5">
        <v>1966.0</v>
      </c>
      <c r="F751" s="5" t="s">
        <v>2941</v>
      </c>
      <c r="G751" s="10" t="s">
        <v>2942</v>
      </c>
      <c r="H751" s="5" t="s">
        <v>2943</v>
      </c>
      <c r="I751" s="5" t="s">
        <v>641</v>
      </c>
      <c r="J751" s="5" t="s">
        <v>1736</v>
      </c>
      <c r="K751" s="5">
        <v>1.0</v>
      </c>
      <c r="L751" s="5">
        <v>2369.0</v>
      </c>
      <c r="M751" s="64">
        <v>55.28833</v>
      </c>
      <c r="N751" s="36">
        <v>-128.99333</v>
      </c>
      <c r="O751" s="11" t="s">
        <v>51</v>
      </c>
      <c r="P751" s="36">
        <v>427.0</v>
      </c>
      <c r="Q751" s="22">
        <v>2.0</v>
      </c>
      <c r="R751" s="36" t="s">
        <v>2941</v>
      </c>
      <c r="S751" s="11" t="s">
        <v>1737</v>
      </c>
      <c r="T751" s="37">
        <v>191.0</v>
      </c>
      <c r="U751" s="11"/>
      <c r="V751" s="11"/>
      <c r="W751" s="23">
        <v>25569.0</v>
      </c>
      <c r="X751" s="11" t="s">
        <v>1738</v>
      </c>
      <c r="AO751" s="5" t="s">
        <v>2941</v>
      </c>
      <c r="AP751" s="5">
        <v>427.0</v>
      </c>
      <c r="AQ751" s="5" t="s">
        <v>1716</v>
      </c>
      <c r="AR751" s="5" t="s">
        <v>1739</v>
      </c>
      <c r="AS751" s="5" t="s">
        <v>1740</v>
      </c>
      <c r="AT751" s="5" t="s">
        <v>1741</v>
      </c>
      <c r="AU751" s="5" t="s">
        <v>1742</v>
      </c>
      <c r="AV751" s="5" t="s">
        <v>1720</v>
      </c>
      <c r="AW751" s="5" t="s">
        <v>1947</v>
      </c>
      <c r="AX751" s="5" t="s">
        <v>1973</v>
      </c>
      <c r="AY751" s="5">
        <v>55.2886</v>
      </c>
      <c r="AZ751" s="5">
        <v>-128.9984</v>
      </c>
      <c r="BA751" s="5">
        <v>176.0</v>
      </c>
    </row>
    <row r="752" ht="14.25" customHeight="1">
      <c r="A752" s="5" t="s">
        <v>1908</v>
      </c>
      <c r="B752" s="5">
        <v>12.0</v>
      </c>
      <c r="C752" s="5" t="s">
        <v>7666</v>
      </c>
      <c r="D752" s="5">
        <v>428.0</v>
      </c>
      <c r="E752" s="5">
        <v>1967.0</v>
      </c>
      <c r="F752" s="10" t="s">
        <v>2944</v>
      </c>
      <c r="G752" s="10" t="s">
        <v>2945</v>
      </c>
      <c r="H752" s="5" t="s">
        <v>2946</v>
      </c>
      <c r="I752" s="5" t="s">
        <v>641</v>
      </c>
      <c r="J752" s="5" t="s">
        <v>1736</v>
      </c>
      <c r="K752" s="5">
        <v>1.0</v>
      </c>
      <c r="L752" s="5">
        <v>2370.0</v>
      </c>
      <c r="M752" s="8">
        <v>55.435</v>
      </c>
      <c r="N752" s="11">
        <v>-127.64667</v>
      </c>
      <c r="O752" s="11" t="s">
        <v>51</v>
      </c>
      <c r="P752" s="11">
        <v>428.0</v>
      </c>
      <c r="Q752" s="22">
        <v>3.0</v>
      </c>
      <c r="R752" s="11" t="s">
        <v>2947</v>
      </c>
      <c r="S752" s="11" t="s">
        <v>1737</v>
      </c>
      <c r="T752" s="11">
        <v>335.0</v>
      </c>
      <c r="U752" s="11" t="s">
        <v>645</v>
      </c>
      <c r="V752" s="11"/>
      <c r="W752" s="23">
        <v>25569.0</v>
      </c>
      <c r="X752" s="11" t="s">
        <v>1738</v>
      </c>
      <c r="AO752" s="55" t="s">
        <v>2947</v>
      </c>
      <c r="AP752" s="5">
        <v>428.0</v>
      </c>
      <c r="AQ752" s="5" t="s">
        <v>1700</v>
      </c>
      <c r="AR752" s="5" t="s">
        <v>1739</v>
      </c>
      <c r="AS752" s="5" t="s">
        <v>1740</v>
      </c>
      <c r="AT752" s="5" t="s">
        <v>1741</v>
      </c>
      <c r="AU752" s="5" t="s">
        <v>1772</v>
      </c>
      <c r="AV752" s="5" t="s">
        <v>1720</v>
      </c>
      <c r="AW752" s="5" t="s">
        <v>1947</v>
      </c>
      <c r="AX752" s="5" t="s">
        <v>2948</v>
      </c>
      <c r="AY752" s="5">
        <v>55.4343</v>
      </c>
      <c r="AZ752" s="5">
        <v>-127.6487</v>
      </c>
      <c r="BA752" s="5">
        <v>328.0</v>
      </c>
    </row>
    <row r="753" ht="14.25" customHeight="1">
      <c r="A753" s="5" t="s">
        <v>88</v>
      </c>
      <c r="B753" s="5">
        <v>12.0</v>
      </c>
      <c r="C753" s="5" t="s">
        <v>7666</v>
      </c>
      <c r="D753" s="5">
        <v>429.0</v>
      </c>
      <c r="E753" s="5">
        <v>1968.0</v>
      </c>
      <c r="F753" s="5" t="s">
        <v>2949</v>
      </c>
      <c r="G753" s="10" t="s">
        <v>2950</v>
      </c>
      <c r="H753" s="5" t="s">
        <v>2591</v>
      </c>
      <c r="I753" s="5" t="s">
        <v>641</v>
      </c>
      <c r="J753" s="5" t="s">
        <v>1736</v>
      </c>
      <c r="K753" s="5">
        <v>1.0</v>
      </c>
      <c r="L753" s="5">
        <v>2371.0</v>
      </c>
      <c r="M753" s="64">
        <v>55.02667</v>
      </c>
      <c r="N753" s="36">
        <v>-128.31333</v>
      </c>
      <c r="O753" s="11" t="s">
        <v>51</v>
      </c>
      <c r="P753" s="11">
        <v>429.0</v>
      </c>
      <c r="Q753" s="22">
        <v>2.0</v>
      </c>
      <c r="R753" s="36" t="s">
        <v>2949</v>
      </c>
      <c r="S753" s="11" t="s">
        <v>1737</v>
      </c>
      <c r="T753" s="37">
        <v>274.0</v>
      </c>
      <c r="U753" s="11" t="s">
        <v>645</v>
      </c>
      <c r="V753" s="11" t="s">
        <v>1830</v>
      </c>
      <c r="W753" s="23">
        <v>29952.0</v>
      </c>
      <c r="X753" s="11" t="s">
        <v>1738</v>
      </c>
      <c r="AO753" s="5" t="s">
        <v>2949</v>
      </c>
      <c r="AP753" s="5">
        <v>429.0</v>
      </c>
      <c r="AQ753" s="5" t="s">
        <v>1716</v>
      </c>
      <c r="AR753" s="5" t="s">
        <v>1739</v>
      </c>
      <c r="AS753" s="5" t="s">
        <v>1740</v>
      </c>
      <c r="AT753" s="5" t="s">
        <v>1741</v>
      </c>
      <c r="AU753" s="5" t="s">
        <v>1742</v>
      </c>
      <c r="AV753" s="5" t="s">
        <v>1720</v>
      </c>
      <c r="AW753" s="5" t="s">
        <v>1947</v>
      </c>
      <c r="AX753" s="5" t="s">
        <v>2948</v>
      </c>
      <c r="AY753" s="5">
        <v>55.0301</v>
      </c>
      <c r="AZ753" s="5">
        <v>-128.3115</v>
      </c>
      <c r="BA753" s="5">
        <v>174.0</v>
      </c>
    </row>
    <row r="754" ht="14.25" customHeight="1">
      <c r="A754" s="5" t="s">
        <v>88</v>
      </c>
      <c r="B754" s="5">
        <v>12.0</v>
      </c>
      <c r="C754" s="5" t="s">
        <v>7666</v>
      </c>
      <c r="D754" s="5">
        <v>430.0</v>
      </c>
      <c r="E754" s="5">
        <v>1969.0</v>
      </c>
      <c r="F754" s="5" t="s">
        <v>2951</v>
      </c>
      <c r="G754" s="10" t="s">
        <v>2952</v>
      </c>
      <c r="H754" s="5" t="s">
        <v>2953</v>
      </c>
      <c r="I754" s="5" t="s">
        <v>641</v>
      </c>
      <c r="J754" s="5" t="s">
        <v>1736</v>
      </c>
      <c r="K754" s="5">
        <v>1.0</v>
      </c>
      <c r="L754" s="5">
        <v>2372.0</v>
      </c>
      <c r="M754" s="8">
        <v>56.01273</v>
      </c>
      <c r="N754" s="5">
        <v>-129.09981</v>
      </c>
      <c r="O754" s="5" t="s">
        <v>51</v>
      </c>
      <c r="P754" s="5">
        <v>430.0</v>
      </c>
      <c r="Q754" s="5">
        <v>2.0</v>
      </c>
      <c r="R754" s="5" t="s">
        <v>2951</v>
      </c>
      <c r="S754" s="5" t="s">
        <v>1737</v>
      </c>
      <c r="T754" s="5">
        <v>296.0</v>
      </c>
      <c r="U754" s="5" t="s">
        <v>645</v>
      </c>
      <c r="W754" s="5">
        <v>30317.0</v>
      </c>
      <c r="X754" s="5" t="s">
        <v>1738</v>
      </c>
      <c r="AO754" s="5" t="s">
        <v>2951</v>
      </c>
      <c r="AP754" s="5">
        <v>430.0</v>
      </c>
      <c r="AQ754" s="5" t="s">
        <v>1716</v>
      </c>
      <c r="AR754" s="5" t="s">
        <v>1739</v>
      </c>
      <c r="AS754" s="5" t="s">
        <v>1740</v>
      </c>
      <c r="AT754" s="5" t="s">
        <v>1741</v>
      </c>
      <c r="AU754" s="5" t="s">
        <v>1742</v>
      </c>
      <c r="AV754" s="5" t="s">
        <v>1720</v>
      </c>
      <c r="AW754" s="5" t="s">
        <v>1947</v>
      </c>
      <c r="AX754" s="5" t="s">
        <v>1973</v>
      </c>
      <c r="AY754" s="5">
        <v>56.0127</v>
      </c>
      <c r="AZ754" s="5">
        <v>-129.0998</v>
      </c>
      <c r="BA754" s="5">
        <v>296.0</v>
      </c>
    </row>
    <row r="755" ht="14.25" customHeight="1">
      <c r="A755" s="5" t="s">
        <v>88</v>
      </c>
      <c r="B755" s="5">
        <v>12.0</v>
      </c>
      <c r="C755" s="5" t="s">
        <v>7666</v>
      </c>
      <c r="D755" s="5">
        <v>431.0</v>
      </c>
      <c r="E755" s="5">
        <v>1970.0</v>
      </c>
      <c r="F755" s="5" t="s">
        <v>2954</v>
      </c>
      <c r="G755" s="10" t="s">
        <v>2955</v>
      </c>
      <c r="H755" s="5" t="s">
        <v>2956</v>
      </c>
      <c r="I755" s="5" t="s">
        <v>641</v>
      </c>
      <c r="J755" s="5" t="s">
        <v>1865</v>
      </c>
      <c r="K755" s="5">
        <v>1.0</v>
      </c>
      <c r="L755" s="5">
        <v>2373.0</v>
      </c>
      <c r="M755" s="64">
        <v>55.6</v>
      </c>
      <c r="N755" s="36">
        <v>-128.04167</v>
      </c>
      <c r="O755" s="5" t="s">
        <v>51</v>
      </c>
      <c r="P755" s="36">
        <v>431.0</v>
      </c>
      <c r="Q755" s="5">
        <v>3.0</v>
      </c>
      <c r="R755" s="36" t="s">
        <v>2954</v>
      </c>
      <c r="S755" s="5" t="s">
        <v>1737</v>
      </c>
      <c r="T755" s="37">
        <v>410.0</v>
      </c>
      <c r="W755" s="5">
        <v>31413.0</v>
      </c>
      <c r="X755" s="5" t="s">
        <v>1738</v>
      </c>
      <c r="AO755" s="5" t="s">
        <v>2954</v>
      </c>
      <c r="AP755" s="5">
        <v>431.0</v>
      </c>
      <c r="AQ755" s="5" t="s">
        <v>1716</v>
      </c>
      <c r="AR755" s="5" t="s">
        <v>1739</v>
      </c>
      <c r="AS755" s="5" t="s">
        <v>1740</v>
      </c>
      <c r="AT755" s="5" t="s">
        <v>1741</v>
      </c>
      <c r="AU755" s="5" t="s">
        <v>1742</v>
      </c>
      <c r="AV755" s="5" t="s">
        <v>1720</v>
      </c>
      <c r="AW755" s="5" t="s">
        <v>1947</v>
      </c>
      <c r="AX755" s="5" t="s">
        <v>2948</v>
      </c>
      <c r="AY755" s="5">
        <v>55.6015</v>
      </c>
      <c r="AZ755" s="5">
        <v>-128.0478</v>
      </c>
      <c r="BA755" s="5">
        <v>410.0</v>
      </c>
    </row>
    <row r="756" ht="14.25" customHeight="1">
      <c r="A756" s="5" t="s">
        <v>88</v>
      </c>
      <c r="B756" s="5">
        <v>12.0</v>
      </c>
      <c r="C756" s="5" t="s">
        <v>7666</v>
      </c>
      <c r="D756" s="5">
        <v>432.0</v>
      </c>
      <c r="E756" s="5">
        <v>1971.0</v>
      </c>
      <c r="F756" s="5" t="s">
        <v>2957</v>
      </c>
      <c r="G756" s="10" t="s">
        <v>2958</v>
      </c>
      <c r="H756" s="5" t="s">
        <v>2959</v>
      </c>
      <c r="I756" s="5" t="s">
        <v>641</v>
      </c>
      <c r="J756" s="5" t="s">
        <v>1865</v>
      </c>
      <c r="K756" s="5">
        <v>1.0</v>
      </c>
      <c r="L756" s="5">
        <v>2374.0</v>
      </c>
      <c r="M756" s="8">
        <v>56.34849</v>
      </c>
      <c r="N756" s="5">
        <v>-129.29283</v>
      </c>
      <c r="O756" s="5" t="s">
        <v>51</v>
      </c>
      <c r="P756" s="5">
        <v>432.0</v>
      </c>
      <c r="Q756" s="5">
        <v>3.0</v>
      </c>
      <c r="R756" s="5" t="s">
        <v>2957</v>
      </c>
      <c r="S756" s="5" t="s">
        <v>1737</v>
      </c>
      <c r="T756" s="5">
        <v>388.0</v>
      </c>
      <c r="U756" s="5" t="s">
        <v>645</v>
      </c>
      <c r="W756" s="5">
        <v>31413.0</v>
      </c>
      <c r="X756" s="5" t="s">
        <v>1738</v>
      </c>
      <c r="AO756" s="5" t="s">
        <v>2957</v>
      </c>
      <c r="AP756" s="5">
        <v>432.0</v>
      </c>
      <c r="AQ756" s="5" t="s">
        <v>1716</v>
      </c>
      <c r="AR756" s="5" t="s">
        <v>1739</v>
      </c>
      <c r="AS756" s="5" t="s">
        <v>1740</v>
      </c>
      <c r="AT756" s="5" t="s">
        <v>1741</v>
      </c>
      <c r="AU756" s="5" t="s">
        <v>1742</v>
      </c>
      <c r="AV756" s="5" t="s">
        <v>1720</v>
      </c>
      <c r="AW756" s="5" t="s">
        <v>1947</v>
      </c>
      <c r="AX756" s="5" t="s">
        <v>1973</v>
      </c>
      <c r="AY756" s="5">
        <v>56.3486</v>
      </c>
      <c r="AZ756" s="5">
        <v>-129.2928</v>
      </c>
      <c r="BA756" s="5">
        <v>391.0</v>
      </c>
    </row>
    <row r="757" ht="14.25" customHeight="1">
      <c r="A757" s="5" t="s">
        <v>88</v>
      </c>
      <c r="B757" s="5">
        <v>12.0</v>
      </c>
      <c r="C757" s="5" t="s">
        <v>7666</v>
      </c>
      <c r="D757" s="5">
        <v>433.0</v>
      </c>
      <c r="E757" s="5">
        <v>1972.0</v>
      </c>
      <c r="F757" s="5" t="s">
        <v>2960</v>
      </c>
      <c r="G757" s="10" t="s">
        <v>2961</v>
      </c>
      <c r="H757" s="5" t="s">
        <v>2962</v>
      </c>
      <c r="I757" s="5" t="s">
        <v>641</v>
      </c>
      <c r="J757" s="5" t="s">
        <v>1865</v>
      </c>
      <c r="K757" s="5">
        <v>1.0</v>
      </c>
      <c r="L757" s="5">
        <v>2375.0</v>
      </c>
      <c r="M757" s="64">
        <v>55.57667</v>
      </c>
      <c r="N757" s="36">
        <v>-128.705</v>
      </c>
      <c r="O757" s="5" t="s">
        <v>51</v>
      </c>
      <c r="P757" s="36">
        <v>433.0</v>
      </c>
      <c r="Q757" s="5">
        <v>3.0</v>
      </c>
      <c r="R757" s="36" t="s">
        <v>2960</v>
      </c>
      <c r="S757" s="5" t="s">
        <v>1737</v>
      </c>
      <c r="T757" s="37">
        <v>500.0</v>
      </c>
      <c r="W757" s="5">
        <v>34700.0</v>
      </c>
      <c r="X757" s="5" t="s">
        <v>1738</v>
      </c>
      <c r="AO757" s="5" t="s">
        <v>2960</v>
      </c>
      <c r="AP757" s="5">
        <v>433.0</v>
      </c>
      <c r="AQ757" s="5" t="s">
        <v>1716</v>
      </c>
      <c r="AR757" s="5" t="s">
        <v>1739</v>
      </c>
      <c r="AS757" s="5" t="s">
        <v>1740</v>
      </c>
      <c r="AT757" s="5" t="s">
        <v>1741</v>
      </c>
      <c r="AU757" s="5" t="s">
        <v>1742</v>
      </c>
      <c r="AV757" s="5" t="s">
        <v>1720</v>
      </c>
      <c r="AW757" s="5" t="s">
        <v>1947</v>
      </c>
      <c r="AX757" s="5" t="s">
        <v>2948</v>
      </c>
      <c r="AY757" s="5">
        <v>55.5768</v>
      </c>
      <c r="AZ757" s="5">
        <v>-128.7048</v>
      </c>
      <c r="BA757" s="5">
        <v>496.0</v>
      </c>
    </row>
    <row r="758" ht="14.25" customHeight="1">
      <c r="A758" s="5" t="s">
        <v>422</v>
      </c>
      <c r="B758" s="5">
        <v>12.0</v>
      </c>
      <c r="C758" s="5" t="s">
        <v>7665</v>
      </c>
      <c r="D758" s="5">
        <v>434.0</v>
      </c>
      <c r="E758" s="5">
        <v>12974.0</v>
      </c>
      <c r="F758" s="51" t="s">
        <v>2963</v>
      </c>
      <c r="G758" s="5" t="s">
        <v>127</v>
      </c>
      <c r="H758" s="5" t="s">
        <v>1697</v>
      </c>
      <c r="I758" s="5" t="s">
        <v>49</v>
      </c>
      <c r="J758" s="5" t="s">
        <v>1698</v>
      </c>
      <c r="K758" s="5">
        <v>1.0</v>
      </c>
      <c r="L758" s="5">
        <v>14906.0</v>
      </c>
      <c r="M758" s="8"/>
      <c r="AO758" s="50" t="s">
        <v>2964</v>
      </c>
      <c r="AP758" s="50">
        <v>434.0</v>
      </c>
      <c r="AQ758" s="50" t="s">
        <v>1700</v>
      </c>
      <c r="AR758" s="50" t="s">
        <v>1701</v>
      </c>
      <c r="AS758" s="50" t="s">
        <v>1702</v>
      </c>
      <c r="AT758" s="50" t="s">
        <v>1703</v>
      </c>
      <c r="AU758" s="50" t="s">
        <v>1704</v>
      </c>
      <c r="AV758" s="50" t="s">
        <v>1702</v>
      </c>
      <c r="AW758" s="50" t="s">
        <v>2003</v>
      </c>
      <c r="AX758" s="50" t="s">
        <v>2004</v>
      </c>
      <c r="AY758" s="50">
        <v>56.3</v>
      </c>
      <c r="AZ758" s="50">
        <v>-120.7</v>
      </c>
      <c r="BA758" s="50">
        <v>695.0</v>
      </c>
    </row>
    <row r="759" ht="14.25" customHeight="1">
      <c r="A759" s="5" t="s">
        <v>422</v>
      </c>
      <c r="B759" s="5">
        <v>12.0</v>
      </c>
      <c r="C759" s="5" t="s">
        <v>7665</v>
      </c>
      <c r="D759" s="5">
        <v>435.0</v>
      </c>
      <c r="E759" s="5">
        <v>12975.0</v>
      </c>
      <c r="F759" s="51" t="s">
        <v>2965</v>
      </c>
      <c r="G759" s="5" t="s">
        <v>127</v>
      </c>
      <c r="H759" s="5" t="s">
        <v>1697</v>
      </c>
      <c r="I759" s="5" t="s">
        <v>49</v>
      </c>
      <c r="J759" s="5" t="s">
        <v>1746</v>
      </c>
      <c r="K759" s="5">
        <v>1.0</v>
      </c>
      <c r="L759" s="5">
        <v>14907.0</v>
      </c>
      <c r="M759" s="64"/>
      <c r="N759" s="36"/>
      <c r="P759" s="36"/>
      <c r="R759" s="36"/>
      <c r="T759" s="37"/>
      <c r="AO759" s="50" t="s">
        <v>2966</v>
      </c>
      <c r="AP759" s="50">
        <v>435.0</v>
      </c>
      <c r="AQ759" s="50" t="s">
        <v>1700</v>
      </c>
      <c r="AR759" s="50" t="s">
        <v>1701</v>
      </c>
      <c r="AS759" s="50" t="s">
        <v>1702</v>
      </c>
      <c r="AT759" s="50" t="s">
        <v>1703</v>
      </c>
      <c r="AU759" s="50" t="s">
        <v>1704</v>
      </c>
      <c r="AV759" s="50" t="s">
        <v>1702</v>
      </c>
      <c r="AW759" s="50" t="s">
        <v>2003</v>
      </c>
      <c r="AX759" s="50" t="s">
        <v>2024</v>
      </c>
      <c r="AY759" s="50">
        <v>55.8</v>
      </c>
      <c r="AZ759" s="50">
        <v>-120.2</v>
      </c>
      <c r="BA759" s="50">
        <v>655.0</v>
      </c>
    </row>
    <row r="760" ht="14.25" customHeight="1">
      <c r="B760" s="5">
        <v>12.0</v>
      </c>
      <c r="C760" s="5" t="s">
        <v>7666</v>
      </c>
      <c r="D760" s="5">
        <v>436.0</v>
      </c>
      <c r="E760" s="5">
        <v>1973.0</v>
      </c>
      <c r="F760" s="18" t="s">
        <v>2967</v>
      </c>
      <c r="G760" s="5" t="s">
        <v>2968</v>
      </c>
      <c r="H760" s="5" t="s">
        <v>2969</v>
      </c>
      <c r="I760" s="5" t="s">
        <v>1664</v>
      </c>
      <c r="J760" s="5" t="s">
        <v>1715</v>
      </c>
      <c r="K760" s="5">
        <v>1.0</v>
      </c>
      <c r="L760" s="5">
        <v>2376.0</v>
      </c>
      <c r="M760" s="8"/>
      <c r="AO760" s="5" t="s">
        <v>2967</v>
      </c>
      <c r="AP760" s="5">
        <v>436.0</v>
      </c>
      <c r="AQ760" s="5" t="s">
        <v>1716</v>
      </c>
      <c r="AR760" s="5" t="s">
        <v>1717</v>
      </c>
      <c r="AS760" s="5" t="s">
        <v>1718</v>
      </c>
      <c r="AT760" s="5" t="s">
        <v>1719</v>
      </c>
      <c r="AU760" s="5" t="s">
        <v>1703</v>
      </c>
      <c r="AV760" s="5" t="s">
        <v>1720</v>
      </c>
      <c r="AW760" s="5" t="s">
        <v>2003</v>
      </c>
      <c r="AX760" s="5" t="s">
        <v>2024</v>
      </c>
      <c r="AY760" s="5">
        <v>55.3</v>
      </c>
      <c r="AZ760" s="5">
        <v>-120.1</v>
      </c>
      <c r="BA760" s="5">
        <v>7.0</v>
      </c>
    </row>
    <row r="761" ht="14.25" customHeight="1">
      <c r="A761" s="5" t="s">
        <v>88</v>
      </c>
      <c r="B761" s="5">
        <v>12.0</v>
      </c>
      <c r="C761" s="5" t="s">
        <v>7666</v>
      </c>
      <c r="D761" s="5">
        <v>437.0</v>
      </c>
      <c r="E761" s="5">
        <v>1974.0</v>
      </c>
      <c r="F761" s="5" t="s">
        <v>2970</v>
      </c>
      <c r="G761" s="10" t="s">
        <v>2971</v>
      </c>
      <c r="H761" s="5" t="s">
        <v>2972</v>
      </c>
      <c r="I761" s="5" t="s">
        <v>641</v>
      </c>
      <c r="J761" s="5" t="s">
        <v>1736</v>
      </c>
      <c r="K761" s="5">
        <v>1.0</v>
      </c>
      <c r="L761" s="5">
        <v>2377.0</v>
      </c>
      <c r="M761" s="64">
        <v>55.29576</v>
      </c>
      <c r="N761" s="36">
        <v>-120.48606</v>
      </c>
      <c r="O761" s="11" t="s">
        <v>153</v>
      </c>
      <c r="P761" s="36">
        <v>437.0</v>
      </c>
      <c r="Q761" s="22">
        <v>8.0</v>
      </c>
      <c r="R761" s="36" t="s">
        <v>2970</v>
      </c>
      <c r="S761" s="11" t="s">
        <v>1737</v>
      </c>
      <c r="T761" s="37">
        <v>988.0</v>
      </c>
      <c r="U761" s="11" t="s">
        <v>645</v>
      </c>
      <c r="V761" s="11" t="s">
        <v>1830</v>
      </c>
      <c r="W761" s="23">
        <v>33970.0</v>
      </c>
      <c r="X761" s="11" t="s">
        <v>1738</v>
      </c>
      <c r="AO761" s="5" t="s">
        <v>2970</v>
      </c>
      <c r="AP761" s="5">
        <v>437.0</v>
      </c>
      <c r="AQ761" s="5" t="s">
        <v>1700</v>
      </c>
      <c r="AR761" s="5" t="s">
        <v>1739</v>
      </c>
      <c r="AS761" s="5" t="s">
        <v>1740</v>
      </c>
      <c r="AT761" s="5" t="s">
        <v>1835</v>
      </c>
      <c r="AU761" s="5" t="s">
        <v>1959</v>
      </c>
      <c r="AV761" s="5" t="s">
        <v>1720</v>
      </c>
      <c r="AW761" s="5" t="s">
        <v>2003</v>
      </c>
      <c r="AX761" s="5" t="s">
        <v>2024</v>
      </c>
      <c r="AY761" s="5">
        <v>55.2956</v>
      </c>
      <c r="AZ761" s="5">
        <v>-120.485</v>
      </c>
      <c r="BA761" s="5">
        <v>977.0</v>
      </c>
    </row>
    <row r="762" ht="14.25" customHeight="1">
      <c r="A762" s="5" t="s">
        <v>88</v>
      </c>
      <c r="B762" s="5">
        <v>12.0</v>
      </c>
      <c r="C762" s="5" t="s">
        <v>7666</v>
      </c>
      <c r="D762" s="5">
        <v>438.0</v>
      </c>
      <c r="E762" s="5">
        <v>1975.0</v>
      </c>
      <c r="F762" s="5" t="s">
        <v>2973</v>
      </c>
      <c r="G762" s="10" t="s">
        <v>2974</v>
      </c>
      <c r="H762" s="5" t="s">
        <v>2975</v>
      </c>
      <c r="I762" s="5" t="s">
        <v>641</v>
      </c>
      <c r="J762" s="5" t="s">
        <v>1736</v>
      </c>
      <c r="K762" s="5">
        <v>1.0</v>
      </c>
      <c r="L762" s="5">
        <v>2378.0</v>
      </c>
      <c r="M762" s="8">
        <v>59.33369</v>
      </c>
      <c r="N762" s="11">
        <v>-125.51139</v>
      </c>
      <c r="O762" s="11" t="s">
        <v>1577</v>
      </c>
      <c r="P762" s="16">
        <v>438.0</v>
      </c>
      <c r="Q762" s="22">
        <v>1.0</v>
      </c>
      <c r="R762" s="11" t="s">
        <v>2973</v>
      </c>
      <c r="S762" s="11" t="s">
        <v>1737</v>
      </c>
      <c r="T762" s="11">
        <v>437.0</v>
      </c>
      <c r="U762" s="11"/>
      <c r="V762" s="11"/>
      <c r="W762" s="23">
        <v>26665.0</v>
      </c>
      <c r="X762" s="11" t="s">
        <v>1738</v>
      </c>
      <c r="AO762" s="5" t="s">
        <v>2973</v>
      </c>
      <c r="AP762" s="5">
        <v>438.0</v>
      </c>
      <c r="AQ762" s="5" t="s">
        <v>1716</v>
      </c>
      <c r="AR762" s="5" t="s">
        <v>1739</v>
      </c>
      <c r="AS762" s="5" t="s">
        <v>1740</v>
      </c>
      <c r="AT762" s="5" t="s">
        <v>1741</v>
      </c>
      <c r="AU762" s="5" t="s">
        <v>1742</v>
      </c>
      <c r="AV762" s="5" t="s">
        <v>1720</v>
      </c>
      <c r="AW762" s="5" t="s">
        <v>2003</v>
      </c>
      <c r="AX762" s="5" t="s">
        <v>2009</v>
      </c>
      <c r="AY762" s="5">
        <v>59.3336</v>
      </c>
      <c r="AZ762" s="5">
        <v>-125.5114</v>
      </c>
      <c r="BA762" s="5">
        <v>437.0</v>
      </c>
    </row>
    <row r="763" ht="14.25" customHeight="1">
      <c r="B763" s="5">
        <v>12.0</v>
      </c>
      <c r="C763" s="5" t="s">
        <v>7666</v>
      </c>
      <c r="D763" s="5">
        <v>440.0</v>
      </c>
      <c r="E763" s="5">
        <v>1976.0</v>
      </c>
      <c r="F763" s="5" t="s">
        <v>2976</v>
      </c>
      <c r="G763" s="10" t="s">
        <v>2977</v>
      </c>
      <c r="H763" s="5" t="s">
        <v>2978</v>
      </c>
      <c r="I763" s="5" t="s">
        <v>641</v>
      </c>
      <c r="J763" s="5" t="s">
        <v>1736</v>
      </c>
      <c r="K763" s="5">
        <v>1.0</v>
      </c>
      <c r="L763" s="5">
        <v>2379.0</v>
      </c>
      <c r="M763" s="64">
        <v>59.72267</v>
      </c>
      <c r="N763" s="36">
        <v>-127.33514</v>
      </c>
      <c r="O763" s="11" t="s">
        <v>1577</v>
      </c>
      <c r="P763" s="36">
        <v>440.0</v>
      </c>
      <c r="Q763" s="22">
        <v>1.0</v>
      </c>
      <c r="R763" s="36" t="s">
        <v>2976</v>
      </c>
      <c r="S763" s="11" t="s">
        <v>1737</v>
      </c>
      <c r="T763" s="37">
        <v>731.0</v>
      </c>
      <c r="U763" s="11"/>
      <c r="V763" s="11"/>
      <c r="W763" s="23">
        <v>35065.0</v>
      </c>
      <c r="X763" s="11" t="s">
        <v>1738</v>
      </c>
      <c r="AO763" s="5" t="s">
        <v>2976</v>
      </c>
      <c r="AP763" s="5">
        <v>440.0</v>
      </c>
      <c r="AQ763" s="5" t="s">
        <v>1716</v>
      </c>
      <c r="AR763" s="5" t="s">
        <v>1739</v>
      </c>
      <c r="AS763" s="5" t="s">
        <v>1740</v>
      </c>
      <c r="AT763" s="5" t="s">
        <v>1741</v>
      </c>
      <c r="AU763" s="5" t="s">
        <v>1742</v>
      </c>
      <c r="AV763" s="5" t="s">
        <v>1720</v>
      </c>
      <c r="AW763" s="5" t="s">
        <v>2003</v>
      </c>
      <c r="AX763" s="5" t="s">
        <v>2009</v>
      </c>
      <c r="AY763" s="5">
        <v>59.7226</v>
      </c>
      <c r="AZ763" s="5">
        <v>-127.335</v>
      </c>
      <c r="BA763" s="5">
        <v>735.0</v>
      </c>
    </row>
    <row r="764" ht="14.25" customHeight="1">
      <c r="B764" s="5">
        <v>12.0</v>
      </c>
      <c r="C764" s="5" t="s">
        <v>7666</v>
      </c>
      <c r="D764" s="5">
        <v>441.0</v>
      </c>
      <c r="E764" s="5">
        <v>1977.0</v>
      </c>
      <c r="F764" s="18" t="s">
        <v>2979</v>
      </c>
      <c r="G764" s="5" t="s">
        <v>2980</v>
      </c>
      <c r="H764" s="5" t="s">
        <v>2981</v>
      </c>
      <c r="I764" s="5" t="s">
        <v>1664</v>
      </c>
      <c r="J764" s="5" t="s">
        <v>1715</v>
      </c>
      <c r="K764" s="5">
        <v>1.0</v>
      </c>
      <c r="L764" s="5">
        <v>2380.0</v>
      </c>
      <c r="M764" s="8"/>
      <c r="AO764" s="5" t="s">
        <v>2979</v>
      </c>
      <c r="AP764" s="5">
        <v>441.0</v>
      </c>
      <c r="AQ764" s="5" t="s">
        <v>1716</v>
      </c>
      <c r="AR764" s="5" t="s">
        <v>1717</v>
      </c>
      <c r="AS764" s="5" t="s">
        <v>1718</v>
      </c>
      <c r="AT764" s="5" t="s">
        <v>1719</v>
      </c>
      <c r="AU764" s="5" t="s">
        <v>1703</v>
      </c>
      <c r="AV764" s="5" t="s">
        <v>1720</v>
      </c>
      <c r="AW764" s="5" t="s">
        <v>1947</v>
      </c>
      <c r="AX764" s="5" t="s">
        <v>2009</v>
      </c>
      <c r="AY764" s="5">
        <v>59.7</v>
      </c>
      <c r="AZ764" s="5">
        <v>-127.0</v>
      </c>
      <c r="BA764" s="5">
        <v>5.0</v>
      </c>
    </row>
    <row r="765" ht="14.25" customHeight="1">
      <c r="B765" s="5">
        <v>12.0</v>
      </c>
      <c r="C765" s="5" t="s">
        <v>7666</v>
      </c>
      <c r="D765" s="5">
        <v>442.0</v>
      </c>
      <c r="E765" s="5">
        <v>1978.0</v>
      </c>
      <c r="F765" s="18" t="s">
        <v>2982</v>
      </c>
      <c r="G765" s="5" t="s">
        <v>2983</v>
      </c>
      <c r="H765" s="5" t="s">
        <v>2984</v>
      </c>
      <c r="I765" s="5" t="s">
        <v>1664</v>
      </c>
      <c r="J765" s="5" t="s">
        <v>1746</v>
      </c>
      <c r="K765" s="5">
        <v>1.0</v>
      </c>
      <c r="L765" s="5">
        <v>2381.0</v>
      </c>
      <c r="M765" s="64"/>
      <c r="N765" s="36"/>
      <c r="P765" s="36"/>
      <c r="R765" s="36"/>
      <c r="T765" s="37"/>
      <c r="AO765" s="5" t="s">
        <v>2982</v>
      </c>
      <c r="AP765" s="5">
        <v>442.0</v>
      </c>
      <c r="AQ765" s="5" t="s">
        <v>1716</v>
      </c>
      <c r="AR765" s="5" t="s">
        <v>1717</v>
      </c>
      <c r="AS765" s="5" t="s">
        <v>1718</v>
      </c>
      <c r="AT765" s="5" t="s">
        <v>1719</v>
      </c>
      <c r="AU765" s="5" t="s">
        <v>1703</v>
      </c>
      <c r="AV765" s="5" t="s">
        <v>1720</v>
      </c>
      <c r="AW765" s="5" t="s">
        <v>1947</v>
      </c>
      <c r="AX765" s="5" t="s">
        <v>2009</v>
      </c>
      <c r="AY765" s="5">
        <v>59.1</v>
      </c>
      <c r="AZ765" s="5">
        <v>-128.1</v>
      </c>
      <c r="BA765" s="5">
        <v>0.0</v>
      </c>
    </row>
    <row r="766" ht="14.25" customHeight="1">
      <c r="B766" s="5">
        <v>12.0</v>
      </c>
      <c r="C766" s="5" t="s">
        <v>7666</v>
      </c>
      <c r="D766" s="5">
        <v>443.0</v>
      </c>
      <c r="E766" s="5">
        <v>1979.0</v>
      </c>
      <c r="F766" s="18" t="s">
        <v>2985</v>
      </c>
      <c r="G766" s="5" t="s">
        <v>2986</v>
      </c>
      <c r="H766" s="5" t="s">
        <v>2987</v>
      </c>
      <c r="I766" s="5" t="s">
        <v>1664</v>
      </c>
      <c r="J766" s="5" t="s">
        <v>1715</v>
      </c>
      <c r="K766" s="5">
        <v>1.0</v>
      </c>
      <c r="L766" s="5">
        <v>2382.0</v>
      </c>
      <c r="M766" s="8"/>
      <c r="AO766" s="5" t="s">
        <v>2985</v>
      </c>
      <c r="AP766" s="5">
        <v>443.0</v>
      </c>
      <c r="AQ766" s="5" t="s">
        <v>1716</v>
      </c>
      <c r="AR766" s="5" t="s">
        <v>1717</v>
      </c>
      <c r="AS766" s="5" t="s">
        <v>1718</v>
      </c>
      <c r="AT766" s="5" t="s">
        <v>1719</v>
      </c>
      <c r="AU766" s="5" t="s">
        <v>1703</v>
      </c>
      <c r="AV766" s="5" t="s">
        <v>1720</v>
      </c>
      <c r="AW766" s="5" t="s">
        <v>1947</v>
      </c>
      <c r="AX766" s="5" t="s">
        <v>1986</v>
      </c>
      <c r="AY766" s="5">
        <v>59.3</v>
      </c>
      <c r="AZ766" s="5">
        <v>-129.3</v>
      </c>
      <c r="BA766" s="5">
        <v>8.0</v>
      </c>
    </row>
    <row r="767" ht="14.25" customHeight="1">
      <c r="B767" s="5">
        <v>12.0</v>
      </c>
      <c r="C767" s="5" t="s">
        <v>7666</v>
      </c>
      <c r="D767" s="5">
        <v>444.0</v>
      </c>
      <c r="E767" s="5">
        <v>1980.0</v>
      </c>
      <c r="F767" s="5" t="s">
        <v>2988</v>
      </c>
      <c r="G767" s="5" t="s">
        <v>2989</v>
      </c>
      <c r="H767" s="5" t="s">
        <v>2990</v>
      </c>
      <c r="I767" s="5" t="s">
        <v>641</v>
      </c>
      <c r="J767" s="5" t="s">
        <v>1736</v>
      </c>
      <c r="K767" s="5">
        <v>1.0</v>
      </c>
      <c r="L767" s="5">
        <v>2383.0</v>
      </c>
      <c r="M767" s="64">
        <v>58.72698</v>
      </c>
      <c r="N767" s="36">
        <v>-127.12496</v>
      </c>
      <c r="O767" s="11" t="s">
        <v>1577</v>
      </c>
      <c r="P767" s="11">
        <v>444.0</v>
      </c>
      <c r="Q767" s="22">
        <v>1.0</v>
      </c>
      <c r="R767" s="36" t="s">
        <v>2988</v>
      </c>
      <c r="S767" s="11" t="s">
        <v>1737</v>
      </c>
      <c r="T767" s="37">
        <v>687.0</v>
      </c>
      <c r="U767" s="11"/>
      <c r="V767" s="11"/>
      <c r="W767" s="23">
        <v>31413.0</v>
      </c>
      <c r="X767" s="11" t="s">
        <v>1738</v>
      </c>
      <c r="AO767" s="5" t="s">
        <v>2988</v>
      </c>
      <c r="AP767" s="5">
        <v>444.0</v>
      </c>
      <c r="AQ767" s="5" t="s">
        <v>1716</v>
      </c>
      <c r="AR767" s="5" t="s">
        <v>2441</v>
      </c>
      <c r="AS767" s="5" t="s">
        <v>1740</v>
      </c>
      <c r="AT767" s="5" t="s">
        <v>1741</v>
      </c>
      <c r="AU767" s="5" t="s">
        <v>1742</v>
      </c>
      <c r="AV767" s="5" t="s">
        <v>1720</v>
      </c>
      <c r="AW767" s="5" t="s">
        <v>2003</v>
      </c>
      <c r="AX767" s="5" t="s">
        <v>2009</v>
      </c>
      <c r="AY767" s="5">
        <v>58.727</v>
      </c>
      <c r="AZ767" s="5">
        <v>-127.125</v>
      </c>
      <c r="BA767" s="5">
        <v>687.0</v>
      </c>
    </row>
    <row r="768" ht="14.25" customHeight="1">
      <c r="A768" s="5" t="s">
        <v>88</v>
      </c>
      <c r="B768" s="5">
        <v>12.0</v>
      </c>
      <c r="C768" s="5" t="s">
        <v>7666</v>
      </c>
      <c r="D768" s="5">
        <v>445.0</v>
      </c>
      <c r="E768" s="5">
        <v>1981.0</v>
      </c>
      <c r="F768" s="5" t="s">
        <v>2991</v>
      </c>
      <c r="G768" s="10" t="s">
        <v>2992</v>
      </c>
      <c r="H768" s="5" t="s">
        <v>2993</v>
      </c>
      <c r="I768" s="5" t="s">
        <v>641</v>
      </c>
      <c r="J768" s="5" t="s">
        <v>1865</v>
      </c>
      <c r="K768" s="5">
        <v>1.0</v>
      </c>
      <c r="L768" s="5">
        <v>2384.0</v>
      </c>
      <c r="M768" s="8">
        <v>59.36833</v>
      </c>
      <c r="N768" s="11">
        <v>-129.11</v>
      </c>
      <c r="O768" s="11" t="s">
        <v>1577</v>
      </c>
      <c r="P768" s="11">
        <v>445.0</v>
      </c>
      <c r="Q768" s="22">
        <v>1.0</v>
      </c>
      <c r="R768" s="11" t="s">
        <v>2991</v>
      </c>
      <c r="S768" s="11" t="s">
        <v>1737</v>
      </c>
      <c r="T768" s="11">
        <v>730.0</v>
      </c>
      <c r="U768" s="11"/>
      <c r="V768" s="11"/>
      <c r="W768" s="23">
        <v>31048.0</v>
      </c>
      <c r="X768" s="11" t="s">
        <v>1738</v>
      </c>
      <c r="AO768" s="5" t="s">
        <v>2991</v>
      </c>
      <c r="AP768" s="5">
        <v>445.0</v>
      </c>
      <c r="AQ768" s="5" t="s">
        <v>1716</v>
      </c>
      <c r="AR768" s="5" t="s">
        <v>1739</v>
      </c>
      <c r="AS768" s="5" t="s">
        <v>1740</v>
      </c>
      <c r="AT768" s="5" t="s">
        <v>1741</v>
      </c>
      <c r="AU768" s="5" t="s">
        <v>1742</v>
      </c>
      <c r="AV768" s="5" t="s">
        <v>1720</v>
      </c>
      <c r="AW768" s="5" t="s">
        <v>1947</v>
      </c>
      <c r="AX768" s="5" t="s">
        <v>1986</v>
      </c>
      <c r="AY768" s="5">
        <v>59.3673</v>
      </c>
      <c r="AZ768" s="5">
        <v>-129.111</v>
      </c>
      <c r="BA768" s="5">
        <v>742.0</v>
      </c>
    </row>
    <row r="769" ht="14.25" customHeight="1">
      <c r="A769" s="5" t="s">
        <v>422</v>
      </c>
      <c r="B769" s="5">
        <v>12.0</v>
      </c>
      <c r="C769" s="5" t="s">
        <v>7666</v>
      </c>
      <c r="D769" s="5">
        <v>446.0</v>
      </c>
      <c r="E769" s="5">
        <v>1982.0</v>
      </c>
      <c r="F769" s="18" t="s">
        <v>2994</v>
      </c>
      <c r="G769" s="5" t="s">
        <v>2995</v>
      </c>
      <c r="H769" s="5" t="s">
        <v>2996</v>
      </c>
      <c r="I769" s="5" t="s">
        <v>1664</v>
      </c>
      <c r="J769" s="5" t="s">
        <v>1746</v>
      </c>
      <c r="K769" s="5">
        <v>1.0</v>
      </c>
      <c r="L769" s="5">
        <v>2385.0</v>
      </c>
      <c r="M769" s="64"/>
      <c r="N769" s="36"/>
      <c r="P769" s="36"/>
      <c r="R769" s="36"/>
      <c r="T769" s="37"/>
      <c r="AO769" s="5" t="s">
        <v>2994</v>
      </c>
      <c r="AP769" s="5">
        <v>446.0</v>
      </c>
      <c r="AQ769" s="5" t="s">
        <v>1716</v>
      </c>
      <c r="AR769" s="5" t="s">
        <v>1717</v>
      </c>
      <c r="AS769" s="5" t="s">
        <v>1718</v>
      </c>
      <c r="AT769" s="5" t="s">
        <v>1719</v>
      </c>
      <c r="AU769" s="5" t="s">
        <v>1703</v>
      </c>
      <c r="AV769" s="5" t="s">
        <v>1720</v>
      </c>
      <c r="AW769" s="5" t="s">
        <v>1947</v>
      </c>
      <c r="AX769" s="5" t="s">
        <v>2009</v>
      </c>
      <c r="AY769" s="5">
        <v>59.7</v>
      </c>
      <c r="AZ769" s="5">
        <v>-127.2</v>
      </c>
      <c r="BA769" s="5">
        <v>7.0</v>
      </c>
    </row>
    <row r="770" ht="14.25" customHeight="1">
      <c r="A770" s="5" t="s">
        <v>1908</v>
      </c>
      <c r="B770" s="5">
        <v>12.0</v>
      </c>
      <c r="C770" s="5" t="s">
        <v>7666</v>
      </c>
      <c r="D770" s="5">
        <v>474.0</v>
      </c>
      <c r="E770" s="5">
        <v>1984.0</v>
      </c>
      <c r="F770" s="5" t="s">
        <v>2997</v>
      </c>
      <c r="G770" s="10" t="s">
        <v>2998</v>
      </c>
      <c r="H770" s="5" t="s">
        <v>2999</v>
      </c>
      <c r="I770" s="5" t="s">
        <v>641</v>
      </c>
      <c r="J770" s="5" t="s">
        <v>3000</v>
      </c>
      <c r="K770" s="5">
        <v>1.0</v>
      </c>
      <c r="L770" s="5">
        <v>2387.0</v>
      </c>
      <c r="M770" s="8">
        <v>52.0105</v>
      </c>
      <c r="N770" s="11">
        <v>-119.25502</v>
      </c>
      <c r="O770" s="11" t="s">
        <v>170</v>
      </c>
      <c r="P770" s="11">
        <v>474.0</v>
      </c>
      <c r="Q770" s="22">
        <v>8.0</v>
      </c>
      <c r="R770" s="11" t="s">
        <v>3001</v>
      </c>
      <c r="S770" s="11" t="s">
        <v>1737</v>
      </c>
      <c r="T770" s="11">
        <v>2153.0</v>
      </c>
      <c r="U770" s="11"/>
      <c r="V770" s="11"/>
      <c r="W770" s="23">
        <v>34335.0</v>
      </c>
      <c r="X770" s="11" t="s">
        <v>1738</v>
      </c>
      <c r="AO770" s="5" t="s">
        <v>3002</v>
      </c>
      <c r="AP770" s="5">
        <v>474.0</v>
      </c>
      <c r="AQ770" s="5" t="s">
        <v>3003</v>
      </c>
      <c r="AR770" s="5" t="s">
        <v>1701</v>
      </c>
      <c r="AS770" s="5" t="s">
        <v>1740</v>
      </c>
      <c r="AT770" s="5" t="s">
        <v>1835</v>
      </c>
      <c r="AU770" s="5" t="s">
        <v>2489</v>
      </c>
      <c r="AV770" s="5" t="s">
        <v>1720</v>
      </c>
      <c r="AW770" s="5" t="s">
        <v>2368</v>
      </c>
      <c r="AX770" s="5" t="s">
        <v>2369</v>
      </c>
      <c r="AY770" s="5">
        <v>52.0105</v>
      </c>
      <c r="AZ770" s="5">
        <v>-119.255</v>
      </c>
      <c r="BA770" s="5">
        <v>2149.0</v>
      </c>
    </row>
    <row r="771" ht="14.25" customHeight="1">
      <c r="B771" s="5">
        <v>12.0</v>
      </c>
      <c r="C771" s="5" t="s">
        <v>7666</v>
      </c>
      <c r="D771" s="5">
        <v>480.0</v>
      </c>
      <c r="E771" s="5">
        <v>12335.0</v>
      </c>
      <c r="F771" s="5" t="s">
        <v>3004</v>
      </c>
      <c r="G771" s="5" t="s">
        <v>3005</v>
      </c>
      <c r="H771" s="5" t="s">
        <v>3006</v>
      </c>
      <c r="I771" s="5" t="s">
        <v>49</v>
      </c>
      <c r="J771" s="5" t="s">
        <v>1746</v>
      </c>
      <c r="K771" s="5">
        <v>1.0</v>
      </c>
      <c r="L771" s="5">
        <v>14391.0</v>
      </c>
      <c r="M771" s="8"/>
      <c r="N771" s="11"/>
      <c r="O771" s="11"/>
      <c r="P771" s="11"/>
      <c r="Q771" s="22"/>
      <c r="R771" s="11"/>
      <c r="S771" s="11"/>
      <c r="T771" s="11"/>
      <c r="U771" s="11"/>
      <c r="V771" s="11"/>
      <c r="W771" s="23"/>
      <c r="X771" s="11"/>
      <c r="AO771" s="5" t="s">
        <v>3004</v>
      </c>
      <c r="AP771" s="5">
        <v>480.0</v>
      </c>
      <c r="AQ771" s="5" t="s">
        <v>1700</v>
      </c>
      <c r="AR771" s="5" t="s">
        <v>1701</v>
      </c>
      <c r="AS771" s="5" t="s">
        <v>1740</v>
      </c>
      <c r="AT771" s="5" t="s">
        <v>1835</v>
      </c>
      <c r="AU771" s="5" t="s">
        <v>2489</v>
      </c>
      <c r="AV771" s="5" t="s">
        <v>1720</v>
      </c>
      <c r="AW771" s="5" t="s">
        <v>2368</v>
      </c>
      <c r="AX771" s="5" t="s">
        <v>2522</v>
      </c>
      <c r="AY771" s="5">
        <v>50.3682</v>
      </c>
      <c r="AZ771" s="5">
        <v>-119.0654</v>
      </c>
      <c r="BA771" s="5">
        <v>1880.0</v>
      </c>
    </row>
    <row r="772" ht="14.25" customHeight="1">
      <c r="A772" s="5" t="s">
        <v>2251</v>
      </c>
      <c r="B772" s="5">
        <v>12.0</v>
      </c>
      <c r="C772" s="5" t="s">
        <v>7666</v>
      </c>
      <c r="D772" s="5">
        <v>503.0</v>
      </c>
      <c r="E772" s="5">
        <v>1985.0</v>
      </c>
      <c r="F772" s="10" t="s">
        <v>3007</v>
      </c>
      <c r="G772" s="10" t="s">
        <v>3008</v>
      </c>
      <c r="H772" s="5" t="s">
        <v>3009</v>
      </c>
      <c r="I772" s="5" t="s">
        <v>641</v>
      </c>
      <c r="J772" s="5" t="s">
        <v>3010</v>
      </c>
      <c r="K772" s="5">
        <v>1.0</v>
      </c>
      <c r="L772" s="5">
        <v>2388.0</v>
      </c>
      <c r="M772" s="8">
        <v>49.45616</v>
      </c>
      <c r="N772" s="11">
        <v>-115.62633</v>
      </c>
      <c r="O772" s="11" t="s">
        <v>170</v>
      </c>
      <c r="P772" s="16">
        <v>503.0</v>
      </c>
      <c r="Q772" s="22">
        <v>8.0</v>
      </c>
      <c r="R772" s="11" t="s">
        <v>3011</v>
      </c>
      <c r="S772" s="11" t="s">
        <v>1737</v>
      </c>
      <c r="T772" s="11">
        <v>2262.0</v>
      </c>
      <c r="U772" s="11"/>
      <c r="V772" s="11"/>
      <c r="W772" s="23">
        <v>39259.0</v>
      </c>
      <c r="X772" s="11" t="s">
        <v>1738</v>
      </c>
      <c r="AO772" s="5" t="s">
        <v>3012</v>
      </c>
      <c r="AP772" s="5">
        <v>503.0</v>
      </c>
      <c r="AQ772" s="5" t="s">
        <v>1700</v>
      </c>
      <c r="AR772" s="5" t="s">
        <v>1701</v>
      </c>
      <c r="AS772" s="5" t="s">
        <v>1740</v>
      </c>
      <c r="AT772" s="5" t="s">
        <v>1835</v>
      </c>
      <c r="AU772" s="5" t="s">
        <v>2043</v>
      </c>
      <c r="AV772" s="5" t="s">
        <v>1720</v>
      </c>
      <c r="AW772" s="5" t="s">
        <v>2698</v>
      </c>
      <c r="AX772" s="5" t="s">
        <v>2902</v>
      </c>
      <c r="AY772" s="5">
        <v>49.4589</v>
      </c>
      <c r="AZ772" s="5">
        <v>-115.6303</v>
      </c>
      <c r="BA772" s="5">
        <v>2262.0</v>
      </c>
    </row>
    <row r="773" ht="14.25" customHeight="1">
      <c r="B773" s="5">
        <v>12.0</v>
      </c>
      <c r="C773" s="5" t="s">
        <v>7666</v>
      </c>
      <c r="D773" s="5">
        <v>521.0</v>
      </c>
      <c r="E773" s="5">
        <v>1986.0</v>
      </c>
      <c r="F773" s="18" t="s">
        <v>3013</v>
      </c>
      <c r="G773" s="29" t="s">
        <v>3014</v>
      </c>
      <c r="H773" s="5" t="s">
        <v>3015</v>
      </c>
      <c r="I773" s="5" t="s">
        <v>1664</v>
      </c>
      <c r="J773" s="5" t="s">
        <v>1746</v>
      </c>
      <c r="K773" s="5">
        <v>1.0</v>
      </c>
      <c r="L773" s="5">
        <v>2389.0</v>
      </c>
      <c r="M773" s="8"/>
      <c r="AO773" s="5" t="s">
        <v>3013</v>
      </c>
      <c r="AP773" s="5">
        <v>521.0</v>
      </c>
      <c r="AQ773" s="5" t="s">
        <v>1716</v>
      </c>
      <c r="AR773" s="5" t="s">
        <v>1717</v>
      </c>
      <c r="AS773" s="5" t="s">
        <v>1718</v>
      </c>
      <c r="AT773" s="5" t="s">
        <v>1719</v>
      </c>
      <c r="AU773" s="5" t="s">
        <v>1703</v>
      </c>
      <c r="AV773" s="5" t="s">
        <v>1720</v>
      </c>
      <c r="AW773" s="5" t="s">
        <v>1705</v>
      </c>
      <c r="AX773" s="5" t="s">
        <v>1706</v>
      </c>
      <c r="AY773" s="5">
        <v>49.0</v>
      </c>
      <c r="AZ773" s="5">
        <v>-125.0</v>
      </c>
      <c r="BA773" s="5">
        <v>40.0</v>
      </c>
    </row>
    <row r="774" ht="14.25" customHeight="1">
      <c r="A774" s="5" t="s">
        <v>422</v>
      </c>
      <c r="B774" s="5">
        <v>12.0</v>
      </c>
      <c r="C774" s="5" t="s">
        <v>7666</v>
      </c>
      <c r="D774" s="5">
        <v>522.0</v>
      </c>
      <c r="E774" s="5">
        <v>1987.0</v>
      </c>
      <c r="F774" s="18" t="s">
        <v>3016</v>
      </c>
      <c r="G774" s="29" t="s">
        <v>3017</v>
      </c>
      <c r="H774" s="5" t="s">
        <v>3018</v>
      </c>
      <c r="I774" s="5" t="s">
        <v>1664</v>
      </c>
      <c r="J774" s="5" t="s">
        <v>1746</v>
      </c>
      <c r="K774" s="5">
        <v>1.0</v>
      </c>
      <c r="L774" s="5">
        <v>2390.0</v>
      </c>
      <c r="M774" s="8"/>
      <c r="AO774" s="5" t="s">
        <v>3016</v>
      </c>
      <c r="AP774" s="5">
        <v>522.0</v>
      </c>
      <c r="AQ774" s="5" t="s">
        <v>1716</v>
      </c>
      <c r="AR774" s="5" t="s">
        <v>1717</v>
      </c>
      <c r="AS774" s="5" t="s">
        <v>1718</v>
      </c>
      <c r="AT774" s="5" t="s">
        <v>1719</v>
      </c>
      <c r="AU774" s="5" t="s">
        <v>1703</v>
      </c>
      <c r="AV774" s="5" t="s">
        <v>1720</v>
      </c>
      <c r="AW774" s="5" t="s">
        <v>1705</v>
      </c>
      <c r="AY774" s="5">
        <v>48.9</v>
      </c>
      <c r="AZ774" s="5">
        <v>-125.6</v>
      </c>
      <c r="BA774" s="5">
        <v>1.0</v>
      </c>
    </row>
    <row r="775" ht="14.25" customHeight="1">
      <c r="B775" s="5">
        <v>12.0</v>
      </c>
      <c r="C775" s="5" t="s">
        <v>7666</v>
      </c>
      <c r="D775" s="5">
        <v>523.0</v>
      </c>
      <c r="E775" s="5">
        <v>1988.0</v>
      </c>
      <c r="F775" s="18" t="s">
        <v>3019</v>
      </c>
      <c r="G775" s="29" t="s">
        <v>3020</v>
      </c>
      <c r="H775" s="5" t="s">
        <v>3021</v>
      </c>
      <c r="I775" s="5" t="s">
        <v>1664</v>
      </c>
      <c r="J775" s="5" t="s">
        <v>1715</v>
      </c>
      <c r="K775" s="5">
        <v>1.0</v>
      </c>
      <c r="L775" s="5">
        <v>2391.0</v>
      </c>
      <c r="M775" s="8"/>
      <c r="AO775" s="5" t="s">
        <v>3019</v>
      </c>
      <c r="AP775" s="5">
        <v>523.0</v>
      </c>
      <c r="AQ775" s="5" t="s">
        <v>1716</v>
      </c>
      <c r="AR775" s="5" t="s">
        <v>1717</v>
      </c>
      <c r="AS775" s="5" t="s">
        <v>1718</v>
      </c>
      <c r="AT775" s="5" t="s">
        <v>1719</v>
      </c>
      <c r="AU775" s="5" t="s">
        <v>1703</v>
      </c>
      <c r="AV775" s="5" t="s">
        <v>1720</v>
      </c>
      <c r="AW775" s="5" t="s">
        <v>1705</v>
      </c>
      <c r="AX775" s="5" t="s">
        <v>1706</v>
      </c>
      <c r="AY775" s="5">
        <v>49.4</v>
      </c>
      <c r="AZ775" s="5">
        <v>-126.3</v>
      </c>
      <c r="BA775" s="5">
        <v>0.0</v>
      </c>
    </row>
    <row r="776" ht="14.25" customHeight="1">
      <c r="B776" s="5">
        <v>12.0</v>
      </c>
      <c r="C776" s="5" t="s">
        <v>7666</v>
      </c>
      <c r="D776" s="5">
        <v>524.0</v>
      </c>
      <c r="E776" s="5">
        <v>1989.0</v>
      </c>
      <c r="F776" s="18" t="s">
        <v>3022</v>
      </c>
      <c r="G776" s="29" t="s">
        <v>3023</v>
      </c>
      <c r="H776" s="5" t="s">
        <v>3024</v>
      </c>
      <c r="I776" s="5" t="s">
        <v>1664</v>
      </c>
      <c r="J776" s="5" t="s">
        <v>1715</v>
      </c>
      <c r="K776" s="5">
        <v>1.0</v>
      </c>
      <c r="L776" s="5">
        <v>2392.0</v>
      </c>
      <c r="M776" s="8"/>
      <c r="AO776" s="5" t="s">
        <v>3022</v>
      </c>
      <c r="AP776" s="5">
        <v>524.0</v>
      </c>
      <c r="AQ776" s="5" t="s">
        <v>1716</v>
      </c>
      <c r="AR776" s="5" t="s">
        <v>1717</v>
      </c>
      <c r="AS776" s="5" t="s">
        <v>1718</v>
      </c>
      <c r="AT776" s="5" t="s">
        <v>1719</v>
      </c>
      <c r="AU776" s="5" t="s">
        <v>1703</v>
      </c>
      <c r="AV776" s="5" t="s">
        <v>1720</v>
      </c>
      <c r="AW776" s="5" t="s">
        <v>1705</v>
      </c>
      <c r="AX776" s="5" t="s">
        <v>1706</v>
      </c>
      <c r="AY776" s="5">
        <v>49.1</v>
      </c>
      <c r="AZ776" s="5">
        <v>-125.6</v>
      </c>
      <c r="BA776" s="5">
        <v>8.0</v>
      </c>
    </row>
    <row r="777" ht="14.25" customHeight="1">
      <c r="B777" s="5">
        <v>12.0</v>
      </c>
      <c r="C777" s="5" t="s">
        <v>7666</v>
      </c>
      <c r="D777" s="5">
        <v>525.0</v>
      </c>
      <c r="E777" s="5">
        <v>1990.0</v>
      </c>
      <c r="F777" s="18" t="s">
        <v>3025</v>
      </c>
      <c r="G777" s="5" t="s">
        <v>3026</v>
      </c>
      <c r="H777" s="5" t="s">
        <v>3027</v>
      </c>
      <c r="I777" s="5" t="s">
        <v>1664</v>
      </c>
      <c r="J777" s="5" t="s">
        <v>1715</v>
      </c>
      <c r="K777" s="5">
        <v>1.0</v>
      </c>
      <c r="L777" s="5">
        <v>2393.0</v>
      </c>
      <c r="M777" s="8"/>
      <c r="AO777" s="5" t="s">
        <v>3025</v>
      </c>
      <c r="AP777" s="5">
        <v>525.0</v>
      </c>
      <c r="AQ777" s="5" t="s">
        <v>1716</v>
      </c>
      <c r="AR777" s="5" t="s">
        <v>1717</v>
      </c>
      <c r="AS777" s="5" t="s">
        <v>1718</v>
      </c>
      <c r="AT777" s="5" t="s">
        <v>1719</v>
      </c>
      <c r="AU777" s="5" t="s">
        <v>1703</v>
      </c>
      <c r="AV777" s="5" t="s">
        <v>1720</v>
      </c>
      <c r="AW777" s="5" t="s">
        <v>1705</v>
      </c>
      <c r="AX777" s="5" t="s">
        <v>1706</v>
      </c>
      <c r="AY777" s="5">
        <v>49.2</v>
      </c>
      <c r="AZ777" s="5">
        <v>-125.7</v>
      </c>
      <c r="BA777" s="5">
        <v>0.0</v>
      </c>
    </row>
    <row r="778" ht="14.25" customHeight="1">
      <c r="B778" s="5">
        <v>12.0</v>
      </c>
      <c r="C778" s="5" t="s">
        <v>7666</v>
      </c>
      <c r="D778" s="5">
        <v>526.0</v>
      </c>
      <c r="E778" s="5">
        <v>1991.0</v>
      </c>
      <c r="F778" s="18" t="s">
        <v>3028</v>
      </c>
      <c r="G778" s="5" t="s">
        <v>3029</v>
      </c>
      <c r="H778" s="5" t="s">
        <v>3030</v>
      </c>
      <c r="I778" s="5" t="s">
        <v>1664</v>
      </c>
      <c r="J778" s="5" t="s">
        <v>1715</v>
      </c>
      <c r="K778" s="5">
        <v>1.0</v>
      </c>
      <c r="L778" s="5">
        <v>2394.0</v>
      </c>
      <c r="M778" s="8"/>
      <c r="AO778" s="5" t="s">
        <v>3028</v>
      </c>
      <c r="AP778" s="5">
        <v>526.0</v>
      </c>
      <c r="AQ778" s="5" t="s">
        <v>1716</v>
      </c>
      <c r="AR778" s="5" t="s">
        <v>1717</v>
      </c>
      <c r="AS778" s="5" t="s">
        <v>1718</v>
      </c>
      <c r="AT778" s="5" t="s">
        <v>1719</v>
      </c>
      <c r="AU778" s="5" t="s">
        <v>1703</v>
      </c>
      <c r="AV778" s="5" t="s">
        <v>1720</v>
      </c>
      <c r="AW778" s="5" t="s">
        <v>1705</v>
      </c>
      <c r="AX778" s="5" t="s">
        <v>1706</v>
      </c>
      <c r="AY778" s="5">
        <v>49.1</v>
      </c>
      <c r="AZ778" s="5">
        <v>-125.0</v>
      </c>
      <c r="BA778" s="5">
        <v>1.0</v>
      </c>
    </row>
    <row r="779" ht="14.25" customHeight="1">
      <c r="B779" s="5">
        <v>12.0</v>
      </c>
      <c r="C779" s="5" t="s">
        <v>7666</v>
      </c>
      <c r="D779" s="27">
        <v>527.0</v>
      </c>
      <c r="E779" s="5">
        <v>1992.0</v>
      </c>
      <c r="F779" s="18" t="s">
        <v>3031</v>
      </c>
      <c r="G779" s="5" t="s">
        <v>3032</v>
      </c>
      <c r="H779" s="5" t="s">
        <v>3030</v>
      </c>
      <c r="I779" s="5" t="s">
        <v>1664</v>
      </c>
      <c r="J779" s="5" t="s">
        <v>1715</v>
      </c>
      <c r="K779" s="5">
        <v>1.0</v>
      </c>
      <c r="L779" s="5">
        <v>2395.0</v>
      </c>
      <c r="M779" s="8"/>
      <c r="AO779" s="5" t="s">
        <v>3031</v>
      </c>
      <c r="AP779" s="5">
        <v>527.0</v>
      </c>
      <c r="AQ779" s="5" t="s">
        <v>1716</v>
      </c>
      <c r="AR779" s="5" t="s">
        <v>1717</v>
      </c>
      <c r="AS779" s="5" t="s">
        <v>1718</v>
      </c>
      <c r="AT779" s="5" t="s">
        <v>1719</v>
      </c>
      <c r="AU779" s="5" t="s">
        <v>1703</v>
      </c>
      <c r="AV779" s="5" t="s">
        <v>1720</v>
      </c>
      <c r="AW779" s="5" t="s">
        <v>1705</v>
      </c>
      <c r="AX779" s="5" t="s">
        <v>1710</v>
      </c>
      <c r="AY779" s="5">
        <v>50.7</v>
      </c>
      <c r="AZ779" s="5">
        <v>-127.5</v>
      </c>
      <c r="BA779" s="5">
        <v>1.0</v>
      </c>
    </row>
    <row r="780" ht="14.25" customHeight="1">
      <c r="B780" s="5">
        <v>12.0</v>
      </c>
      <c r="C780" s="5" t="s">
        <v>7666</v>
      </c>
      <c r="D780" s="27">
        <v>528.0</v>
      </c>
      <c r="E780" s="5">
        <v>1993.0</v>
      </c>
      <c r="F780" s="18" t="s">
        <v>3033</v>
      </c>
      <c r="G780" s="5" t="s">
        <v>3034</v>
      </c>
      <c r="H780" s="5" t="s">
        <v>3035</v>
      </c>
      <c r="I780" s="5" t="s">
        <v>1664</v>
      </c>
      <c r="J780" s="5" t="s">
        <v>1746</v>
      </c>
      <c r="K780" s="5">
        <v>1.0</v>
      </c>
      <c r="L780" s="5">
        <v>2396.0</v>
      </c>
      <c r="M780" s="8"/>
      <c r="AO780" s="5" t="s">
        <v>3033</v>
      </c>
      <c r="AP780" s="5">
        <v>528.0</v>
      </c>
      <c r="AQ780" s="5" t="s">
        <v>1716</v>
      </c>
      <c r="AR780" s="5" t="s">
        <v>1717</v>
      </c>
      <c r="AS780" s="5" t="s">
        <v>1718</v>
      </c>
      <c r="AT780" s="5" t="s">
        <v>1719</v>
      </c>
      <c r="AU780" s="5" t="s">
        <v>1703</v>
      </c>
      <c r="AV780" s="5" t="s">
        <v>1720</v>
      </c>
      <c r="AW780" s="5" t="s">
        <v>1705</v>
      </c>
      <c r="AX780" s="5" t="s">
        <v>1710</v>
      </c>
      <c r="AY780" s="5">
        <v>50.9</v>
      </c>
      <c r="AZ780" s="5">
        <v>-126.9</v>
      </c>
      <c r="BA780" s="5">
        <v>2.0</v>
      </c>
    </row>
    <row r="781" ht="14.25" customHeight="1">
      <c r="A781" s="5" t="s">
        <v>422</v>
      </c>
      <c r="B781" s="5">
        <v>12.0</v>
      </c>
      <c r="C781" s="5" t="s">
        <v>7666</v>
      </c>
      <c r="D781" s="27">
        <v>529.0</v>
      </c>
      <c r="E781" s="5">
        <v>1994.0</v>
      </c>
      <c r="F781" s="18" t="s">
        <v>3036</v>
      </c>
      <c r="G781" s="5" t="s">
        <v>3037</v>
      </c>
      <c r="H781" s="5" t="s">
        <v>3038</v>
      </c>
      <c r="I781" s="5" t="s">
        <v>1664</v>
      </c>
      <c r="J781" s="5" t="s">
        <v>1746</v>
      </c>
      <c r="K781" s="5">
        <v>1.0</v>
      </c>
      <c r="L781" s="5">
        <v>2397.0</v>
      </c>
      <c r="M781" s="8"/>
      <c r="AO781" s="5" t="s">
        <v>3036</v>
      </c>
      <c r="AP781" s="5">
        <v>529.0</v>
      </c>
      <c r="AQ781" s="5" t="s">
        <v>1716</v>
      </c>
      <c r="AR781" s="5" t="s">
        <v>1717</v>
      </c>
      <c r="AS781" s="5" t="s">
        <v>1718</v>
      </c>
      <c r="AT781" s="5" t="s">
        <v>1719</v>
      </c>
      <c r="AU781" s="5" t="s">
        <v>1703</v>
      </c>
      <c r="AV781" s="5" t="s">
        <v>1720</v>
      </c>
      <c r="AW781" s="5" t="s">
        <v>1705</v>
      </c>
      <c r="AX781" s="5" t="s">
        <v>1706</v>
      </c>
      <c r="AY781" s="5">
        <v>49.1</v>
      </c>
      <c r="AZ781" s="5">
        <v>-125.9</v>
      </c>
      <c r="BA781" s="5">
        <v>0.0</v>
      </c>
    </row>
    <row r="782" ht="14.25" customHeight="1">
      <c r="B782" s="5">
        <v>12.0</v>
      </c>
      <c r="C782" s="5" t="s">
        <v>7666</v>
      </c>
      <c r="D782" s="5">
        <v>530.0</v>
      </c>
      <c r="E782" s="5">
        <v>1995.0</v>
      </c>
      <c r="F782" s="18" t="s">
        <v>3039</v>
      </c>
      <c r="G782" s="5" t="s">
        <v>3040</v>
      </c>
      <c r="H782" s="5" t="s">
        <v>3041</v>
      </c>
      <c r="I782" s="5" t="s">
        <v>1664</v>
      </c>
      <c r="J782" s="5" t="s">
        <v>1715</v>
      </c>
      <c r="K782" s="5">
        <v>1.0</v>
      </c>
      <c r="L782" s="5">
        <v>2398.0</v>
      </c>
      <c r="M782" s="8"/>
      <c r="AO782" s="5" t="s">
        <v>3039</v>
      </c>
      <c r="AP782" s="5">
        <v>530.0</v>
      </c>
      <c r="AQ782" s="5" t="s">
        <v>1716</v>
      </c>
      <c r="AR782" s="5" t="s">
        <v>1717</v>
      </c>
      <c r="AS782" s="5" t="s">
        <v>1718</v>
      </c>
      <c r="AT782" s="5" t="s">
        <v>1719</v>
      </c>
      <c r="AU782" s="5" t="s">
        <v>1703</v>
      </c>
      <c r="AV782" s="5" t="s">
        <v>1720</v>
      </c>
      <c r="AW782" s="5" t="s">
        <v>1705</v>
      </c>
      <c r="AX782" s="5" t="s">
        <v>1706</v>
      </c>
      <c r="AY782" s="5">
        <v>49.2803</v>
      </c>
      <c r="AZ782" s="5">
        <v>-125.9014</v>
      </c>
      <c r="BA782" s="5">
        <v>1.0</v>
      </c>
    </row>
    <row r="783" ht="14.25" customHeight="1">
      <c r="B783" s="5">
        <v>12.0</v>
      </c>
      <c r="C783" s="5" t="s">
        <v>7666</v>
      </c>
      <c r="D783" s="5">
        <v>531.0</v>
      </c>
      <c r="E783" s="5">
        <v>1996.0</v>
      </c>
      <c r="F783" s="18" t="s">
        <v>3042</v>
      </c>
      <c r="G783" s="5" t="s">
        <v>3043</v>
      </c>
      <c r="H783" s="5" t="s">
        <v>3044</v>
      </c>
      <c r="I783" s="5" t="s">
        <v>1664</v>
      </c>
      <c r="J783" s="5" t="s">
        <v>1715</v>
      </c>
      <c r="K783" s="5">
        <v>1.0</v>
      </c>
      <c r="L783" s="5">
        <v>2399.0</v>
      </c>
      <c r="M783" s="8"/>
      <c r="AO783" s="5" t="s">
        <v>3042</v>
      </c>
      <c r="AP783" s="5">
        <v>531.0</v>
      </c>
      <c r="AQ783" s="5" t="s">
        <v>1716</v>
      </c>
      <c r="AR783" s="5" t="s">
        <v>1717</v>
      </c>
      <c r="AS783" s="5" t="s">
        <v>1718</v>
      </c>
      <c r="AT783" s="5" t="s">
        <v>1719</v>
      </c>
      <c r="AU783" s="5" t="s">
        <v>1703</v>
      </c>
      <c r="AV783" s="5" t="s">
        <v>1720</v>
      </c>
      <c r="AW783" s="5" t="s">
        <v>1705</v>
      </c>
      <c r="AX783" s="5" t="s">
        <v>1706</v>
      </c>
      <c r="AY783" s="5">
        <v>49.6</v>
      </c>
      <c r="AZ783" s="5">
        <v>-126.5</v>
      </c>
      <c r="BA783" s="5">
        <v>0.0</v>
      </c>
    </row>
    <row r="784" ht="14.25" customHeight="1">
      <c r="B784" s="5">
        <v>12.0</v>
      </c>
      <c r="C784" s="5" t="s">
        <v>7666</v>
      </c>
      <c r="D784" s="5">
        <v>532.0</v>
      </c>
      <c r="E784" s="5">
        <v>1997.0</v>
      </c>
      <c r="F784" s="18" t="s">
        <v>3045</v>
      </c>
      <c r="G784" s="5" t="s">
        <v>3046</v>
      </c>
      <c r="H784" s="5" t="s">
        <v>3047</v>
      </c>
      <c r="I784" s="5" t="s">
        <v>1664</v>
      </c>
      <c r="J784" s="5" t="s">
        <v>1746</v>
      </c>
      <c r="K784" s="5">
        <v>1.0</v>
      </c>
      <c r="L784" s="5">
        <v>2400.0</v>
      </c>
      <c r="M784" s="8"/>
      <c r="AO784" s="5" t="s">
        <v>3045</v>
      </c>
      <c r="AP784" s="5">
        <v>532.0</v>
      </c>
      <c r="AQ784" s="5" t="s">
        <v>1716</v>
      </c>
      <c r="AR784" s="5" t="s">
        <v>1717</v>
      </c>
      <c r="AS784" s="5" t="s">
        <v>1718</v>
      </c>
      <c r="AT784" s="5" t="s">
        <v>1719</v>
      </c>
      <c r="AU784" s="5" t="s">
        <v>1703</v>
      </c>
      <c r="AV784" s="5" t="s">
        <v>1720</v>
      </c>
      <c r="AW784" s="5" t="s">
        <v>1705</v>
      </c>
      <c r="AX784" s="5" t="s">
        <v>1706</v>
      </c>
      <c r="AY784" s="5">
        <v>49.4</v>
      </c>
      <c r="AZ784" s="5">
        <v>-126.5</v>
      </c>
      <c r="BA784" s="5">
        <v>30.0</v>
      </c>
    </row>
    <row r="785" ht="14.25" customHeight="1">
      <c r="B785" s="5">
        <v>12.0</v>
      </c>
      <c r="C785" s="5" t="s">
        <v>7666</v>
      </c>
      <c r="D785" s="5">
        <v>533.0</v>
      </c>
      <c r="E785" s="5">
        <v>1998.0</v>
      </c>
      <c r="F785" s="18" t="s">
        <v>3048</v>
      </c>
      <c r="G785" s="5" t="s">
        <v>3049</v>
      </c>
      <c r="H785" s="5" t="s">
        <v>3050</v>
      </c>
      <c r="I785" s="5" t="s">
        <v>1664</v>
      </c>
      <c r="J785" s="5" t="s">
        <v>1715</v>
      </c>
      <c r="K785" s="5">
        <v>1.0</v>
      </c>
      <c r="L785" s="5">
        <v>2401.0</v>
      </c>
      <c r="M785" s="8"/>
      <c r="AO785" s="5" t="s">
        <v>3048</v>
      </c>
      <c r="AP785" s="5">
        <v>533.0</v>
      </c>
      <c r="AQ785" s="5" t="s">
        <v>1716</v>
      </c>
      <c r="AR785" s="5" t="s">
        <v>1717</v>
      </c>
      <c r="AS785" s="5" t="s">
        <v>1718</v>
      </c>
      <c r="AT785" s="5" t="s">
        <v>1719</v>
      </c>
      <c r="AU785" s="5" t="s">
        <v>1703</v>
      </c>
      <c r="AV785" s="5" t="s">
        <v>1720</v>
      </c>
      <c r="AW785" s="5" t="s">
        <v>1705</v>
      </c>
      <c r="AX785" s="5" t="s">
        <v>1706</v>
      </c>
      <c r="AY785" s="5">
        <v>48.9</v>
      </c>
      <c r="AZ785" s="5">
        <v>-125.0</v>
      </c>
      <c r="BA785" s="5">
        <v>2.0</v>
      </c>
    </row>
    <row r="786" ht="14.25" customHeight="1">
      <c r="B786" s="5">
        <v>12.0</v>
      </c>
      <c r="C786" s="5" t="s">
        <v>7666</v>
      </c>
      <c r="D786" s="5">
        <v>534.0</v>
      </c>
      <c r="E786" s="5">
        <v>1999.0</v>
      </c>
      <c r="F786" s="18" t="s">
        <v>3051</v>
      </c>
      <c r="G786" s="5" t="s">
        <v>3052</v>
      </c>
      <c r="H786" s="5" t="s">
        <v>3053</v>
      </c>
      <c r="I786" s="5" t="s">
        <v>1664</v>
      </c>
      <c r="J786" s="5" t="s">
        <v>1746</v>
      </c>
      <c r="K786" s="5">
        <v>1.0</v>
      </c>
      <c r="L786" s="5">
        <v>2402.0</v>
      </c>
      <c r="M786" s="8"/>
      <c r="AO786" s="5" t="s">
        <v>3051</v>
      </c>
      <c r="AP786" s="5">
        <v>534.0</v>
      </c>
      <c r="AQ786" s="5" t="s">
        <v>1716</v>
      </c>
      <c r="AR786" s="5" t="s">
        <v>1717</v>
      </c>
      <c r="AS786" s="5" t="s">
        <v>1718</v>
      </c>
      <c r="AT786" s="5" t="s">
        <v>1719</v>
      </c>
      <c r="AU786" s="5" t="s">
        <v>1703</v>
      </c>
      <c r="AV786" s="5" t="s">
        <v>1720</v>
      </c>
      <c r="AW786" s="5" t="s">
        <v>1705</v>
      </c>
      <c r="AX786" s="5" t="s">
        <v>1706</v>
      </c>
      <c r="AY786" s="5">
        <v>49.2</v>
      </c>
      <c r="AZ786" s="5">
        <v>-125.4</v>
      </c>
      <c r="BA786" s="5">
        <v>1.0</v>
      </c>
    </row>
    <row r="787" ht="14.25" customHeight="1">
      <c r="B787" s="5">
        <v>12.0</v>
      </c>
      <c r="C787" s="5" t="s">
        <v>7666</v>
      </c>
      <c r="D787" s="5">
        <v>535.0</v>
      </c>
      <c r="E787" s="5">
        <v>2000.0</v>
      </c>
      <c r="F787" s="18" t="s">
        <v>3054</v>
      </c>
      <c r="G787" s="5" t="s">
        <v>3055</v>
      </c>
      <c r="H787" s="5" t="s">
        <v>3056</v>
      </c>
      <c r="I787" s="5" t="s">
        <v>1664</v>
      </c>
      <c r="J787" s="5" t="s">
        <v>1715</v>
      </c>
      <c r="K787" s="5">
        <v>1.0</v>
      </c>
      <c r="L787" s="5">
        <v>2403.0</v>
      </c>
      <c r="M787" s="8"/>
      <c r="AO787" s="5" t="s">
        <v>3054</v>
      </c>
      <c r="AP787" s="5">
        <v>535.0</v>
      </c>
      <c r="AQ787" s="5" t="s">
        <v>1716</v>
      </c>
      <c r="AR787" s="5" t="s">
        <v>1717</v>
      </c>
      <c r="AS787" s="5" t="s">
        <v>1718</v>
      </c>
      <c r="AT787" s="5" t="s">
        <v>1719</v>
      </c>
      <c r="AU787" s="5" t="s">
        <v>1703</v>
      </c>
      <c r="AV787" s="5" t="s">
        <v>1720</v>
      </c>
      <c r="AW787" s="5" t="s">
        <v>1705</v>
      </c>
      <c r="AX787" s="5" t="s">
        <v>1837</v>
      </c>
      <c r="AY787" s="5">
        <v>50.0</v>
      </c>
      <c r="AZ787" s="5">
        <v>-124.0</v>
      </c>
      <c r="BA787" s="5">
        <v>0.0</v>
      </c>
    </row>
    <row r="788" ht="14.25" customHeight="1">
      <c r="A788" s="5" t="s">
        <v>422</v>
      </c>
      <c r="B788" s="5">
        <v>12.0</v>
      </c>
      <c r="C788" s="5" t="s">
        <v>7666</v>
      </c>
      <c r="D788" s="5">
        <v>536.0</v>
      </c>
      <c r="E788" s="5">
        <v>2001.0</v>
      </c>
      <c r="F788" s="18" t="s">
        <v>3057</v>
      </c>
      <c r="G788" s="5" t="s">
        <v>3058</v>
      </c>
      <c r="H788" s="5" t="s">
        <v>3059</v>
      </c>
      <c r="I788" s="5" t="s">
        <v>1664</v>
      </c>
      <c r="J788" s="5" t="s">
        <v>1746</v>
      </c>
      <c r="K788" s="5">
        <v>1.0</v>
      </c>
      <c r="L788" s="5">
        <v>2404.0</v>
      </c>
      <c r="M788" s="8"/>
      <c r="AO788" s="5" t="s">
        <v>3057</v>
      </c>
      <c r="AP788" s="5">
        <v>536.0</v>
      </c>
      <c r="AQ788" s="5" t="s">
        <v>1716</v>
      </c>
      <c r="AR788" s="5" t="s">
        <v>1717</v>
      </c>
      <c r="AS788" s="5" t="s">
        <v>1718</v>
      </c>
      <c r="AT788" s="5" t="s">
        <v>1719</v>
      </c>
      <c r="AU788" s="5" t="s">
        <v>1703</v>
      </c>
      <c r="AV788" s="5" t="s">
        <v>1720</v>
      </c>
      <c r="AW788" s="5" t="s">
        <v>1705</v>
      </c>
      <c r="AX788" s="5" t="s">
        <v>1706</v>
      </c>
      <c r="AY788" s="5">
        <v>49.5</v>
      </c>
      <c r="AZ788" s="5">
        <v>-125.4</v>
      </c>
      <c r="BA788" s="5">
        <v>3.0</v>
      </c>
    </row>
    <row r="789" ht="14.25" customHeight="1">
      <c r="B789" s="5">
        <v>12.0</v>
      </c>
      <c r="C789" s="5" t="s">
        <v>7666</v>
      </c>
      <c r="D789" s="5">
        <v>539.0</v>
      </c>
      <c r="E789" s="5">
        <v>2002.0</v>
      </c>
      <c r="F789" s="18" t="s">
        <v>3060</v>
      </c>
      <c r="G789" s="5" t="s">
        <v>3061</v>
      </c>
      <c r="H789" s="5" t="s">
        <v>3062</v>
      </c>
      <c r="I789" s="5" t="s">
        <v>641</v>
      </c>
      <c r="J789" s="5" t="s">
        <v>1715</v>
      </c>
      <c r="K789" s="5">
        <v>1.0</v>
      </c>
      <c r="L789" s="5">
        <v>2405.0</v>
      </c>
      <c r="M789" s="8"/>
      <c r="AO789" s="5" t="s">
        <v>3060</v>
      </c>
      <c r="AP789" s="5">
        <v>539.0</v>
      </c>
      <c r="AQ789" s="5" t="s">
        <v>1716</v>
      </c>
      <c r="AR789" s="5" t="s">
        <v>1717</v>
      </c>
      <c r="AS789" s="5" t="s">
        <v>1718</v>
      </c>
      <c r="AT789" s="5" t="s">
        <v>1703</v>
      </c>
      <c r="AU789" s="5" t="s">
        <v>1703</v>
      </c>
      <c r="AV789" s="5" t="s">
        <v>1720</v>
      </c>
      <c r="AW789" s="5" t="s">
        <v>1705</v>
      </c>
      <c r="AX789" s="5" t="s">
        <v>1723</v>
      </c>
      <c r="AY789" s="5">
        <v>50.2</v>
      </c>
      <c r="AZ789" s="5">
        <v>-125.2</v>
      </c>
      <c r="BA789" s="5">
        <v>50.0</v>
      </c>
    </row>
    <row r="790" ht="14.25" customHeight="1">
      <c r="B790" s="5">
        <v>12.0</v>
      </c>
      <c r="C790" s="5" t="s">
        <v>7666</v>
      </c>
      <c r="D790" s="5">
        <v>540.0</v>
      </c>
      <c r="E790" s="5">
        <v>2003.0</v>
      </c>
      <c r="F790" s="18" t="s">
        <v>3063</v>
      </c>
      <c r="G790" s="5" t="s">
        <v>3064</v>
      </c>
      <c r="H790" s="5" t="s">
        <v>3065</v>
      </c>
      <c r="I790" s="5" t="s">
        <v>1664</v>
      </c>
      <c r="J790" s="5" t="s">
        <v>1715</v>
      </c>
      <c r="K790" s="5">
        <v>1.0</v>
      </c>
      <c r="L790" s="5">
        <v>2406.0</v>
      </c>
      <c r="M790" s="8"/>
      <c r="AO790" s="5" t="s">
        <v>3063</v>
      </c>
      <c r="AP790" s="5">
        <v>540.0</v>
      </c>
      <c r="AQ790" s="5" t="s">
        <v>1716</v>
      </c>
      <c r="AR790" s="5" t="s">
        <v>1717</v>
      </c>
      <c r="AS790" s="5" t="s">
        <v>1718</v>
      </c>
      <c r="AT790" s="5" t="s">
        <v>1719</v>
      </c>
      <c r="AU790" s="5" t="s">
        <v>1703</v>
      </c>
      <c r="AV790" s="5" t="s">
        <v>1720</v>
      </c>
      <c r="AW790" s="5" t="s">
        <v>1705</v>
      </c>
      <c r="AX790" s="5" t="s">
        <v>1747</v>
      </c>
      <c r="AY790" s="5">
        <v>48.6</v>
      </c>
      <c r="AZ790" s="5">
        <v>-123.6</v>
      </c>
      <c r="BA790" s="5">
        <v>7.0</v>
      </c>
    </row>
    <row r="791" ht="14.25" customHeight="1">
      <c r="B791" s="5">
        <v>12.0</v>
      </c>
      <c r="C791" s="5" t="s">
        <v>7666</v>
      </c>
      <c r="D791" s="5">
        <v>541.0</v>
      </c>
      <c r="E791" s="5">
        <v>2004.0</v>
      </c>
      <c r="F791" s="18" t="s">
        <v>3066</v>
      </c>
      <c r="G791" s="5" t="s">
        <v>3067</v>
      </c>
      <c r="H791" s="5" t="s">
        <v>3068</v>
      </c>
      <c r="I791" s="5" t="s">
        <v>1664</v>
      </c>
      <c r="J791" s="5" t="s">
        <v>1715</v>
      </c>
      <c r="K791" s="5">
        <v>1.0</v>
      </c>
      <c r="L791" s="5">
        <v>2407.0</v>
      </c>
      <c r="M791" s="8"/>
      <c r="AO791" s="5" t="s">
        <v>3066</v>
      </c>
      <c r="AP791" s="5">
        <v>541.0</v>
      </c>
      <c r="AQ791" s="5" t="s">
        <v>1716</v>
      </c>
      <c r="AR791" s="5" t="s">
        <v>1717</v>
      </c>
      <c r="AS791" s="5" t="s">
        <v>1718</v>
      </c>
      <c r="AT791" s="5" t="s">
        <v>1719</v>
      </c>
      <c r="AU791" s="5" t="s">
        <v>1703</v>
      </c>
      <c r="AV791" s="5" t="s">
        <v>1720</v>
      </c>
      <c r="AW791" s="5" t="s">
        <v>1705</v>
      </c>
      <c r="AX791" s="5" t="s">
        <v>1706</v>
      </c>
      <c r="AY791" s="5">
        <v>49.4</v>
      </c>
      <c r="AZ791" s="5">
        <v>-124.3</v>
      </c>
      <c r="BA791" s="5">
        <v>1.0</v>
      </c>
    </row>
    <row r="792" ht="14.25" customHeight="1">
      <c r="B792" s="5">
        <v>12.0</v>
      </c>
      <c r="C792" s="5" t="s">
        <v>7666</v>
      </c>
      <c r="D792" s="5">
        <v>542.0</v>
      </c>
      <c r="E792" s="5">
        <v>2005.0</v>
      </c>
      <c r="F792" s="18" t="s">
        <v>3069</v>
      </c>
      <c r="G792" s="5" t="s">
        <v>3070</v>
      </c>
      <c r="H792" s="5" t="s">
        <v>3071</v>
      </c>
      <c r="I792" s="5" t="s">
        <v>1664</v>
      </c>
      <c r="J792" s="5" t="s">
        <v>1715</v>
      </c>
      <c r="K792" s="5">
        <v>1.0</v>
      </c>
      <c r="L792" s="5">
        <v>2408.0</v>
      </c>
      <c r="M792" s="8"/>
      <c r="AO792" s="5" t="s">
        <v>3069</v>
      </c>
      <c r="AP792" s="5">
        <v>542.0</v>
      </c>
      <c r="AQ792" s="5" t="s">
        <v>1716</v>
      </c>
      <c r="AR792" s="5" t="s">
        <v>1717</v>
      </c>
      <c r="AS792" s="5" t="s">
        <v>1718</v>
      </c>
      <c r="AT792" s="5" t="s">
        <v>1719</v>
      </c>
      <c r="AU792" s="5" t="s">
        <v>1703</v>
      </c>
      <c r="AV792" s="5" t="s">
        <v>1720</v>
      </c>
      <c r="AW792" s="5" t="s">
        <v>1705</v>
      </c>
      <c r="AX792" s="5" t="s">
        <v>1706</v>
      </c>
      <c r="AY792" s="5">
        <v>49.5</v>
      </c>
      <c r="AZ792" s="5">
        <v>-124.9</v>
      </c>
      <c r="BA792" s="5">
        <v>0.0</v>
      </c>
    </row>
    <row r="793" ht="14.25" customHeight="1">
      <c r="A793" s="5" t="s">
        <v>422</v>
      </c>
      <c r="B793" s="5">
        <v>12.0</v>
      </c>
      <c r="C793" s="5" t="s">
        <v>7672</v>
      </c>
      <c r="D793" s="5">
        <v>543.0</v>
      </c>
      <c r="E793" s="5">
        <v>12444.0</v>
      </c>
      <c r="F793" s="5" t="s">
        <v>3073</v>
      </c>
      <c r="G793" s="29" t="s">
        <v>3074</v>
      </c>
      <c r="H793" s="5" t="s">
        <v>3075</v>
      </c>
      <c r="I793" s="5" t="s">
        <v>49</v>
      </c>
      <c r="J793" s="5" t="s">
        <v>1746</v>
      </c>
      <c r="K793" s="5">
        <v>1.0</v>
      </c>
      <c r="L793" s="5">
        <v>14466.0</v>
      </c>
      <c r="M793" s="8">
        <v>48.52944</v>
      </c>
      <c r="N793" s="5">
        <v>-123.638611</v>
      </c>
      <c r="O793" s="5" t="s">
        <v>51</v>
      </c>
      <c r="P793" s="5" t="s">
        <v>60</v>
      </c>
      <c r="Q793" s="5">
        <v>4.0</v>
      </c>
      <c r="R793" s="5" t="s">
        <v>61</v>
      </c>
      <c r="S793" s="5" t="s">
        <v>44</v>
      </c>
      <c r="T793" s="5">
        <v>606.0</v>
      </c>
      <c r="V793" s="5" t="s">
        <v>65</v>
      </c>
      <c r="W793" s="5">
        <v>35065.0</v>
      </c>
      <c r="AO793" s="50" t="s">
        <v>3076</v>
      </c>
      <c r="AP793" s="50">
        <v>543.0</v>
      </c>
      <c r="AQ793" s="50" t="s">
        <v>1700</v>
      </c>
      <c r="AR793" s="50" t="s">
        <v>1739</v>
      </c>
      <c r="AS793" s="50" t="s">
        <v>3077</v>
      </c>
      <c r="AT793" s="50" t="s">
        <v>1835</v>
      </c>
      <c r="AU793" s="50" t="s">
        <v>1704</v>
      </c>
      <c r="AV793" s="50" t="s">
        <v>3077</v>
      </c>
      <c r="AW793" s="50" t="s">
        <v>1705</v>
      </c>
      <c r="AX793" s="50" t="s">
        <v>1747</v>
      </c>
      <c r="AY793" s="50">
        <v>48.5297</v>
      </c>
      <c r="AZ793" s="50">
        <v>-123.6375</v>
      </c>
      <c r="BA793" s="50">
        <v>600.0</v>
      </c>
    </row>
    <row r="794" ht="14.25" customHeight="1">
      <c r="B794" s="5">
        <v>12.0</v>
      </c>
      <c r="C794" s="5" t="s">
        <v>7666</v>
      </c>
      <c r="D794" s="5">
        <v>544.0</v>
      </c>
      <c r="E794" s="5">
        <v>2006.0</v>
      </c>
      <c r="F794" s="18" t="s">
        <v>3078</v>
      </c>
      <c r="G794" s="5" t="s">
        <v>3079</v>
      </c>
      <c r="H794" s="5" t="s">
        <v>3080</v>
      </c>
      <c r="I794" s="5" t="s">
        <v>1664</v>
      </c>
      <c r="J794" s="5" t="s">
        <v>1746</v>
      </c>
      <c r="K794" s="5">
        <v>1.0</v>
      </c>
      <c r="L794" s="5">
        <v>2409.0</v>
      </c>
      <c r="M794" s="8"/>
      <c r="AO794" s="5" t="s">
        <v>3078</v>
      </c>
      <c r="AP794" s="5">
        <v>544.0</v>
      </c>
      <c r="AQ794" s="5" t="s">
        <v>1716</v>
      </c>
      <c r="AR794" s="5" t="s">
        <v>1717</v>
      </c>
      <c r="AS794" s="5" t="s">
        <v>1718</v>
      </c>
      <c r="AT794" s="5" t="s">
        <v>1719</v>
      </c>
      <c r="AU794" s="5" t="s">
        <v>1703</v>
      </c>
      <c r="AV794" s="5" t="s">
        <v>1720</v>
      </c>
      <c r="AW794" s="5" t="s">
        <v>1705</v>
      </c>
      <c r="AX794" s="5" t="s">
        <v>1706</v>
      </c>
      <c r="AY794" s="5">
        <v>49.6</v>
      </c>
      <c r="AZ794" s="5">
        <v>-124.7</v>
      </c>
      <c r="BA794" s="5">
        <v>0.0</v>
      </c>
    </row>
    <row r="795" ht="14.25" customHeight="1">
      <c r="B795" s="5">
        <v>12.0</v>
      </c>
      <c r="C795" s="5" t="s">
        <v>7666</v>
      </c>
      <c r="D795" s="5">
        <v>545.0</v>
      </c>
      <c r="E795" s="5">
        <v>2007.0</v>
      </c>
      <c r="F795" s="18" t="s">
        <v>3081</v>
      </c>
      <c r="G795" s="5" t="s">
        <v>3082</v>
      </c>
      <c r="H795" s="5" t="s">
        <v>3083</v>
      </c>
      <c r="I795" s="5" t="s">
        <v>1664</v>
      </c>
      <c r="J795" s="5" t="s">
        <v>1715</v>
      </c>
      <c r="K795" s="5">
        <v>1.0</v>
      </c>
      <c r="L795" s="5">
        <v>2410.0</v>
      </c>
      <c r="M795" s="8"/>
      <c r="AO795" s="5" t="s">
        <v>3081</v>
      </c>
      <c r="AP795" s="5">
        <v>545.0</v>
      </c>
      <c r="AQ795" s="5" t="s">
        <v>1716</v>
      </c>
      <c r="AR795" s="5" t="s">
        <v>1717</v>
      </c>
      <c r="AS795" s="5" t="s">
        <v>1718</v>
      </c>
      <c r="AT795" s="5" t="s">
        <v>1719</v>
      </c>
      <c r="AU795" s="5" t="s">
        <v>1703</v>
      </c>
      <c r="AV795" s="5" t="s">
        <v>1720</v>
      </c>
      <c r="AW795" s="5" t="s">
        <v>1705</v>
      </c>
      <c r="AX795" s="5" t="s">
        <v>1747</v>
      </c>
      <c r="AY795" s="5">
        <v>48.6</v>
      </c>
      <c r="AZ795" s="5">
        <v>-124.0</v>
      </c>
      <c r="BA795" s="5">
        <v>7.0</v>
      </c>
    </row>
    <row r="796" ht="14.25" customHeight="1">
      <c r="B796" s="5">
        <v>12.0</v>
      </c>
      <c r="C796" s="5" t="s">
        <v>7666</v>
      </c>
      <c r="D796" s="5">
        <v>546.0</v>
      </c>
      <c r="E796" s="5">
        <v>2008.0</v>
      </c>
      <c r="F796" s="18" t="s">
        <v>3084</v>
      </c>
      <c r="G796" s="5" t="s">
        <v>3085</v>
      </c>
      <c r="H796" s="5" t="s">
        <v>3086</v>
      </c>
      <c r="I796" s="5" t="s">
        <v>1664</v>
      </c>
      <c r="J796" s="5" t="s">
        <v>1715</v>
      </c>
      <c r="K796" s="5">
        <v>1.0</v>
      </c>
      <c r="L796" s="5">
        <v>2411.0</v>
      </c>
      <c r="M796" s="8"/>
      <c r="AO796" s="5" t="s">
        <v>3084</v>
      </c>
      <c r="AP796" s="5">
        <v>546.0</v>
      </c>
      <c r="AQ796" s="5" t="s">
        <v>1716</v>
      </c>
      <c r="AR796" s="5" t="s">
        <v>1717</v>
      </c>
      <c r="AS796" s="5" t="s">
        <v>1718</v>
      </c>
      <c r="AT796" s="5" t="s">
        <v>1719</v>
      </c>
      <c r="AU796" s="5" t="s">
        <v>1703</v>
      </c>
      <c r="AV796" s="5" t="s">
        <v>1720</v>
      </c>
      <c r="AW796" s="5" t="s">
        <v>1705</v>
      </c>
      <c r="AX796" s="5" t="s">
        <v>1747</v>
      </c>
      <c r="AY796" s="5">
        <v>49.0</v>
      </c>
      <c r="AZ796" s="5">
        <v>-124.0</v>
      </c>
      <c r="BA796" s="5">
        <v>0.0</v>
      </c>
    </row>
    <row r="797" ht="14.25" customHeight="1">
      <c r="B797" s="5">
        <v>12.0</v>
      </c>
      <c r="C797" s="5" t="s">
        <v>7666</v>
      </c>
      <c r="D797" s="5">
        <v>547.0</v>
      </c>
      <c r="E797" s="5">
        <v>2009.0</v>
      </c>
      <c r="F797" s="18" t="s">
        <v>3087</v>
      </c>
      <c r="G797" s="29" t="s">
        <v>3088</v>
      </c>
      <c r="H797" s="5" t="s">
        <v>3089</v>
      </c>
      <c r="I797" s="5" t="s">
        <v>641</v>
      </c>
      <c r="J797" s="5" t="s">
        <v>1715</v>
      </c>
      <c r="K797" s="5">
        <v>1.0</v>
      </c>
      <c r="L797" s="5">
        <v>2412.0</v>
      </c>
      <c r="M797" s="8"/>
      <c r="AO797" s="5" t="s">
        <v>3087</v>
      </c>
      <c r="AP797" s="5">
        <v>547.0</v>
      </c>
      <c r="AQ797" s="5" t="s">
        <v>1716</v>
      </c>
      <c r="AR797" s="5" t="s">
        <v>1717</v>
      </c>
      <c r="AS797" s="5" t="s">
        <v>1718</v>
      </c>
      <c r="AT797" s="5" t="s">
        <v>1703</v>
      </c>
      <c r="AU797" s="5" t="s">
        <v>1703</v>
      </c>
      <c r="AV797" s="5" t="s">
        <v>1720</v>
      </c>
      <c r="AW797" s="5" t="s">
        <v>1705</v>
      </c>
      <c r="AX797" s="5" t="s">
        <v>1706</v>
      </c>
      <c r="AY797" s="5">
        <v>49.1867</v>
      </c>
      <c r="AZ797" s="5">
        <v>-123.8333</v>
      </c>
      <c r="BA797" s="5">
        <v>25.0</v>
      </c>
    </row>
    <row r="798" ht="14.25" customHeight="1">
      <c r="B798" s="5">
        <v>12.0</v>
      </c>
      <c r="C798" s="5" t="s">
        <v>7666</v>
      </c>
      <c r="D798" s="5">
        <v>548.0</v>
      </c>
      <c r="E798" s="5">
        <v>2010.0</v>
      </c>
      <c r="F798" s="18" t="s">
        <v>3090</v>
      </c>
      <c r="G798" s="5" t="s">
        <v>3070</v>
      </c>
      <c r="H798" s="5" t="s">
        <v>3091</v>
      </c>
      <c r="I798" s="5" t="s">
        <v>1664</v>
      </c>
      <c r="J798" s="5" t="s">
        <v>1715</v>
      </c>
      <c r="K798" s="5">
        <v>1.0</v>
      </c>
      <c r="L798" s="5">
        <v>2413.0</v>
      </c>
      <c r="M798" s="8"/>
      <c r="AO798" s="5" t="s">
        <v>3090</v>
      </c>
      <c r="AP798" s="5">
        <v>548.0</v>
      </c>
      <c r="AQ798" s="5" t="s">
        <v>1716</v>
      </c>
      <c r="AR798" s="5" t="s">
        <v>1717</v>
      </c>
      <c r="AS798" s="5" t="s">
        <v>1718</v>
      </c>
      <c r="AT798" s="5" t="s">
        <v>1719</v>
      </c>
      <c r="AU798" s="5" t="s">
        <v>1703</v>
      </c>
      <c r="AV798" s="5" t="s">
        <v>1720</v>
      </c>
      <c r="AW798" s="5" t="s">
        <v>1705</v>
      </c>
      <c r="AX798" s="5" t="s">
        <v>1706</v>
      </c>
      <c r="AY798" s="5">
        <v>49.5</v>
      </c>
      <c r="AZ798" s="5">
        <v>-124.9</v>
      </c>
      <c r="BA798" s="5">
        <v>0.0</v>
      </c>
    </row>
    <row r="799" ht="14.25" customHeight="1">
      <c r="B799" s="5">
        <v>12.0</v>
      </c>
      <c r="C799" s="5" t="s">
        <v>7666</v>
      </c>
      <c r="D799" s="5">
        <v>549.0</v>
      </c>
      <c r="E799" s="5">
        <v>2011.0</v>
      </c>
      <c r="F799" s="18" t="s">
        <v>3092</v>
      </c>
      <c r="G799" s="5" t="s">
        <v>3093</v>
      </c>
      <c r="H799" s="5" t="s">
        <v>3094</v>
      </c>
      <c r="I799" s="5" t="s">
        <v>1664</v>
      </c>
      <c r="J799" s="5" t="s">
        <v>1746</v>
      </c>
      <c r="K799" s="5">
        <v>1.0</v>
      </c>
      <c r="L799" s="5">
        <v>2414.0</v>
      </c>
      <c r="M799" s="8"/>
      <c r="AO799" s="5" t="s">
        <v>3092</v>
      </c>
      <c r="AP799" s="5">
        <v>549.0</v>
      </c>
      <c r="AQ799" s="5" t="s">
        <v>1716</v>
      </c>
      <c r="AR799" s="5" t="s">
        <v>1717</v>
      </c>
      <c r="AS799" s="5" t="s">
        <v>1718</v>
      </c>
      <c r="AT799" s="5" t="s">
        <v>1719</v>
      </c>
      <c r="AU799" s="5" t="s">
        <v>1703</v>
      </c>
      <c r="AV799" s="5" t="s">
        <v>1720</v>
      </c>
      <c r="AW799" s="5" t="s">
        <v>1705</v>
      </c>
      <c r="AX799" s="5" t="s">
        <v>1837</v>
      </c>
      <c r="AY799" s="5">
        <v>49.566</v>
      </c>
      <c r="AZ799" s="5">
        <v>-123.383</v>
      </c>
      <c r="BA799" s="5">
        <v>4.0</v>
      </c>
    </row>
    <row r="800" ht="14.25" customHeight="1">
      <c r="A800" s="5" t="s">
        <v>422</v>
      </c>
      <c r="B800" s="5">
        <v>12.0</v>
      </c>
      <c r="C800" s="5" t="s">
        <v>7666</v>
      </c>
      <c r="D800" s="5">
        <v>550.0</v>
      </c>
      <c r="E800" s="5">
        <v>2012.0</v>
      </c>
      <c r="F800" s="18" t="s">
        <v>3095</v>
      </c>
      <c r="G800" s="5" t="s">
        <v>3096</v>
      </c>
      <c r="H800" s="5" t="s">
        <v>3097</v>
      </c>
      <c r="I800" s="5" t="s">
        <v>1664</v>
      </c>
      <c r="J800" s="5" t="s">
        <v>1746</v>
      </c>
      <c r="K800" s="5">
        <v>1.0</v>
      </c>
      <c r="L800" s="5">
        <v>2415.0</v>
      </c>
      <c r="M800" s="8"/>
      <c r="AO800" s="5" t="s">
        <v>3095</v>
      </c>
      <c r="AP800" s="5">
        <v>550.0</v>
      </c>
      <c r="AQ800" s="5" t="s">
        <v>1716</v>
      </c>
      <c r="AR800" s="5" t="s">
        <v>1717</v>
      </c>
      <c r="AS800" s="5" t="s">
        <v>1718</v>
      </c>
      <c r="AT800" s="5" t="s">
        <v>1719</v>
      </c>
      <c r="AU800" s="5" t="s">
        <v>1703</v>
      </c>
      <c r="AV800" s="5" t="s">
        <v>1720</v>
      </c>
      <c r="AW800" s="5" t="s">
        <v>1705</v>
      </c>
      <c r="AX800" s="5" t="s">
        <v>1747</v>
      </c>
      <c r="AY800" s="5">
        <v>48.7</v>
      </c>
      <c r="AZ800" s="5">
        <v>-123.3</v>
      </c>
      <c r="BA800" s="5">
        <v>0.0</v>
      </c>
    </row>
    <row r="801" ht="14.25" customHeight="1">
      <c r="A801" s="5" t="s">
        <v>422</v>
      </c>
      <c r="B801" s="5">
        <v>12.0</v>
      </c>
      <c r="C801" s="5" t="s">
        <v>7666</v>
      </c>
      <c r="D801" s="5">
        <v>551.0</v>
      </c>
      <c r="E801" s="5">
        <v>2013.0</v>
      </c>
      <c r="F801" s="18" t="s">
        <v>3098</v>
      </c>
      <c r="G801" s="5" t="s">
        <v>3099</v>
      </c>
      <c r="H801" s="5" t="s">
        <v>3100</v>
      </c>
      <c r="I801" s="5" t="s">
        <v>1664</v>
      </c>
      <c r="J801" s="5" t="s">
        <v>1746</v>
      </c>
      <c r="K801" s="5">
        <v>1.0</v>
      </c>
      <c r="L801" s="5">
        <v>2416.0</v>
      </c>
      <c r="M801" s="8"/>
      <c r="AO801" s="5" t="s">
        <v>3098</v>
      </c>
      <c r="AP801" s="5">
        <v>551.0</v>
      </c>
      <c r="AQ801" s="5" t="s">
        <v>1716</v>
      </c>
      <c r="AR801" s="5" t="s">
        <v>1717</v>
      </c>
      <c r="AS801" s="5" t="s">
        <v>1718</v>
      </c>
      <c r="AT801" s="5" t="s">
        <v>1719</v>
      </c>
      <c r="AU801" s="5" t="s">
        <v>1703</v>
      </c>
      <c r="AV801" s="5" t="s">
        <v>1720</v>
      </c>
      <c r="AW801" s="5" t="s">
        <v>1705</v>
      </c>
      <c r="AX801" s="5" t="s">
        <v>1883</v>
      </c>
      <c r="AY801" s="5">
        <v>49.5</v>
      </c>
      <c r="AZ801" s="5">
        <v>-122.8</v>
      </c>
      <c r="BA801" s="5">
        <v>4.0</v>
      </c>
    </row>
    <row r="802" ht="14.25" customHeight="1">
      <c r="B802" s="5">
        <v>12.0</v>
      </c>
      <c r="C802" s="5" t="s">
        <v>7666</v>
      </c>
      <c r="D802" s="5">
        <v>552.0</v>
      </c>
      <c r="E802" s="5">
        <v>2014.0</v>
      </c>
      <c r="F802" s="18" t="s">
        <v>3101</v>
      </c>
      <c r="G802" s="5" t="s">
        <v>3102</v>
      </c>
      <c r="H802" s="5" t="s">
        <v>3103</v>
      </c>
      <c r="I802" s="5" t="s">
        <v>1664</v>
      </c>
      <c r="J802" s="5" t="s">
        <v>1715</v>
      </c>
      <c r="K802" s="5">
        <v>1.0</v>
      </c>
      <c r="L802" s="5">
        <v>2417.0</v>
      </c>
      <c r="M802" s="8"/>
      <c r="AO802" s="5" t="s">
        <v>3101</v>
      </c>
      <c r="AP802" s="5">
        <v>552.0</v>
      </c>
      <c r="AQ802" s="5" t="s">
        <v>1716</v>
      </c>
      <c r="AR802" s="5" t="s">
        <v>1717</v>
      </c>
      <c r="AS802" s="5" t="s">
        <v>1718</v>
      </c>
      <c r="AT802" s="5" t="s">
        <v>1719</v>
      </c>
      <c r="AU802" s="5" t="s">
        <v>1703</v>
      </c>
      <c r="AV802" s="5" t="s">
        <v>1720</v>
      </c>
      <c r="AW802" s="5" t="s">
        <v>1705</v>
      </c>
      <c r="AY802" s="5">
        <v>49.0</v>
      </c>
      <c r="AZ802" s="5">
        <v>-121.0</v>
      </c>
      <c r="BA802" s="5">
        <v>11.0</v>
      </c>
    </row>
    <row r="803" ht="14.25" customHeight="1">
      <c r="A803" s="5" t="s">
        <v>422</v>
      </c>
      <c r="B803" s="5">
        <v>12.0</v>
      </c>
      <c r="C803" s="5" t="s">
        <v>7666</v>
      </c>
      <c r="D803" s="5">
        <v>553.0</v>
      </c>
      <c r="E803" s="5">
        <v>2015.0</v>
      </c>
      <c r="F803" s="18" t="s">
        <v>3104</v>
      </c>
      <c r="G803" s="5" t="s">
        <v>3105</v>
      </c>
      <c r="H803" s="5" t="s">
        <v>3106</v>
      </c>
      <c r="I803" s="5" t="s">
        <v>641</v>
      </c>
      <c r="J803" s="5" t="s">
        <v>1746</v>
      </c>
      <c r="K803" s="5">
        <v>1.0</v>
      </c>
      <c r="L803" s="5">
        <v>2418.0</v>
      </c>
      <c r="M803" s="8"/>
      <c r="AO803" s="5" t="s">
        <v>3104</v>
      </c>
      <c r="AP803" s="5">
        <v>553.0</v>
      </c>
      <c r="AQ803" s="5" t="s">
        <v>1716</v>
      </c>
      <c r="AR803" s="5" t="s">
        <v>1717</v>
      </c>
      <c r="AS803" s="5" t="s">
        <v>1718</v>
      </c>
      <c r="AT803" s="5" t="s">
        <v>1703</v>
      </c>
      <c r="AU803" s="5" t="s">
        <v>1703</v>
      </c>
      <c r="AV803" s="5" t="s">
        <v>1720</v>
      </c>
      <c r="AW803" s="5" t="s">
        <v>1705</v>
      </c>
      <c r="AX803" s="5" t="s">
        <v>1883</v>
      </c>
      <c r="AY803" s="5">
        <v>49.369</v>
      </c>
      <c r="AZ803" s="5">
        <v>-121.492</v>
      </c>
      <c r="BA803" s="5">
        <v>162.0</v>
      </c>
    </row>
    <row r="804" ht="14.25" customHeight="1">
      <c r="A804" s="5" t="s">
        <v>3107</v>
      </c>
      <c r="B804" s="5">
        <v>12.0</v>
      </c>
      <c r="C804" s="10" t="s">
        <v>7673</v>
      </c>
      <c r="D804" s="66" t="s">
        <v>3109</v>
      </c>
      <c r="E804" s="5">
        <v>13011.0</v>
      </c>
      <c r="F804" s="12" t="s">
        <v>3110</v>
      </c>
      <c r="G804" s="10" t="s">
        <v>3111</v>
      </c>
      <c r="H804" s="5" t="s">
        <v>3112</v>
      </c>
      <c r="I804" s="5" t="s">
        <v>49</v>
      </c>
      <c r="J804" s="5" t="s">
        <v>1746</v>
      </c>
      <c r="K804" s="5">
        <v>1.0</v>
      </c>
      <c r="L804" s="5">
        <v>14943.0</v>
      </c>
      <c r="M804" s="8">
        <v>49.44491667</v>
      </c>
      <c r="N804" s="11">
        <v>-123.1039444</v>
      </c>
      <c r="O804" s="11" t="s">
        <v>51</v>
      </c>
      <c r="P804" s="11" t="s">
        <v>3113</v>
      </c>
      <c r="Q804" s="22">
        <v>2.0</v>
      </c>
      <c r="R804" s="11" t="s">
        <v>3114</v>
      </c>
      <c r="S804" s="11" t="s">
        <v>3115</v>
      </c>
      <c r="T804" s="11">
        <v>295.0</v>
      </c>
      <c r="U804" s="11"/>
      <c r="V804" s="11" t="s">
        <v>3116</v>
      </c>
      <c r="W804" s="11">
        <v>1986.0</v>
      </c>
      <c r="X804" s="11" t="s">
        <v>3117</v>
      </c>
      <c r="Y804" s="11" t="s">
        <v>3118</v>
      </c>
      <c r="Z804" s="11"/>
      <c r="AA804" s="11"/>
      <c r="AB804" s="11"/>
      <c r="AC804" s="11" t="s">
        <v>55</v>
      </c>
      <c r="AD804" s="11" t="s">
        <v>56</v>
      </c>
      <c r="AE804" s="11" t="s">
        <v>66</v>
      </c>
      <c r="AF804" s="11"/>
      <c r="AG804" s="11"/>
      <c r="AH804" s="11" t="s">
        <v>3119</v>
      </c>
      <c r="AI804" s="11"/>
      <c r="AJ804" s="11"/>
      <c r="AO804" s="50" t="s">
        <v>3120</v>
      </c>
      <c r="AP804" s="50">
        <v>554.0</v>
      </c>
      <c r="AQ804" s="50" t="s">
        <v>1716</v>
      </c>
      <c r="AR804" s="50" t="s">
        <v>1701</v>
      </c>
      <c r="AS804" s="50" t="s">
        <v>1740</v>
      </c>
      <c r="AT804" s="50" t="s">
        <v>1835</v>
      </c>
      <c r="AU804" s="50" t="s">
        <v>1742</v>
      </c>
      <c r="AV804" s="50" t="s">
        <v>3121</v>
      </c>
      <c r="AW804" s="50" t="s">
        <v>1705</v>
      </c>
      <c r="AX804" s="50" t="s">
        <v>1883</v>
      </c>
      <c r="AY804" s="50">
        <v>49.44</v>
      </c>
      <c r="AZ804" s="50">
        <v>-123.097</v>
      </c>
      <c r="BA804" s="50">
        <v>400.0</v>
      </c>
    </row>
    <row r="805" ht="14.25" customHeight="1">
      <c r="A805" s="5" t="s">
        <v>3107</v>
      </c>
      <c r="B805" s="5">
        <v>12.0</v>
      </c>
      <c r="C805" s="10" t="s">
        <v>7673</v>
      </c>
      <c r="D805" s="66" t="s">
        <v>3122</v>
      </c>
      <c r="E805" s="5">
        <v>13012.0</v>
      </c>
      <c r="F805" s="12" t="s">
        <v>3123</v>
      </c>
      <c r="G805" s="10" t="s">
        <v>3124</v>
      </c>
      <c r="H805" s="5" t="s">
        <v>3112</v>
      </c>
      <c r="I805" s="5" t="s">
        <v>49</v>
      </c>
      <c r="J805" s="5" t="s">
        <v>1746</v>
      </c>
      <c r="K805" s="5">
        <v>1.0</v>
      </c>
      <c r="L805" s="5">
        <v>14944.0</v>
      </c>
      <c r="M805" s="8">
        <v>49.48588889</v>
      </c>
      <c r="N805" s="11">
        <v>-122.9463056</v>
      </c>
      <c r="O805" s="11" t="s">
        <v>51</v>
      </c>
      <c r="P805" s="11" t="s">
        <v>3125</v>
      </c>
      <c r="Q805" s="22">
        <v>3.0</v>
      </c>
      <c r="R805" s="11" t="s">
        <v>3126</v>
      </c>
      <c r="S805" s="11" t="s">
        <v>3115</v>
      </c>
      <c r="T805" s="11">
        <v>375.0</v>
      </c>
      <c r="U805" s="11"/>
      <c r="V805" s="11" t="s">
        <v>3127</v>
      </c>
      <c r="W805" s="11">
        <v>1987.0</v>
      </c>
      <c r="X805" s="11" t="s">
        <v>3117</v>
      </c>
      <c r="Y805" s="11" t="s">
        <v>3118</v>
      </c>
      <c r="Z805" s="11"/>
      <c r="AA805" s="11"/>
      <c r="AB805" s="11"/>
      <c r="AC805" s="11" t="s">
        <v>55</v>
      </c>
      <c r="AD805" s="11" t="s">
        <v>56</v>
      </c>
      <c r="AE805" s="11" t="s">
        <v>66</v>
      </c>
      <c r="AO805" s="50" t="s">
        <v>3128</v>
      </c>
      <c r="AP805" s="50">
        <v>555.0</v>
      </c>
      <c r="AQ805" s="50" t="s">
        <v>1716</v>
      </c>
      <c r="AR805" s="50" t="s">
        <v>1739</v>
      </c>
      <c r="AS805" s="50" t="s">
        <v>1740</v>
      </c>
      <c r="AT805" s="50" t="s">
        <v>1835</v>
      </c>
      <c r="AU805" s="50" t="s">
        <v>1742</v>
      </c>
      <c r="AV805" s="50" t="s">
        <v>3121</v>
      </c>
      <c r="AW805" s="50" t="s">
        <v>1705</v>
      </c>
      <c r="AX805" s="50" t="s">
        <v>1883</v>
      </c>
      <c r="AY805" s="50">
        <v>49.483</v>
      </c>
      <c r="AZ805" s="50">
        <v>-122.95</v>
      </c>
      <c r="BA805" s="50">
        <v>390.0</v>
      </c>
    </row>
    <row r="806" ht="14.25" customHeight="1">
      <c r="A806" s="5" t="s">
        <v>3107</v>
      </c>
      <c r="B806" s="5">
        <v>12.0</v>
      </c>
      <c r="C806" s="10" t="s">
        <v>7673</v>
      </c>
      <c r="D806" s="66" t="s">
        <v>3129</v>
      </c>
      <c r="E806" s="5">
        <v>13013.0</v>
      </c>
      <c r="F806" s="12" t="s">
        <v>3130</v>
      </c>
      <c r="G806" s="10" t="s">
        <v>3131</v>
      </c>
      <c r="H806" s="5" t="s">
        <v>3112</v>
      </c>
      <c r="I806" s="5" t="s">
        <v>49</v>
      </c>
      <c r="J806" s="5" t="s">
        <v>1746</v>
      </c>
      <c r="K806" s="5">
        <v>1.0</v>
      </c>
      <c r="L806" s="5">
        <v>14945.0</v>
      </c>
      <c r="M806" s="8">
        <v>49.36386111</v>
      </c>
      <c r="N806" s="11">
        <v>-122.7536111</v>
      </c>
      <c r="O806" s="11" t="s">
        <v>51</v>
      </c>
      <c r="P806" s="11" t="s">
        <v>3132</v>
      </c>
      <c r="Q806" s="22">
        <v>3.0</v>
      </c>
      <c r="R806" s="11" t="s">
        <v>3133</v>
      </c>
      <c r="S806" s="11" t="s">
        <v>3115</v>
      </c>
      <c r="T806" s="11">
        <v>352.0</v>
      </c>
      <c r="U806" s="11"/>
      <c r="V806" s="11" t="s">
        <v>3134</v>
      </c>
      <c r="W806" s="11">
        <v>1987.0</v>
      </c>
      <c r="X806" s="11" t="s">
        <v>3117</v>
      </c>
      <c r="Y806" s="11" t="s">
        <v>3118</v>
      </c>
      <c r="Z806" s="11"/>
      <c r="AA806" s="11"/>
      <c r="AB806" s="11"/>
      <c r="AC806" s="11" t="s">
        <v>55</v>
      </c>
      <c r="AD806" s="11" t="s">
        <v>56</v>
      </c>
      <c r="AE806" s="11" t="s">
        <v>66</v>
      </c>
      <c r="AF806" s="11"/>
      <c r="AG806" s="11"/>
      <c r="AH806" s="11" t="s">
        <v>3119</v>
      </c>
      <c r="AI806" s="11"/>
      <c r="AJ806" s="11"/>
      <c r="AK806" s="11"/>
      <c r="AO806" s="50" t="s">
        <v>3135</v>
      </c>
      <c r="AP806" s="50">
        <v>556.0</v>
      </c>
      <c r="AQ806" s="50" t="s">
        <v>1716</v>
      </c>
      <c r="AR806" s="50" t="s">
        <v>1739</v>
      </c>
      <c r="AS806" s="50" t="s">
        <v>1740</v>
      </c>
      <c r="AT806" s="50" t="s">
        <v>1835</v>
      </c>
      <c r="AU806" s="50" t="s">
        <v>1742</v>
      </c>
      <c r="AV806" s="50" t="s">
        <v>3121</v>
      </c>
      <c r="AW806" s="50" t="s">
        <v>1705</v>
      </c>
      <c r="AX806" s="50" t="s">
        <v>1883</v>
      </c>
      <c r="AY806" s="50">
        <v>49.386</v>
      </c>
      <c r="AZ806" s="50">
        <v>-122.77</v>
      </c>
      <c r="BA806" s="50">
        <v>430.0</v>
      </c>
    </row>
    <row r="807" ht="14.25" customHeight="1">
      <c r="B807" s="5">
        <v>12.0</v>
      </c>
      <c r="C807" s="5" t="s">
        <v>7666</v>
      </c>
      <c r="D807" s="5">
        <v>558.0</v>
      </c>
      <c r="E807" s="5">
        <v>2016.0</v>
      </c>
      <c r="F807" s="18" t="s">
        <v>3136</v>
      </c>
      <c r="G807" s="5" t="s">
        <v>3137</v>
      </c>
      <c r="H807" s="5" t="s">
        <v>3138</v>
      </c>
      <c r="I807" s="5" t="s">
        <v>1664</v>
      </c>
      <c r="J807" s="5" t="s">
        <v>1715</v>
      </c>
      <c r="K807" s="5">
        <v>1.0</v>
      </c>
      <c r="L807" s="5">
        <v>2419.0</v>
      </c>
      <c r="M807" s="8"/>
      <c r="AO807" s="5" t="s">
        <v>3136</v>
      </c>
      <c r="AP807" s="5">
        <v>558.0</v>
      </c>
      <c r="AQ807" s="5" t="s">
        <v>1716</v>
      </c>
      <c r="AR807" s="5" t="s">
        <v>1717</v>
      </c>
      <c r="AS807" s="5" t="s">
        <v>1718</v>
      </c>
      <c r="AT807" s="5" t="s">
        <v>1719</v>
      </c>
      <c r="AU807" s="5" t="s">
        <v>1703</v>
      </c>
      <c r="AV807" s="5" t="s">
        <v>1720</v>
      </c>
      <c r="AW807" s="5" t="s">
        <v>1705</v>
      </c>
      <c r="AX807" s="5" t="s">
        <v>1710</v>
      </c>
      <c r="AY807" s="5">
        <v>51.1</v>
      </c>
      <c r="AZ807" s="5">
        <v>-125.6</v>
      </c>
      <c r="BA807" s="5">
        <v>10.0</v>
      </c>
    </row>
    <row r="808" ht="14.25" customHeight="1">
      <c r="B808" s="5">
        <v>12.0</v>
      </c>
      <c r="C808" s="5" t="s">
        <v>7666</v>
      </c>
      <c r="D808" s="5">
        <v>559.0</v>
      </c>
      <c r="E808" s="5">
        <v>2017.0</v>
      </c>
      <c r="F808" s="18" t="s">
        <v>3139</v>
      </c>
      <c r="G808" s="5" t="s">
        <v>3140</v>
      </c>
      <c r="H808" s="5" t="s">
        <v>3141</v>
      </c>
      <c r="I808" s="5" t="s">
        <v>1664</v>
      </c>
      <c r="J808" s="5" t="s">
        <v>1715</v>
      </c>
      <c r="K808" s="5">
        <v>1.0</v>
      </c>
      <c r="L808" s="5">
        <v>2420.0</v>
      </c>
      <c r="M808" s="8"/>
      <c r="AO808" s="5" t="s">
        <v>3139</v>
      </c>
      <c r="AP808" s="5">
        <v>559.0</v>
      </c>
      <c r="AQ808" s="5" t="s">
        <v>1716</v>
      </c>
      <c r="AR808" s="5" t="s">
        <v>1717</v>
      </c>
      <c r="AS808" s="5" t="s">
        <v>1718</v>
      </c>
      <c r="AT808" s="5" t="s">
        <v>1719</v>
      </c>
      <c r="AU808" s="5" t="s">
        <v>1703</v>
      </c>
      <c r="AV808" s="5" t="s">
        <v>1720</v>
      </c>
      <c r="AW808" s="5" t="s">
        <v>1705</v>
      </c>
      <c r="AX808" s="5" t="s">
        <v>1837</v>
      </c>
      <c r="AY808" s="5">
        <v>50.1</v>
      </c>
      <c r="AZ808" s="5">
        <v>-124.0</v>
      </c>
      <c r="BA808" s="5">
        <v>1.0</v>
      </c>
    </row>
    <row r="809" ht="14.25" customHeight="1">
      <c r="B809" s="5">
        <v>12.0</v>
      </c>
      <c r="C809" s="5" t="s">
        <v>7666</v>
      </c>
      <c r="D809" s="5">
        <v>560.0</v>
      </c>
      <c r="E809" s="5">
        <v>2018.0</v>
      </c>
      <c r="F809" s="18" t="s">
        <v>3142</v>
      </c>
      <c r="G809" s="5" t="s">
        <v>3143</v>
      </c>
      <c r="H809" s="5" t="s">
        <v>3144</v>
      </c>
      <c r="I809" s="5" t="s">
        <v>1664</v>
      </c>
      <c r="J809" s="5" t="s">
        <v>1746</v>
      </c>
      <c r="K809" s="5">
        <v>1.0</v>
      </c>
      <c r="L809" s="5">
        <v>2421.0</v>
      </c>
      <c r="M809" s="8"/>
      <c r="AO809" s="5" t="s">
        <v>3142</v>
      </c>
      <c r="AP809" s="5">
        <v>560.0</v>
      </c>
      <c r="AQ809" s="5" t="s">
        <v>1716</v>
      </c>
      <c r="AR809" s="5" t="s">
        <v>1717</v>
      </c>
      <c r="AS809" s="5" t="s">
        <v>1718</v>
      </c>
      <c r="AT809" s="5" t="s">
        <v>1719</v>
      </c>
      <c r="AU809" s="5" t="s">
        <v>1703</v>
      </c>
      <c r="AV809" s="5" t="s">
        <v>1720</v>
      </c>
      <c r="AW809" s="5" t="s">
        <v>1947</v>
      </c>
      <c r="AX809" s="5" t="s">
        <v>1948</v>
      </c>
      <c r="AY809" s="5">
        <v>53.3</v>
      </c>
      <c r="AZ809" s="5">
        <v>-128.4</v>
      </c>
      <c r="BA809" s="5">
        <v>2.0</v>
      </c>
    </row>
    <row r="810" ht="14.25" customHeight="1">
      <c r="B810" s="5">
        <v>12.0</v>
      </c>
      <c r="C810" s="5" t="s">
        <v>7666</v>
      </c>
      <c r="D810" s="5">
        <v>561.0</v>
      </c>
      <c r="E810" s="5">
        <v>2019.0</v>
      </c>
      <c r="F810" s="18" t="s">
        <v>3145</v>
      </c>
      <c r="G810" s="5" t="s">
        <v>3146</v>
      </c>
      <c r="H810" s="5" t="s">
        <v>3147</v>
      </c>
      <c r="I810" s="5" t="s">
        <v>1664</v>
      </c>
      <c r="J810" s="5" t="s">
        <v>1715</v>
      </c>
      <c r="K810" s="5">
        <v>1.0</v>
      </c>
      <c r="L810" s="5">
        <v>2422.0</v>
      </c>
      <c r="M810" s="8"/>
      <c r="AO810" s="5" t="s">
        <v>3145</v>
      </c>
      <c r="AP810" s="5">
        <v>561.0</v>
      </c>
      <c r="AQ810" s="5" t="s">
        <v>1716</v>
      </c>
      <c r="AR810" s="5" t="s">
        <v>1717</v>
      </c>
      <c r="AS810" s="5" t="s">
        <v>1718</v>
      </c>
      <c r="AT810" s="5" t="s">
        <v>1719</v>
      </c>
      <c r="AU810" s="5" t="s">
        <v>1703</v>
      </c>
      <c r="AV810" s="5" t="s">
        <v>1720</v>
      </c>
      <c r="AW810" s="5" t="s">
        <v>1705</v>
      </c>
      <c r="AX810" s="5" t="s">
        <v>1965</v>
      </c>
      <c r="AY810" s="5">
        <v>51.4</v>
      </c>
      <c r="AZ810" s="5">
        <v>-127.5</v>
      </c>
      <c r="BA810" s="5">
        <v>1.0</v>
      </c>
    </row>
    <row r="811" ht="14.25" customHeight="1">
      <c r="B811" s="5">
        <v>12.0</v>
      </c>
      <c r="C811" s="5" t="s">
        <v>7666</v>
      </c>
      <c r="D811" s="5">
        <v>562.0</v>
      </c>
      <c r="E811" s="5">
        <v>2020.0</v>
      </c>
      <c r="F811" s="18" t="s">
        <v>3148</v>
      </c>
      <c r="G811" s="29" t="s">
        <v>3149</v>
      </c>
      <c r="H811" s="5" t="s">
        <v>3150</v>
      </c>
      <c r="I811" s="5" t="s">
        <v>1664</v>
      </c>
      <c r="J811" s="5" t="s">
        <v>1715</v>
      </c>
      <c r="K811" s="5">
        <v>1.0</v>
      </c>
      <c r="L811" s="5">
        <v>2423.0</v>
      </c>
      <c r="M811" s="8"/>
      <c r="AO811" s="5" t="s">
        <v>3148</v>
      </c>
      <c r="AP811" s="5">
        <v>562.0</v>
      </c>
      <c r="AQ811" s="5" t="s">
        <v>1716</v>
      </c>
      <c r="AR811" s="5" t="s">
        <v>1717</v>
      </c>
      <c r="AS811" s="5" t="s">
        <v>1718</v>
      </c>
      <c r="AT811" s="5" t="s">
        <v>1719</v>
      </c>
      <c r="AU811" s="5" t="s">
        <v>1703</v>
      </c>
      <c r="AV811" s="5" t="s">
        <v>1720</v>
      </c>
      <c r="AW811" s="5" t="s">
        <v>1705</v>
      </c>
      <c r="AX811" s="5" t="s">
        <v>1965</v>
      </c>
      <c r="AY811" s="5">
        <v>51.7</v>
      </c>
      <c r="AZ811" s="5">
        <v>-127.3</v>
      </c>
      <c r="BA811" s="5">
        <v>1.0</v>
      </c>
    </row>
    <row r="812" ht="14.25" customHeight="1">
      <c r="B812" s="5">
        <v>12.0</v>
      </c>
      <c r="C812" s="5" t="s">
        <v>7666</v>
      </c>
      <c r="D812" s="5">
        <v>563.0</v>
      </c>
      <c r="E812" s="5">
        <v>2021.0</v>
      </c>
      <c r="F812" s="18" t="s">
        <v>3151</v>
      </c>
      <c r="G812" s="29" t="s">
        <v>3152</v>
      </c>
      <c r="H812" s="5" t="s">
        <v>3153</v>
      </c>
      <c r="I812" s="5" t="s">
        <v>1664</v>
      </c>
      <c r="J812" s="5" t="s">
        <v>1715</v>
      </c>
      <c r="K812" s="5">
        <v>1.0</v>
      </c>
      <c r="L812" s="5">
        <v>2424.0</v>
      </c>
      <c r="M812" s="8"/>
      <c r="AO812" s="5" t="s">
        <v>3151</v>
      </c>
      <c r="AP812" s="5">
        <v>563.0</v>
      </c>
      <c r="AQ812" s="5" t="s">
        <v>1716</v>
      </c>
      <c r="AR812" s="5" t="s">
        <v>1717</v>
      </c>
      <c r="AS812" s="5" t="s">
        <v>1718</v>
      </c>
      <c r="AT812" s="5" t="s">
        <v>1719</v>
      </c>
      <c r="AU812" s="5" t="s">
        <v>1703</v>
      </c>
      <c r="AV812" s="5" t="s">
        <v>1720</v>
      </c>
      <c r="AW812" s="5" t="s">
        <v>1705</v>
      </c>
      <c r="AX812" s="5" t="s">
        <v>1965</v>
      </c>
      <c r="AY812" s="5">
        <v>51.9</v>
      </c>
      <c r="AZ812" s="5">
        <v>-127.4</v>
      </c>
      <c r="BA812" s="5">
        <v>1.0</v>
      </c>
    </row>
    <row r="813" ht="14.25" customHeight="1">
      <c r="B813" s="5">
        <v>12.0</v>
      </c>
      <c r="C813" s="5" t="s">
        <v>7666</v>
      </c>
      <c r="D813" s="5">
        <v>564.0</v>
      </c>
      <c r="E813" s="5">
        <v>2022.0</v>
      </c>
      <c r="F813" s="18" t="s">
        <v>3154</v>
      </c>
      <c r="G813" s="5" t="s">
        <v>3155</v>
      </c>
      <c r="H813" s="5" t="s">
        <v>3156</v>
      </c>
      <c r="I813" s="5" t="s">
        <v>1664</v>
      </c>
      <c r="J813" s="5" t="s">
        <v>1715</v>
      </c>
      <c r="K813" s="5">
        <v>1.0</v>
      </c>
      <c r="L813" s="5">
        <v>2425.0</v>
      </c>
      <c r="M813" s="8"/>
      <c r="AO813" s="5" t="s">
        <v>3154</v>
      </c>
      <c r="AP813" s="5">
        <v>564.0</v>
      </c>
      <c r="AQ813" s="5" t="s">
        <v>1716</v>
      </c>
      <c r="AR813" s="5" t="s">
        <v>1717</v>
      </c>
      <c r="AS813" s="5" t="s">
        <v>1718</v>
      </c>
      <c r="AT813" s="5" t="s">
        <v>1719</v>
      </c>
      <c r="AU813" s="5" t="s">
        <v>1703</v>
      </c>
      <c r="AV813" s="5" t="s">
        <v>1720</v>
      </c>
      <c r="AW813" s="5" t="s">
        <v>1705</v>
      </c>
      <c r="AX813" s="5" t="s">
        <v>1965</v>
      </c>
      <c r="AY813" s="5">
        <v>52.1</v>
      </c>
      <c r="AZ813" s="5">
        <v>-127.4</v>
      </c>
      <c r="BA813" s="5">
        <v>1.0</v>
      </c>
    </row>
    <row r="814" ht="14.25" customHeight="1">
      <c r="B814" s="5">
        <v>12.0</v>
      </c>
      <c r="C814" s="5" t="s">
        <v>7666</v>
      </c>
      <c r="D814" s="5">
        <v>565.0</v>
      </c>
      <c r="E814" s="5">
        <v>2023.0</v>
      </c>
      <c r="F814" s="18" t="s">
        <v>3157</v>
      </c>
      <c r="G814" s="29" t="s">
        <v>3158</v>
      </c>
      <c r="H814" s="5" t="s">
        <v>3159</v>
      </c>
      <c r="I814" s="5" t="s">
        <v>1664</v>
      </c>
      <c r="J814" s="5" t="s">
        <v>1715</v>
      </c>
      <c r="K814" s="5">
        <v>1.0</v>
      </c>
      <c r="L814" s="5">
        <v>2426.0</v>
      </c>
      <c r="M814" s="8"/>
      <c r="AO814" s="5" t="s">
        <v>3157</v>
      </c>
      <c r="AP814" s="5">
        <v>565.0</v>
      </c>
      <c r="AQ814" s="5" t="s">
        <v>1716</v>
      </c>
      <c r="AR814" s="5" t="s">
        <v>1717</v>
      </c>
      <c r="AS814" s="5" t="s">
        <v>1718</v>
      </c>
      <c r="AT814" s="5" t="s">
        <v>1719</v>
      </c>
      <c r="AU814" s="5" t="s">
        <v>1703</v>
      </c>
      <c r="AV814" s="5" t="s">
        <v>1720</v>
      </c>
      <c r="AW814" s="5" t="s">
        <v>1705</v>
      </c>
      <c r="AX814" s="5" t="s">
        <v>1965</v>
      </c>
      <c r="AY814" s="5">
        <v>52.0</v>
      </c>
      <c r="AZ814" s="5">
        <v>-127.7</v>
      </c>
      <c r="BA814" s="5">
        <v>1.0</v>
      </c>
    </row>
    <row r="815" ht="14.25" customHeight="1">
      <c r="B815" s="5">
        <v>12.0</v>
      </c>
      <c r="C815" s="5" t="s">
        <v>7666</v>
      </c>
      <c r="D815" s="5">
        <v>566.0</v>
      </c>
      <c r="E815" s="5">
        <v>2024.0</v>
      </c>
      <c r="F815" s="18" t="s">
        <v>3160</v>
      </c>
      <c r="G815" s="29" t="s">
        <v>3161</v>
      </c>
      <c r="H815" s="5" t="s">
        <v>3162</v>
      </c>
      <c r="I815" s="5" t="s">
        <v>1664</v>
      </c>
      <c r="J815" s="5" t="s">
        <v>1746</v>
      </c>
      <c r="K815" s="5">
        <v>1.0</v>
      </c>
      <c r="L815" s="5">
        <v>2427.0</v>
      </c>
      <c r="M815" s="8"/>
      <c r="AO815" s="5" t="s">
        <v>3160</v>
      </c>
      <c r="AP815" s="5">
        <v>566.0</v>
      </c>
      <c r="AQ815" s="5" t="s">
        <v>1716</v>
      </c>
      <c r="AR815" s="5" t="s">
        <v>1717</v>
      </c>
      <c r="AS815" s="5" t="s">
        <v>1718</v>
      </c>
      <c r="AT815" s="5" t="s">
        <v>1719</v>
      </c>
      <c r="AU815" s="5" t="s">
        <v>1703</v>
      </c>
      <c r="AV815" s="5" t="s">
        <v>1720</v>
      </c>
      <c r="AW815" s="5" t="s">
        <v>1705</v>
      </c>
      <c r="AX815" s="5" t="s">
        <v>1965</v>
      </c>
      <c r="AY815" s="5">
        <v>52.4</v>
      </c>
      <c r="AZ815" s="5">
        <v>-126.7</v>
      </c>
      <c r="BA815" s="5">
        <v>1.0</v>
      </c>
    </row>
    <row r="816" ht="14.25" customHeight="1">
      <c r="B816" s="5">
        <v>12.0</v>
      </c>
      <c r="C816" s="5" t="s">
        <v>7666</v>
      </c>
      <c r="D816" s="5">
        <v>567.0</v>
      </c>
      <c r="E816" s="5">
        <v>2025.0</v>
      </c>
      <c r="F816" s="18" t="s">
        <v>3163</v>
      </c>
      <c r="G816" s="29" t="s">
        <v>3164</v>
      </c>
      <c r="H816" s="5" t="s">
        <v>3165</v>
      </c>
      <c r="I816" s="5" t="s">
        <v>1664</v>
      </c>
      <c r="J816" s="5" t="s">
        <v>1746</v>
      </c>
      <c r="K816" s="5">
        <v>1.0</v>
      </c>
      <c r="L816" s="5">
        <v>2428.0</v>
      </c>
      <c r="M816" s="8"/>
      <c r="AO816" s="5" t="s">
        <v>3163</v>
      </c>
      <c r="AP816" s="5">
        <v>567.0</v>
      </c>
      <c r="AQ816" s="5" t="s">
        <v>1716</v>
      </c>
      <c r="AR816" s="5" t="s">
        <v>1717</v>
      </c>
      <c r="AS816" s="5" t="s">
        <v>1718</v>
      </c>
      <c r="AT816" s="5" t="s">
        <v>1719</v>
      </c>
      <c r="AU816" s="5" t="s">
        <v>1703</v>
      </c>
      <c r="AV816" s="5" t="s">
        <v>1720</v>
      </c>
      <c r="AW816" s="5" t="s">
        <v>1947</v>
      </c>
      <c r="AX816" s="5" t="s">
        <v>1948</v>
      </c>
      <c r="AY816" s="5">
        <v>54.3</v>
      </c>
      <c r="AZ816" s="5">
        <v>-129.8</v>
      </c>
      <c r="BA816" s="5">
        <v>2.0</v>
      </c>
    </row>
    <row r="817" ht="14.25" customHeight="1">
      <c r="B817" s="5">
        <v>12.0</v>
      </c>
      <c r="C817" s="5" t="s">
        <v>7666</v>
      </c>
      <c r="D817" s="5">
        <v>568.0</v>
      </c>
      <c r="E817" s="5">
        <v>2026.0</v>
      </c>
      <c r="F817" s="18" t="s">
        <v>3166</v>
      </c>
      <c r="G817" s="29" t="s">
        <v>3167</v>
      </c>
      <c r="H817" s="5" t="s">
        <v>3168</v>
      </c>
      <c r="I817" s="5" t="s">
        <v>1664</v>
      </c>
      <c r="J817" s="5" t="s">
        <v>1715</v>
      </c>
      <c r="K817" s="5">
        <v>1.0</v>
      </c>
      <c r="L817" s="5">
        <v>2429.0</v>
      </c>
      <c r="M817" s="8"/>
      <c r="AO817" s="5" t="s">
        <v>3166</v>
      </c>
      <c r="AP817" s="5">
        <v>568.0</v>
      </c>
      <c r="AQ817" s="5" t="s">
        <v>1716</v>
      </c>
      <c r="AR817" s="5" t="s">
        <v>1717</v>
      </c>
      <c r="AS817" s="5" t="s">
        <v>1718</v>
      </c>
      <c r="AT817" s="5" t="s">
        <v>1719</v>
      </c>
      <c r="AU817" s="5" t="s">
        <v>1703</v>
      </c>
      <c r="AV817" s="5" t="s">
        <v>1720</v>
      </c>
      <c r="AW817" s="5" t="s">
        <v>1705</v>
      </c>
      <c r="AX817" s="5" t="s">
        <v>1965</v>
      </c>
      <c r="AY817" s="5">
        <v>52.5</v>
      </c>
      <c r="AZ817" s="5">
        <v>-127.6</v>
      </c>
      <c r="BA817" s="5">
        <v>2.0</v>
      </c>
    </row>
    <row r="818" ht="14.25" customHeight="1">
      <c r="B818" s="5">
        <v>12.0</v>
      </c>
      <c r="C818" s="5" t="s">
        <v>7666</v>
      </c>
      <c r="D818" s="5">
        <v>569.0</v>
      </c>
      <c r="E818" s="5">
        <v>2027.0</v>
      </c>
      <c r="F818" s="18" t="s">
        <v>3169</v>
      </c>
      <c r="G818" s="5" t="s">
        <v>3170</v>
      </c>
      <c r="H818" s="5" t="s">
        <v>3171</v>
      </c>
      <c r="I818" s="5" t="s">
        <v>1664</v>
      </c>
      <c r="J818" s="5" t="s">
        <v>1746</v>
      </c>
      <c r="K818" s="5">
        <v>1.0</v>
      </c>
      <c r="L818" s="5">
        <v>2430.0</v>
      </c>
      <c r="M818" s="8"/>
      <c r="AO818" s="5" t="s">
        <v>3169</v>
      </c>
      <c r="AP818" s="5">
        <v>569.0</v>
      </c>
      <c r="AQ818" s="5" t="s">
        <v>1716</v>
      </c>
      <c r="AR818" s="5" t="s">
        <v>1717</v>
      </c>
      <c r="AS818" s="5" t="s">
        <v>1718</v>
      </c>
      <c r="AT818" s="5" t="s">
        <v>1719</v>
      </c>
      <c r="AU818" s="5" t="s">
        <v>1703</v>
      </c>
      <c r="AV818" s="5" t="s">
        <v>1720</v>
      </c>
      <c r="AW818" s="5" t="s">
        <v>1705</v>
      </c>
      <c r="AX818" s="5" t="s">
        <v>1965</v>
      </c>
      <c r="AY818" s="5">
        <v>52.3</v>
      </c>
      <c r="AZ818" s="5">
        <v>-127.3</v>
      </c>
      <c r="BA818" s="5">
        <v>0.0</v>
      </c>
    </row>
    <row r="819" ht="14.25" customHeight="1">
      <c r="A819" s="5" t="s">
        <v>422</v>
      </c>
      <c r="B819" s="5">
        <v>12.0</v>
      </c>
      <c r="C819" s="5" t="s">
        <v>7666</v>
      </c>
      <c r="D819" s="5">
        <v>570.0</v>
      </c>
      <c r="E819" s="5">
        <v>2028.0</v>
      </c>
      <c r="F819" s="18" t="s">
        <v>3172</v>
      </c>
      <c r="G819" s="5" t="s">
        <v>3173</v>
      </c>
      <c r="H819" s="5" t="s">
        <v>3174</v>
      </c>
      <c r="I819" s="5" t="s">
        <v>1664</v>
      </c>
      <c r="J819" s="5" t="s">
        <v>1746</v>
      </c>
      <c r="K819" s="5">
        <v>1.0</v>
      </c>
      <c r="L819" s="5">
        <v>2431.0</v>
      </c>
      <c r="M819" s="8"/>
      <c r="AO819" s="5" t="s">
        <v>3172</v>
      </c>
      <c r="AP819" s="5">
        <v>570.0</v>
      </c>
      <c r="AQ819" s="5" t="s">
        <v>1716</v>
      </c>
      <c r="AR819" s="5" t="s">
        <v>1717</v>
      </c>
      <c r="AS819" s="5" t="s">
        <v>1718</v>
      </c>
      <c r="AT819" s="5" t="s">
        <v>1719</v>
      </c>
      <c r="AU819" s="5" t="s">
        <v>1703</v>
      </c>
      <c r="AV819" s="5" t="s">
        <v>1720</v>
      </c>
      <c r="AW819" s="5" t="s">
        <v>1705</v>
      </c>
      <c r="AX819" s="5" t="s">
        <v>1952</v>
      </c>
      <c r="AY819" s="5">
        <v>53.4</v>
      </c>
      <c r="AZ819" s="5">
        <v>-132.1</v>
      </c>
      <c r="BA819" s="5">
        <v>1.0</v>
      </c>
    </row>
    <row r="820" ht="14.25" customHeight="1">
      <c r="B820" s="5">
        <v>12.0</v>
      </c>
      <c r="C820" s="5" t="s">
        <v>7666</v>
      </c>
      <c r="D820" s="5">
        <v>571.0</v>
      </c>
      <c r="E820" s="5">
        <v>2029.0</v>
      </c>
      <c r="F820" s="18" t="s">
        <v>3175</v>
      </c>
      <c r="G820" s="5" t="s">
        <v>3176</v>
      </c>
      <c r="H820" s="5" t="s">
        <v>3177</v>
      </c>
      <c r="I820" s="5" t="s">
        <v>1664</v>
      </c>
      <c r="J820" s="5" t="s">
        <v>1715</v>
      </c>
      <c r="K820" s="5">
        <v>1.0</v>
      </c>
      <c r="L820" s="5">
        <v>2432.0</v>
      </c>
      <c r="M820" s="8"/>
      <c r="AO820" s="5" t="s">
        <v>3175</v>
      </c>
      <c r="AP820" s="5">
        <v>571.0</v>
      </c>
      <c r="AQ820" s="5" t="s">
        <v>1716</v>
      </c>
      <c r="AR820" s="5" t="s">
        <v>1717</v>
      </c>
      <c r="AS820" s="5" t="s">
        <v>1718</v>
      </c>
      <c r="AT820" s="5" t="s">
        <v>1719</v>
      </c>
      <c r="AU820" s="5" t="s">
        <v>1703</v>
      </c>
      <c r="AV820" s="5" t="s">
        <v>1720</v>
      </c>
      <c r="AW820" s="5" t="s">
        <v>1947</v>
      </c>
      <c r="AX820" s="5" t="s">
        <v>1948</v>
      </c>
      <c r="AY820" s="5">
        <v>54.2</v>
      </c>
      <c r="AZ820" s="5">
        <v>-129.8</v>
      </c>
      <c r="BA820" s="5">
        <v>0.0</v>
      </c>
    </row>
    <row r="821" ht="14.25" customHeight="1">
      <c r="B821" s="5">
        <v>12.0</v>
      </c>
      <c r="C821" s="5" t="s">
        <v>7666</v>
      </c>
      <c r="D821" s="5">
        <v>572.0</v>
      </c>
      <c r="E821" s="5">
        <v>2030.0</v>
      </c>
      <c r="F821" s="18" t="s">
        <v>3178</v>
      </c>
      <c r="G821" s="5" t="s">
        <v>3179</v>
      </c>
      <c r="H821" s="5" t="s">
        <v>3180</v>
      </c>
      <c r="I821" s="5" t="s">
        <v>1664</v>
      </c>
      <c r="J821" s="5" t="s">
        <v>1746</v>
      </c>
      <c r="K821" s="5">
        <v>1.0</v>
      </c>
      <c r="L821" s="5">
        <v>2433.0</v>
      </c>
      <c r="M821" s="8"/>
      <c r="AO821" s="5" t="s">
        <v>3178</v>
      </c>
      <c r="AP821" s="5">
        <v>572.0</v>
      </c>
      <c r="AQ821" s="5" t="s">
        <v>1716</v>
      </c>
      <c r="AR821" s="5" t="s">
        <v>1717</v>
      </c>
      <c r="AS821" s="5" t="s">
        <v>1718</v>
      </c>
      <c r="AT821" s="5" t="s">
        <v>1719</v>
      </c>
      <c r="AU821" s="5" t="s">
        <v>1703</v>
      </c>
      <c r="AV821" s="5" t="s">
        <v>1720</v>
      </c>
      <c r="AW821" s="5" t="s">
        <v>1947</v>
      </c>
      <c r="AX821" s="5" t="s">
        <v>1948</v>
      </c>
      <c r="AY821" s="5">
        <v>53.3</v>
      </c>
      <c r="AZ821" s="5">
        <v>-128.5</v>
      </c>
      <c r="BA821" s="5">
        <v>1.0</v>
      </c>
    </row>
    <row r="822" ht="14.25" customHeight="1">
      <c r="A822" s="5" t="s">
        <v>422</v>
      </c>
      <c r="B822" s="5">
        <v>12.0</v>
      </c>
      <c r="C822" s="5" t="s">
        <v>7666</v>
      </c>
      <c r="D822" s="5">
        <v>574.0</v>
      </c>
      <c r="E822" s="5">
        <v>2031.0</v>
      </c>
      <c r="F822" s="18" t="s">
        <v>3181</v>
      </c>
      <c r="G822" s="5" t="s">
        <v>3182</v>
      </c>
      <c r="H822" s="5" t="s">
        <v>3183</v>
      </c>
      <c r="I822" s="5" t="s">
        <v>1664</v>
      </c>
      <c r="J822" s="5" t="s">
        <v>1746</v>
      </c>
      <c r="K822" s="5">
        <v>1.0</v>
      </c>
      <c r="L822" s="5">
        <v>2434.0</v>
      </c>
      <c r="M822" s="8"/>
      <c r="AO822" s="5" t="s">
        <v>3181</v>
      </c>
      <c r="AP822" s="5">
        <v>574.0</v>
      </c>
      <c r="AQ822" s="5" t="s">
        <v>1716</v>
      </c>
      <c r="AR822" s="5" t="s">
        <v>1717</v>
      </c>
      <c r="AS822" s="5" t="s">
        <v>1718</v>
      </c>
      <c r="AT822" s="5" t="s">
        <v>1719</v>
      </c>
      <c r="AU822" s="5" t="s">
        <v>1703</v>
      </c>
      <c r="AV822" s="5" t="s">
        <v>1720</v>
      </c>
      <c r="AW822" s="5" t="s">
        <v>1705</v>
      </c>
      <c r="AX822" s="5" t="s">
        <v>1965</v>
      </c>
      <c r="AY822" s="5">
        <v>52.133</v>
      </c>
      <c r="AZ822" s="5">
        <v>-128.26</v>
      </c>
      <c r="BA822" s="5">
        <v>1.0</v>
      </c>
    </row>
    <row r="823" ht="14.25" customHeight="1">
      <c r="B823" s="5">
        <v>12.0</v>
      </c>
      <c r="C823" s="5" t="s">
        <v>7666</v>
      </c>
      <c r="D823" s="5">
        <v>575.0</v>
      </c>
      <c r="E823" s="5">
        <v>2032.0</v>
      </c>
      <c r="F823" s="18" t="s">
        <v>3184</v>
      </c>
      <c r="G823" s="5" t="s">
        <v>3185</v>
      </c>
      <c r="H823" s="5" t="s">
        <v>3186</v>
      </c>
      <c r="I823" s="5" t="s">
        <v>1664</v>
      </c>
      <c r="J823" s="5" t="s">
        <v>1746</v>
      </c>
      <c r="K823" s="5">
        <v>1.0</v>
      </c>
      <c r="L823" s="5">
        <v>2435.0</v>
      </c>
      <c r="M823" s="8"/>
      <c r="AO823" s="5" t="s">
        <v>3184</v>
      </c>
      <c r="AP823" s="5">
        <v>575.0</v>
      </c>
      <c r="AQ823" s="5" t="s">
        <v>1716</v>
      </c>
      <c r="AR823" s="5" t="s">
        <v>1717</v>
      </c>
      <c r="AS823" s="5" t="s">
        <v>1718</v>
      </c>
      <c r="AT823" s="5" t="s">
        <v>1719</v>
      </c>
      <c r="AU823" s="5" t="s">
        <v>1703</v>
      </c>
      <c r="AV823" s="5" t="s">
        <v>1720</v>
      </c>
      <c r="AW823" s="5" t="s">
        <v>1705</v>
      </c>
      <c r="AX823" s="5" t="s">
        <v>1965</v>
      </c>
      <c r="AY823" s="5">
        <v>52.7</v>
      </c>
      <c r="AZ823" s="5">
        <v>-128.3</v>
      </c>
      <c r="BA823" s="5">
        <v>1.0</v>
      </c>
    </row>
    <row r="824" ht="14.25" customHeight="1">
      <c r="A824" s="5" t="s">
        <v>422</v>
      </c>
      <c r="B824" s="5">
        <v>12.0</v>
      </c>
      <c r="C824" s="5" t="s">
        <v>7666</v>
      </c>
      <c r="D824" s="27">
        <v>576.0</v>
      </c>
      <c r="E824" s="5">
        <v>2033.0</v>
      </c>
      <c r="F824" s="18" t="s">
        <v>3187</v>
      </c>
      <c r="G824" s="5" t="s">
        <v>3188</v>
      </c>
      <c r="H824" s="5" t="s">
        <v>3189</v>
      </c>
      <c r="I824" s="5" t="s">
        <v>1664</v>
      </c>
      <c r="J824" s="5" t="s">
        <v>1746</v>
      </c>
      <c r="K824" s="5">
        <v>1.0</v>
      </c>
      <c r="L824" s="5">
        <v>2436.0</v>
      </c>
      <c r="M824" s="8"/>
      <c r="AO824" s="5" t="s">
        <v>3187</v>
      </c>
      <c r="AP824" s="5">
        <v>576.0</v>
      </c>
      <c r="AQ824" s="5" t="s">
        <v>1716</v>
      </c>
      <c r="AR824" s="5" t="s">
        <v>1717</v>
      </c>
      <c r="AS824" s="5" t="s">
        <v>1718</v>
      </c>
      <c r="AT824" s="5" t="s">
        <v>1719</v>
      </c>
      <c r="AU824" s="5" t="s">
        <v>1703</v>
      </c>
      <c r="AV824" s="5" t="s">
        <v>1720</v>
      </c>
      <c r="AW824" s="5" t="s">
        <v>1947</v>
      </c>
      <c r="AX824" s="5" t="s">
        <v>1948</v>
      </c>
      <c r="AY824" s="5">
        <v>53.4</v>
      </c>
      <c r="AZ824" s="5">
        <v>-128.7</v>
      </c>
      <c r="BA824" s="5">
        <v>6.0</v>
      </c>
    </row>
    <row r="825" ht="14.25" customHeight="1">
      <c r="A825" s="5" t="s">
        <v>422</v>
      </c>
      <c r="B825" s="5">
        <v>12.0</v>
      </c>
      <c r="C825" s="5" t="s">
        <v>7666</v>
      </c>
      <c r="D825" s="5">
        <v>577.0</v>
      </c>
      <c r="E825" s="5">
        <v>2034.0</v>
      </c>
      <c r="F825" s="18" t="s">
        <v>3190</v>
      </c>
      <c r="G825" s="5" t="s">
        <v>3191</v>
      </c>
      <c r="H825" s="5" t="s">
        <v>3192</v>
      </c>
      <c r="I825" s="5" t="s">
        <v>1664</v>
      </c>
      <c r="J825" s="5" t="s">
        <v>1746</v>
      </c>
      <c r="K825" s="5">
        <v>1.0</v>
      </c>
      <c r="L825" s="5">
        <v>2437.0</v>
      </c>
      <c r="M825" s="8"/>
      <c r="AO825" s="5" t="s">
        <v>3190</v>
      </c>
      <c r="AP825" s="5">
        <v>577.0</v>
      </c>
      <c r="AQ825" s="5" t="s">
        <v>1716</v>
      </c>
      <c r="AR825" s="5" t="s">
        <v>1717</v>
      </c>
      <c r="AS825" s="5" t="s">
        <v>1718</v>
      </c>
      <c r="AT825" s="5" t="s">
        <v>1719</v>
      </c>
      <c r="AU825" s="5" t="s">
        <v>1703</v>
      </c>
      <c r="AV825" s="5" t="s">
        <v>1720</v>
      </c>
      <c r="AW825" s="5" t="s">
        <v>1947</v>
      </c>
      <c r="AX825" s="5" t="s">
        <v>1948</v>
      </c>
      <c r="AY825" s="5">
        <v>53.5</v>
      </c>
      <c r="AZ825" s="5">
        <v>-128.8</v>
      </c>
      <c r="BA825" s="5">
        <v>1.0</v>
      </c>
    </row>
    <row r="826" ht="14.25" customHeight="1">
      <c r="A826" s="5" t="s">
        <v>422</v>
      </c>
      <c r="B826" s="5">
        <v>12.0</v>
      </c>
      <c r="C826" s="5" t="s">
        <v>7666</v>
      </c>
      <c r="D826" s="5">
        <v>578.0</v>
      </c>
      <c r="E826" s="5">
        <v>2035.0</v>
      </c>
      <c r="F826" s="18" t="s">
        <v>3193</v>
      </c>
      <c r="G826" s="5" t="s">
        <v>3194</v>
      </c>
      <c r="H826" s="5" t="s">
        <v>3195</v>
      </c>
      <c r="I826" s="5" t="s">
        <v>1664</v>
      </c>
      <c r="J826" s="5" t="s">
        <v>1746</v>
      </c>
      <c r="K826" s="5">
        <v>1.0</v>
      </c>
      <c r="L826" s="5">
        <v>2438.0</v>
      </c>
      <c r="M826" s="8"/>
      <c r="AO826" s="5" t="s">
        <v>3193</v>
      </c>
      <c r="AP826" s="5">
        <v>578.0</v>
      </c>
      <c r="AQ826" s="5" t="s">
        <v>1716</v>
      </c>
      <c r="AR826" s="5" t="s">
        <v>1717</v>
      </c>
      <c r="AS826" s="5" t="s">
        <v>1718</v>
      </c>
      <c r="AT826" s="5" t="s">
        <v>1719</v>
      </c>
      <c r="AU826" s="5" t="s">
        <v>1703</v>
      </c>
      <c r="AV826" s="5" t="s">
        <v>1720</v>
      </c>
      <c r="AW826" s="5" t="s">
        <v>1947</v>
      </c>
      <c r="AX826" s="5" t="s">
        <v>1948</v>
      </c>
      <c r="AY826" s="5">
        <v>53.4</v>
      </c>
      <c r="AZ826" s="5">
        <v>-129.1</v>
      </c>
      <c r="BA826" s="5">
        <v>0.0</v>
      </c>
    </row>
    <row r="827" ht="14.25" customHeight="1">
      <c r="B827" s="5">
        <v>12.0</v>
      </c>
      <c r="C827" s="5" t="s">
        <v>7666</v>
      </c>
      <c r="D827" s="5">
        <v>579.0</v>
      </c>
      <c r="E827" s="5">
        <v>2036.0</v>
      </c>
      <c r="F827" s="18" t="s">
        <v>3196</v>
      </c>
      <c r="G827" s="5" t="s">
        <v>3197</v>
      </c>
      <c r="H827" s="5" t="s">
        <v>3198</v>
      </c>
      <c r="I827" s="5" t="s">
        <v>1664</v>
      </c>
      <c r="J827" s="5" t="s">
        <v>1715</v>
      </c>
      <c r="K827" s="5">
        <v>1.0</v>
      </c>
      <c r="L827" s="5">
        <v>2439.0</v>
      </c>
      <c r="M827" s="8"/>
      <c r="AO827" s="5" t="s">
        <v>3196</v>
      </c>
      <c r="AP827" s="5">
        <v>579.0</v>
      </c>
      <c r="AQ827" s="5" t="s">
        <v>1716</v>
      </c>
      <c r="AR827" s="5" t="s">
        <v>1717</v>
      </c>
      <c r="AS827" s="5" t="s">
        <v>1718</v>
      </c>
      <c r="AT827" s="5" t="s">
        <v>1719</v>
      </c>
      <c r="AU827" s="5" t="s">
        <v>1703</v>
      </c>
      <c r="AV827" s="5" t="s">
        <v>1720</v>
      </c>
      <c r="AW827" s="5" t="s">
        <v>1705</v>
      </c>
      <c r="AX827" s="5" t="s">
        <v>1965</v>
      </c>
      <c r="AY827" s="5">
        <v>52.2</v>
      </c>
      <c r="AZ827" s="5">
        <v>-126.8</v>
      </c>
      <c r="BA827" s="5">
        <v>1.0</v>
      </c>
    </row>
    <row r="828" ht="14.25" customHeight="1">
      <c r="B828" s="5">
        <v>12.0</v>
      </c>
      <c r="C828" s="5" t="s">
        <v>7666</v>
      </c>
      <c r="D828" s="5">
        <v>580.0</v>
      </c>
      <c r="E828" s="5">
        <v>2037.0</v>
      </c>
      <c r="F828" s="18" t="s">
        <v>3199</v>
      </c>
      <c r="G828" s="5" t="s">
        <v>3200</v>
      </c>
      <c r="H828" s="5" t="s">
        <v>3201</v>
      </c>
      <c r="I828" s="5" t="s">
        <v>1664</v>
      </c>
      <c r="J828" s="5" t="s">
        <v>1715</v>
      </c>
      <c r="K828" s="5">
        <v>1.0</v>
      </c>
      <c r="L828" s="5">
        <v>2440.0</v>
      </c>
      <c r="M828" s="8"/>
      <c r="AO828" s="5" t="s">
        <v>3199</v>
      </c>
      <c r="AP828" s="5">
        <v>580.0</v>
      </c>
      <c r="AQ828" s="5" t="s">
        <v>1716</v>
      </c>
      <c r="AR828" s="5" t="s">
        <v>1717</v>
      </c>
      <c r="AS828" s="5" t="s">
        <v>1718</v>
      </c>
      <c r="AT828" s="5" t="s">
        <v>1719</v>
      </c>
      <c r="AU828" s="5" t="s">
        <v>1703</v>
      </c>
      <c r="AV828" s="5" t="s">
        <v>1720</v>
      </c>
      <c r="AW828" s="5" t="s">
        <v>1705</v>
      </c>
      <c r="AX828" s="5" t="s">
        <v>1965</v>
      </c>
      <c r="AY828" s="5">
        <v>51.6</v>
      </c>
      <c r="AZ828" s="5">
        <v>-126.7</v>
      </c>
      <c r="BA828" s="5">
        <v>1.0</v>
      </c>
    </row>
    <row r="829" ht="14.25" customHeight="1">
      <c r="B829" s="5">
        <v>12.0</v>
      </c>
      <c r="C829" s="5" t="s">
        <v>7666</v>
      </c>
      <c r="D829" s="5">
        <v>581.0</v>
      </c>
      <c r="E829" s="5">
        <v>2038.0</v>
      </c>
      <c r="F829" s="18" t="s">
        <v>3202</v>
      </c>
      <c r="G829" s="5" t="s">
        <v>3203</v>
      </c>
      <c r="H829" s="5" t="s">
        <v>3159</v>
      </c>
      <c r="I829" s="5" t="s">
        <v>1664</v>
      </c>
      <c r="J829" s="5" t="s">
        <v>1715</v>
      </c>
      <c r="K829" s="5">
        <v>1.0</v>
      </c>
      <c r="L829" s="5">
        <v>2441.0</v>
      </c>
      <c r="M829" s="8"/>
      <c r="AO829" s="5" t="s">
        <v>3202</v>
      </c>
      <c r="AP829" s="5">
        <v>581.0</v>
      </c>
      <c r="AQ829" s="5" t="s">
        <v>1716</v>
      </c>
      <c r="AR829" s="5" t="s">
        <v>1717</v>
      </c>
      <c r="AS829" s="5" t="s">
        <v>1718</v>
      </c>
      <c r="AT829" s="5" t="s">
        <v>1719</v>
      </c>
      <c r="AU829" s="5" t="s">
        <v>1703</v>
      </c>
      <c r="AV829" s="5" t="s">
        <v>1720</v>
      </c>
      <c r="AW829" s="5" t="s">
        <v>1705</v>
      </c>
      <c r="AX829" s="5" t="s">
        <v>1965</v>
      </c>
      <c r="AY829" s="5">
        <v>51.8</v>
      </c>
      <c r="AZ829" s="5">
        <v>-126.6</v>
      </c>
      <c r="BA829" s="5">
        <v>1.0</v>
      </c>
    </row>
    <row r="830" ht="14.25" customHeight="1">
      <c r="B830" s="5">
        <v>12.0</v>
      </c>
      <c r="C830" s="5" t="s">
        <v>7666</v>
      </c>
      <c r="D830" s="5">
        <v>582.0</v>
      </c>
      <c r="E830" s="5">
        <v>2039.0</v>
      </c>
      <c r="F830" s="18" t="s">
        <v>3204</v>
      </c>
      <c r="G830" s="5" t="s">
        <v>3205</v>
      </c>
      <c r="H830" s="5" t="s">
        <v>3159</v>
      </c>
      <c r="I830" s="5" t="s">
        <v>1664</v>
      </c>
      <c r="J830" s="5" t="s">
        <v>1715</v>
      </c>
      <c r="K830" s="5">
        <v>1.0</v>
      </c>
      <c r="L830" s="5">
        <v>2442.0</v>
      </c>
      <c r="M830" s="8"/>
      <c r="AO830" s="5" t="s">
        <v>3204</v>
      </c>
      <c r="AP830" s="5">
        <v>582.0</v>
      </c>
      <c r="AQ830" s="5" t="s">
        <v>1716</v>
      </c>
      <c r="AR830" s="5" t="s">
        <v>1717</v>
      </c>
      <c r="AS830" s="5" t="s">
        <v>1718</v>
      </c>
      <c r="AT830" s="5" t="s">
        <v>1719</v>
      </c>
      <c r="AU830" s="5" t="s">
        <v>1703</v>
      </c>
      <c r="AV830" s="5" t="s">
        <v>1720</v>
      </c>
      <c r="AW830" s="5" t="s">
        <v>1705</v>
      </c>
      <c r="AX830" s="5" t="s">
        <v>1965</v>
      </c>
      <c r="AY830" s="5">
        <v>51.8</v>
      </c>
      <c r="AZ830" s="5">
        <v>-126.7</v>
      </c>
      <c r="BA830" s="5">
        <v>1.0</v>
      </c>
    </row>
    <row r="831" ht="14.25" customHeight="1">
      <c r="B831" s="5">
        <v>12.0</v>
      </c>
      <c r="C831" s="5" t="s">
        <v>7666</v>
      </c>
      <c r="D831" s="5">
        <v>583.0</v>
      </c>
      <c r="E831" s="5">
        <v>2040.0</v>
      </c>
      <c r="F831" s="18" t="s">
        <v>3206</v>
      </c>
      <c r="G831" s="5" t="s">
        <v>3207</v>
      </c>
      <c r="H831" s="5" t="s">
        <v>3208</v>
      </c>
      <c r="I831" s="5" t="s">
        <v>1664</v>
      </c>
      <c r="J831" s="5" t="s">
        <v>1715</v>
      </c>
      <c r="K831" s="5">
        <v>1.0</v>
      </c>
      <c r="L831" s="5">
        <v>2443.0</v>
      </c>
      <c r="M831" s="8"/>
      <c r="AO831" s="5" t="s">
        <v>3206</v>
      </c>
      <c r="AP831" s="5">
        <v>583.0</v>
      </c>
      <c r="AQ831" s="5" t="s">
        <v>1716</v>
      </c>
      <c r="AR831" s="5" t="s">
        <v>1717</v>
      </c>
      <c r="AS831" s="5" t="s">
        <v>1718</v>
      </c>
      <c r="AT831" s="5" t="s">
        <v>1719</v>
      </c>
      <c r="AU831" s="5" t="s">
        <v>1703</v>
      </c>
      <c r="AV831" s="5" t="s">
        <v>1720</v>
      </c>
      <c r="AW831" s="5" t="s">
        <v>1705</v>
      </c>
      <c r="AX831" s="5" t="s">
        <v>1837</v>
      </c>
      <c r="AY831" s="5">
        <v>50.0</v>
      </c>
      <c r="AZ831" s="5">
        <v>-124.0</v>
      </c>
      <c r="BA831" s="5">
        <v>1.0</v>
      </c>
    </row>
    <row r="832" ht="14.25" customHeight="1">
      <c r="B832" s="5">
        <v>12.0</v>
      </c>
      <c r="C832" s="5" t="s">
        <v>7666</v>
      </c>
      <c r="D832" s="5">
        <v>584.0</v>
      </c>
      <c r="E832" s="5">
        <v>2041.0</v>
      </c>
      <c r="F832" s="18" t="s">
        <v>3209</v>
      </c>
      <c r="G832" s="5" t="s">
        <v>3210</v>
      </c>
      <c r="H832" s="5" t="s">
        <v>3211</v>
      </c>
      <c r="I832" s="5" t="s">
        <v>1664</v>
      </c>
      <c r="J832" s="5" t="s">
        <v>1715</v>
      </c>
      <c r="K832" s="5">
        <v>1.0</v>
      </c>
      <c r="L832" s="5">
        <v>2444.0</v>
      </c>
      <c r="M832" s="8"/>
      <c r="AO832" s="5" t="s">
        <v>3209</v>
      </c>
      <c r="AP832" s="5">
        <v>584.0</v>
      </c>
      <c r="AQ832" s="5" t="s">
        <v>1716</v>
      </c>
      <c r="AR832" s="5" t="s">
        <v>1717</v>
      </c>
      <c r="AS832" s="5" t="s">
        <v>1718</v>
      </c>
      <c r="AT832" s="5" t="s">
        <v>1719</v>
      </c>
      <c r="AU832" s="5" t="s">
        <v>1703</v>
      </c>
      <c r="AV832" s="5" t="s">
        <v>1720</v>
      </c>
      <c r="AW832" s="5" t="s">
        <v>1705</v>
      </c>
      <c r="AX832" s="5" t="s">
        <v>2153</v>
      </c>
      <c r="AY832" s="5">
        <v>53.5</v>
      </c>
      <c r="AZ832" s="5">
        <v>-127.4</v>
      </c>
      <c r="BA832" s="5">
        <v>19.0</v>
      </c>
    </row>
    <row r="833" ht="14.25" customHeight="1">
      <c r="B833" s="5">
        <v>12.0</v>
      </c>
      <c r="C833" s="5" t="s">
        <v>7666</v>
      </c>
      <c r="D833" s="5">
        <v>585.0</v>
      </c>
      <c r="E833" s="5">
        <v>2042.0</v>
      </c>
      <c r="F833" s="18" t="s">
        <v>3212</v>
      </c>
      <c r="G833" s="5" t="s">
        <v>3213</v>
      </c>
      <c r="H833" s="5" t="s">
        <v>3214</v>
      </c>
      <c r="I833" s="5" t="s">
        <v>641</v>
      </c>
      <c r="J833" s="5" t="s">
        <v>1746</v>
      </c>
      <c r="K833" s="5">
        <v>1.0</v>
      </c>
      <c r="L833" s="5">
        <v>2445.0</v>
      </c>
      <c r="M833" s="8"/>
      <c r="AO833" s="5" t="s">
        <v>3212</v>
      </c>
      <c r="AP833" s="5">
        <v>585.0</v>
      </c>
      <c r="AQ833" s="5" t="s">
        <v>1716</v>
      </c>
      <c r="AR833" s="5" t="s">
        <v>1717</v>
      </c>
      <c r="AS833" s="5" t="s">
        <v>1718</v>
      </c>
      <c r="AT833" s="5" t="s">
        <v>1719</v>
      </c>
      <c r="AU833" s="5" t="s">
        <v>1959</v>
      </c>
      <c r="AV833" s="5" t="s">
        <v>1720</v>
      </c>
      <c r="AW833" s="5" t="s">
        <v>1705</v>
      </c>
      <c r="AX833" s="5" t="s">
        <v>1965</v>
      </c>
      <c r="AY833" s="5">
        <v>52.3836</v>
      </c>
      <c r="AZ833" s="5">
        <v>-126.5913</v>
      </c>
      <c r="BA833" s="5">
        <v>50.0</v>
      </c>
    </row>
    <row r="834" ht="14.25" customHeight="1">
      <c r="B834" s="5">
        <v>12.0</v>
      </c>
      <c r="C834" s="5" t="s">
        <v>7666</v>
      </c>
      <c r="D834" s="5">
        <v>586.0</v>
      </c>
      <c r="E834" s="5">
        <v>2043.0</v>
      </c>
      <c r="F834" s="18" t="s">
        <v>3215</v>
      </c>
      <c r="G834" s="5" t="s">
        <v>3216</v>
      </c>
      <c r="H834" s="5" t="s">
        <v>3217</v>
      </c>
      <c r="I834" s="5" t="s">
        <v>1664</v>
      </c>
      <c r="J834" s="5" t="s">
        <v>1715</v>
      </c>
      <c r="K834" s="5">
        <v>1.0</v>
      </c>
      <c r="L834" s="5">
        <v>2446.0</v>
      </c>
      <c r="M834" s="8"/>
      <c r="AO834" s="5" t="s">
        <v>3215</v>
      </c>
      <c r="AP834" s="5">
        <v>586.0</v>
      </c>
      <c r="AQ834" s="5" t="s">
        <v>1716</v>
      </c>
      <c r="AR834" s="5" t="s">
        <v>1717</v>
      </c>
      <c r="AS834" s="5" t="s">
        <v>1718</v>
      </c>
      <c r="AT834" s="5" t="s">
        <v>1703</v>
      </c>
      <c r="AU834" s="5" t="s">
        <v>1703</v>
      </c>
      <c r="AV834" s="5" t="s">
        <v>1720</v>
      </c>
      <c r="AW834" s="5" t="s">
        <v>1705</v>
      </c>
      <c r="AX834" s="5" t="s">
        <v>1965</v>
      </c>
      <c r="AY834" s="5">
        <v>52.3</v>
      </c>
      <c r="AZ834" s="5">
        <v>-126.5</v>
      </c>
      <c r="BA834" s="5">
        <v>1.0</v>
      </c>
    </row>
    <row r="835" ht="14.25" customHeight="1">
      <c r="A835" s="5" t="s">
        <v>422</v>
      </c>
      <c r="B835" s="5">
        <v>12.0</v>
      </c>
      <c r="C835" s="5" t="s">
        <v>7666</v>
      </c>
      <c r="D835" s="5">
        <v>587.0</v>
      </c>
      <c r="E835" s="5">
        <v>2044.0</v>
      </c>
      <c r="F835" s="18" t="s">
        <v>3218</v>
      </c>
      <c r="G835" s="5" t="s">
        <v>3219</v>
      </c>
      <c r="H835" s="5" t="s">
        <v>3220</v>
      </c>
      <c r="I835" s="5" t="s">
        <v>1664</v>
      </c>
      <c r="J835" s="5" t="s">
        <v>1746</v>
      </c>
      <c r="K835" s="5">
        <v>1.0</v>
      </c>
      <c r="L835" s="5">
        <v>2447.0</v>
      </c>
      <c r="M835" s="8"/>
      <c r="AO835" s="5" t="s">
        <v>3218</v>
      </c>
      <c r="AP835" s="5">
        <v>587.0</v>
      </c>
      <c r="AQ835" s="5" t="s">
        <v>1716</v>
      </c>
      <c r="AR835" s="5" t="s">
        <v>1717</v>
      </c>
      <c r="AS835" s="5" t="s">
        <v>1718</v>
      </c>
      <c r="AT835" s="5" t="s">
        <v>1719</v>
      </c>
      <c r="AU835" s="5" t="s">
        <v>1703</v>
      </c>
      <c r="AV835" s="5" t="s">
        <v>1720</v>
      </c>
      <c r="AW835" s="5" t="s">
        <v>1705</v>
      </c>
      <c r="AX835" s="5" t="s">
        <v>1965</v>
      </c>
      <c r="AY835" s="5">
        <v>52.2</v>
      </c>
      <c r="AZ835" s="5">
        <v>-126.7</v>
      </c>
      <c r="BA835" s="5">
        <v>7.0</v>
      </c>
    </row>
    <row r="836" ht="14.25" customHeight="1">
      <c r="B836" s="5">
        <v>12.0</v>
      </c>
      <c r="C836" s="5" t="s">
        <v>7666</v>
      </c>
      <c r="D836" s="5">
        <v>588.0</v>
      </c>
      <c r="E836" s="5">
        <v>2045.0</v>
      </c>
      <c r="F836" s="18" t="s">
        <v>3221</v>
      </c>
      <c r="G836" s="5" t="s">
        <v>3222</v>
      </c>
      <c r="H836" s="5" t="s">
        <v>3223</v>
      </c>
      <c r="I836" s="5" t="s">
        <v>1664</v>
      </c>
      <c r="J836" s="5" t="s">
        <v>1746</v>
      </c>
      <c r="K836" s="5">
        <v>1.0</v>
      </c>
      <c r="L836" s="5">
        <v>2448.0</v>
      </c>
      <c r="M836" s="8"/>
      <c r="AO836" s="5" t="s">
        <v>3221</v>
      </c>
      <c r="AP836" s="5">
        <v>588.0</v>
      </c>
      <c r="AQ836" s="5" t="s">
        <v>1716</v>
      </c>
      <c r="AR836" s="5" t="s">
        <v>1717</v>
      </c>
      <c r="AS836" s="5" t="s">
        <v>1718</v>
      </c>
      <c r="AT836" s="5" t="s">
        <v>1719</v>
      </c>
      <c r="AU836" s="5" t="s">
        <v>1703</v>
      </c>
      <c r="AV836" s="5" t="s">
        <v>1720</v>
      </c>
      <c r="AW836" s="5" t="s">
        <v>1705</v>
      </c>
      <c r="AX836" s="5" t="s">
        <v>1965</v>
      </c>
      <c r="AY836" s="5">
        <v>52.12</v>
      </c>
      <c r="AZ836" s="5">
        <v>-127.933</v>
      </c>
      <c r="BA836" s="5">
        <v>5.0</v>
      </c>
    </row>
    <row r="837" ht="14.25" customHeight="1">
      <c r="B837" s="5">
        <v>12.0</v>
      </c>
      <c r="C837" s="5" t="s">
        <v>7666</v>
      </c>
      <c r="D837" s="5">
        <v>589.0</v>
      </c>
      <c r="E837" s="5">
        <v>2046.0</v>
      </c>
      <c r="F837" s="18" t="s">
        <v>3224</v>
      </c>
      <c r="G837" s="5" t="s">
        <v>3225</v>
      </c>
      <c r="H837" s="5" t="s">
        <v>3226</v>
      </c>
      <c r="I837" s="5" t="s">
        <v>1664</v>
      </c>
      <c r="J837" s="5" t="s">
        <v>1715</v>
      </c>
      <c r="K837" s="5">
        <v>1.0</v>
      </c>
      <c r="L837" s="5">
        <v>2449.0</v>
      </c>
      <c r="M837" s="8"/>
      <c r="AO837" s="5" t="s">
        <v>3224</v>
      </c>
      <c r="AP837" s="5">
        <v>589.0</v>
      </c>
      <c r="AQ837" s="5" t="s">
        <v>1716</v>
      </c>
      <c r="AR837" s="5" t="s">
        <v>1717</v>
      </c>
      <c r="AS837" s="5" t="s">
        <v>1718</v>
      </c>
      <c r="AT837" s="5" t="s">
        <v>1719</v>
      </c>
      <c r="AU837" s="5" t="s">
        <v>1703</v>
      </c>
      <c r="AV837" s="5" t="s">
        <v>1720</v>
      </c>
      <c r="AW837" s="5" t="s">
        <v>1947</v>
      </c>
      <c r="AX837" s="5" t="s">
        <v>1973</v>
      </c>
      <c r="AY837" s="5">
        <v>54.1</v>
      </c>
      <c r="AZ837" s="5">
        <v>-128.6</v>
      </c>
      <c r="BA837" s="5">
        <v>13.0</v>
      </c>
    </row>
    <row r="838" ht="14.25" customHeight="1">
      <c r="B838" s="5">
        <v>12.0</v>
      </c>
      <c r="C838" s="5" t="s">
        <v>7666</v>
      </c>
      <c r="D838" s="5">
        <v>590.0</v>
      </c>
      <c r="E838" s="5">
        <v>2047.0</v>
      </c>
      <c r="F838" s="18" t="s">
        <v>3227</v>
      </c>
      <c r="G838" s="5" t="s">
        <v>3228</v>
      </c>
      <c r="H838" s="5" t="s">
        <v>3229</v>
      </c>
      <c r="I838" s="5" t="s">
        <v>1664</v>
      </c>
      <c r="J838" s="5" t="s">
        <v>1715</v>
      </c>
      <c r="K838" s="5">
        <v>1.0</v>
      </c>
      <c r="L838" s="5">
        <v>2450.0</v>
      </c>
      <c r="M838" s="8"/>
      <c r="AO838" s="5" t="s">
        <v>3227</v>
      </c>
      <c r="AP838" s="5">
        <v>590.0</v>
      </c>
      <c r="AQ838" s="5" t="s">
        <v>1716</v>
      </c>
      <c r="AR838" s="5" t="s">
        <v>1717</v>
      </c>
      <c r="AS838" s="5" t="s">
        <v>1718</v>
      </c>
      <c r="AT838" s="5" t="s">
        <v>1719</v>
      </c>
      <c r="AU838" s="5" t="s">
        <v>1703</v>
      </c>
      <c r="AV838" s="5" t="s">
        <v>1720</v>
      </c>
      <c r="AW838" s="5" t="s">
        <v>1947</v>
      </c>
      <c r="AX838" s="5" t="s">
        <v>1973</v>
      </c>
      <c r="AY838" s="5">
        <v>53.8</v>
      </c>
      <c r="AZ838" s="5">
        <v>-128.4</v>
      </c>
      <c r="BA838" s="5">
        <v>5.0</v>
      </c>
    </row>
    <row r="839" ht="14.25" customHeight="1">
      <c r="B839" s="5">
        <v>12.0</v>
      </c>
      <c r="C839" s="5" t="s">
        <v>7666</v>
      </c>
      <c r="D839" s="5">
        <v>592.0</v>
      </c>
      <c r="E839" s="5">
        <v>2048.0</v>
      </c>
      <c r="F839" s="18" t="s">
        <v>3230</v>
      </c>
      <c r="G839" s="5" t="s">
        <v>3231</v>
      </c>
      <c r="H839" s="5" t="s">
        <v>3232</v>
      </c>
      <c r="I839" s="5" t="s">
        <v>1664</v>
      </c>
      <c r="J839" s="5" t="s">
        <v>1715</v>
      </c>
      <c r="K839" s="5">
        <v>1.0</v>
      </c>
      <c r="L839" s="5">
        <v>2451.0</v>
      </c>
      <c r="M839" s="8"/>
      <c r="AO839" s="5" t="s">
        <v>3230</v>
      </c>
      <c r="AP839" s="5">
        <v>592.0</v>
      </c>
      <c r="AQ839" s="5" t="s">
        <v>1716</v>
      </c>
      <c r="AR839" s="5" t="s">
        <v>1717</v>
      </c>
      <c r="AS839" s="5" t="s">
        <v>1718</v>
      </c>
      <c r="AT839" s="5" t="s">
        <v>1719</v>
      </c>
      <c r="AU839" s="5" t="s">
        <v>1703</v>
      </c>
      <c r="AV839" s="5" t="s">
        <v>1720</v>
      </c>
      <c r="AW839" s="5" t="s">
        <v>1947</v>
      </c>
      <c r="AX839" s="5" t="s">
        <v>1986</v>
      </c>
      <c r="AY839" s="5">
        <v>57.4</v>
      </c>
      <c r="AZ839" s="5">
        <v>-130.2</v>
      </c>
      <c r="BA839" s="5">
        <v>0.0</v>
      </c>
    </row>
    <row r="840" ht="14.25" customHeight="1">
      <c r="B840" s="5">
        <v>12.0</v>
      </c>
      <c r="C840" s="5" t="s">
        <v>7666</v>
      </c>
      <c r="D840" s="5">
        <v>593.0</v>
      </c>
      <c r="E840" s="5">
        <v>2049.0</v>
      </c>
      <c r="F840" s="18" t="s">
        <v>3233</v>
      </c>
      <c r="G840" s="5" t="s">
        <v>3234</v>
      </c>
      <c r="H840" s="5" t="s">
        <v>3235</v>
      </c>
      <c r="I840" s="5" t="s">
        <v>1664</v>
      </c>
      <c r="J840" s="5" t="s">
        <v>1746</v>
      </c>
      <c r="K840" s="5">
        <v>1.0</v>
      </c>
      <c r="L840" s="5">
        <v>2452.0</v>
      </c>
      <c r="M840" s="8"/>
      <c r="AO840" s="5" t="s">
        <v>3233</v>
      </c>
      <c r="AP840" s="5">
        <v>593.0</v>
      </c>
      <c r="AQ840" s="5" t="s">
        <v>1716</v>
      </c>
      <c r="AR840" s="5" t="s">
        <v>1717</v>
      </c>
      <c r="AS840" s="5" t="s">
        <v>1718</v>
      </c>
      <c r="AT840" s="5" t="s">
        <v>1719</v>
      </c>
      <c r="AU840" s="5" t="s">
        <v>1703</v>
      </c>
      <c r="AV840" s="5" t="s">
        <v>1720</v>
      </c>
      <c r="AW840" s="5" t="s">
        <v>1947</v>
      </c>
      <c r="AX840" s="5" t="s">
        <v>1986</v>
      </c>
      <c r="AY840" s="5">
        <v>56.6</v>
      </c>
      <c r="AZ840" s="5">
        <v>-131.1</v>
      </c>
      <c r="BA840" s="5">
        <v>2.0</v>
      </c>
    </row>
    <row r="841" ht="14.25" customHeight="1">
      <c r="B841" s="5">
        <v>12.0</v>
      </c>
      <c r="C841" s="5" t="s">
        <v>7666</v>
      </c>
      <c r="D841" s="5">
        <v>594.0</v>
      </c>
      <c r="E841" s="5">
        <v>2050.0</v>
      </c>
      <c r="F841" s="18" t="s">
        <v>3236</v>
      </c>
      <c r="G841" s="5" t="s">
        <v>3237</v>
      </c>
      <c r="H841" s="5" t="s">
        <v>3238</v>
      </c>
      <c r="I841" s="5" t="s">
        <v>1664</v>
      </c>
      <c r="J841" s="5" t="s">
        <v>1746</v>
      </c>
      <c r="K841" s="5">
        <v>1.0</v>
      </c>
      <c r="L841" s="5">
        <v>2453.0</v>
      </c>
      <c r="M841" s="8"/>
      <c r="AO841" s="5" t="s">
        <v>3236</v>
      </c>
      <c r="AP841" s="5">
        <v>594.0</v>
      </c>
      <c r="AQ841" s="5" t="s">
        <v>1716</v>
      </c>
      <c r="AR841" s="5" t="s">
        <v>1717</v>
      </c>
      <c r="AS841" s="5" t="s">
        <v>1718</v>
      </c>
      <c r="AT841" s="5" t="s">
        <v>1719</v>
      </c>
      <c r="AU841" s="5" t="s">
        <v>1703</v>
      </c>
      <c r="AV841" s="5" t="s">
        <v>1720</v>
      </c>
      <c r="AW841" s="5" t="s">
        <v>1947</v>
      </c>
      <c r="AX841" s="5" t="s">
        <v>1986</v>
      </c>
      <c r="AY841" s="5">
        <v>57.6</v>
      </c>
      <c r="AZ841" s="5">
        <v>-130.1</v>
      </c>
      <c r="BA841" s="5">
        <v>99.0</v>
      </c>
    </row>
    <row r="842" ht="14.25" customHeight="1">
      <c r="B842" s="5">
        <v>12.0</v>
      </c>
      <c r="C842" s="5" t="s">
        <v>7666</v>
      </c>
      <c r="D842" s="5">
        <v>598.0</v>
      </c>
      <c r="E842" s="5">
        <v>2054.0</v>
      </c>
      <c r="F842" s="18" t="s">
        <v>3239</v>
      </c>
      <c r="G842" s="5" t="s">
        <v>3240</v>
      </c>
      <c r="H842" s="5" t="s">
        <v>3241</v>
      </c>
      <c r="I842" s="5" t="s">
        <v>1664</v>
      </c>
      <c r="J842" s="5" t="s">
        <v>1715</v>
      </c>
      <c r="K842" s="5">
        <v>1.0</v>
      </c>
      <c r="L842" s="5">
        <v>2457.0</v>
      </c>
      <c r="M842" s="8"/>
      <c r="AO842" s="5" t="s">
        <v>3239</v>
      </c>
      <c r="AP842" s="5">
        <v>598.0</v>
      </c>
      <c r="AQ842" s="5" t="s">
        <v>1716</v>
      </c>
      <c r="AR842" s="5" t="s">
        <v>1717</v>
      </c>
      <c r="AS842" s="5" t="s">
        <v>1718</v>
      </c>
      <c r="AT842" s="5" t="s">
        <v>1719</v>
      </c>
      <c r="AU842" s="5" t="s">
        <v>1703</v>
      </c>
      <c r="AV842" s="5" t="s">
        <v>1720</v>
      </c>
      <c r="AW842" s="5" t="s">
        <v>2003</v>
      </c>
      <c r="AX842" s="5" t="s">
        <v>2009</v>
      </c>
      <c r="AY842" s="5">
        <v>58.4</v>
      </c>
      <c r="AZ842" s="5">
        <v>-122.4</v>
      </c>
      <c r="BA842" s="5">
        <v>4.0</v>
      </c>
    </row>
    <row r="843" ht="14.25" customHeight="1">
      <c r="A843" s="5" t="s">
        <v>88</v>
      </c>
      <c r="B843" s="5">
        <v>12.0</v>
      </c>
      <c r="C843" s="5" t="s">
        <v>7666</v>
      </c>
      <c r="D843" s="5">
        <v>599.0</v>
      </c>
      <c r="E843" s="5">
        <v>2055.0</v>
      </c>
      <c r="F843" s="5" t="s">
        <v>3242</v>
      </c>
      <c r="G843" s="10" t="s">
        <v>3243</v>
      </c>
      <c r="H843" s="5" t="s">
        <v>3244</v>
      </c>
      <c r="I843" s="5" t="s">
        <v>641</v>
      </c>
      <c r="J843" s="5" t="s">
        <v>1736</v>
      </c>
      <c r="K843" s="5">
        <v>1.0</v>
      </c>
      <c r="L843" s="5">
        <v>2458.0</v>
      </c>
      <c r="M843" s="8">
        <v>58.84147</v>
      </c>
      <c r="N843" s="5">
        <v>-122.57375</v>
      </c>
      <c r="O843" s="5" t="s">
        <v>2008</v>
      </c>
      <c r="P843" s="5">
        <v>599.0</v>
      </c>
      <c r="Q843" s="5">
        <v>1.0</v>
      </c>
      <c r="R843" s="5" t="s">
        <v>3242</v>
      </c>
      <c r="S843" s="5" t="s">
        <v>1737</v>
      </c>
      <c r="T843" s="5">
        <v>382.0</v>
      </c>
      <c r="W843" s="5">
        <v>36161.0</v>
      </c>
      <c r="X843" s="5" t="s">
        <v>1738</v>
      </c>
      <c r="AO843" s="5" t="s">
        <v>3242</v>
      </c>
      <c r="AP843" s="5">
        <v>599.0</v>
      </c>
      <c r="AQ843" s="5" t="s">
        <v>1700</v>
      </c>
      <c r="AR843" s="5" t="s">
        <v>1739</v>
      </c>
      <c r="AS843" s="5" t="s">
        <v>1740</v>
      </c>
      <c r="AT843" s="5" t="s">
        <v>1741</v>
      </c>
      <c r="AU843" s="5" t="s">
        <v>1959</v>
      </c>
      <c r="AV843" s="5" t="s">
        <v>1720</v>
      </c>
      <c r="AW843" s="5" t="s">
        <v>2003</v>
      </c>
      <c r="AX843" s="5" t="s">
        <v>2009</v>
      </c>
      <c r="AY843" s="5">
        <v>58.8418</v>
      </c>
      <c r="AZ843" s="5">
        <v>-122.5736</v>
      </c>
      <c r="BA843" s="5">
        <v>375.0</v>
      </c>
    </row>
    <row r="844" ht="14.25" customHeight="1">
      <c r="B844" s="5">
        <v>12.0</v>
      </c>
      <c r="C844" s="5" t="s">
        <v>7666</v>
      </c>
      <c r="D844" s="5">
        <v>600.0</v>
      </c>
      <c r="E844" s="5">
        <v>2056.0</v>
      </c>
      <c r="F844" s="18" t="s">
        <v>3245</v>
      </c>
      <c r="G844" s="5" t="s">
        <v>3246</v>
      </c>
      <c r="H844" s="5" t="s">
        <v>3247</v>
      </c>
      <c r="I844" s="5" t="s">
        <v>1664</v>
      </c>
      <c r="J844" s="5" t="s">
        <v>1746</v>
      </c>
      <c r="K844" s="5">
        <v>1.0</v>
      </c>
      <c r="L844" s="5">
        <v>2459.0</v>
      </c>
      <c r="M844" s="8"/>
      <c r="AO844" s="5" t="s">
        <v>3245</v>
      </c>
      <c r="AP844" s="5">
        <v>600.0</v>
      </c>
      <c r="AQ844" s="5" t="s">
        <v>1716</v>
      </c>
      <c r="AR844" s="5" t="s">
        <v>1717</v>
      </c>
      <c r="AS844" s="5" t="s">
        <v>1718</v>
      </c>
      <c r="AT844" s="5" t="s">
        <v>1719</v>
      </c>
      <c r="AU844" s="5" t="s">
        <v>1703</v>
      </c>
      <c r="AV844" s="5" t="s">
        <v>1720</v>
      </c>
      <c r="AW844" s="5" t="s">
        <v>2003</v>
      </c>
      <c r="AX844" s="5" t="s">
        <v>2024</v>
      </c>
      <c r="AY844" s="5">
        <v>55.4</v>
      </c>
      <c r="AZ844" s="5">
        <v>-122.3</v>
      </c>
      <c r="BA844" s="5">
        <v>12.0</v>
      </c>
    </row>
    <row r="845" ht="14.25" customHeight="1">
      <c r="B845" s="5">
        <v>12.0</v>
      </c>
      <c r="C845" s="5" t="s">
        <v>7666</v>
      </c>
      <c r="D845" s="5">
        <v>601.0</v>
      </c>
      <c r="E845" s="5">
        <v>2057.0</v>
      </c>
      <c r="F845" s="18" t="s">
        <v>3248</v>
      </c>
      <c r="G845" s="5" t="s">
        <v>3249</v>
      </c>
      <c r="H845" s="5" t="s">
        <v>3250</v>
      </c>
      <c r="I845" s="5" t="s">
        <v>1664</v>
      </c>
      <c r="J845" s="5" t="s">
        <v>1715</v>
      </c>
      <c r="K845" s="5">
        <v>1.0</v>
      </c>
      <c r="L845" s="5">
        <v>2460.0</v>
      </c>
      <c r="M845" s="8"/>
      <c r="AO845" s="5" t="s">
        <v>3248</v>
      </c>
      <c r="AP845" s="5">
        <v>601.0</v>
      </c>
      <c r="AQ845" s="5" t="s">
        <v>1716</v>
      </c>
      <c r="AR845" s="5" t="s">
        <v>1717</v>
      </c>
      <c r="AS845" s="5" t="s">
        <v>1718</v>
      </c>
      <c r="AT845" s="5" t="s">
        <v>1719</v>
      </c>
      <c r="AU845" s="5" t="s">
        <v>1703</v>
      </c>
      <c r="AV845" s="5" t="s">
        <v>1720</v>
      </c>
      <c r="AW845" s="5" t="s">
        <v>2003</v>
      </c>
      <c r="AX845" s="5" t="s">
        <v>2087</v>
      </c>
      <c r="AY845" s="5">
        <v>56.2</v>
      </c>
      <c r="AZ845" s="5">
        <v>-124.6</v>
      </c>
      <c r="BA845" s="5">
        <v>7.0</v>
      </c>
    </row>
    <row r="846" ht="14.25" customHeight="1">
      <c r="B846" s="5">
        <v>12.0</v>
      </c>
      <c r="C846" s="5" t="s">
        <v>7666</v>
      </c>
      <c r="D846" s="5">
        <v>602.0</v>
      </c>
      <c r="E846" s="5">
        <v>2058.0</v>
      </c>
      <c r="F846" s="18" t="s">
        <v>3251</v>
      </c>
      <c r="G846" s="5" t="s">
        <v>3252</v>
      </c>
      <c r="H846" s="5" t="s">
        <v>3253</v>
      </c>
      <c r="I846" s="5" t="s">
        <v>1664</v>
      </c>
      <c r="J846" s="5" t="s">
        <v>1715</v>
      </c>
      <c r="K846" s="5">
        <v>1.0</v>
      </c>
      <c r="L846" s="5">
        <v>2461.0</v>
      </c>
      <c r="M846" s="8"/>
      <c r="AO846" s="5" t="s">
        <v>3251</v>
      </c>
      <c r="AP846" s="5">
        <v>602.0</v>
      </c>
      <c r="AQ846" s="5" t="s">
        <v>1716</v>
      </c>
      <c r="AR846" s="5" t="s">
        <v>1717</v>
      </c>
      <c r="AS846" s="5" t="s">
        <v>1718</v>
      </c>
      <c r="AT846" s="5" t="s">
        <v>1719</v>
      </c>
      <c r="AU846" s="5" t="s">
        <v>1703</v>
      </c>
      <c r="AV846" s="5" t="s">
        <v>1720</v>
      </c>
      <c r="AW846" s="5" t="s">
        <v>2003</v>
      </c>
      <c r="AX846" s="5" t="s">
        <v>2087</v>
      </c>
      <c r="AY846" s="5">
        <v>55.0</v>
      </c>
      <c r="AZ846" s="5">
        <v>-123.7</v>
      </c>
      <c r="BA846" s="5">
        <v>10.0</v>
      </c>
    </row>
    <row r="847" ht="14.25" customHeight="1">
      <c r="B847" s="5">
        <v>12.0</v>
      </c>
      <c r="C847" s="5" t="s">
        <v>7666</v>
      </c>
      <c r="D847" s="5">
        <v>603.0</v>
      </c>
      <c r="E847" s="5">
        <v>2059.0</v>
      </c>
      <c r="F847" s="18" t="s">
        <v>3254</v>
      </c>
      <c r="G847" s="5" t="s">
        <v>3255</v>
      </c>
      <c r="H847" s="5" t="s">
        <v>3253</v>
      </c>
      <c r="I847" s="5" t="s">
        <v>1664</v>
      </c>
      <c r="J847" s="5" t="s">
        <v>1715</v>
      </c>
      <c r="K847" s="5">
        <v>1.0</v>
      </c>
      <c r="L847" s="5">
        <v>2462.0</v>
      </c>
      <c r="M847" s="8"/>
      <c r="AO847" s="5" t="s">
        <v>3254</v>
      </c>
      <c r="AP847" s="5">
        <v>603.0</v>
      </c>
      <c r="AQ847" s="5" t="s">
        <v>1716</v>
      </c>
      <c r="AR847" s="5" t="s">
        <v>1717</v>
      </c>
      <c r="AS847" s="5" t="s">
        <v>1718</v>
      </c>
      <c r="AT847" s="5" t="s">
        <v>1719</v>
      </c>
      <c r="AU847" s="5" t="s">
        <v>1703</v>
      </c>
      <c r="AV847" s="5" t="s">
        <v>1720</v>
      </c>
      <c r="AW847" s="5" t="s">
        <v>2003</v>
      </c>
      <c r="AX847" s="5" t="s">
        <v>2087</v>
      </c>
      <c r="AY847" s="5">
        <v>55.5</v>
      </c>
      <c r="AZ847" s="5">
        <v>-123.7</v>
      </c>
      <c r="BA847" s="5">
        <v>7.0</v>
      </c>
    </row>
    <row r="848" ht="14.25" customHeight="1">
      <c r="B848" s="5">
        <v>12.0</v>
      </c>
      <c r="C848" s="5" t="s">
        <v>7666</v>
      </c>
      <c r="D848" s="5">
        <v>604.0</v>
      </c>
      <c r="E848" s="5">
        <v>2060.0</v>
      </c>
      <c r="F848" s="18" t="s">
        <v>3256</v>
      </c>
      <c r="G848" s="5" t="s">
        <v>3257</v>
      </c>
      <c r="H848" s="5" t="s">
        <v>3258</v>
      </c>
      <c r="I848" s="5" t="s">
        <v>1664</v>
      </c>
      <c r="J848" s="5" t="s">
        <v>1715</v>
      </c>
      <c r="K848" s="5">
        <v>1.0</v>
      </c>
      <c r="L848" s="5">
        <v>2463.0</v>
      </c>
      <c r="M848" s="8"/>
      <c r="AO848" s="5" t="s">
        <v>3256</v>
      </c>
      <c r="AP848" s="5">
        <v>604.0</v>
      </c>
      <c r="AQ848" s="5" t="s">
        <v>1716</v>
      </c>
      <c r="AR848" s="5" t="s">
        <v>1717</v>
      </c>
      <c r="AS848" s="5" t="s">
        <v>1718</v>
      </c>
      <c r="AT848" s="5" t="s">
        <v>1719</v>
      </c>
      <c r="AU848" s="5" t="s">
        <v>1703</v>
      </c>
      <c r="AV848" s="5" t="s">
        <v>1720</v>
      </c>
      <c r="AW848" s="5" t="s">
        <v>2003</v>
      </c>
      <c r="AX848" s="5" t="s">
        <v>2087</v>
      </c>
      <c r="AY848" s="5">
        <v>55.3</v>
      </c>
      <c r="AZ848" s="5">
        <v>-123.9</v>
      </c>
      <c r="BA848" s="5">
        <v>10.0</v>
      </c>
    </row>
    <row r="849" ht="14.25" customHeight="1">
      <c r="B849" s="5">
        <v>12.0</v>
      </c>
      <c r="C849" s="5" t="s">
        <v>7666</v>
      </c>
      <c r="D849" s="5">
        <v>605.0</v>
      </c>
      <c r="E849" s="5">
        <v>2061.0</v>
      </c>
      <c r="F849" s="18" t="s">
        <v>3259</v>
      </c>
      <c r="G849" s="5" t="s">
        <v>3260</v>
      </c>
      <c r="H849" s="5" t="s">
        <v>3261</v>
      </c>
      <c r="I849" s="5" t="s">
        <v>1664</v>
      </c>
      <c r="J849" s="5" t="s">
        <v>1715</v>
      </c>
      <c r="K849" s="5">
        <v>1.0</v>
      </c>
      <c r="L849" s="5">
        <v>2464.0</v>
      </c>
      <c r="M849" s="8"/>
      <c r="AO849" s="5" t="s">
        <v>3259</v>
      </c>
      <c r="AP849" s="5">
        <v>605.0</v>
      </c>
      <c r="AQ849" s="5" t="s">
        <v>1716</v>
      </c>
      <c r="AR849" s="5" t="s">
        <v>1717</v>
      </c>
      <c r="AS849" s="5" t="s">
        <v>1718</v>
      </c>
      <c r="AT849" s="5" t="s">
        <v>1719</v>
      </c>
      <c r="AU849" s="5" t="s">
        <v>1703</v>
      </c>
      <c r="AV849" s="5" t="s">
        <v>1720</v>
      </c>
      <c r="AW849" s="5" t="s">
        <v>2003</v>
      </c>
      <c r="AX849" s="5" t="s">
        <v>2087</v>
      </c>
      <c r="AY849" s="5">
        <v>56.0</v>
      </c>
      <c r="AZ849" s="5">
        <v>-125.2</v>
      </c>
      <c r="BA849" s="5">
        <v>11.0</v>
      </c>
    </row>
    <row r="850" ht="14.25" customHeight="1">
      <c r="B850" s="5">
        <v>12.0</v>
      </c>
      <c r="C850" s="5" t="s">
        <v>7666</v>
      </c>
      <c r="D850" s="5">
        <v>606.0</v>
      </c>
      <c r="E850" s="5">
        <v>2062.0</v>
      </c>
      <c r="F850" s="18" t="s">
        <v>3262</v>
      </c>
      <c r="G850" s="5" t="s">
        <v>3263</v>
      </c>
      <c r="H850" s="5" t="s">
        <v>3264</v>
      </c>
      <c r="I850" s="5" t="s">
        <v>1664</v>
      </c>
      <c r="J850" s="5" t="s">
        <v>1715</v>
      </c>
      <c r="K850" s="5">
        <v>1.0</v>
      </c>
      <c r="L850" s="5">
        <v>2465.0</v>
      </c>
      <c r="M850" s="8"/>
      <c r="AO850" s="5" t="s">
        <v>3262</v>
      </c>
      <c r="AP850" s="5">
        <v>606.0</v>
      </c>
      <c r="AQ850" s="5" t="s">
        <v>1716</v>
      </c>
      <c r="AR850" s="5" t="s">
        <v>1717</v>
      </c>
      <c r="AS850" s="5" t="s">
        <v>1718</v>
      </c>
      <c r="AT850" s="5" t="s">
        <v>1719</v>
      </c>
      <c r="AU850" s="5" t="s">
        <v>1703</v>
      </c>
      <c r="AV850" s="5" t="s">
        <v>1720</v>
      </c>
      <c r="AW850" s="5" t="s">
        <v>2003</v>
      </c>
      <c r="AX850" s="5" t="s">
        <v>2153</v>
      </c>
      <c r="AY850" s="5">
        <v>55.1</v>
      </c>
      <c r="AZ850" s="5">
        <v>-125.9</v>
      </c>
      <c r="BA850" s="5">
        <v>88.0</v>
      </c>
    </row>
    <row r="851" ht="14.25" customHeight="1">
      <c r="B851" s="5">
        <v>12.0</v>
      </c>
      <c r="C851" s="5" t="s">
        <v>7666</v>
      </c>
      <c r="D851" s="5">
        <v>607.0</v>
      </c>
      <c r="E851" s="5">
        <v>2063.0</v>
      </c>
      <c r="F851" s="18" t="s">
        <v>3265</v>
      </c>
      <c r="G851" s="5" t="s">
        <v>3266</v>
      </c>
      <c r="H851" s="5" t="s">
        <v>3267</v>
      </c>
      <c r="I851" s="5" t="s">
        <v>1664</v>
      </c>
      <c r="J851" s="5" t="s">
        <v>1715</v>
      </c>
      <c r="K851" s="5">
        <v>1.0</v>
      </c>
      <c r="L851" s="5">
        <v>2466.0</v>
      </c>
      <c r="M851" s="8"/>
      <c r="AO851" s="5" t="s">
        <v>3265</v>
      </c>
      <c r="AP851" s="5">
        <v>607.0</v>
      </c>
      <c r="AQ851" s="5" t="s">
        <v>1716</v>
      </c>
      <c r="AR851" s="5" t="s">
        <v>1717</v>
      </c>
      <c r="AS851" s="5" t="s">
        <v>1718</v>
      </c>
      <c r="AT851" s="5" t="s">
        <v>1719</v>
      </c>
      <c r="AU851" s="5" t="s">
        <v>1703</v>
      </c>
      <c r="AV851" s="5" t="s">
        <v>1720</v>
      </c>
      <c r="AW851" s="5" t="s">
        <v>2003</v>
      </c>
      <c r="AX851" s="5" t="s">
        <v>2099</v>
      </c>
      <c r="AY851" s="5">
        <v>55.2</v>
      </c>
      <c r="AZ851" s="5">
        <v>-124.9</v>
      </c>
      <c r="BA851" s="5">
        <v>45.0</v>
      </c>
    </row>
    <row r="852" ht="14.25" customHeight="1">
      <c r="B852" s="5">
        <v>12.0</v>
      </c>
      <c r="C852" s="5" t="s">
        <v>7666</v>
      </c>
      <c r="D852" s="5">
        <v>608.0</v>
      </c>
      <c r="E852" s="5">
        <v>2064.0</v>
      </c>
      <c r="F852" s="18" t="s">
        <v>3268</v>
      </c>
      <c r="G852" s="5" t="s">
        <v>3269</v>
      </c>
      <c r="H852" s="5" t="s">
        <v>3270</v>
      </c>
      <c r="I852" s="5" t="s">
        <v>1664</v>
      </c>
      <c r="J852" s="5" t="s">
        <v>1715</v>
      </c>
      <c r="K852" s="5">
        <v>1.0</v>
      </c>
      <c r="L852" s="5">
        <v>2467.0</v>
      </c>
      <c r="M852" s="8"/>
      <c r="AO852" s="5" t="s">
        <v>3268</v>
      </c>
      <c r="AP852" s="5">
        <v>608.0</v>
      </c>
      <c r="AQ852" s="5" t="s">
        <v>1716</v>
      </c>
      <c r="AR852" s="5" t="s">
        <v>1717</v>
      </c>
      <c r="AS852" s="5" t="s">
        <v>1718</v>
      </c>
      <c r="AT852" s="5" t="s">
        <v>1719</v>
      </c>
      <c r="AU852" s="5" t="s">
        <v>1703</v>
      </c>
      <c r="AV852" s="5" t="s">
        <v>1720</v>
      </c>
      <c r="AW852" s="5" t="s">
        <v>2003</v>
      </c>
      <c r="AX852" s="5" t="s">
        <v>2099</v>
      </c>
      <c r="AY852" s="5">
        <v>54.9</v>
      </c>
      <c r="AZ852" s="5">
        <v>-123.8</v>
      </c>
      <c r="BA852" s="5">
        <v>33.0</v>
      </c>
    </row>
    <row r="853" ht="14.25" customHeight="1">
      <c r="B853" s="5">
        <v>12.0</v>
      </c>
      <c r="C853" s="5" t="s">
        <v>7666</v>
      </c>
      <c r="D853" s="5">
        <v>609.0</v>
      </c>
      <c r="E853" s="5">
        <v>2065.0</v>
      </c>
      <c r="F853" s="18" t="s">
        <v>3271</v>
      </c>
      <c r="G853" s="5" t="s">
        <v>3272</v>
      </c>
      <c r="H853" s="5" t="s">
        <v>3273</v>
      </c>
      <c r="I853" s="5" t="s">
        <v>1664</v>
      </c>
      <c r="J853" s="5" t="s">
        <v>1715</v>
      </c>
      <c r="K853" s="5">
        <v>1.0</v>
      </c>
      <c r="L853" s="5">
        <v>2468.0</v>
      </c>
      <c r="M853" s="8"/>
      <c r="AO853" s="5" t="s">
        <v>3271</v>
      </c>
      <c r="AP853" s="5">
        <v>609.0</v>
      </c>
      <c r="AQ853" s="5" t="s">
        <v>1716</v>
      </c>
      <c r="AR853" s="5" t="s">
        <v>1717</v>
      </c>
      <c r="AS853" s="5" t="s">
        <v>1718</v>
      </c>
      <c r="AT853" s="5" t="s">
        <v>1719</v>
      </c>
      <c r="AU853" s="5" t="s">
        <v>1703</v>
      </c>
      <c r="AV853" s="5" t="s">
        <v>1720</v>
      </c>
      <c r="AW853" s="5" t="s">
        <v>2003</v>
      </c>
      <c r="AX853" s="5" t="s">
        <v>2099</v>
      </c>
      <c r="AY853" s="5">
        <v>55.0</v>
      </c>
      <c r="AZ853" s="5">
        <v>-125.2</v>
      </c>
      <c r="BA853" s="5">
        <v>11.0</v>
      </c>
    </row>
    <row r="854" ht="14.25" customHeight="1">
      <c r="B854" s="5">
        <v>12.0</v>
      </c>
      <c r="C854" s="5" t="s">
        <v>7666</v>
      </c>
      <c r="D854" s="5">
        <v>610.0</v>
      </c>
      <c r="E854" s="5">
        <v>2066.0</v>
      </c>
      <c r="F854" s="18" t="s">
        <v>3274</v>
      </c>
      <c r="G854" s="5" t="s">
        <v>3275</v>
      </c>
      <c r="H854" s="5" t="s">
        <v>3276</v>
      </c>
      <c r="I854" s="5" t="s">
        <v>1664</v>
      </c>
      <c r="J854" s="5" t="s">
        <v>1715</v>
      </c>
      <c r="K854" s="5">
        <v>1.0</v>
      </c>
      <c r="L854" s="5">
        <v>2469.0</v>
      </c>
      <c r="M854" s="8"/>
      <c r="AO854" s="5" t="s">
        <v>3274</v>
      </c>
      <c r="AP854" s="5">
        <v>610.0</v>
      </c>
      <c r="AQ854" s="5" t="s">
        <v>1716</v>
      </c>
      <c r="AR854" s="5" t="s">
        <v>1717</v>
      </c>
      <c r="AS854" s="5" t="s">
        <v>1718</v>
      </c>
      <c r="AT854" s="5" t="s">
        <v>1719</v>
      </c>
      <c r="AU854" s="5" t="s">
        <v>1703</v>
      </c>
      <c r="AV854" s="5" t="s">
        <v>1720</v>
      </c>
      <c r="AW854" s="5" t="s">
        <v>2003</v>
      </c>
      <c r="AX854" s="5" t="s">
        <v>2099</v>
      </c>
      <c r="AY854" s="5">
        <v>54.6</v>
      </c>
      <c r="AZ854" s="5">
        <v>-124.0</v>
      </c>
      <c r="BA854" s="5">
        <v>8.0</v>
      </c>
    </row>
    <row r="855" ht="14.25" customHeight="1">
      <c r="B855" s="5">
        <v>12.0</v>
      </c>
      <c r="C855" s="5" t="s">
        <v>7666</v>
      </c>
      <c r="D855" s="5">
        <v>611.0</v>
      </c>
      <c r="E855" s="5">
        <v>2067.0</v>
      </c>
      <c r="F855" s="18" t="s">
        <v>3277</v>
      </c>
      <c r="G855" s="5" t="s">
        <v>3278</v>
      </c>
      <c r="H855" s="5" t="s">
        <v>3279</v>
      </c>
      <c r="I855" s="5" t="s">
        <v>1664</v>
      </c>
      <c r="J855" s="5" t="s">
        <v>1715</v>
      </c>
      <c r="K855" s="5">
        <v>1.0</v>
      </c>
      <c r="L855" s="5">
        <v>2470.0</v>
      </c>
      <c r="M855" s="8"/>
      <c r="AO855" s="5" t="s">
        <v>3277</v>
      </c>
      <c r="AP855" s="5">
        <v>611.0</v>
      </c>
      <c r="AQ855" s="5" t="s">
        <v>1716</v>
      </c>
      <c r="AR855" s="5" t="s">
        <v>1717</v>
      </c>
      <c r="AS855" s="5" t="s">
        <v>1718</v>
      </c>
      <c r="AT855" s="5" t="s">
        <v>1719</v>
      </c>
      <c r="AU855" s="5" t="s">
        <v>1703</v>
      </c>
      <c r="AV855" s="5" t="s">
        <v>1720</v>
      </c>
      <c r="AW855" s="5" t="s">
        <v>2003</v>
      </c>
      <c r="AX855" s="5" t="s">
        <v>2099</v>
      </c>
      <c r="AY855" s="5">
        <v>54.9</v>
      </c>
      <c r="AZ855" s="5">
        <v>-125.1</v>
      </c>
      <c r="BA855" s="5">
        <v>35.0</v>
      </c>
    </row>
    <row r="856" ht="14.25" customHeight="1">
      <c r="B856" s="5">
        <v>12.0</v>
      </c>
      <c r="C856" s="5" t="s">
        <v>7666</v>
      </c>
      <c r="D856" s="5">
        <v>612.0</v>
      </c>
      <c r="E856" s="5">
        <v>2068.0</v>
      </c>
      <c r="F856" s="18" t="s">
        <v>3280</v>
      </c>
      <c r="G856" s="5" t="s">
        <v>3281</v>
      </c>
      <c r="H856" s="5" t="s">
        <v>3273</v>
      </c>
      <c r="I856" s="5" t="s">
        <v>1664</v>
      </c>
      <c r="J856" s="5" t="s">
        <v>1715</v>
      </c>
      <c r="K856" s="5">
        <v>1.0</v>
      </c>
      <c r="L856" s="5">
        <v>2471.0</v>
      </c>
      <c r="M856" s="8"/>
      <c r="AO856" s="5" t="s">
        <v>3280</v>
      </c>
      <c r="AP856" s="5">
        <v>612.0</v>
      </c>
      <c r="AQ856" s="5" t="s">
        <v>1716</v>
      </c>
      <c r="AR856" s="5" t="s">
        <v>1717</v>
      </c>
      <c r="AS856" s="5" t="s">
        <v>1718</v>
      </c>
      <c r="AT856" s="5" t="s">
        <v>1719</v>
      </c>
      <c r="AU856" s="5" t="s">
        <v>1703</v>
      </c>
      <c r="AV856" s="5" t="s">
        <v>1720</v>
      </c>
      <c r="AW856" s="5" t="s">
        <v>2003</v>
      </c>
      <c r="AX856" s="5" t="s">
        <v>2099</v>
      </c>
      <c r="AY856" s="5">
        <v>54.4</v>
      </c>
      <c r="AZ856" s="5">
        <v>-123.7</v>
      </c>
      <c r="BA856" s="5">
        <v>79.0</v>
      </c>
    </row>
    <row r="857" ht="14.25" customHeight="1">
      <c r="B857" s="5">
        <v>12.0</v>
      </c>
      <c r="C857" s="5" t="s">
        <v>7666</v>
      </c>
      <c r="D857" s="5">
        <v>613.0</v>
      </c>
      <c r="E857" s="5">
        <v>2069.0</v>
      </c>
      <c r="F857" s="18" t="s">
        <v>3282</v>
      </c>
      <c r="G857" s="5" t="s">
        <v>3283</v>
      </c>
      <c r="H857" s="5" t="s">
        <v>3284</v>
      </c>
      <c r="I857" s="5" t="s">
        <v>1664</v>
      </c>
      <c r="J857" s="5" t="s">
        <v>1715</v>
      </c>
      <c r="K857" s="5">
        <v>1.0</v>
      </c>
      <c r="L857" s="5">
        <v>2472.0</v>
      </c>
      <c r="M857" s="8"/>
      <c r="AO857" s="5" t="s">
        <v>3282</v>
      </c>
      <c r="AP857" s="5">
        <v>613.0</v>
      </c>
      <c r="AQ857" s="5" t="s">
        <v>1716</v>
      </c>
      <c r="AR857" s="5" t="s">
        <v>1717</v>
      </c>
      <c r="AS857" s="5" t="s">
        <v>1718</v>
      </c>
      <c r="AT857" s="5" t="s">
        <v>1719</v>
      </c>
      <c r="AU857" s="5" t="s">
        <v>1703</v>
      </c>
      <c r="AV857" s="5" t="s">
        <v>1720</v>
      </c>
      <c r="AW857" s="5" t="s">
        <v>2003</v>
      </c>
      <c r="AX857" s="5" t="s">
        <v>2099</v>
      </c>
      <c r="AY857" s="5">
        <v>54.7</v>
      </c>
      <c r="AZ857" s="5">
        <v>-124.6</v>
      </c>
      <c r="BA857" s="5">
        <v>95.0</v>
      </c>
    </row>
    <row r="858" ht="14.25" customHeight="1">
      <c r="B858" s="5">
        <v>12.0</v>
      </c>
      <c r="C858" s="5" t="s">
        <v>7666</v>
      </c>
      <c r="D858" s="27">
        <v>614.0</v>
      </c>
      <c r="E858" s="5">
        <v>2070.0</v>
      </c>
      <c r="F858" s="18" t="s">
        <v>3285</v>
      </c>
      <c r="G858" s="5" t="s">
        <v>3286</v>
      </c>
      <c r="H858" s="5" t="s">
        <v>3287</v>
      </c>
      <c r="I858" s="5" t="s">
        <v>1664</v>
      </c>
      <c r="J858" s="5" t="s">
        <v>1715</v>
      </c>
      <c r="K858" s="5">
        <v>1.0</v>
      </c>
      <c r="L858" s="5">
        <v>2473.0</v>
      </c>
      <c r="M858" s="8"/>
      <c r="AO858" s="5" t="s">
        <v>3285</v>
      </c>
      <c r="AP858" s="5">
        <v>614.0</v>
      </c>
      <c r="AQ858" s="5" t="s">
        <v>1716</v>
      </c>
      <c r="AR858" s="5" t="s">
        <v>1717</v>
      </c>
      <c r="AS858" s="5" t="s">
        <v>1718</v>
      </c>
      <c r="AT858" s="5" t="s">
        <v>1719</v>
      </c>
      <c r="AU858" s="5" t="s">
        <v>1703</v>
      </c>
      <c r="AV858" s="5" t="s">
        <v>1720</v>
      </c>
      <c r="AW858" s="5" t="s">
        <v>2003</v>
      </c>
      <c r="AX858" s="5" t="s">
        <v>2087</v>
      </c>
      <c r="AY858" s="5">
        <v>56.5</v>
      </c>
      <c r="AZ858" s="5">
        <v>-124.4</v>
      </c>
      <c r="BA858" s="5">
        <v>7.0</v>
      </c>
    </row>
    <row r="859" ht="14.25" customHeight="1">
      <c r="B859" s="5">
        <v>12.0</v>
      </c>
      <c r="C859" s="5" t="s">
        <v>7666</v>
      </c>
      <c r="D859" s="5">
        <v>615.0</v>
      </c>
      <c r="E859" s="5">
        <v>2071.0</v>
      </c>
      <c r="F859" s="18" t="s">
        <v>3288</v>
      </c>
      <c r="G859" s="5" t="s">
        <v>3289</v>
      </c>
      <c r="H859" s="5" t="s">
        <v>3290</v>
      </c>
      <c r="I859" s="5" t="s">
        <v>1664</v>
      </c>
      <c r="J859" s="5" t="s">
        <v>1746</v>
      </c>
      <c r="K859" s="5">
        <v>1.0</v>
      </c>
      <c r="L859" s="5">
        <v>2474.0</v>
      </c>
      <c r="M859" s="8"/>
      <c r="AO859" s="5" t="s">
        <v>3288</v>
      </c>
      <c r="AP859" s="5">
        <v>615.0</v>
      </c>
      <c r="AQ859" s="5" t="s">
        <v>1716</v>
      </c>
      <c r="AR859" s="5" t="s">
        <v>1717</v>
      </c>
      <c r="AS859" s="5" t="s">
        <v>1718</v>
      </c>
      <c r="AT859" s="5" t="s">
        <v>1719</v>
      </c>
      <c r="AU859" s="5" t="s">
        <v>1703</v>
      </c>
      <c r="AV859" s="5" t="s">
        <v>1720</v>
      </c>
      <c r="AW859" s="5" t="s">
        <v>2003</v>
      </c>
      <c r="AX859" s="5" t="s">
        <v>2099</v>
      </c>
      <c r="AY859" s="5">
        <v>54.7</v>
      </c>
      <c r="AZ859" s="5">
        <v>-124.9</v>
      </c>
      <c r="BA859" s="5">
        <v>7.0</v>
      </c>
    </row>
    <row r="860" ht="14.25" customHeight="1">
      <c r="B860" s="5">
        <v>12.0</v>
      </c>
      <c r="C860" s="5" t="s">
        <v>7666</v>
      </c>
      <c r="D860" s="5">
        <v>616.0</v>
      </c>
      <c r="E860" s="5">
        <v>2072.0</v>
      </c>
      <c r="F860" s="18" t="s">
        <v>3291</v>
      </c>
      <c r="G860" s="5" t="s">
        <v>3292</v>
      </c>
      <c r="H860" s="5" t="s">
        <v>3293</v>
      </c>
      <c r="I860" s="5" t="s">
        <v>1664</v>
      </c>
      <c r="J860" s="5" t="s">
        <v>1746</v>
      </c>
      <c r="K860" s="5">
        <v>1.0</v>
      </c>
      <c r="L860" s="5">
        <v>2475.0</v>
      </c>
      <c r="M860" s="8"/>
      <c r="AO860" s="5" t="s">
        <v>3291</v>
      </c>
      <c r="AP860" s="5">
        <v>616.0</v>
      </c>
      <c r="AQ860" s="5" t="s">
        <v>1716</v>
      </c>
      <c r="AR860" s="5" t="s">
        <v>1717</v>
      </c>
      <c r="AS860" s="5" t="s">
        <v>1718</v>
      </c>
      <c r="AT860" s="5" t="s">
        <v>1719</v>
      </c>
      <c r="AU860" s="5" t="s">
        <v>1703</v>
      </c>
      <c r="AV860" s="5" t="s">
        <v>1720</v>
      </c>
      <c r="AW860" s="5" t="s">
        <v>2003</v>
      </c>
      <c r="AX860" s="5" t="s">
        <v>2087</v>
      </c>
      <c r="AY860" s="5">
        <v>56.3</v>
      </c>
      <c r="AZ860" s="5">
        <v>-124.5</v>
      </c>
      <c r="BA860" s="5">
        <v>10.0</v>
      </c>
    </row>
    <row r="861" ht="14.25" customHeight="1">
      <c r="B861" s="5">
        <v>12.0</v>
      </c>
      <c r="C861" s="5" t="s">
        <v>7666</v>
      </c>
      <c r="D861" s="5">
        <v>617.0</v>
      </c>
      <c r="E861" s="5">
        <v>2073.0</v>
      </c>
      <c r="F861" s="18" t="s">
        <v>3294</v>
      </c>
      <c r="G861" s="5" t="s">
        <v>3295</v>
      </c>
      <c r="H861" s="5" t="s">
        <v>3296</v>
      </c>
      <c r="I861" s="5" t="s">
        <v>1664</v>
      </c>
      <c r="J861" s="5" t="s">
        <v>1746</v>
      </c>
      <c r="K861" s="5">
        <v>1.0</v>
      </c>
      <c r="L861" s="5">
        <v>2476.0</v>
      </c>
      <c r="M861" s="8"/>
      <c r="AO861" s="5" t="s">
        <v>3294</v>
      </c>
      <c r="AP861" s="5">
        <v>617.0</v>
      </c>
      <c r="AQ861" s="5" t="s">
        <v>1716</v>
      </c>
      <c r="AR861" s="5" t="s">
        <v>1717</v>
      </c>
      <c r="AS861" s="5" t="s">
        <v>1718</v>
      </c>
      <c r="AT861" s="5" t="s">
        <v>1719</v>
      </c>
      <c r="AU861" s="5" t="s">
        <v>1703</v>
      </c>
      <c r="AV861" s="5" t="s">
        <v>1720</v>
      </c>
      <c r="AW861" s="5" t="s">
        <v>2003</v>
      </c>
      <c r="AX861" s="5" t="s">
        <v>2087</v>
      </c>
      <c r="AY861" s="5">
        <v>55.9</v>
      </c>
      <c r="AZ861" s="5">
        <v>-123.2</v>
      </c>
      <c r="BA861" s="5">
        <v>85.0</v>
      </c>
    </row>
    <row r="862" ht="14.25" customHeight="1">
      <c r="B862" s="5">
        <v>12.0</v>
      </c>
      <c r="C862" s="5" t="s">
        <v>7666</v>
      </c>
      <c r="D862" s="5">
        <v>618.0</v>
      </c>
      <c r="E862" s="5">
        <v>2074.0</v>
      </c>
      <c r="F862" s="18" t="s">
        <v>3297</v>
      </c>
      <c r="G862" s="5" t="s">
        <v>3298</v>
      </c>
      <c r="H862" s="5" t="s">
        <v>3299</v>
      </c>
      <c r="I862" s="5" t="s">
        <v>1664</v>
      </c>
      <c r="J862" s="5" t="s">
        <v>1715</v>
      </c>
      <c r="K862" s="5">
        <v>1.0</v>
      </c>
      <c r="L862" s="5">
        <v>2477.0</v>
      </c>
      <c r="M862" s="8"/>
      <c r="AO862" s="5" t="s">
        <v>3297</v>
      </c>
      <c r="AP862" s="5">
        <v>618.0</v>
      </c>
      <c r="AQ862" s="5" t="s">
        <v>1716</v>
      </c>
      <c r="AR862" s="5" t="s">
        <v>1717</v>
      </c>
      <c r="AS862" s="5" t="s">
        <v>1718</v>
      </c>
      <c r="AT862" s="5" t="s">
        <v>1719</v>
      </c>
      <c r="AU862" s="5" t="s">
        <v>1703</v>
      </c>
      <c r="AV862" s="5" t="s">
        <v>1720</v>
      </c>
      <c r="AW862" s="5" t="s">
        <v>1947</v>
      </c>
      <c r="AX862" s="5" t="s">
        <v>2133</v>
      </c>
      <c r="AY862" s="5">
        <v>54.8</v>
      </c>
      <c r="AZ862" s="5">
        <v>-127.4</v>
      </c>
      <c r="BA862" s="5">
        <v>9.0</v>
      </c>
    </row>
    <row r="863" ht="14.25" customHeight="1">
      <c r="B863" s="5">
        <v>12.0</v>
      </c>
      <c r="C863" s="5" t="s">
        <v>7666</v>
      </c>
      <c r="D863" s="5">
        <v>619.0</v>
      </c>
      <c r="E863" s="5">
        <v>2075.0</v>
      </c>
      <c r="F863" s="18" t="s">
        <v>3300</v>
      </c>
      <c r="G863" s="5" t="s">
        <v>3301</v>
      </c>
      <c r="H863" s="5" t="s">
        <v>3302</v>
      </c>
      <c r="I863" s="5" t="s">
        <v>641</v>
      </c>
      <c r="J863" s="5" t="s">
        <v>1746</v>
      </c>
      <c r="K863" s="5">
        <v>1.0</v>
      </c>
      <c r="L863" s="5">
        <v>2478.0</v>
      </c>
      <c r="M863" s="8"/>
      <c r="AO863" s="5" t="s">
        <v>3300</v>
      </c>
      <c r="AP863" s="5">
        <v>619.0</v>
      </c>
      <c r="AQ863" s="5" t="s">
        <v>1716</v>
      </c>
      <c r="AR863" s="5" t="s">
        <v>1717</v>
      </c>
      <c r="AS863" s="5" t="s">
        <v>1718</v>
      </c>
      <c r="AT863" s="5" t="s">
        <v>2161</v>
      </c>
      <c r="AU863" s="5" t="s">
        <v>2162</v>
      </c>
      <c r="AV863" s="5" t="s">
        <v>1720</v>
      </c>
      <c r="AW863" s="5" t="s">
        <v>1947</v>
      </c>
      <c r="AX863" s="5" t="s">
        <v>2133</v>
      </c>
      <c r="AY863" s="5">
        <v>54.8</v>
      </c>
      <c r="AZ863" s="5">
        <v>-127.2</v>
      </c>
      <c r="BA863" s="5">
        <v>522.0</v>
      </c>
    </row>
    <row r="864" ht="14.25" customHeight="1">
      <c r="B864" s="5">
        <v>12.0</v>
      </c>
      <c r="C864" s="5" t="s">
        <v>7666</v>
      </c>
      <c r="D864" s="5">
        <v>620.0</v>
      </c>
      <c r="E864" s="5">
        <v>2076.0</v>
      </c>
      <c r="F864" s="18" t="s">
        <v>3303</v>
      </c>
      <c r="G864" s="29" t="s">
        <v>3304</v>
      </c>
      <c r="H864" s="5" t="s">
        <v>3305</v>
      </c>
      <c r="I864" s="5" t="s">
        <v>1664</v>
      </c>
      <c r="J864" s="5" t="s">
        <v>1715</v>
      </c>
      <c r="K864" s="5">
        <v>1.0</v>
      </c>
      <c r="L864" s="5">
        <v>2479.0</v>
      </c>
      <c r="M864" s="8"/>
      <c r="AO864" s="5" t="s">
        <v>3303</v>
      </c>
      <c r="AP864" s="5">
        <v>620.0</v>
      </c>
      <c r="AQ864" s="5" t="s">
        <v>1716</v>
      </c>
      <c r="AR864" s="5" t="s">
        <v>1717</v>
      </c>
      <c r="AS864" s="5" t="s">
        <v>1718</v>
      </c>
      <c r="AT864" s="5" t="s">
        <v>1719</v>
      </c>
      <c r="AU864" s="5" t="s">
        <v>1703</v>
      </c>
      <c r="AV864" s="5" t="s">
        <v>1720</v>
      </c>
      <c r="AW864" s="5" t="s">
        <v>1947</v>
      </c>
      <c r="AX864" s="5" t="s">
        <v>2148</v>
      </c>
      <c r="AY864" s="5">
        <v>54.4</v>
      </c>
      <c r="AZ864" s="5">
        <v>-125.5</v>
      </c>
      <c r="BA864" s="5">
        <v>9.0</v>
      </c>
    </row>
    <row r="865" ht="14.25" customHeight="1">
      <c r="B865" s="5">
        <v>12.0</v>
      </c>
      <c r="C865" s="5" t="s">
        <v>7666</v>
      </c>
      <c r="D865" s="5">
        <v>621.0</v>
      </c>
      <c r="E865" s="5">
        <v>2077.0</v>
      </c>
      <c r="F865" s="18" t="s">
        <v>3306</v>
      </c>
      <c r="G865" s="5" t="s">
        <v>3307</v>
      </c>
      <c r="H865" s="5" t="s">
        <v>3308</v>
      </c>
      <c r="I865" s="5" t="s">
        <v>1664</v>
      </c>
      <c r="J865" s="5" t="s">
        <v>1715</v>
      </c>
      <c r="K865" s="5">
        <v>1.0</v>
      </c>
      <c r="L865" s="5">
        <v>2480.0</v>
      </c>
      <c r="M865" s="8"/>
      <c r="AO865" s="5" t="s">
        <v>3306</v>
      </c>
      <c r="AP865" s="5">
        <v>621.0</v>
      </c>
      <c r="AQ865" s="5" t="s">
        <v>1716</v>
      </c>
      <c r="AR865" s="5" t="s">
        <v>1717</v>
      </c>
      <c r="AS865" s="5" t="s">
        <v>1718</v>
      </c>
      <c r="AT865" s="5" t="s">
        <v>1719</v>
      </c>
      <c r="AU865" s="5" t="s">
        <v>1703</v>
      </c>
      <c r="AV865" s="5" t="s">
        <v>1720</v>
      </c>
      <c r="AW865" s="5" t="s">
        <v>1947</v>
      </c>
      <c r="AX865" s="5" t="s">
        <v>2148</v>
      </c>
      <c r="AY865" s="5">
        <v>54.2</v>
      </c>
      <c r="AZ865" s="5">
        <v>-126.0</v>
      </c>
      <c r="BA865" s="5">
        <v>9.0</v>
      </c>
    </row>
    <row r="866" ht="14.25" customHeight="1">
      <c r="A866" s="5" t="s">
        <v>422</v>
      </c>
      <c r="B866" s="5">
        <v>12.0</v>
      </c>
      <c r="C866" s="5" t="s">
        <v>7666</v>
      </c>
      <c r="D866" s="5">
        <v>622.0</v>
      </c>
      <c r="E866" s="5">
        <v>2078.0</v>
      </c>
      <c r="F866" s="18" t="s">
        <v>3309</v>
      </c>
      <c r="G866" s="29" t="s">
        <v>3310</v>
      </c>
      <c r="H866" s="5" t="s">
        <v>3311</v>
      </c>
      <c r="I866" s="5" t="s">
        <v>1664</v>
      </c>
      <c r="J866" s="5" t="s">
        <v>1746</v>
      </c>
      <c r="K866" s="5">
        <v>1.0</v>
      </c>
      <c r="L866" s="5">
        <v>2481.0</v>
      </c>
      <c r="M866" s="8"/>
      <c r="AO866" s="5" t="s">
        <v>3309</v>
      </c>
      <c r="AP866" s="5">
        <v>622.0</v>
      </c>
      <c r="AQ866" s="5" t="s">
        <v>1716</v>
      </c>
      <c r="AR866" s="5" t="s">
        <v>1717</v>
      </c>
      <c r="AS866" s="5" t="s">
        <v>1718</v>
      </c>
      <c r="AT866" s="5" t="s">
        <v>1719</v>
      </c>
      <c r="AU866" s="5" t="s">
        <v>1703</v>
      </c>
      <c r="AV866" s="5" t="s">
        <v>1720</v>
      </c>
      <c r="AW866" s="5" t="s">
        <v>1947</v>
      </c>
      <c r="AX866" s="5" t="s">
        <v>2148</v>
      </c>
      <c r="AY866" s="5">
        <v>54.3</v>
      </c>
      <c r="AZ866" s="5">
        <v>-125.5</v>
      </c>
      <c r="BA866" s="5">
        <v>9.0</v>
      </c>
    </row>
    <row r="867" ht="14.25" customHeight="1">
      <c r="B867" s="5">
        <v>12.0</v>
      </c>
      <c r="C867" s="5" t="s">
        <v>7666</v>
      </c>
      <c r="D867" s="5">
        <v>623.0</v>
      </c>
      <c r="E867" s="5">
        <v>2079.0</v>
      </c>
      <c r="F867" s="18" t="s">
        <v>3312</v>
      </c>
      <c r="G867" s="5" t="s">
        <v>3313</v>
      </c>
      <c r="H867" s="5" t="s">
        <v>3314</v>
      </c>
      <c r="I867" s="5" t="s">
        <v>1664</v>
      </c>
      <c r="J867" s="5" t="s">
        <v>1715</v>
      </c>
      <c r="K867" s="5">
        <v>1.0</v>
      </c>
      <c r="L867" s="5">
        <v>2482.0</v>
      </c>
      <c r="M867" s="8"/>
      <c r="AO867" s="5" t="s">
        <v>3312</v>
      </c>
      <c r="AP867" s="5">
        <v>623.0</v>
      </c>
      <c r="AQ867" s="5" t="s">
        <v>1716</v>
      </c>
      <c r="AR867" s="5" t="s">
        <v>1717</v>
      </c>
      <c r="AS867" s="5" t="s">
        <v>1718</v>
      </c>
      <c r="AT867" s="5" t="s">
        <v>1719</v>
      </c>
      <c r="AU867" s="5" t="s">
        <v>1703</v>
      </c>
      <c r="AV867" s="5" t="s">
        <v>1720</v>
      </c>
      <c r="AW867" s="5" t="s">
        <v>2003</v>
      </c>
      <c r="AX867" s="5" t="s">
        <v>2139</v>
      </c>
      <c r="AY867" s="5">
        <v>53.5</v>
      </c>
      <c r="AZ867" s="5">
        <v>-124.2</v>
      </c>
      <c r="BA867" s="5">
        <v>9.0</v>
      </c>
    </row>
    <row r="868" ht="14.25" customHeight="1">
      <c r="B868" s="5">
        <v>12.0</v>
      </c>
      <c r="C868" s="5" t="s">
        <v>7666</v>
      </c>
      <c r="D868" s="5">
        <v>624.0</v>
      </c>
      <c r="E868" s="5">
        <v>2080.0</v>
      </c>
      <c r="F868" s="18" t="s">
        <v>3315</v>
      </c>
      <c r="G868" s="5" t="s">
        <v>3316</v>
      </c>
      <c r="H868" s="5" t="s">
        <v>3317</v>
      </c>
      <c r="I868" s="5" t="s">
        <v>1664</v>
      </c>
      <c r="J868" s="5" t="s">
        <v>1715</v>
      </c>
      <c r="K868" s="5">
        <v>1.0</v>
      </c>
      <c r="L868" s="5">
        <v>2483.0</v>
      </c>
      <c r="M868" s="8"/>
      <c r="AO868" s="5" t="s">
        <v>3315</v>
      </c>
      <c r="AP868" s="5">
        <v>624.0</v>
      </c>
      <c r="AQ868" s="5" t="s">
        <v>1716</v>
      </c>
      <c r="AR868" s="5" t="s">
        <v>1717</v>
      </c>
      <c r="AS868" s="5" t="s">
        <v>1718</v>
      </c>
      <c r="AT868" s="5" t="s">
        <v>1719</v>
      </c>
      <c r="AU868" s="5" t="s">
        <v>1703</v>
      </c>
      <c r="AV868" s="5" t="s">
        <v>1720</v>
      </c>
      <c r="AW868" s="5" t="s">
        <v>2003</v>
      </c>
      <c r="AX868" s="5" t="s">
        <v>2139</v>
      </c>
      <c r="AY868" s="5">
        <v>54.1</v>
      </c>
      <c r="AZ868" s="5">
        <v>-124.3</v>
      </c>
      <c r="BA868" s="5">
        <v>9.0</v>
      </c>
    </row>
    <row r="869" ht="14.25" customHeight="1">
      <c r="B869" s="5">
        <v>12.0</v>
      </c>
      <c r="C869" s="5" t="s">
        <v>7666</v>
      </c>
      <c r="D869" s="5">
        <v>625.0</v>
      </c>
      <c r="E869" s="5">
        <v>2081.0</v>
      </c>
      <c r="F869" s="18" t="s">
        <v>3318</v>
      </c>
      <c r="G869" s="5" t="s">
        <v>3319</v>
      </c>
      <c r="H869" s="5" t="s">
        <v>3320</v>
      </c>
      <c r="I869" s="5" t="s">
        <v>1664</v>
      </c>
      <c r="J869" s="5" t="s">
        <v>1715</v>
      </c>
      <c r="K869" s="5">
        <v>1.0</v>
      </c>
      <c r="L869" s="5">
        <v>2484.0</v>
      </c>
      <c r="M869" s="8"/>
      <c r="AO869" s="5" t="s">
        <v>3318</v>
      </c>
      <c r="AP869" s="5">
        <v>625.0</v>
      </c>
      <c r="AQ869" s="5" t="s">
        <v>1716</v>
      </c>
      <c r="AR869" s="5" t="s">
        <v>1717</v>
      </c>
      <c r="AS869" s="5" t="s">
        <v>1718</v>
      </c>
      <c r="AT869" s="5" t="s">
        <v>1719</v>
      </c>
      <c r="AU869" s="5" t="s">
        <v>1703</v>
      </c>
      <c r="AV869" s="5" t="s">
        <v>1720</v>
      </c>
      <c r="AW869" s="5" t="s">
        <v>2003</v>
      </c>
      <c r="AX869" s="5" t="s">
        <v>2139</v>
      </c>
      <c r="AY869" s="5">
        <v>53.2</v>
      </c>
      <c r="AZ869" s="5">
        <v>-125.1</v>
      </c>
      <c r="BA869" s="5">
        <v>13.0</v>
      </c>
    </row>
    <row r="870" ht="14.25" customHeight="1">
      <c r="A870" s="5" t="s">
        <v>422</v>
      </c>
      <c r="B870" s="5">
        <v>12.0</v>
      </c>
      <c r="C870" s="5" t="s">
        <v>7666</v>
      </c>
      <c r="D870" s="5">
        <v>626.0</v>
      </c>
      <c r="E870" s="5">
        <v>2082.0</v>
      </c>
      <c r="F870" s="18" t="s">
        <v>3321</v>
      </c>
      <c r="G870" s="5" t="s">
        <v>3322</v>
      </c>
      <c r="H870" s="5" t="s">
        <v>3323</v>
      </c>
      <c r="I870" s="5" t="s">
        <v>1664</v>
      </c>
      <c r="J870" s="5" t="s">
        <v>1746</v>
      </c>
      <c r="K870" s="5">
        <v>1.0</v>
      </c>
      <c r="L870" s="5">
        <v>2485.0</v>
      </c>
      <c r="M870" s="8"/>
      <c r="AO870" s="5" t="s">
        <v>3321</v>
      </c>
      <c r="AP870" s="5">
        <v>626.0</v>
      </c>
      <c r="AQ870" s="5" t="s">
        <v>1716</v>
      </c>
      <c r="AR870" s="5" t="s">
        <v>1717</v>
      </c>
      <c r="AS870" s="5" t="s">
        <v>1718</v>
      </c>
      <c r="AT870" s="5" t="s">
        <v>1719</v>
      </c>
      <c r="AU870" s="5" t="s">
        <v>1703</v>
      </c>
      <c r="AV870" s="5" t="s">
        <v>1720</v>
      </c>
      <c r="AW870" s="5" t="s">
        <v>2003</v>
      </c>
      <c r="AX870" s="5" t="s">
        <v>2139</v>
      </c>
      <c r="AY870" s="5">
        <v>54.2</v>
      </c>
      <c r="AZ870" s="5">
        <v>-124.1</v>
      </c>
      <c r="BA870" s="5">
        <v>8.0</v>
      </c>
    </row>
    <row r="871" ht="14.25" customHeight="1">
      <c r="B871" s="5">
        <v>12.0</v>
      </c>
      <c r="C871" s="5" t="s">
        <v>7666</v>
      </c>
      <c r="D871" s="5">
        <v>627.0</v>
      </c>
      <c r="E871" s="5">
        <v>2083.0</v>
      </c>
      <c r="F871" s="18" t="s">
        <v>3324</v>
      </c>
      <c r="G871" s="5" t="s">
        <v>3325</v>
      </c>
      <c r="H871" s="5" t="s">
        <v>3326</v>
      </c>
      <c r="I871" s="5" t="s">
        <v>1664</v>
      </c>
      <c r="J871" s="5" t="s">
        <v>1715</v>
      </c>
      <c r="K871" s="5">
        <v>1.0</v>
      </c>
      <c r="L871" s="5">
        <v>2486.0</v>
      </c>
      <c r="M871" s="8"/>
      <c r="AO871" s="5" t="s">
        <v>3324</v>
      </c>
      <c r="AP871" s="5">
        <v>627.0</v>
      </c>
      <c r="AQ871" s="5" t="s">
        <v>1716</v>
      </c>
      <c r="AR871" s="5" t="s">
        <v>1717</v>
      </c>
      <c r="AS871" s="5" t="s">
        <v>1718</v>
      </c>
      <c r="AT871" s="5" t="s">
        <v>1719</v>
      </c>
      <c r="AU871" s="5" t="s">
        <v>1703</v>
      </c>
      <c r="AV871" s="5" t="s">
        <v>1720</v>
      </c>
      <c r="AW871" s="5" t="s">
        <v>2003</v>
      </c>
      <c r="AX871" s="5" t="s">
        <v>2139</v>
      </c>
      <c r="AY871" s="5">
        <v>53.6</v>
      </c>
      <c r="AZ871" s="5">
        <v>-124.1</v>
      </c>
      <c r="BA871" s="5">
        <v>12.0</v>
      </c>
    </row>
    <row r="872" ht="14.25" customHeight="1">
      <c r="B872" s="5">
        <v>12.0</v>
      </c>
      <c r="C872" s="5" t="s">
        <v>7666</v>
      </c>
      <c r="D872" s="5">
        <v>628.0</v>
      </c>
      <c r="E872" s="5">
        <v>2084.0</v>
      </c>
      <c r="F872" s="18" t="s">
        <v>3327</v>
      </c>
      <c r="G872" s="5" t="s">
        <v>3328</v>
      </c>
      <c r="H872" s="5" t="s">
        <v>3329</v>
      </c>
      <c r="I872" s="5" t="s">
        <v>1664</v>
      </c>
      <c r="J872" s="5" t="s">
        <v>1715</v>
      </c>
      <c r="K872" s="5">
        <v>1.0</v>
      </c>
      <c r="L872" s="5">
        <v>2487.0</v>
      </c>
      <c r="M872" s="8"/>
      <c r="AO872" s="5" t="s">
        <v>3327</v>
      </c>
      <c r="AP872" s="5">
        <v>628.0</v>
      </c>
      <c r="AQ872" s="5" t="s">
        <v>1716</v>
      </c>
      <c r="AR872" s="5" t="s">
        <v>1717</v>
      </c>
      <c r="AS872" s="5" t="s">
        <v>1718</v>
      </c>
      <c r="AT872" s="5" t="s">
        <v>1719</v>
      </c>
      <c r="AU872" s="5" t="s">
        <v>1703</v>
      </c>
      <c r="AV872" s="5" t="s">
        <v>1720</v>
      </c>
      <c r="AW872" s="5" t="s">
        <v>2003</v>
      </c>
      <c r="AX872" s="5" t="s">
        <v>2139</v>
      </c>
      <c r="AY872" s="5">
        <v>53.5</v>
      </c>
      <c r="AZ872" s="5">
        <v>-124.6</v>
      </c>
      <c r="BA872" s="5">
        <v>9.0</v>
      </c>
    </row>
    <row r="873" ht="14.25" customHeight="1">
      <c r="B873" s="5">
        <v>12.0</v>
      </c>
      <c r="C873" s="5" t="s">
        <v>7666</v>
      </c>
      <c r="D873" s="5">
        <v>629.0</v>
      </c>
      <c r="E873" s="5">
        <v>2085.0</v>
      </c>
      <c r="F873" s="18" t="s">
        <v>3330</v>
      </c>
      <c r="G873" s="5" t="s">
        <v>3331</v>
      </c>
      <c r="H873" s="5" t="s">
        <v>3332</v>
      </c>
      <c r="I873" s="5" t="s">
        <v>1664</v>
      </c>
      <c r="J873" s="5" t="s">
        <v>1746</v>
      </c>
      <c r="K873" s="5">
        <v>1.0</v>
      </c>
      <c r="L873" s="5">
        <v>2488.0</v>
      </c>
      <c r="M873" s="8"/>
      <c r="AO873" s="5" t="s">
        <v>3330</v>
      </c>
      <c r="AP873" s="5">
        <v>629.0</v>
      </c>
      <c r="AQ873" s="5" t="s">
        <v>1716</v>
      </c>
      <c r="AR873" s="5" t="s">
        <v>1717</v>
      </c>
      <c r="AS873" s="5" t="s">
        <v>1718</v>
      </c>
      <c r="AT873" s="5" t="s">
        <v>1719</v>
      </c>
      <c r="AU873" s="5" t="s">
        <v>1703</v>
      </c>
      <c r="AV873" s="5" t="s">
        <v>1720</v>
      </c>
      <c r="AW873" s="5" t="s">
        <v>1947</v>
      </c>
      <c r="AX873" s="5" t="s">
        <v>2148</v>
      </c>
      <c r="AY873" s="5">
        <v>53.4</v>
      </c>
      <c r="AZ873" s="5">
        <v>-125.3</v>
      </c>
      <c r="BA873" s="5">
        <v>0.0</v>
      </c>
    </row>
    <row r="874" ht="14.25" customHeight="1">
      <c r="A874" s="5" t="s">
        <v>422</v>
      </c>
      <c r="B874" s="5">
        <v>12.0</v>
      </c>
      <c r="C874" s="5" t="s">
        <v>7666</v>
      </c>
      <c r="D874" s="5">
        <v>631.0</v>
      </c>
      <c r="E874" s="5">
        <v>2086.0</v>
      </c>
      <c r="F874" s="18" t="s">
        <v>3333</v>
      </c>
      <c r="G874" s="5" t="s">
        <v>3334</v>
      </c>
      <c r="H874" s="5" t="s">
        <v>3335</v>
      </c>
      <c r="I874" s="5" t="s">
        <v>1664</v>
      </c>
      <c r="J874" s="5" t="s">
        <v>1746</v>
      </c>
      <c r="K874" s="5">
        <v>1.0</v>
      </c>
      <c r="L874" s="5">
        <v>2489.0</v>
      </c>
      <c r="M874" s="8"/>
      <c r="AO874" s="5" t="s">
        <v>3333</v>
      </c>
      <c r="AP874" s="5">
        <v>631.0</v>
      </c>
      <c r="AQ874" s="5" t="s">
        <v>1716</v>
      </c>
      <c r="AR874" s="5" t="s">
        <v>1717</v>
      </c>
      <c r="AS874" s="5" t="s">
        <v>1718</v>
      </c>
      <c r="AT874" s="5" t="s">
        <v>1719</v>
      </c>
      <c r="AU874" s="5" t="s">
        <v>1703</v>
      </c>
      <c r="AV874" s="5" t="s">
        <v>1720</v>
      </c>
      <c r="AW874" s="5" t="s">
        <v>2003</v>
      </c>
      <c r="AX874" s="5" t="s">
        <v>2139</v>
      </c>
      <c r="AY874" s="5">
        <v>53.1</v>
      </c>
      <c r="AZ874" s="5">
        <v>-125.1</v>
      </c>
      <c r="BA874" s="5">
        <v>14.0</v>
      </c>
    </row>
    <row r="875" ht="14.25" customHeight="1">
      <c r="A875" s="5" t="s">
        <v>422</v>
      </c>
      <c r="B875" s="5">
        <v>12.0</v>
      </c>
      <c r="C875" s="5" t="s">
        <v>7666</v>
      </c>
      <c r="D875" s="5">
        <v>632.0</v>
      </c>
      <c r="E875" s="5">
        <v>2087.0</v>
      </c>
      <c r="F875" s="18" t="s">
        <v>3336</v>
      </c>
      <c r="G875" s="5" t="s">
        <v>3337</v>
      </c>
      <c r="H875" s="5" t="s">
        <v>3338</v>
      </c>
      <c r="I875" s="5" t="s">
        <v>1664</v>
      </c>
      <c r="J875" s="5" t="s">
        <v>1746</v>
      </c>
      <c r="K875" s="5">
        <v>1.0</v>
      </c>
      <c r="L875" s="5">
        <v>2490.0</v>
      </c>
      <c r="M875" s="8"/>
      <c r="AO875" s="5" t="s">
        <v>3336</v>
      </c>
      <c r="AP875" s="5">
        <v>632.0</v>
      </c>
      <c r="AQ875" s="5" t="s">
        <v>1716</v>
      </c>
      <c r="AR875" s="5" t="s">
        <v>1717</v>
      </c>
      <c r="AS875" s="5" t="s">
        <v>1718</v>
      </c>
      <c r="AT875" s="5" t="s">
        <v>1719</v>
      </c>
      <c r="AU875" s="5" t="s">
        <v>1703</v>
      </c>
      <c r="AV875" s="5" t="s">
        <v>1720</v>
      </c>
      <c r="AW875" s="5" t="s">
        <v>2003</v>
      </c>
      <c r="AX875" s="5" t="s">
        <v>2139</v>
      </c>
      <c r="AY875" s="5">
        <v>53.3</v>
      </c>
      <c r="AZ875" s="5">
        <v>-125.1</v>
      </c>
      <c r="BA875" s="5">
        <v>10.0</v>
      </c>
    </row>
    <row r="876" ht="14.25" customHeight="1">
      <c r="B876" s="5">
        <v>12.0</v>
      </c>
      <c r="C876" s="5" t="s">
        <v>7666</v>
      </c>
      <c r="D876" s="5">
        <v>633.0</v>
      </c>
      <c r="E876" s="5">
        <v>2088.0</v>
      </c>
      <c r="F876" s="18" t="s">
        <v>3339</v>
      </c>
      <c r="G876" s="5" t="s">
        <v>3340</v>
      </c>
      <c r="H876" s="5" t="s">
        <v>3341</v>
      </c>
      <c r="I876" s="5" t="s">
        <v>1664</v>
      </c>
      <c r="J876" s="5" t="s">
        <v>1746</v>
      </c>
      <c r="K876" s="5">
        <v>1.0</v>
      </c>
      <c r="L876" s="5">
        <v>2491.0</v>
      </c>
      <c r="M876" s="8"/>
      <c r="AO876" s="5" t="s">
        <v>3339</v>
      </c>
      <c r="AP876" s="5">
        <v>633.0</v>
      </c>
      <c r="AQ876" s="5" t="s">
        <v>1716</v>
      </c>
      <c r="AR876" s="5" t="s">
        <v>1717</v>
      </c>
      <c r="AS876" s="5" t="s">
        <v>1718</v>
      </c>
      <c r="AT876" s="5" t="s">
        <v>1719</v>
      </c>
      <c r="AU876" s="5" t="s">
        <v>1703</v>
      </c>
      <c r="AV876" s="5" t="s">
        <v>1720</v>
      </c>
      <c r="AW876" s="5" t="s">
        <v>2003</v>
      </c>
      <c r="AX876" s="5" t="s">
        <v>2139</v>
      </c>
      <c r="AY876" s="5">
        <v>53.7</v>
      </c>
      <c r="AZ876" s="5">
        <v>-124.0</v>
      </c>
      <c r="BA876" s="5">
        <v>12.0</v>
      </c>
    </row>
    <row r="877" ht="14.25" customHeight="1">
      <c r="B877" s="5">
        <v>12.0</v>
      </c>
      <c r="C877" s="5" t="s">
        <v>7666</v>
      </c>
      <c r="D877" s="5">
        <v>634.0</v>
      </c>
      <c r="E877" s="5">
        <v>2089.0</v>
      </c>
      <c r="F877" s="18" t="s">
        <v>3342</v>
      </c>
      <c r="G877" s="5" t="s">
        <v>3343</v>
      </c>
      <c r="H877" s="5" t="s">
        <v>3344</v>
      </c>
      <c r="I877" s="5" t="s">
        <v>1664</v>
      </c>
      <c r="J877" s="5" t="s">
        <v>1715</v>
      </c>
      <c r="K877" s="5">
        <v>1.0</v>
      </c>
      <c r="L877" s="5">
        <v>2492.0</v>
      </c>
      <c r="M877" s="8"/>
      <c r="AO877" s="5" t="s">
        <v>3342</v>
      </c>
      <c r="AP877" s="5">
        <v>634.0</v>
      </c>
      <c r="AQ877" s="5" t="s">
        <v>1716</v>
      </c>
      <c r="AR877" s="5" t="s">
        <v>1717</v>
      </c>
      <c r="AS877" s="5" t="s">
        <v>1718</v>
      </c>
      <c r="AT877" s="5" t="s">
        <v>1719</v>
      </c>
      <c r="AU877" s="5" t="s">
        <v>1703</v>
      </c>
      <c r="AV877" s="5" t="s">
        <v>1720</v>
      </c>
      <c r="AW877" s="5" t="s">
        <v>1947</v>
      </c>
      <c r="AX877" s="5" t="s">
        <v>2153</v>
      </c>
      <c r="AY877" s="5">
        <v>54.6</v>
      </c>
      <c r="AZ877" s="5">
        <v>-126.2</v>
      </c>
      <c r="BA877" s="5">
        <v>12.0</v>
      </c>
    </row>
    <row r="878" ht="14.25" customHeight="1">
      <c r="B878" s="5">
        <v>12.0</v>
      </c>
      <c r="C878" s="5" t="s">
        <v>7666</v>
      </c>
      <c r="D878" s="5">
        <v>635.0</v>
      </c>
      <c r="E878" s="5">
        <v>2090.0</v>
      </c>
      <c r="F878" s="18" t="s">
        <v>3345</v>
      </c>
      <c r="G878" s="5" t="s">
        <v>3346</v>
      </c>
      <c r="H878" s="5" t="s">
        <v>3347</v>
      </c>
      <c r="I878" s="5" t="s">
        <v>1664</v>
      </c>
      <c r="J878" s="5" t="s">
        <v>1746</v>
      </c>
      <c r="K878" s="5">
        <v>1.0</v>
      </c>
      <c r="L878" s="5">
        <v>2493.0</v>
      </c>
      <c r="M878" s="8"/>
      <c r="AO878" s="5" t="s">
        <v>3345</v>
      </c>
      <c r="AP878" s="5">
        <v>635.0</v>
      </c>
      <c r="AQ878" s="5" t="s">
        <v>1716</v>
      </c>
      <c r="AR878" s="5" t="s">
        <v>1717</v>
      </c>
      <c r="AS878" s="5" t="s">
        <v>1718</v>
      </c>
      <c r="AT878" s="5" t="s">
        <v>1719</v>
      </c>
      <c r="AU878" s="5" t="s">
        <v>1703</v>
      </c>
      <c r="AV878" s="5" t="s">
        <v>1720</v>
      </c>
      <c r="AW878" s="5" t="s">
        <v>1947</v>
      </c>
      <c r="AX878" s="5" t="s">
        <v>2133</v>
      </c>
      <c r="AY878" s="5">
        <v>54.9</v>
      </c>
      <c r="AZ878" s="5">
        <v>-126.7</v>
      </c>
      <c r="BA878" s="5">
        <v>9.0</v>
      </c>
    </row>
    <row r="879" ht="14.25" customHeight="1">
      <c r="B879" s="5">
        <v>12.0</v>
      </c>
      <c r="C879" s="5" t="s">
        <v>7666</v>
      </c>
      <c r="D879" s="5">
        <v>636.0</v>
      </c>
      <c r="E879" s="5">
        <v>2091.0</v>
      </c>
      <c r="F879" s="18" t="s">
        <v>3348</v>
      </c>
      <c r="G879" s="5" t="s">
        <v>3349</v>
      </c>
      <c r="H879" s="5" t="s">
        <v>3350</v>
      </c>
      <c r="I879" s="5" t="s">
        <v>1664</v>
      </c>
      <c r="J879" s="5" t="s">
        <v>1746</v>
      </c>
      <c r="K879" s="5">
        <v>1.0</v>
      </c>
      <c r="L879" s="5">
        <v>2494.0</v>
      </c>
      <c r="M879" s="8"/>
      <c r="AO879" s="5" t="s">
        <v>3348</v>
      </c>
      <c r="AP879" s="5">
        <v>636.0</v>
      </c>
      <c r="AQ879" s="5" t="s">
        <v>1716</v>
      </c>
      <c r="AR879" s="5" t="s">
        <v>1717</v>
      </c>
      <c r="AS879" s="5" t="s">
        <v>1718</v>
      </c>
      <c r="AT879" s="5" t="s">
        <v>1719</v>
      </c>
      <c r="AU879" s="5" t="s">
        <v>1703</v>
      </c>
      <c r="AV879" s="5" t="s">
        <v>1720</v>
      </c>
      <c r="AW879" s="5" t="s">
        <v>1947</v>
      </c>
      <c r="AX879" s="5" t="s">
        <v>2153</v>
      </c>
      <c r="AY879" s="5">
        <v>55.2</v>
      </c>
      <c r="AZ879" s="5">
        <v>-126.2</v>
      </c>
      <c r="BA879" s="5">
        <v>9.0</v>
      </c>
    </row>
    <row r="880" ht="14.25" customHeight="1">
      <c r="B880" s="5">
        <v>12.0</v>
      </c>
      <c r="C880" s="5" t="s">
        <v>7666</v>
      </c>
      <c r="D880" s="5">
        <v>637.0</v>
      </c>
      <c r="E880" s="5">
        <v>2092.0</v>
      </c>
      <c r="F880" s="18" t="s">
        <v>3351</v>
      </c>
      <c r="G880" s="5" t="s">
        <v>3352</v>
      </c>
      <c r="H880" s="5" t="s">
        <v>3353</v>
      </c>
      <c r="I880" s="5" t="s">
        <v>1664</v>
      </c>
      <c r="J880" s="5" t="s">
        <v>1746</v>
      </c>
      <c r="K880" s="5">
        <v>1.0</v>
      </c>
      <c r="L880" s="5">
        <v>2495.0</v>
      </c>
      <c r="M880" s="8"/>
      <c r="AO880" s="5" t="s">
        <v>3351</v>
      </c>
      <c r="AP880" s="5">
        <v>637.0</v>
      </c>
      <c r="AQ880" s="5" t="s">
        <v>1716</v>
      </c>
      <c r="AR880" s="5" t="s">
        <v>1717</v>
      </c>
      <c r="AS880" s="5" t="s">
        <v>1718</v>
      </c>
      <c r="AT880" s="5" t="s">
        <v>1719</v>
      </c>
      <c r="AU880" s="5" t="s">
        <v>1703</v>
      </c>
      <c r="AV880" s="5" t="s">
        <v>1720</v>
      </c>
      <c r="AW880" s="5" t="s">
        <v>1947</v>
      </c>
      <c r="AX880" s="5" t="s">
        <v>2153</v>
      </c>
      <c r="AY880" s="5">
        <v>54.9</v>
      </c>
      <c r="AZ880" s="5">
        <v>-125.9</v>
      </c>
      <c r="BA880" s="5">
        <v>10.0</v>
      </c>
    </row>
    <row r="881" ht="14.25" customHeight="1">
      <c r="B881" s="5">
        <v>12.0</v>
      </c>
      <c r="C881" s="5" t="s">
        <v>7666</v>
      </c>
      <c r="D881" s="5">
        <v>638.0</v>
      </c>
      <c r="E881" s="5">
        <v>2093.0</v>
      </c>
      <c r="F881" s="18" t="s">
        <v>3354</v>
      </c>
      <c r="G881" s="5" t="s">
        <v>3355</v>
      </c>
      <c r="H881" s="5" t="s">
        <v>3356</v>
      </c>
      <c r="I881" s="5" t="s">
        <v>1664</v>
      </c>
      <c r="J881" s="5" t="s">
        <v>1746</v>
      </c>
      <c r="K881" s="5">
        <v>1.0</v>
      </c>
      <c r="L881" s="5">
        <v>2496.0</v>
      </c>
      <c r="M881" s="8"/>
      <c r="AO881" s="5" t="s">
        <v>3354</v>
      </c>
      <c r="AP881" s="5">
        <v>638.0</v>
      </c>
      <c r="AQ881" s="5" t="s">
        <v>1716</v>
      </c>
      <c r="AR881" s="5" t="s">
        <v>1717</v>
      </c>
      <c r="AS881" s="5" t="s">
        <v>1718</v>
      </c>
      <c r="AT881" s="5" t="s">
        <v>1719</v>
      </c>
      <c r="AU881" s="5" t="s">
        <v>1703</v>
      </c>
      <c r="AV881" s="5" t="s">
        <v>1720</v>
      </c>
      <c r="AW881" s="5" t="s">
        <v>1947</v>
      </c>
      <c r="AX881" s="5" t="s">
        <v>2153</v>
      </c>
      <c r="AY881" s="5">
        <v>54.2</v>
      </c>
      <c r="AZ881" s="5">
        <v>-126.4</v>
      </c>
      <c r="BA881" s="5">
        <v>14.0</v>
      </c>
    </row>
    <row r="882" ht="14.25" customHeight="1">
      <c r="B882" s="5">
        <v>12.0</v>
      </c>
      <c r="C882" s="5" t="s">
        <v>7666</v>
      </c>
      <c r="D882" s="5">
        <v>639.0</v>
      </c>
      <c r="E882" s="5">
        <v>2094.0</v>
      </c>
      <c r="F882" s="18" t="s">
        <v>3357</v>
      </c>
      <c r="G882" s="5" t="s">
        <v>3358</v>
      </c>
      <c r="H882" s="5" t="s">
        <v>3356</v>
      </c>
      <c r="I882" s="5" t="s">
        <v>1664</v>
      </c>
      <c r="J882" s="5" t="s">
        <v>1746</v>
      </c>
      <c r="K882" s="5">
        <v>1.0</v>
      </c>
      <c r="L882" s="5">
        <v>2497.0</v>
      </c>
      <c r="M882" s="8"/>
      <c r="AO882" s="5" t="s">
        <v>3357</v>
      </c>
      <c r="AP882" s="5">
        <v>639.0</v>
      </c>
      <c r="AQ882" s="5" t="s">
        <v>1716</v>
      </c>
      <c r="AR882" s="5" t="s">
        <v>1717</v>
      </c>
      <c r="AS882" s="5" t="s">
        <v>1740</v>
      </c>
      <c r="AT882" s="5" t="s">
        <v>1719</v>
      </c>
      <c r="AU882" s="5" t="s">
        <v>1772</v>
      </c>
      <c r="AV882" s="5" t="s">
        <v>1720</v>
      </c>
      <c r="AW882" s="5" t="s">
        <v>1947</v>
      </c>
      <c r="AX882" s="5" t="s">
        <v>2153</v>
      </c>
      <c r="AY882" s="5">
        <v>54.1</v>
      </c>
      <c r="AZ882" s="5">
        <v>-126.6</v>
      </c>
      <c r="BA882" s="5">
        <v>9.0</v>
      </c>
    </row>
    <row r="883" ht="14.25" customHeight="1">
      <c r="B883" s="5">
        <v>12.0</v>
      </c>
      <c r="C883" s="5" t="s">
        <v>7666</v>
      </c>
      <c r="D883" s="5">
        <v>640.0</v>
      </c>
      <c r="E883" s="5">
        <v>2095.0</v>
      </c>
      <c r="F883" s="18" t="s">
        <v>3359</v>
      </c>
      <c r="G883" s="5" t="s">
        <v>3360</v>
      </c>
      <c r="H883" s="5" t="s">
        <v>3356</v>
      </c>
      <c r="I883" s="5" t="s">
        <v>1664</v>
      </c>
      <c r="J883" s="5" t="s">
        <v>1746</v>
      </c>
      <c r="K883" s="5">
        <v>1.0</v>
      </c>
      <c r="L883" s="5">
        <v>2498.0</v>
      </c>
      <c r="M883" s="8"/>
      <c r="AO883" s="5" t="s">
        <v>3359</v>
      </c>
      <c r="AP883" s="5">
        <v>640.0</v>
      </c>
      <c r="AQ883" s="5" t="s">
        <v>1716</v>
      </c>
      <c r="AR883" s="5" t="s">
        <v>1717</v>
      </c>
      <c r="AS883" s="5" t="s">
        <v>1718</v>
      </c>
      <c r="AT883" s="5" t="s">
        <v>1719</v>
      </c>
      <c r="AU883" s="5" t="s">
        <v>1703</v>
      </c>
      <c r="AV883" s="5" t="s">
        <v>1720</v>
      </c>
      <c r="AW883" s="5" t="s">
        <v>1947</v>
      </c>
      <c r="AX883" s="5" t="s">
        <v>2153</v>
      </c>
      <c r="AY883" s="5">
        <v>54.4</v>
      </c>
      <c r="AZ883" s="5">
        <v>-126.9</v>
      </c>
      <c r="BA883" s="5">
        <v>10.0</v>
      </c>
    </row>
    <row r="884" ht="14.25" customHeight="1">
      <c r="B884" s="5">
        <v>12.0</v>
      </c>
      <c r="C884" s="5" t="s">
        <v>7666</v>
      </c>
      <c r="D884" s="5">
        <v>641.0</v>
      </c>
      <c r="E884" s="5">
        <v>2096.0</v>
      </c>
      <c r="F884" s="18" t="s">
        <v>3361</v>
      </c>
      <c r="G884" s="5" t="s">
        <v>3362</v>
      </c>
      <c r="H884" s="5" t="s">
        <v>3363</v>
      </c>
      <c r="I884" s="5" t="s">
        <v>1664</v>
      </c>
      <c r="J884" s="5" t="s">
        <v>1746</v>
      </c>
      <c r="K884" s="5">
        <v>1.0</v>
      </c>
      <c r="L884" s="5">
        <v>2499.0</v>
      </c>
      <c r="M884" s="8"/>
      <c r="AO884" s="5" t="s">
        <v>3361</v>
      </c>
      <c r="AP884" s="5">
        <v>641.0</v>
      </c>
      <c r="AQ884" s="5" t="s">
        <v>1716</v>
      </c>
      <c r="AR884" s="5" t="s">
        <v>1717</v>
      </c>
      <c r="AS884" s="5" t="s">
        <v>1718</v>
      </c>
      <c r="AT884" s="5" t="s">
        <v>1719</v>
      </c>
      <c r="AU884" s="5" t="s">
        <v>1703</v>
      </c>
      <c r="AV884" s="5" t="s">
        <v>1720</v>
      </c>
      <c r="AW884" s="5" t="s">
        <v>1947</v>
      </c>
      <c r="AX884" s="5" t="s">
        <v>2153</v>
      </c>
      <c r="AY884" s="5">
        <v>54.1</v>
      </c>
      <c r="AZ884" s="5">
        <v>-126.9</v>
      </c>
      <c r="BA884" s="5">
        <v>9.0</v>
      </c>
    </row>
    <row r="885" ht="14.25" customHeight="1">
      <c r="B885" s="5">
        <v>12.0</v>
      </c>
      <c r="C885" s="5" t="s">
        <v>7666</v>
      </c>
      <c r="D885" s="27">
        <v>642.0</v>
      </c>
      <c r="E885" s="5">
        <v>2097.0</v>
      </c>
      <c r="F885" s="18" t="s">
        <v>3364</v>
      </c>
      <c r="G885" s="5" t="s">
        <v>3365</v>
      </c>
      <c r="H885" s="5" t="s">
        <v>3366</v>
      </c>
      <c r="I885" s="5" t="s">
        <v>1664</v>
      </c>
      <c r="J885" s="5" t="s">
        <v>1746</v>
      </c>
      <c r="K885" s="5">
        <v>1.0</v>
      </c>
      <c r="L885" s="5">
        <v>2500.0</v>
      </c>
      <c r="M885" s="8"/>
      <c r="AO885" s="5" t="s">
        <v>3364</v>
      </c>
      <c r="AP885" s="5">
        <v>642.0</v>
      </c>
      <c r="AQ885" s="5" t="s">
        <v>1716</v>
      </c>
      <c r="AR885" s="5" t="s">
        <v>1717</v>
      </c>
      <c r="AS885" s="5" t="s">
        <v>1718</v>
      </c>
      <c r="AT885" s="5" t="s">
        <v>1719</v>
      </c>
      <c r="AU885" s="5" t="s">
        <v>1703</v>
      </c>
      <c r="AV885" s="5" t="s">
        <v>1720</v>
      </c>
      <c r="AW885" s="5" t="s">
        <v>1947</v>
      </c>
      <c r="AX885" s="5" t="s">
        <v>2153</v>
      </c>
      <c r="AY885" s="5">
        <v>54.3</v>
      </c>
      <c r="AZ885" s="5">
        <v>-127.4</v>
      </c>
      <c r="BA885" s="5">
        <v>10.0</v>
      </c>
    </row>
    <row r="886" ht="14.25" customHeight="1">
      <c r="B886" s="5">
        <v>12.0</v>
      </c>
      <c r="C886" s="5" t="s">
        <v>7666</v>
      </c>
      <c r="D886" s="5">
        <v>643.0</v>
      </c>
      <c r="E886" s="5">
        <v>2098.0</v>
      </c>
      <c r="F886" s="18" t="s">
        <v>3367</v>
      </c>
      <c r="G886" s="5" t="s">
        <v>3368</v>
      </c>
      <c r="H886" s="5" t="s">
        <v>3369</v>
      </c>
      <c r="I886" s="5" t="s">
        <v>1664</v>
      </c>
      <c r="J886" s="5" t="s">
        <v>1746</v>
      </c>
      <c r="K886" s="5">
        <v>1.0</v>
      </c>
      <c r="L886" s="5">
        <v>2501.0</v>
      </c>
      <c r="M886" s="8"/>
      <c r="AO886" s="5" t="s">
        <v>3367</v>
      </c>
      <c r="AP886" s="5">
        <v>643.0</v>
      </c>
      <c r="AQ886" s="5" t="s">
        <v>1716</v>
      </c>
      <c r="AR886" s="5" t="s">
        <v>1717</v>
      </c>
      <c r="AS886" s="5" t="s">
        <v>1718</v>
      </c>
      <c r="AT886" s="5" t="s">
        <v>1719</v>
      </c>
      <c r="AU886" s="5" t="s">
        <v>1703</v>
      </c>
      <c r="AV886" s="5" t="s">
        <v>1720</v>
      </c>
      <c r="AW886" s="5" t="s">
        <v>1947</v>
      </c>
      <c r="AX886" s="5" t="s">
        <v>2153</v>
      </c>
      <c r="AY886" s="5">
        <v>54.2</v>
      </c>
      <c r="AZ886" s="5">
        <v>-127.3</v>
      </c>
      <c r="BA886" s="5">
        <v>9.0</v>
      </c>
    </row>
    <row r="887" ht="14.25" customHeight="1">
      <c r="B887" s="5">
        <v>12.0</v>
      </c>
      <c r="C887" s="5" t="s">
        <v>7666</v>
      </c>
      <c r="D887" s="5">
        <v>644.0</v>
      </c>
      <c r="E887" s="5">
        <v>2099.0</v>
      </c>
      <c r="F887" s="18" t="s">
        <v>3370</v>
      </c>
      <c r="G887" s="5" t="s">
        <v>3371</v>
      </c>
      <c r="H887" s="5" t="s">
        <v>3356</v>
      </c>
      <c r="I887" s="5" t="s">
        <v>1664</v>
      </c>
      <c r="J887" s="5" t="s">
        <v>1746</v>
      </c>
      <c r="K887" s="5">
        <v>1.0</v>
      </c>
      <c r="L887" s="5">
        <v>2502.0</v>
      </c>
      <c r="M887" s="8"/>
      <c r="AO887" s="5" t="s">
        <v>3370</v>
      </c>
      <c r="AP887" s="5">
        <v>644.0</v>
      </c>
      <c r="AQ887" s="5" t="s">
        <v>1716</v>
      </c>
      <c r="AR887" s="5" t="s">
        <v>1717</v>
      </c>
      <c r="AS887" s="5" t="s">
        <v>1718</v>
      </c>
      <c r="AT887" s="5" t="s">
        <v>1719</v>
      </c>
      <c r="AU887" s="5" t="s">
        <v>1703</v>
      </c>
      <c r="AV887" s="5" t="s">
        <v>1720</v>
      </c>
      <c r="AW887" s="5" t="s">
        <v>1947</v>
      </c>
      <c r="AX887" s="5" t="s">
        <v>2153</v>
      </c>
      <c r="AY887" s="5">
        <v>54.3</v>
      </c>
      <c r="AZ887" s="5">
        <v>-127.4</v>
      </c>
      <c r="BA887" s="5">
        <v>9.0</v>
      </c>
    </row>
    <row r="888" ht="14.25" customHeight="1">
      <c r="B888" s="5">
        <v>12.0</v>
      </c>
      <c r="C888" s="5" t="s">
        <v>7666</v>
      </c>
      <c r="D888" s="5">
        <v>645.0</v>
      </c>
      <c r="E888" s="5">
        <v>2100.0</v>
      </c>
      <c r="F888" s="18" t="s">
        <v>3372</v>
      </c>
      <c r="G888" s="5" t="s">
        <v>3373</v>
      </c>
      <c r="H888" s="5" t="s">
        <v>3374</v>
      </c>
      <c r="I888" s="5" t="s">
        <v>1664</v>
      </c>
      <c r="J888" s="5" t="s">
        <v>1746</v>
      </c>
      <c r="K888" s="5">
        <v>1.0</v>
      </c>
      <c r="L888" s="5">
        <v>2503.0</v>
      </c>
      <c r="M888" s="8"/>
      <c r="AO888" s="5" t="s">
        <v>3372</v>
      </c>
      <c r="AP888" s="5">
        <v>645.0</v>
      </c>
      <c r="AQ888" s="5" t="s">
        <v>1716</v>
      </c>
      <c r="AR888" s="5" t="s">
        <v>1717</v>
      </c>
      <c r="AS888" s="5" t="s">
        <v>1718</v>
      </c>
      <c r="AT888" s="5" t="s">
        <v>1719</v>
      </c>
      <c r="AU888" s="5" t="s">
        <v>1703</v>
      </c>
      <c r="AV888" s="5" t="s">
        <v>1720</v>
      </c>
      <c r="AW888" s="5" t="s">
        <v>1947</v>
      </c>
      <c r="AX888" s="5" t="s">
        <v>2153</v>
      </c>
      <c r="AY888" s="5">
        <v>53.6</v>
      </c>
      <c r="AZ888" s="5">
        <v>-127.0</v>
      </c>
      <c r="BA888" s="5">
        <v>10.0</v>
      </c>
    </row>
    <row r="889" ht="14.25" customHeight="1">
      <c r="B889" s="5">
        <v>12.0</v>
      </c>
      <c r="C889" s="5" t="s">
        <v>7666</v>
      </c>
      <c r="D889" s="5">
        <v>646.0</v>
      </c>
      <c r="E889" s="5">
        <v>2101.0</v>
      </c>
      <c r="F889" s="18" t="s">
        <v>3375</v>
      </c>
      <c r="G889" s="29" t="s">
        <v>3376</v>
      </c>
      <c r="H889" s="5" t="s">
        <v>3377</v>
      </c>
      <c r="I889" s="5" t="s">
        <v>1664</v>
      </c>
      <c r="J889" s="5" t="s">
        <v>1715</v>
      </c>
      <c r="K889" s="5">
        <v>1.0</v>
      </c>
      <c r="L889" s="5">
        <v>2504.0</v>
      </c>
      <c r="M889" s="8"/>
      <c r="AO889" s="5" t="s">
        <v>3375</v>
      </c>
      <c r="AP889" s="5">
        <v>646.0</v>
      </c>
      <c r="AQ889" s="5" t="s">
        <v>1716</v>
      </c>
      <c r="AR889" s="5" t="s">
        <v>1717</v>
      </c>
      <c r="AS889" s="5" t="s">
        <v>1718</v>
      </c>
      <c r="AT889" s="5" t="s">
        <v>1719</v>
      </c>
      <c r="AU889" s="5" t="s">
        <v>1703</v>
      </c>
      <c r="AV889" s="5" t="s">
        <v>1720</v>
      </c>
      <c r="AW889" s="5" t="s">
        <v>2003</v>
      </c>
      <c r="AX889" s="5" t="s">
        <v>2139</v>
      </c>
      <c r="AY889" s="5">
        <v>53.5</v>
      </c>
      <c r="AZ889" s="5">
        <v>-124.9</v>
      </c>
      <c r="BA889" s="5">
        <v>10.0</v>
      </c>
    </row>
    <row r="890" ht="14.25" customHeight="1">
      <c r="B890" s="5">
        <v>12.0</v>
      </c>
      <c r="C890" s="5" t="s">
        <v>7666</v>
      </c>
      <c r="D890" s="5">
        <v>649.0</v>
      </c>
      <c r="E890" s="5">
        <v>2102.0</v>
      </c>
      <c r="F890" s="18" t="s">
        <v>3378</v>
      </c>
      <c r="G890" s="5" t="s">
        <v>3379</v>
      </c>
      <c r="H890" s="5" t="s">
        <v>3380</v>
      </c>
      <c r="I890" s="5" t="s">
        <v>1664</v>
      </c>
      <c r="J890" s="5" t="s">
        <v>1746</v>
      </c>
      <c r="K890" s="5">
        <v>1.0</v>
      </c>
      <c r="L890" s="5">
        <v>2505.0</v>
      </c>
      <c r="M890" s="8"/>
      <c r="AO890" s="5" t="s">
        <v>3378</v>
      </c>
      <c r="AP890" s="5">
        <v>649.0</v>
      </c>
      <c r="AQ890" s="5" t="s">
        <v>1716</v>
      </c>
      <c r="AR890" s="5" t="s">
        <v>1717</v>
      </c>
      <c r="AS890" s="5" t="s">
        <v>1718</v>
      </c>
      <c r="AT890" s="5" t="s">
        <v>1719</v>
      </c>
      <c r="AU890" s="5" t="s">
        <v>1703</v>
      </c>
      <c r="AV890" s="5" t="s">
        <v>1720</v>
      </c>
      <c r="AW890" s="5" t="s">
        <v>1947</v>
      </c>
      <c r="AX890" s="5" t="s">
        <v>2153</v>
      </c>
      <c r="AY890" s="5">
        <v>53.8</v>
      </c>
      <c r="AZ890" s="5">
        <v>-126.9</v>
      </c>
      <c r="BA890" s="5">
        <v>10.0</v>
      </c>
    </row>
    <row r="891" ht="14.25" customHeight="1">
      <c r="B891" s="5">
        <v>12.0</v>
      </c>
      <c r="C891" s="5" t="s">
        <v>7666</v>
      </c>
      <c r="D891" s="5">
        <v>650.0</v>
      </c>
      <c r="E891" s="5">
        <v>2103.0</v>
      </c>
      <c r="F891" s="18" t="s">
        <v>3381</v>
      </c>
      <c r="G891" s="5" t="s">
        <v>3382</v>
      </c>
      <c r="H891" s="5" t="s">
        <v>3383</v>
      </c>
      <c r="I891" s="5" t="s">
        <v>1664</v>
      </c>
      <c r="J891" s="5" t="s">
        <v>1746</v>
      </c>
      <c r="K891" s="5">
        <v>1.0</v>
      </c>
      <c r="L891" s="5">
        <v>2506.0</v>
      </c>
      <c r="M891" s="8"/>
      <c r="AO891" s="5" t="s">
        <v>3381</v>
      </c>
      <c r="AP891" s="5">
        <v>650.0</v>
      </c>
      <c r="AQ891" s="5" t="s">
        <v>1716</v>
      </c>
      <c r="AR891" s="5" t="s">
        <v>1717</v>
      </c>
      <c r="AS891" s="5" t="s">
        <v>1718</v>
      </c>
      <c r="AT891" s="5" t="s">
        <v>1719</v>
      </c>
      <c r="AU891" s="5" t="s">
        <v>1703</v>
      </c>
      <c r="AV891" s="5" t="s">
        <v>1720</v>
      </c>
      <c r="AW891" s="5" t="s">
        <v>1947</v>
      </c>
      <c r="AX891" s="5" t="s">
        <v>2148</v>
      </c>
      <c r="AY891" s="5">
        <v>54.4</v>
      </c>
      <c r="AZ891" s="5">
        <v>-126.3</v>
      </c>
      <c r="BA891" s="5">
        <v>10.0</v>
      </c>
    </row>
    <row r="892" ht="14.25" customHeight="1">
      <c r="A892" s="5" t="s">
        <v>422</v>
      </c>
      <c r="B892" s="5">
        <v>12.0</v>
      </c>
      <c r="C892" s="5" t="s">
        <v>7666</v>
      </c>
      <c r="D892" s="5">
        <v>651.0</v>
      </c>
      <c r="E892" s="5">
        <v>2104.0</v>
      </c>
      <c r="F892" s="18" t="s">
        <v>3384</v>
      </c>
      <c r="G892" s="5" t="s">
        <v>3385</v>
      </c>
      <c r="H892" s="5" t="s">
        <v>3386</v>
      </c>
      <c r="I892" s="5" t="s">
        <v>1664</v>
      </c>
      <c r="J892" s="5" t="s">
        <v>1746</v>
      </c>
      <c r="K892" s="5">
        <v>1.0</v>
      </c>
      <c r="L892" s="5">
        <v>2507.0</v>
      </c>
      <c r="M892" s="8"/>
      <c r="AO892" s="5" t="s">
        <v>3384</v>
      </c>
      <c r="AP892" s="5">
        <v>651.0</v>
      </c>
      <c r="AQ892" s="5" t="s">
        <v>1716</v>
      </c>
      <c r="AR892" s="5" t="s">
        <v>1717</v>
      </c>
      <c r="AS892" s="5" t="s">
        <v>1718</v>
      </c>
      <c r="AT892" s="5" t="s">
        <v>1719</v>
      </c>
      <c r="AU892" s="5" t="s">
        <v>1703</v>
      </c>
      <c r="AV892" s="5" t="s">
        <v>1720</v>
      </c>
      <c r="AW892" s="5" t="s">
        <v>1947</v>
      </c>
      <c r="AX892" s="5" t="s">
        <v>2133</v>
      </c>
      <c r="AY892" s="5">
        <v>55.8</v>
      </c>
      <c r="AZ892" s="5">
        <v>-127.1</v>
      </c>
      <c r="BA892" s="5">
        <v>9.0</v>
      </c>
    </row>
    <row r="893" ht="14.25" customHeight="1">
      <c r="A893" s="5" t="s">
        <v>422</v>
      </c>
      <c r="B893" s="5">
        <v>12.0</v>
      </c>
      <c r="C893" s="5" t="s">
        <v>7666</v>
      </c>
      <c r="D893" s="5">
        <v>652.0</v>
      </c>
      <c r="E893" s="5">
        <v>2105.0</v>
      </c>
      <c r="F893" s="18" t="s">
        <v>3387</v>
      </c>
      <c r="G893" s="5" t="s">
        <v>3388</v>
      </c>
      <c r="H893" s="5" t="s">
        <v>3389</v>
      </c>
      <c r="I893" s="5" t="s">
        <v>1664</v>
      </c>
      <c r="J893" s="5" t="s">
        <v>1746</v>
      </c>
      <c r="K893" s="5">
        <v>1.0</v>
      </c>
      <c r="L893" s="5">
        <v>2508.0</v>
      </c>
      <c r="M893" s="8"/>
      <c r="AO893" s="5" t="s">
        <v>3387</v>
      </c>
      <c r="AP893" s="5">
        <v>652.0</v>
      </c>
      <c r="AQ893" s="5" t="s">
        <v>1716</v>
      </c>
      <c r="AR893" s="5" t="s">
        <v>1717</v>
      </c>
      <c r="AS893" s="5" t="s">
        <v>1718</v>
      </c>
      <c r="AT893" s="5" t="s">
        <v>1719</v>
      </c>
      <c r="AU893" s="5" t="s">
        <v>1703</v>
      </c>
      <c r="AV893" s="5" t="s">
        <v>1720</v>
      </c>
      <c r="AW893" s="5" t="s">
        <v>1947</v>
      </c>
      <c r="AX893" s="5" t="s">
        <v>2153</v>
      </c>
      <c r="AY893" s="5">
        <v>53.5</v>
      </c>
      <c r="AZ893" s="5">
        <v>-126.9</v>
      </c>
      <c r="BA893" s="5">
        <v>9.0</v>
      </c>
    </row>
    <row r="894" ht="14.25" customHeight="1">
      <c r="B894" s="5">
        <v>12.0</v>
      </c>
      <c r="C894" s="5" t="s">
        <v>7666</v>
      </c>
      <c r="D894" s="5">
        <v>653.0</v>
      </c>
      <c r="E894" s="5">
        <v>2106.0</v>
      </c>
      <c r="F894" s="18" t="s">
        <v>3390</v>
      </c>
      <c r="G894" s="5" t="s">
        <v>3391</v>
      </c>
      <c r="H894" s="5" t="s">
        <v>3392</v>
      </c>
      <c r="I894" s="5" t="s">
        <v>1664</v>
      </c>
      <c r="J894" s="5" t="s">
        <v>1715</v>
      </c>
      <c r="K894" s="5">
        <v>1.0</v>
      </c>
      <c r="L894" s="5">
        <v>2509.0</v>
      </c>
      <c r="M894" s="8"/>
      <c r="AO894" s="5" t="s">
        <v>3390</v>
      </c>
      <c r="AP894" s="5">
        <v>653.0</v>
      </c>
      <c r="AQ894" s="5" t="s">
        <v>1716</v>
      </c>
      <c r="AR894" s="5" t="s">
        <v>1717</v>
      </c>
      <c r="AS894" s="5" t="s">
        <v>1718</v>
      </c>
      <c r="AT894" s="5" t="s">
        <v>1719</v>
      </c>
      <c r="AU894" s="5" t="s">
        <v>1703</v>
      </c>
      <c r="AV894" s="5" t="s">
        <v>1720</v>
      </c>
      <c r="AW894" s="5" t="s">
        <v>1947</v>
      </c>
      <c r="AX894" s="5" t="s">
        <v>2148</v>
      </c>
      <c r="AY894" s="5">
        <v>53.3</v>
      </c>
      <c r="AZ894" s="5">
        <v>-126.1</v>
      </c>
      <c r="BA894" s="5">
        <v>9.0</v>
      </c>
    </row>
    <row r="895" ht="14.25" customHeight="1">
      <c r="A895" s="5" t="s">
        <v>88</v>
      </c>
      <c r="B895" s="5">
        <v>12.0</v>
      </c>
      <c r="C895" s="5" t="s">
        <v>7666</v>
      </c>
      <c r="D895" s="5">
        <v>654.0</v>
      </c>
      <c r="E895" s="5">
        <v>2107.0</v>
      </c>
      <c r="F895" s="5" t="s">
        <v>2276</v>
      </c>
      <c r="G895" s="10" t="s">
        <v>3393</v>
      </c>
      <c r="H895" s="5" t="s">
        <v>3394</v>
      </c>
      <c r="I895" s="5" t="s">
        <v>641</v>
      </c>
      <c r="J895" s="5" t="s">
        <v>1736</v>
      </c>
      <c r="K895" s="5">
        <v>1.0</v>
      </c>
      <c r="L895" s="5">
        <v>2510.0</v>
      </c>
      <c r="M895" s="8"/>
      <c r="N895" s="11"/>
      <c r="AO895" s="5" t="s">
        <v>2276</v>
      </c>
      <c r="AP895" s="5">
        <v>654.0</v>
      </c>
      <c r="AQ895" s="5" t="s">
        <v>1700</v>
      </c>
      <c r="AR895" s="5" t="s">
        <v>1739</v>
      </c>
      <c r="AS895" s="5" t="s">
        <v>1740</v>
      </c>
      <c r="AT895" s="5" t="s">
        <v>1741</v>
      </c>
      <c r="AU895" s="5" t="s">
        <v>1959</v>
      </c>
      <c r="AV895" s="5" t="s">
        <v>1720</v>
      </c>
      <c r="AW895" s="5" t="s">
        <v>2003</v>
      </c>
      <c r="AX895" s="5" t="s">
        <v>2139</v>
      </c>
      <c r="AY895" s="5">
        <v>53.9362</v>
      </c>
      <c r="AZ895" s="5">
        <v>-124.7765</v>
      </c>
      <c r="BA895" s="5">
        <v>961.0</v>
      </c>
    </row>
    <row r="896" ht="14.25" customHeight="1">
      <c r="B896" s="5">
        <v>12.0</v>
      </c>
      <c r="C896" s="5" t="s">
        <v>7666</v>
      </c>
      <c r="D896" s="5">
        <v>655.0</v>
      </c>
      <c r="E896" s="5">
        <v>2108.0</v>
      </c>
      <c r="F896" s="18" t="s">
        <v>3395</v>
      </c>
      <c r="G896" s="5" t="s">
        <v>3396</v>
      </c>
      <c r="H896" s="5" t="s">
        <v>3397</v>
      </c>
      <c r="I896" s="5" t="s">
        <v>1664</v>
      </c>
      <c r="J896" s="5" t="s">
        <v>1746</v>
      </c>
      <c r="K896" s="5">
        <v>1.0</v>
      </c>
      <c r="L896" s="5">
        <v>2511.0</v>
      </c>
      <c r="M896" s="8"/>
      <c r="AO896" s="5" t="s">
        <v>3395</v>
      </c>
      <c r="AP896" s="5">
        <v>655.0</v>
      </c>
      <c r="AQ896" s="5" t="s">
        <v>1716</v>
      </c>
      <c r="AR896" s="5" t="s">
        <v>1717</v>
      </c>
      <c r="AS896" s="5" t="s">
        <v>1718</v>
      </c>
      <c r="AT896" s="5" t="s">
        <v>1719</v>
      </c>
      <c r="AU896" s="5" t="s">
        <v>1703</v>
      </c>
      <c r="AV896" s="5" t="s">
        <v>1720</v>
      </c>
      <c r="AW896" s="5" t="s">
        <v>2193</v>
      </c>
      <c r="AX896" s="5" t="s">
        <v>2194</v>
      </c>
      <c r="AY896" s="5">
        <v>53.0</v>
      </c>
      <c r="AZ896" s="5">
        <v>-122.0</v>
      </c>
      <c r="BA896" s="5">
        <v>12.0</v>
      </c>
    </row>
    <row r="897" ht="14.25" customHeight="1">
      <c r="B897" s="5">
        <v>12.0</v>
      </c>
      <c r="C897" s="5" t="s">
        <v>7666</v>
      </c>
      <c r="D897" s="5">
        <v>656.0</v>
      </c>
      <c r="E897" s="5">
        <v>2109.0</v>
      </c>
      <c r="F897" s="18" t="s">
        <v>3398</v>
      </c>
      <c r="G897" s="5" t="s">
        <v>3399</v>
      </c>
      <c r="H897" s="5" t="s">
        <v>3400</v>
      </c>
      <c r="I897" s="5" t="s">
        <v>1664</v>
      </c>
      <c r="J897" s="5" t="s">
        <v>1715</v>
      </c>
      <c r="K897" s="5">
        <v>1.0</v>
      </c>
      <c r="L897" s="5">
        <v>2512.0</v>
      </c>
      <c r="M897" s="8"/>
      <c r="AO897" s="5" t="s">
        <v>3398</v>
      </c>
      <c r="AP897" s="5">
        <v>656.0</v>
      </c>
      <c r="AQ897" s="5" t="s">
        <v>1716</v>
      </c>
      <c r="AR897" s="5" t="s">
        <v>1717</v>
      </c>
      <c r="AS897" s="5" t="s">
        <v>1718</v>
      </c>
      <c r="AT897" s="5" t="s">
        <v>1719</v>
      </c>
      <c r="AU897" s="5" t="s">
        <v>1703</v>
      </c>
      <c r="AV897" s="5" t="s">
        <v>1720</v>
      </c>
      <c r="AW897" s="5" t="s">
        <v>2193</v>
      </c>
      <c r="AX897" s="5" t="s">
        <v>2194</v>
      </c>
      <c r="AY897" s="5">
        <v>53.1</v>
      </c>
      <c r="AZ897" s="5">
        <v>-122.0</v>
      </c>
      <c r="BA897" s="5">
        <v>11.0</v>
      </c>
    </row>
    <row r="898" ht="14.25" customHeight="1">
      <c r="B898" s="5">
        <v>12.0</v>
      </c>
      <c r="C898" s="5" t="s">
        <v>7666</v>
      </c>
      <c r="D898" s="5">
        <v>657.0</v>
      </c>
      <c r="E898" s="5">
        <v>2110.0</v>
      </c>
      <c r="F898" s="18" t="s">
        <v>3401</v>
      </c>
      <c r="G898" s="5" t="s">
        <v>3402</v>
      </c>
      <c r="H898" s="5" t="s">
        <v>3403</v>
      </c>
      <c r="I898" s="5" t="s">
        <v>1664</v>
      </c>
      <c r="J898" s="5" t="s">
        <v>1746</v>
      </c>
      <c r="K898" s="5">
        <v>1.0</v>
      </c>
      <c r="L898" s="5">
        <v>2513.0</v>
      </c>
      <c r="M898" s="8"/>
      <c r="AO898" s="5" t="s">
        <v>3401</v>
      </c>
      <c r="AP898" s="5">
        <v>657.0</v>
      </c>
      <c r="AQ898" s="5" t="s">
        <v>1716</v>
      </c>
      <c r="AR898" s="5" t="s">
        <v>1717</v>
      </c>
      <c r="AS898" s="5" t="s">
        <v>1718</v>
      </c>
      <c r="AT898" s="5" t="s">
        <v>1719</v>
      </c>
      <c r="AU898" s="5" t="s">
        <v>1703</v>
      </c>
      <c r="AV898" s="5" t="s">
        <v>1720</v>
      </c>
      <c r="AW898" s="5" t="s">
        <v>2003</v>
      </c>
      <c r="AX898" s="5" t="s">
        <v>2258</v>
      </c>
      <c r="AY898" s="5">
        <v>53.0</v>
      </c>
      <c r="AZ898" s="5">
        <v>-120.0</v>
      </c>
      <c r="BA898" s="5">
        <v>23.0</v>
      </c>
    </row>
    <row r="899" ht="14.25" customHeight="1">
      <c r="A899" s="5" t="s">
        <v>422</v>
      </c>
      <c r="B899" s="5">
        <v>12.0</v>
      </c>
      <c r="C899" s="5" t="s">
        <v>7666</v>
      </c>
      <c r="D899" s="5">
        <v>658.0</v>
      </c>
      <c r="E899" s="5">
        <v>2111.0</v>
      </c>
      <c r="F899" s="18" t="s">
        <v>3404</v>
      </c>
      <c r="G899" s="5" t="s">
        <v>3405</v>
      </c>
      <c r="H899" s="5" t="s">
        <v>3406</v>
      </c>
      <c r="I899" s="5" t="s">
        <v>1664</v>
      </c>
      <c r="J899" s="5" t="s">
        <v>1746</v>
      </c>
      <c r="K899" s="5">
        <v>1.0</v>
      </c>
      <c r="L899" s="5">
        <v>2514.0</v>
      </c>
      <c r="M899" s="8"/>
      <c r="AO899" s="5" t="s">
        <v>3404</v>
      </c>
      <c r="AP899" s="5">
        <v>658.0</v>
      </c>
      <c r="AQ899" s="5" t="s">
        <v>1716</v>
      </c>
      <c r="AR899" s="5" t="s">
        <v>1717</v>
      </c>
      <c r="AS899" s="5" t="s">
        <v>1718</v>
      </c>
      <c r="AT899" s="5" t="s">
        <v>1719</v>
      </c>
      <c r="AU899" s="5" t="s">
        <v>1703</v>
      </c>
      <c r="AV899" s="5" t="s">
        <v>1720</v>
      </c>
      <c r="AW899" s="5" t="s">
        <v>2003</v>
      </c>
      <c r="AX899" s="5" t="s">
        <v>2258</v>
      </c>
      <c r="AY899" s="5">
        <v>52.4</v>
      </c>
      <c r="AZ899" s="5">
        <v>-118.4</v>
      </c>
      <c r="BA899" s="5">
        <v>9.0</v>
      </c>
    </row>
    <row r="900" ht="14.25" customHeight="1">
      <c r="B900" s="5">
        <v>12.0</v>
      </c>
      <c r="C900" s="5" t="s">
        <v>7666</v>
      </c>
      <c r="D900" s="5">
        <v>660.0</v>
      </c>
      <c r="E900" s="5">
        <v>2112.0</v>
      </c>
      <c r="F900" s="18" t="s">
        <v>3407</v>
      </c>
      <c r="G900" s="5" t="s">
        <v>3408</v>
      </c>
      <c r="H900" s="5" t="s">
        <v>3409</v>
      </c>
      <c r="I900" s="5" t="s">
        <v>1664</v>
      </c>
      <c r="J900" s="5" t="s">
        <v>1715</v>
      </c>
      <c r="K900" s="5">
        <v>1.0</v>
      </c>
      <c r="L900" s="5">
        <v>2515.0</v>
      </c>
      <c r="M900" s="8"/>
      <c r="AO900" s="5" t="s">
        <v>3407</v>
      </c>
      <c r="AP900" s="5">
        <v>660.0</v>
      </c>
      <c r="AQ900" s="5" t="s">
        <v>1716</v>
      </c>
      <c r="AR900" s="5" t="s">
        <v>1717</v>
      </c>
      <c r="AS900" s="5" t="s">
        <v>1718</v>
      </c>
      <c r="AT900" s="5" t="s">
        <v>1719</v>
      </c>
      <c r="AU900" s="5" t="s">
        <v>1703</v>
      </c>
      <c r="AV900" s="5" t="s">
        <v>1720</v>
      </c>
      <c r="AW900" s="5" t="s">
        <v>1947</v>
      </c>
      <c r="AX900" s="5" t="s">
        <v>2153</v>
      </c>
      <c r="AY900" s="5">
        <v>53.9</v>
      </c>
      <c r="AZ900" s="5">
        <v>-126.7</v>
      </c>
      <c r="BA900" s="5">
        <v>10.0</v>
      </c>
    </row>
    <row r="901" ht="14.25" customHeight="1">
      <c r="B901" s="5">
        <v>12.0</v>
      </c>
      <c r="C901" s="5" t="s">
        <v>7666</v>
      </c>
      <c r="D901" s="5">
        <v>661.0</v>
      </c>
      <c r="E901" s="5">
        <v>2113.0</v>
      </c>
      <c r="F901" s="18" t="s">
        <v>3410</v>
      </c>
      <c r="G901" s="5" t="s">
        <v>3411</v>
      </c>
      <c r="H901" s="5" t="s">
        <v>3412</v>
      </c>
      <c r="I901" s="5" t="s">
        <v>1664</v>
      </c>
      <c r="J901" s="5" t="s">
        <v>1715</v>
      </c>
      <c r="K901" s="5">
        <v>1.0</v>
      </c>
      <c r="L901" s="5">
        <v>2516.0</v>
      </c>
      <c r="M901" s="8"/>
      <c r="AO901" s="5" t="s">
        <v>3410</v>
      </c>
      <c r="AP901" s="5">
        <v>661.0</v>
      </c>
      <c r="AQ901" s="5" t="s">
        <v>1716</v>
      </c>
      <c r="AR901" s="5" t="s">
        <v>1717</v>
      </c>
      <c r="AS901" s="5" t="s">
        <v>1718</v>
      </c>
      <c r="AT901" s="5" t="s">
        <v>1719</v>
      </c>
      <c r="AU901" s="5" t="s">
        <v>1703</v>
      </c>
      <c r="AV901" s="5" t="s">
        <v>1720</v>
      </c>
      <c r="AW901" s="5" t="s">
        <v>2193</v>
      </c>
      <c r="AX901" s="5" t="s">
        <v>2283</v>
      </c>
      <c r="AY901" s="5">
        <v>51.3</v>
      </c>
      <c r="AZ901" s="5">
        <v>-123.6</v>
      </c>
      <c r="BA901" s="5">
        <v>14.0</v>
      </c>
    </row>
    <row r="902" ht="14.25" customHeight="1">
      <c r="A902" s="5" t="s">
        <v>422</v>
      </c>
      <c r="B902" s="5">
        <v>12.0</v>
      </c>
      <c r="C902" s="5" t="s">
        <v>7666</v>
      </c>
      <c r="D902" s="5">
        <v>662.0</v>
      </c>
      <c r="E902" s="5">
        <v>2114.0</v>
      </c>
      <c r="F902" s="18" t="s">
        <v>3413</v>
      </c>
      <c r="G902" s="29" t="s">
        <v>3414</v>
      </c>
      <c r="H902" s="5" t="s">
        <v>3415</v>
      </c>
      <c r="I902" s="5" t="s">
        <v>1664</v>
      </c>
      <c r="J902" s="5" t="s">
        <v>1746</v>
      </c>
      <c r="K902" s="5">
        <v>1.0</v>
      </c>
      <c r="L902" s="5">
        <v>2517.0</v>
      </c>
      <c r="M902" s="8"/>
      <c r="AO902" s="5" t="s">
        <v>3413</v>
      </c>
      <c r="AP902" s="5">
        <v>662.0</v>
      </c>
      <c r="AQ902" s="5" t="s">
        <v>1716</v>
      </c>
      <c r="AR902" s="5" t="s">
        <v>1717</v>
      </c>
      <c r="AS902" s="5" t="s">
        <v>1718</v>
      </c>
      <c r="AT902" s="5" t="s">
        <v>1719</v>
      </c>
      <c r="AU902" s="5" t="s">
        <v>1703</v>
      </c>
      <c r="AV902" s="5" t="s">
        <v>1720</v>
      </c>
      <c r="AW902" s="5" t="s">
        <v>2193</v>
      </c>
      <c r="AX902" s="5" t="s">
        <v>2283</v>
      </c>
      <c r="AY902" s="5">
        <v>52.0</v>
      </c>
      <c r="AZ902" s="5">
        <v>-125.1</v>
      </c>
      <c r="BA902" s="5">
        <v>35.0</v>
      </c>
    </row>
    <row r="903" ht="14.25" customHeight="1">
      <c r="B903" s="5">
        <v>12.0</v>
      </c>
      <c r="C903" s="5" t="s">
        <v>7666</v>
      </c>
      <c r="D903" s="5">
        <v>663.0</v>
      </c>
      <c r="E903" s="5">
        <v>2115.0</v>
      </c>
      <c r="F903" s="18" t="s">
        <v>3416</v>
      </c>
      <c r="G903" s="29" t="s">
        <v>3417</v>
      </c>
      <c r="H903" s="5" t="s">
        <v>3418</v>
      </c>
      <c r="I903" s="5" t="s">
        <v>1664</v>
      </c>
      <c r="J903" s="5" t="s">
        <v>1715</v>
      </c>
      <c r="K903" s="5">
        <v>1.0</v>
      </c>
      <c r="L903" s="5">
        <v>2518.0</v>
      </c>
      <c r="M903" s="8"/>
      <c r="AO903" s="5" t="s">
        <v>3416</v>
      </c>
      <c r="AP903" s="5">
        <v>663.0</v>
      </c>
      <c r="AQ903" s="5" t="s">
        <v>1716</v>
      </c>
      <c r="AR903" s="5" t="s">
        <v>1717</v>
      </c>
      <c r="AS903" s="5" t="s">
        <v>1718</v>
      </c>
      <c r="AT903" s="5" t="s">
        <v>1719</v>
      </c>
      <c r="AU903" s="5" t="s">
        <v>1703</v>
      </c>
      <c r="AV903" s="5" t="s">
        <v>1720</v>
      </c>
      <c r="AW903" s="5" t="s">
        <v>2193</v>
      </c>
      <c r="AX903" s="5" t="s">
        <v>2194</v>
      </c>
      <c r="AY903" s="5">
        <v>53.1</v>
      </c>
      <c r="AZ903" s="5">
        <v>-124.3</v>
      </c>
      <c r="BA903" s="5">
        <v>12.0</v>
      </c>
    </row>
    <row r="904" ht="14.25" customHeight="1">
      <c r="B904" s="5">
        <v>12.0</v>
      </c>
      <c r="C904" s="5" t="s">
        <v>7666</v>
      </c>
      <c r="D904" s="5">
        <v>664.0</v>
      </c>
      <c r="E904" s="5">
        <v>2116.0</v>
      </c>
      <c r="F904" s="18" t="s">
        <v>3419</v>
      </c>
      <c r="G904" s="5" t="s">
        <v>3420</v>
      </c>
      <c r="H904" s="5" t="s">
        <v>3421</v>
      </c>
      <c r="I904" s="5" t="s">
        <v>1664</v>
      </c>
      <c r="J904" s="5" t="s">
        <v>1746</v>
      </c>
      <c r="K904" s="5">
        <v>1.0</v>
      </c>
      <c r="L904" s="5">
        <v>2519.0</v>
      </c>
      <c r="M904" s="8"/>
      <c r="AO904" s="5" t="s">
        <v>3419</v>
      </c>
      <c r="AP904" s="5">
        <v>664.0</v>
      </c>
      <c r="AQ904" s="5" t="s">
        <v>1716</v>
      </c>
      <c r="AR904" s="5" t="s">
        <v>1717</v>
      </c>
      <c r="AS904" s="5" t="s">
        <v>1718</v>
      </c>
      <c r="AT904" s="5" t="s">
        <v>1719</v>
      </c>
      <c r="AU904" s="5" t="s">
        <v>1703</v>
      </c>
      <c r="AV904" s="5" t="s">
        <v>1720</v>
      </c>
      <c r="AW904" s="5" t="s">
        <v>2193</v>
      </c>
      <c r="AX904" s="5" t="s">
        <v>2194</v>
      </c>
      <c r="AY904" s="5">
        <v>53.2</v>
      </c>
      <c r="AZ904" s="5">
        <v>-122.1</v>
      </c>
      <c r="BA904" s="5">
        <v>9.0</v>
      </c>
    </row>
    <row r="905" ht="14.25" customHeight="1">
      <c r="A905" s="5" t="s">
        <v>422</v>
      </c>
      <c r="B905" s="5">
        <v>12.0</v>
      </c>
      <c r="C905" s="5" t="s">
        <v>7666</v>
      </c>
      <c r="D905" s="5">
        <v>665.0</v>
      </c>
      <c r="E905" s="5">
        <v>2117.0</v>
      </c>
      <c r="F905" s="18" t="s">
        <v>3422</v>
      </c>
      <c r="G905" s="29" t="s">
        <v>3423</v>
      </c>
      <c r="H905" s="5" t="s">
        <v>3424</v>
      </c>
      <c r="I905" s="5" t="s">
        <v>1664</v>
      </c>
      <c r="J905" s="5" t="s">
        <v>1746</v>
      </c>
      <c r="K905" s="5">
        <v>1.0</v>
      </c>
      <c r="L905" s="5">
        <v>2520.0</v>
      </c>
      <c r="M905" s="8"/>
      <c r="AO905" s="5" t="s">
        <v>3422</v>
      </c>
      <c r="AP905" s="5">
        <v>665.0</v>
      </c>
      <c r="AQ905" s="5" t="s">
        <v>1716</v>
      </c>
      <c r="AR905" s="5" t="s">
        <v>1717</v>
      </c>
      <c r="AS905" s="5" t="s">
        <v>1718</v>
      </c>
      <c r="AT905" s="5" t="s">
        <v>1719</v>
      </c>
      <c r="AU905" s="5" t="s">
        <v>1703</v>
      </c>
      <c r="AV905" s="5" t="s">
        <v>1720</v>
      </c>
      <c r="AW905" s="5" t="s">
        <v>2193</v>
      </c>
      <c r="AX905" s="5" t="s">
        <v>2194</v>
      </c>
      <c r="AY905" s="5">
        <v>53.2</v>
      </c>
      <c r="AZ905" s="5">
        <v>-122.6</v>
      </c>
      <c r="BA905" s="5">
        <v>8.0</v>
      </c>
    </row>
    <row r="906" ht="14.25" customHeight="1">
      <c r="B906" s="5">
        <v>12.0</v>
      </c>
      <c r="C906" s="5" t="s">
        <v>7666</v>
      </c>
      <c r="D906" s="5">
        <v>666.0</v>
      </c>
      <c r="E906" s="5">
        <v>2118.0</v>
      </c>
      <c r="F906" s="18" t="s">
        <v>3425</v>
      </c>
      <c r="G906" s="29" t="s">
        <v>3426</v>
      </c>
      <c r="H906" s="5" t="s">
        <v>3427</v>
      </c>
      <c r="I906" s="5" t="s">
        <v>1664</v>
      </c>
      <c r="J906" s="5" t="s">
        <v>1746</v>
      </c>
      <c r="K906" s="5">
        <v>1.0</v>
      </c>
      <c r="L906" s="5">
        <v>2521.0</v>
      </c>
      <c r="M906" s="8"/>
      <c r="AO906" s="5" t="s">
        <v>3425</v>
      </c>
      <c r="AP906" s="5">
        <v>666.0</v>
      </c>
      <c r="AQ906" s="5" t="s">
        <v>1716</v>
      </c>
      <c r="AR906" s="5" t="s">
        <v>1717</v>
      </c>
      <c r="AS906" s="5" t="s">
        <v>1718</v>
      </c>
      <c r="AT906" s="5" t="s">
        <v>1719</v>
      </c>
      <c r="AU906" s="5" t="s">
        <v>1703</v>
      </c>
      <c r="AV906" s="5" t="s">
        <v>1720</v>
      </c>
      <c r="AW906" s="5" t="s">
        <v>2368</v>
      </c>
      <c r="AX906" s="5" t="s">
        <v>2401</v>
      </c>
      <c r="AY906" s="5">
        <v>52.567</v>
      </c>
      <c r="AZ906" s="5">
        <v>-119.867</v>
      </c>
      <c r="BA906" s="5">
        <v>14.0</v>
      </c>
    </row>
    <row r="907" ht="14.25" customHeight="1">
      <c r="A907" s="5" t="s">
        <v>422</v>
      </c>
      <c r="B907" s="5">
        <v>12.0</v>
      </c>
      <c r="C907" s="5" t="s">
        <v>7666</v>
      </c>
      <c r="D907" s="5">
        <v>667.0</v>
      </c>
      <c r="E907" s="5">
        <v>2119.0</v>
      </c>
      <c r="F907" s="18" t="s">
        <v>3428</v>
      </c>
      <c r="G907" s="5" t="s">
        <v>3429</v>
      </c>
      <c r="H907" s="5" t="s">
        <v>3430</v>
      </c>
      <c r="I907" s="5" t="s">
        <v>1664</v>
      </c>
      <c r="J907" s="5" t="s">
        <v>1746</v>
      </c>
      <c r="K907" s="5">
        <v>1.0</v>
      </c>
      <c r="L907" s="5">
        <v>2522.0</v>
      </c>
      <c r="M907" s="8"/>
      <c r="AO907" s="5" t="s">
        <v>3428</v>
      </c>
      <c r="AP907" s="5">
        <v>667.0</v>
      </c>
      <c r="AQ907" s="5" t="s">
        <v>1716</v>
      </c>
      <c r="AR907" s="5" t="s">
        <v>1717</v>
      </c>
      <c r="AS907" s="5" t="s">
        <v>1718</v>
      </c>
      <c r="AT907" s="5" t="s">
        <v>1719</v>
      </c>
      <c r="AU907" s="5" t="s">
        <v>1703</v>
      </c>
      <c r="AV907" s="5" t="s">
        <v>1720</v>
      </c>
      <c r="AW907" s="5" t="s">
        <v>2368</v>
      </c>
      <c r="AX907" s="5" t="s">
        <v>2401</v>
      </c>
      <c r="AY907" s="5">
        <v>51.767</v>
      </c>
      <c r="AZ907" s="5">
        <v>-120.067</v>
      </c>
      <c r="BA907" s="5">
        <v>11.0</v>
      </c>
    </row>
    <row r="908" ht="14.25" customHeight="1">
      <c r="B908" s="5">
        <v>12.0</v>
      </c>
      <c r="C908" s="5" t="s">
        <v>7666</v>
      </c>
      <c r="D908" s="5">
        <v>668.0</v>
      </c>
      <c r="E908" s="5">
        <v>2120.0</v>
      </c>
      <c r="F908" s="18" t="s">
        <v>3431</v>
      </c>
      <c r="G908" s="29" t="s">
        <v>3432</v>
      </c>
      <c r="H908" s="5" t="s">
        <v>3433</v>
      </c>
      <c r="I908" s="5" t="s">
        <v>641</v>
      </c>
      <c r="J908" s="5" t="s">
        <v>1715</v>
      </c>
      <c r="K908" s="5">
        <v>1.0</v>
      </c>
      <c r="L908" s="5">
        <v>2523.0</v>
      </c>
      <c r="M908" s="8"/>
      <c r="AO908" s="5" t="s">
        <v>3431</v>
      </c>
      <c r="AP908" s="5">
        <v>668.0</v>
      </c>
      <c r="AQ908" s="5" t="s">
        <v>1716</v>
      </c>
      <c r="AR908" s="5" t="s">
        <v>1717</v>
      </c>
      <c r="AS908" s="5" t="s">
        <v>1718</v>
      </c>
      <c r="AT908" s="5" t="s">
        <v>1703</v>
      </c>
      <c r="AU908" s="5" t="s">
        <v>1703</v>
      </c>
      <c r="AV908" s="5" t="s">
        <v>1720</v>
      </c>
      <c r="AW908" s="5" t="s">
        <v>2193</v>
      </c>
      <c r="AX908" s="5" t="s">
        <v>2194</v>
      </c>
      <c r="AY908" s="5">
        <v>53.1867</v>
      </c>
      <c r="AZ908" s="5">
        <v>-122.0233</v>
      </c>
      <c r="BA908" s="5">
        <v>1400.0</v>
      </c>
    </row>
    <row r="909" ht="14.25" customHeight="1">
      <c r="B909" s="5">
        <v>12.0</v>
      </c>
      <c r="C909" s="5" t="s">
        <v>7666</v>
      </c>
      <c r="D909" s="5">
        <v>669.0</v>
      </c>
      <c r="E909" s="5">
        <v>2121.0</v>
      </c>
      <c r="F909" s="18" t="s">
        <v>3434</v>
      </c>
      <c r="G909" s="5" t="s">
        <v>3435</v>
      </c>
      <c r="H909" s="5" t="s">
        <v>3436</v>
      </c>
      <c r="I909" s="5" t="s">
        <v>641</v>
      </c>
      <c r="J909" s="5" t="s">
        <v>1746</v>
      </c>
      <c r="K909" s="5">
        <v>1.0</v>
      </c>
      <c r="L909" s="5">
        <v>2524.0</v>
      </c>
      <c r="M909" s="8"/>
      <c r="AO909" s="5" t="s">
        <v>3434</v>
      </c>
      <c r="AP909" s="5">
        <v>669.0</v>
      </c>
      <c r="AQ909" s="5" t="s">
        <v>1716</v>
      </c>
      <c r="AR909" s="5" t="s">
        <v>1717</v>
      </c>
      <c r="AS909" s="5" t="s">
        <v>1718</v>
      </c>
      <c r="AT909" s="5" t="s">
        <v>1703</v>
      </c>
      <c r="AU909" s="5" t="s">
        <v>1703</v>
      </c>
      <c r="AV909" s="5" t="s">
        <v>1720</v>
      </c>
      <c r="AW909" s="5" t="s">
        <v>2193</v>
      </c>
      <c r="AX909" s="5" t="s">
        <v>2194</v>
      </c>
      <c r="AY909" s="5">
        <v>53.248</v>
      </c>
      <c r="AZ909" s="5">
        <v>-121.416</v>
      </c>
      <c r="BA909" s="5">
        <v>1205.0</v>
      </c>
    </row>
    <row r="910" ht="14.25" customHeight="1">
      <c r="B910" s="5">
        <v>12.0</v>
      </c>
      <c r="C910" s="5" t="s">
        <v>7666</v>
      </c>
      <c r="D910" s="5">
        <v>670.0</v>
      </c>
      <c r="E910" s="5">
        <v>2122.0</v>
      </c>
      <c r="F910" s="18" t="s">
        <v>3437</v>
      </c>
      <c r="G910" s="29" t="s">
        <v>3438</v>
      </c>
      <c r="H910" s="5" t="s">
        <v>3439</v>
      </c>
      <c r="I910" s="5" t="s">
        <v>641</v>
      </c>
      <c r="J910" s="5" t="s">
        <v>1746</v>
      </c>
      <c r="K910" s="5">
        <v>1.0</v>
      </c>
      <c r="L910" s="5">
        <v>2525.0</v>
      </c>
      <c r="M910" s="8"/>
      <c r="AO910" s="5" t="s">
        <v>3437</v>
      </c>
      <c r="AP910" s="5">
        <v>670.0</v>
      </c>
      <c r="AQ910" s="5" t="s">
        <v>1716</v>
      </c>
      <c r="AR910" s="5" t="s">
        <v>1717</v>
      </c>
      <c r="AS910" s="5" t="s">
        <v>1718</v>
      </c>
      <c r="AT910" s="5" t="s">
        <v>1719</v>
      </c>
      <c r="AU910" s="5" t="s">
        <v>1959</v>
      </c>
      <c r="AV910" s="5" t="s">
        <v>1720</v>
      </c>
      <c r="AW910" s="5" t="s">
        <v>2193</v>
      </c>
      <c r="AX910" s="5" t="s">
        <v>2291</v>
      </c>
      <c r="AY910" s="5">
        <v>51.7898</v>
      </c>
      <c r="AZ910" s="5">
        <v>-122.6358</v>
      </c>
      <c r="BA910" s="5">
        <v>915.0</v>
      </c>
    </row>
    <row r="911" ht="14.25" customHeight="1">
      <c r="B911" s="5">
        <v>12.0</v>
      </c>
      <c r="C911" s="5" t="s">
        <v>7666</v>
      </c>
      <c r="D911" s="5">
        <v>671.0</v>
      </c>
      <c r="E911" s="5">
        <v>2123.0</v>
      </c>
      <c r="F911" s="18" t="s">
        <v>3440</v>
      </c>
      <c r="G911" s="29" t="s">
        <v>3441</v>
      </c>
      <c r="H911" s="5" t="s">
        <v>3442</v>
      </c>
      <c r="I911" s="5" t="s">
        <v>641</v>
      </c>
      <c r="J911" s="5" t="s">
        <v>1746</v>
      </c>
      <c r="K911" s="5">
        <v>1.0</v>
      </c>
      <c r="L911" s="5">
        <v>2526.0</v>
      </c>
      <c r="M911" s="8"/>
      <c r="AO911" s="5" t="s">
        <v>3440</v>
      </c>
      <c r="AP911" s="5">
        <v>671.0</v>
      </c>
      <c r="AQ911" s="5" t="s">
        <v>1716</v>
      </c>
      <c r="AR911" s="5" t="s">
        <v>1717</v>
      </c>
      <c r="AS911" s="5" t="s">
        <v>1718</v>
      </c>
      <c r="AT911" s="5" t="s">
        <v>1703</v>
      </c>
      <c r="AU911" s="5" t="s">
        <v>1703</v>
      </c>
      <c r="AV911" s="5" t="s">
        <v>1720</v>
      </c>
      <c r="AW911" s="5" t="s">
        <v>2193</v>
      </c>
      <c r="AX911" s="5" t="s">
        <v>2291</v>
      </c>
      <c r="AY911" s="5">
        <v>52.1</v>
      </c>
      <c r="AZ911" s="5">
        <v>-121.9</v>
      </c>
      <c r="BA911" s="5">
        <v>8.0</v>
      </c>
    </row>
    <row r="912" ht="14.25" customHeight="1">
      <c r="B912" s="5">
        <v>12.0</v>
      </c>
      <c r="C912" s="5" t="s">
        <v>7666</v>
      </c>
      <c r="D912" s="5">
        <v>672.0</v>
      </c>
      <c r="E912" s="5">
        <v>2124.0</v>
      </c>
      <c r="F912" s="18" t="s">
        <v>3443</v>
      </c>
      <c r="G912" s="5" t="s">
        <v>3444</v>
      </c>
      <c r="H912" s="5" t="s">
        <v>3445</v>
      </c>
      <c r="I912" s="5" t="s">
        <v>641</v>
      </c>
      <c r="J912" s="5" t="s">
        <v>1746</v>
      </c>
      <c r="K912" s="5">
        <v>1.0</v>
      </c>
      <c r="L912" s="5">
        <v>2527.0</v>
      </c>
      <c r="M912" s="8"/>
      <c r="AO912" s="5" t="s">
        <v>3443</v>
      </c>
      <c r="AP912" s="5">
        <v>672.0</v>
      </c>
      <c r="AQ912" s="5" t="s">
        <v>1716</v>
      </c>
      <c r="AR912" s="5" t="s">
        <v>1717</v>
      </c>
      <c r="AS912" s="5" t="s">
        <v>1718</v>
      </c>
      <c r="AT912" s="5" t="s">
        <v>1719</v>
      </c>
      <c r="AU912" s="5" t="s">
        <v>1959</v>
      </c>
      <c r="AV912" s="5" t="s">
        <v>1720</v>
      </c>
      <c r="AW912" s="5" t="s">
        <v>2193</v>
      </c>
      <c r="AX912" s="5" t="s">
        <v>2291</v>
      </c>
      <c r="AY912" s="5">
        <v>51.787</v>
      </c>
      <c r="AZ912" s="5">
        <v>-122.426</v>
      </c>
      <c r="BA912" s="5">
        <v>933.0</v>
      </c>
    </row>
    <row r="913" ht="14.25" customHeight="1">
      <c r="B913" s="5">
        <v>12.0</v>
      </c>
      <c r="C913" s="5" t="s">
        <v>7666</v>
      </c>
      <c r="D913" s="5">
        <v>673.0</v>
      </c>
      <c r="E913" s="5">
        <v>2125.0</v>
      </c>
      <c r="F913" s="18" t="s">
        <v>3446</v>
      </c>
      <c r="G913" s="5" t="s">
        <v>3447</v>
      </c>
      <c r="H913" s="5" t="s">
        <v>3448</v>
      </c>
      <c r="I913" s="5" t="s">
        <v>1664</v>
      </c>
      <c r="J913" s="5" t="s">
        <v>1746</v>
      </c>
      <c r="K913" s="5">
        <v>1.0</v>
      </c>
      <c r="L913" s="5">
        <v>2528.0</v>
      </c>
      <c r="M913" s="8"/>
      <c r="AO913" s="5" t="s">
        <v>3446</v>
      </c>
      <c r="AP913" s="5">
        <v>673.0</v>
      </c>
      <c r="AQ913" s="5" t="s">
        <v>1716</v>
      </c>
      <c r="AR913" s="5" t="s">
        <v>1717</v>
      </c>
      <c r="AS913" s="5" t="s">
        <v>1718</v>
      </c>
      <c r="AT913" s="5" t="s">
        <v>1719</v>
      </c>
      <c r="AU913" s="5" t="s">
        <v>1703</v>
      </c>
      <c r="AV913" s="5" t="s">
        <v>1720</v>
      </c>
      <c r="AW913" s="5" t="s">
        <v>2193</v>
      </c>
      <c r="AX913" s="5" t="s">
        <v>2194</v>
      </c>
      <c r="AY913" s="5">
        <v>53.0</v>
      </c>
      <c r="AZ913" s="5">
        <v>-122.0</v>
      </c>
      <c r="BA913" s="5">
        <v>8.0</v>
      </c>
    </row>
    <row r="914" ht="14.25" customHeight="1">
      <c r="A914" s="5" t="s">
        <v>422</v>
      </c>
      <c r="B914" s="5">
        <v>12.0</v>
      </c>
      <c r="C914" s="5" t="s">
        <v>7666</v>
      </c>
      <c r="D914" s="5">
        <v>674.0</v>
      </c>
      <c r="E914" s="5">
        <v>2126.0</v>
      </c>
      <c r="F914" s="18" t="s">
        <v>3449</v>
      </c>
      <c r="G914" s="5" t="s">
        <v>3450</v>
      </c>
      <c r="H914" s="5" t="s">
        <v>3451</v>
      </c>
      <c r="I914" s="5" t="s">
        <v>1664</v>
      </c>
      <c r="J914" s="5" t="s">
        <v>1746</v>
      </c>
      <c r="K914" s="5">
        <v>1.0</v>
      </c>
      <c r="L914" s="5">
        <v>2529.0</v>
      </c>
      <c r="M914" s="8"/>
      <c r="AO914" s="5" t="s">
        <v>3449</v>
      </c>
      <c r="AP914" s="5">
        <v>674.0</v>
      </c>
      <c r="AQ914" s="5" t="s">
        <v>1716</v>
      </c>
      <c r="AR914" s="5" t="s">
        <v>1717</v>
      </c>
      <c r="AS914" s="5" t="s">
        <v>1718</v>
      </c>
      <c r="AT914" s="5" t="s">
        <v>1719</v>
      </c>
      <c r="AU914" s="5" t="s">
        <v>1703</v>
      </c>
      <c r="AV914" s="5" t="s">
        <v>1720</v>
      </c>
      <c r="AW914" s="5" t="s">
        <v>2368</v>
      </c>
      <c r="AX914" s="5" t="s">
        <v>2287</v>
      </c>
      <c r="AY914" s="5">
        <v>52.1</v>
      </c>
      <c r="AZ914" s="5">
        <v>-121.1</v>
      </c>
      <c r="BA914" s="5">
        <v>15.0</v>
      </c>
    </row>
    <row r="915" ht="14.25" customHeight="1">
      <c r="A915" s="5" t="s">
        <v>422</v>
      </c>
      <c r="B915" s="5">
        <v>12.0</v>
      </c>
      <c r="C915" s="5" t="s">
        <v>7666</v>
      </c>
      <c r="D915" s="5">
        <v>675.0</v>
      </c>
      <c r="E915" s="5">
        <v>2127.0</v>
      </c>
      <c r="F915" s="18" t="s">
        <v>3452</v>
      </c>
      <c r="G915" s="5" t="s">
        <v>3453</v>
      </c>
      <c r="H915" s="5" t="s">
        <v>3454</v>
      </c>
      <c r="I915" s="5" t="s">
        <v>1664</v>
      </c>
      <c r="J915" s="5" t="s">
        <v>1746</v>
      </c>
      <c r="K915" s="5">
        <v>1.0</v>
      </c>
      <c r="L915" s="5">
        <v>2530.0</v>
      </c>
      <c r="M915" s="8"/>
      <c r="AO915" s="5" t="s">
        <v>3452</v>
      </c>
      <c r="AP915" s="5">
        <v>675.0</v>
      </c>
      <c r="AQ915" s="5" t="s">
        <v>1716</v>
      </c>
      <c r="AR915" s="5" t="s">
        <v>1717</v>
      </c>
      <c r="AS915" s="5" t="s">
        <v>1718</v>
      </c>
      <c r="AT915" s="5" t="s">
        <v>1719</v>
      </c>
      <c r="AU915" s="5" t="s">
        <v>1703</v>
      </c>
      <c r="AV915" s="5" t="s">
        <v>1720</v>
      </c>
      <c r="AW915" s="5" t="s">
        <v>2368</v>
      </c>
      <c r="AX915" s="5" t="s">
        <v>2401</v>
      </c>
      <c r="AY915" s="5">
        <v>51.4</v>
      </c>
      <c r="AZ915" s="5">
        <v>-119.4</v>
      </c>
      <c r="BA915" s="5">
        <v>16.0</v>
      </c>
    </row>
    <row r="916" ht="14.25" customHeight="1">
      <c r="B916" s="5">
        <v>12.0</v>
      </c>
      <c r="C916" s="5" t="s">
        <v>7666</v>
      </c>
      <c r="D916" s="5">
        <v>676.0</v>
      </c>
      <c r="E916" s="5">
        <v>2128.0</v>
      </c>
      <c r="F916" s="18" t="s">
        <v>3455</v>
      </c>
      <c r="G916" s="5" t="s">
        <v>3456</v>
      </c>
      <c r="H916" s="5" t="s">
        <v>3457</v>
      </c>
      <c r="I916" s="5" t="s">
        <v>1664</v>
      </c>
      <c r="J916" s="5" t="s">
        <v>1715</v>
      </c>
      <c r="K916" s="5">
        <v>1.0</v>
      </c>
      <c r="L916" s="5">
        <v>2531.0</v>
      </c>
      <c r="M916" s="8"/>
      <c r="AO916" s="5" t="s">
        <v>3455</v>
      </c>
      <c r="AP916" s="5">
        <v>676.0</v>
      </c>
      <c r="AQ916" s="5" t="s">
        <v>1716</v>
      </c>
      <c r="AR916" s="5" t="s">
        <v>1717</v>
      </c>
      <c r="AS916" s="5" t="s">
        <v>1718</v>
      </c>
      <c r="AT916" s="5" t="s">
        <v>1719</v>
      </c>
      <c r="AU916" s="5" t="s">
        <v>1703</v>
      </c>
      <c r="AV916" s="5" t="s">
        <v>1720</v>
      </c>
      <c r="AW916" s="5" t="s">
        <v>2193</v>
      </c>
      <c r="AX916" s="5" t="s">
        <v>2356</v>
      </c>
      <c r="AY916" s="5">
        <v>52.2</v>
      </c>
      <c r="AZ916" s="5">
        <v>-121.2</v>
      </c>
      <c r="BA916" s="5">
        <v>13.0</v>
      </c>
    </row>
    <row r="917" ht="14.25" customHeight="1">
      <c r="B917" s="5">
        <v>12.0</v>
      </c>
      <c r="C917" s="5" t="s">
        <v>7666</v>
      </c>
      <c r="D917" s="5">
        <v>677.0</v>
      </c>
      <c r="E917" s="5">
        <v>2129.0</v>
      </c>
      <c r="F917" s="18" t="s">
        <v>3458</v>
      </c>
      <c r="G917" s="5" t="s">
        <v>3459</v>
      </c>
      <c r="H917" s="5" t="s">
        <v>3460</v>
      </c>
      <c r="I917" s="5" t="s">
        <v>1664</v>
      </c>
      <c r="J917" s="5" t="s">
        <v>1715</v>
      </c>
      <c r="K917" s="5">
        <v>1.0</v>
      </c>
      <c r="L917" s="5">
        <v>2532.0</v>
      </c>
      <c r="M917" s="8"/>
      <c r="AO917" s="5" t="s">
        <v>3458</v>
      </c>
      <c r="AP917" s="5">
        <v>677.0</v>
      </c>
      <c r="AQ917" s="5" t="s">
        <v>1716</v>
      </c>
      <c r="AR917" s="5" t="s">
        <v>1717</v>
      </c>
      <c r="AS917" s="5" t="s">
        <v>1718</v>
      </c>
      <c r="AT917" s="5" t="s">
        <v>1719</v>
      </c>
      <c r="AU917" s="5" t="s">
        <v>1703</v>
      </c>
      <c r="AV917" s="5" t="s">
        <v>1720</v>
      </c>
      <c r="AW917" s="5" t="s">
        <v>2193</v>
      </c>
      <c r="AX917" s="5" t="s">
        <v>1837</v>
      </c>
      <c r="AY917" s="5">
        <v>50.0</v>
      </c>
      <c r="AZ917" s="5">
        <v>-124.0</v>
      </c>
      <c r="BA917" s="5">
        <v>14.0</v>
      </c>
    </row>
    <row r="918" ht="14.25" customHeight="1">
      <c r="B918" s="5">
        <v>12.0</v>
      </c>
      <c r="C918" s="5" t="s">
        <v>7666</v>
      </c>
      <c r="D918" s="5">
        <v>678.0</v>
      </c>
      <c r="E918" s="5">
        <v>2130.0</v>
      </c>
      <c r="F918" s="18" t="s">
        <v>3461</v>
      </c>
      <c r="G918" s="5" t="s">
        <v>3462</v>
      </c>
      <c r="H918" s="5" t="s">
        <v>3463</v>
      </c>
      <c r="I918" s="5" t="s">
        <v>1664</v>
      </c>
      <c r="J918" s="5" t="s">
        <v>1715</v>
      </c>
      <c r="K918" s="5">
        <v>1.0</v>
      </c>
      <c r="L918" s="5">
        <v>2533.0</v>
      </c>
      <c r="M918" s="8"/>
      <c r="AO918" s="5" t="s">
        <v>3461</v>
      </c>
      <c r="AP918" s="5">
        <v>678.0</v>
      </c>
      <c r="AQ918" s="5" t="s">
        <v>1716</v>
      </c>
      <c r="AR918" s="5" t="s">
        <v>1717</v>
      </c>
      <c r="AS918" s="5" t="s">
        <v>1718</v>
      </c>
      <c r="AT918" s="5" t="s">
        <v>1719</v>
      </c>
      <c r="AU918" s="5" t="s">
        <v>1703</v>
      </c>
      <c r="AV918" s="5" t="s">
        <v>1720</v>
      </c>
      <c r="AW918" s="5" t="s">
        <v>2193</v>
      </c>
      <c r="AX918" s="5" t="s">
        <v>2287</v>
      </c>
      <c r="AY918" s="5">
        <v>51.2</v>
      </c>
      <c r="AZ918" s="5">
        <v>-120.8</v>
      </c>
      <c r="BA918" s="5">
        <v>13.0</v>
      </c>
    </row>
    <row r="919" ht="14.25" customHeight="1">
      <c r="B919" s="5">
        <v>12.0</v>
      </c>
      <c r="C919" s="5" t="s">
        <v>7666</v>
      </c>
      <c r="D919" s="5">
        <v>680.0</v>
      </c>
      <c r="E919" s="5">
        <v>2131.0</v>
      </c>
      <c r="F919" s="18" t="s">
        <v>3464</v>
      </c>
      <c r="G919" s="5" t="s">
        <v>3465</v>
      </c>
      <c r="H919" s="5" t="s">
        <v>3466</v>
      </c>
      <c r="I919" s="5" t="s">
        <v>1664</v>
      </c>
      <c r="J919" s="5" t="s">
        <v>1746</v>
      </c>
      <c r="K919" s="5">
        <v>1.0</v>
      </c>
      <c r="L919" s="5">
        <v>2534.0</v>
      </c>
      <c r="M919" s="8"/>
      <c r="AO919" s="5" t="s">
        <v>3464</v>
      </c>
      <c r="AP919" s="5">
        <v>680.0</v>
      </c>
      <c r="AQ919" s="5" t="s">
        <v>1716</v>
      </c>
      <c r="AR919" s="5" t="s">
        <v>1717</v>
      </c>
      <c r="AS919" s="5" t="s">
        <v>1718</v>
      </c>
      <c r="AT919" s="5" t="s">
        <v>1719</v>
      </c>
      <c r="AU919" s="5" t="s">
        <v>1703</v>
      </c>
      <c r="AV919" s="5" t="s">
        <v>1720</v>
      </c>
      <c r="AW919" s="5" t="s">
        <v>2193</v>
      </c>
      <c r="AX919" s="5" t="s">
        <v>2287</v>
      </c>
      <c r="AY919" s="5">
        <v>52.0</v>
      </c>
      <c r="AZ919" s="5">
        <v>-120.4</v>
      </c>
      <c r="BA919" s="5">
        <v>12.0</v>
      </c>
    </row>
    <row r="920" ht="14.25" customHeight="1">
      <c r="B920" s="5">
        <v>12.0</v>
      </c>
      <c r="C920" s="5" t="s">
        <v>7666</v>
      </c>
      <c r="D920" s="5">
        <v>681.0</v>
      </c>
      <c r="E920" s="5">
        <v>2132.0</v>
      </c>
      <c r="F920" s="18" t="s">
        <v>3467</v>
      </c>
      <c r="G920" s="29" t="s">
        <v>3468</v>
      </c>
      <c r="H920" s="5" t="s">
        <v>3469</v>
      </c>
      <c r="I920" s="5" t="s">
        <v>1664</v>
      </c>
      <c r="J920" s="5" t="s">
        <v>1746</v>
      </c>
      <c r="K920" s="5">
        <v>1.0</v>
      </c>
      <c r="L920" s="5">
        <v>2535.0</v>
      </c>
      <c r="M920" s="8"/>
      <c r="AO920" s="5" t="s">
        <v>3467</v>
      </c>
      <c r="AP920" s="5">
        <v>681.0</v>
      </c>
      <c r="AQ920" s="5" t="s">
        <v>1716</v>
      </c>
      <c r="AR920" s="5" t="s">
        <v>1717</v>
      </c>
      <c r="AS920" s="5" t="s">
        <v>1718</v>
      </c>
      <c r="AT920" s="5" t="s">
        <v>1719</v>
      </c>
      <c r="AU920" s="5" t="s">
        <v>1703</v>
      </c>
      <c r="AV920" s="5" t="s">
        <v>1720</v>
      </c>
      <c r="AW920" s="5" t="s">
        <v>2368</v>
      </c>
      <c r="AX920" s="5" t="s">
        <v>2287</v>
      </c>
      <c r="AY920" s="5">
        <v>51.5</v>
      </c>
      <c r="AZ920" s="5">
        <v>-120.5</v>
      </c>
      <c r="BA920" s="5">
        <v>14.0</v>
      </c>
    </row>
    <row r="921" ht="14.25" customHeight="1">
      <c r="B921" s="5">
        <v>12.0</v>
      </c>
      <c r="C921" s="5" t="s">
        <v>7666</v>
      </c>
      <c r="D921" s="5">
        <v>682.0</v>
      </c>
      <c r="E921" s="5">
        <v>2133.0</v>
      </c>
      <c r="F921" s="18" t="s">
        <v>3470</v>
      </c>
      <c r="G921" s="29" t="s">
        <v>3471</v>
      </c>
      <c r="H921" s="5" t="s">
        <v>3472</v>
      </c>
      <c r="I921" s="5" t="s">
        <v>1664</v>
      </c>
      <c r="J921" s="5" t="s">
        <v>1746</v>
      </c>
      <c r="K921" s="5">
        <v>1.0</v>
      </c>
      <c r="L921" s="5">
        <v>2536.0</v>
      </c>
      <c r="M921" s="8"/>
      <c r="AO921" s="5" t="s">
        <v>3470</v>
      </c>
      <c r="AP921" s="5">
        <v>682.0</v>
      </c>
      <c r="AQ921" s="5" t="s">
        <v>1716</v>
      </c>
      <c r="AR921" s="5" t="s">
        <v>1717</v>
      </c>
      <c r="AS921" s="5" t="s">
        <v>1718</v>
      </c>
      <c r="AT921" s="5" t="s">
        <v>1719</v>
      </c>
      <c r="AU921" s="5" t="s">
        <v>1703</v>
      </c>
      <c r="AV921" s="5" t="s">
        <v>1720</v>
      </c>
      <c r="AW921" s="5" t="s">
        <v>2193</v>
      </c>
      <c r="AX921" s="5" t="s">
        <v>2287</v>
      </c>
      <c r="AY921" s="5">
        <v>51.7</v>
      </c>
      <c r="AZ921" s="5">
        <v>-121.3</v>
      </c>
      <c r="BA921" s="5">
        <v>10.0</v>
      </c>
    </row>
    <row r="922" ht="14.25" customHeight="1">
      <c r="A922" s="5" t="s">
        <v>422</v>
      </c>
      <c r="B922" s="5">
        <v>12.0</v>
      </c>
      <c r="C922" s="5" t="s">
        <v>7666</v>
      </c>
      <c r="D922" s="5">
        <v>683.0</v>
      </c>
      <c r="E922" s="5">
        <v>2134.0</v>
      </c>
      <c r="F922" s="18" t="s">
        <v>3473</v>
      </c>
      <c r="G922" s="29" t="s">
        <v>3474</v>
      </c>
      <c r="H922" s="5" t="s">
        <v>3475</v>
      </c>
      <c r="I922" s="5" t="s">
        <v>641</v>
      </c>
      <c r="J922" s="5" t="s">
        <v>1746</v>
      </c>
      <c r="K922" s="5">
        <v>1.0</v>
      </c>
      <c r="L922" s="5">
        <v>2537.0</v>
      </c>
      <c r="M922" s="8"/>
      <c r="AO922" s="5" t="s">
        <v>3473</v>
      </c>
      <c r="AP922" s="5">
        <v>683.0</v>
      </c>
      <c r="AQ922" s="5" t="s">
        <v>1716</v>
      </c>
      <c r="AR922" s="5" t="s">
        <v>1717</v>
      </c>
      <c r="AS922" s="5" t="s">
        <v>1718</v>
      </c>
      <c r="AT922" s="5" t="s">
        <v>1703</v>
      </c>
      <c r="AU922" s="5" t="s">
        <v>1703</v>
      </c>
      <c r="AV922" s="5" t="s">
        <v>1720</v>
      </c>
      <c r="AW922" s="5" t="s">
        <v>2368</v>
      </c>
      <c r="AX922" s="5" t="s">
        <v>2401</v>
      </c>
      <c r="AY922" s="5">
        <v>51.5</v>
      </c>
      <c r="AZ922" s="5">
        <v>-120.1</v>
      </c>
      <c r="BA922" s="5">
        <v>14.0</v>
      </c>
    </row>
    <row r="923" ht="14.25" customHeight="1">
      <c r="B923" s="5">
        <v>12.0</v>
      </c>
      <c r="C923" s="5" t="s">
        <v>7666</v>
      </c>
      <c r="D923" s="5">
        <v>684.0</v>
      </c>
      <c r="E923" s="5">
        <v>2135.0</v>
      </c>
      <c r="F923" s="18" t="s">
        <v>3476</v>
      </c>
      <c r="G923" s="5" t="s">
        <v>3459</v>
      </c>
      <c r="H923" s="5" t="s">
        <v>3477</v>
      </c>
      <c r="I923" s="5" t="s">
        <v>1664</v>
      </c>
      <c r="J923" s="5" t="s">
        <v>1746</v>
      </c>
      <c r="K923" s="5">
        <v>1.0</v>
      </c>
      <c r="L923" s="5">
        <v>2538.0</v>
      </c>
      <c r="M923" s="8"/>
      <c r="AO923" s="5" t="s">
        <v>3476</v>
      </c>
      <c r="AP923" s="5">
        <v>684.0</v>
      </c>
      <c r="AQ923" s="5" t="s">
        <v>1716</v>
      </c>
      <c r="AR923" s="5" t="s">
        <v>1717</v>
      </c>
      <c r="AS923" s="5" t="s">
        <v>1718</v>
      </c>
      <c r="AT923" s="5" t="s">
        <v>1719</v>
      </c>
      <c r="AU923" s="5" t="s">
        <v>1703</v>
      </c>
      <c r="AV923" s="5" t="s">
        <v>1720</v>
      </c>
      <c r="AW923" s="5" t="s">
        <v>2193</v>
      </c>
      <c r="AX923" s="5" t="s">
        <v>1837</v>
      </c>
      <c r="AY923" s="5">
        <v>50.0</v>
      </c>
      <c r="AZ923" s="5">
        <v>-124.0</v>
      </c>
      <c r="BA923" s="5">
        <v>14.0</v>
      </c>
    </row>
    <row r="924" ht="14.25" customHeight="1">
      <c r="B924" s="5">
        <v>12.0</v>
      </c>
      <c r="C924" s="5" t="s">
        <v>7666</v>
      </c>
      <c r="D924" s="5">
        <v>685.0</v>
      </c>
      <c r="E924" s="5">
        <v>2136.0</v>
      </c>
      <c r="F924" s="18" t="s">
        <v>3478</v>
      </c>
      <c r="G924" s="5" t="s">
        <v>3479</v>
      </c>
      <c r="H924" s="5" t="s">
        <v>3480</v>
      </c>
      <c r="I924" s="5" t="s">
        <v>1664</v>
      </c>
      <c r="J924" s="5" t="s">
        <v>1746</v>
      </c>
      <c r="K924" s="5">
        <v>1.0</v>
      </c>
      <c r="L924" s="5">
        <v>2539.0</v>
      </c>
      <c r="M924" s="8"/>
      <c r="AO924" s="5" t="s">
        <v>3478</v>
      </c>
      <c r="AP924" s="5">
        <v>685.0</v>
      </c>
      <c r="AQ924" s="5" t="s">
        <v>1716</v>
      </c>
      <c r="AR924" s="5" t="s">
        <v>1717</v>
      </c>
      <c r="AS924" s="5" t="s">
        <v>1718</v>
      </c>
      <c r="AT924" s="5" t="s">
        <v>1719</v>
      </c>
      <c r="AU924" s="5" t="s">
        <v>1703</v>
      </c>
      <c r="AV924" s="5" t="s">
        <v>1720</v>
      </c>
      <c r="AW924" s="5" t="s">
        <v>2368</v>
      </c>
      <c r="AX924" s="5" t="s">
        <v>2401</v>
      </c>
      <c r="AY924" s="5">
        <v>51.8</v>
      </c>
      <c r="AZ924" s="5">
        <v>-120.3</v>
      </c>
      <c r="BA924" s="5">
        <v>16.0</v>
      </c>
    </row>
    <row r="925" ht="14.25" customHeight="1">
      <c r="B925" s="5">
        <v>12.0</v>
      </c>
      <c r="C925" s="5" t="s">
        <v>7666</v>
      </c>
      <c r="D925" s="5">
        <v>686.0</v>
      </c>
      <c r="E925" s="5">
        <v>2137.0</v>
      </c>
      <c r="F925" s="18" t="s">
        <v>3481</v>
      </c>
      <c r="G925" s="5" t="s">
        <v>3482</v>
      </c>
      <c r="H925" s="5" t="s">
        <v>3483</v>
      </c>
      <c r="I925" s="5" t="s">
        <v>1664</v>
      </c>
      <c r="J925" s="5" t="s">
        <v>1746</v>
      </c>
      <c r="K925" s="5">
        <v>1.0</v>
      </c>
      <c r="L925" s="5">
        <v>2540.0</v>
      </c>
      <c r="M925" s="8"/>
      <c r="AO925" s="5" t="s">
        <v>3481</v>
      </c>
      <c r="AP925" s="5">
        <v>686.0</v>
      </c>
      <c r="AQ925" s="5" t="s">
        <v>1716</v>
      </c>
      <c r="AR925" s="5" t="s">
        <v>1717</v>
      </c>
      <c r="AS925" s="5" t="s">
        <v>1718</v>
      </c>
      <c r="AT925" s="5" t="s">
        <v>1719</v>
      </c>
      <c r="AU925" s="5" t="s">
        <v>1703</v>
      </c>
      <c r="AV925" s="5" t="s">
        <v>1720</v>
      </c>
      <c r="AW925" s="5" t="s">
        <v>2193</v>
      </c>
      <c r="AX925" s="5" t="s">
        <v>2401</v>
      </c>
      <c r="AY925" s="5">
        <v>51.9</v>
      </c>
      <c r="AZ925" s="5">
        <v>-120.5</v>
      </c>
      <c r="BA925" s="5">
        <v>11.0</v>
      </c>
    </row>
    <row r="926" ht="14.25" customHeight="1">
      <c r="B926" s="5">
        <v>12.0</v>
      </c>
      <c r="C926" s="5" t="s">
        <v>7666</v>
      </c>
      <c r="D926" s="5">
        <v>687.0</v>
      </c>
      <c r="E926" s="5">
        <v>2138.0</v>
      </c>
      <c r="F926" s="18" t="s">
        <v>3484</v>
      </c>
      <c r="G926" s="5" t="s">
        <v>3485</v>
      </c>
      <c r="H926" s="5" t="s">
        <v>3486</v>
      </c>
      <c r="I926" s="5" t="s">
        <v>1664</v>
      </c>
      <c r="J926" s="5" t="s">
        <v>1746</v>
      </c>
      <c r="K926" s="5">
        <v>1.0</v>
      </c>
      <c r="L926" s="5">
        <v>2541.0</v>
      </c>
      <c r="M926" s="8"/>
      <c r="AO926" s="5" t="s">
        <v>3484</v>
      </c>
      <c r="AP926" s="5">
        <v>687.0</v>
      </c>
      <c r="AQ926" s="5" t="s">
        <v>1716</v>
      </c>
      <c r="AR926" s="5" t="s">
        <v>1717</v>
      </c>
      <c r="AS926" s="5" t="s">
        <v>1718</v>
      </c>
      <c r="AT926" s="5" t="s">
        <v>1719</v>
      </c>
      <c r="AU926" s="5" t="s">
        <v>1703</v>
      </c>
      <c r="AV926" s="5" t="s">
        <v>1720</v>
      </c>
      <c r="AW926" s="5" t="s">
        <v>2193</v>
      </c>
      <c r="AX926" s="5" t="s">
        <v>2194</v>
      </c>
      <c r="AY926" s="5">
        <v>53.1</v>
      </c>
      <c r="AZ926" s="5">
        <v>-123.4</v>
      </c>
      <c r="BA926" s="5">
        <v>8.0</v>
      </c>
    </row>
    <row r="927" ht="14.25" customHeight="1">
      <c r="A927" s="5" t="s">
        <v>422</v>
      </c>
      <c r="B927" s="5">
        <v>12.0</v>
      </c>
      <c r="C927" s="5" t="s">
        <v>7666</v>
      </c>
      <c r="D927" s="5">
        <v>688.0</v>
      </c>
      <c r="E927" s="5">
        <v>2139.0</v>
      </c>
      <c r="F927" s="18" t="s">
        <v>3487</v>
      </c>
      <c r="G927" s="5" t="s">
        <v>3488</v>
      </c>
      <c r="H927" s="5" t="s">
        <v>3489</v>
      </c>
      <c r="I927" s="5" t="s">
        <v>1664</v>
      </c>
      <c r="J927" s="5" t="s">
        <v>1746</v>
      </c>
      <c r="K927" s="5">
        <v>1.0</v>
      </c>
      <c r="L927" s="5">
        <v>2542.0</v>
      </c>
      <c r="M927" s="8"/>
      <c r="AO927" s="5" t="s">
        <v>3487</v>
      </c>
      <c r="AP927" s="5">
        <v>688.0</v>
      </c>
      <c r="AQ927" s="5" t="s">
        <v>1716</v>
      </c>
      <c r="AR927" s="5" t="s">
        <v>1717</v>
      </c>
      <c r="AS927" s="5" t="s">
        <v>1718</v>
      </c>
      <c r="AT927" s="5" t="s">
        <v>1719</v>
      </c>
      <c r="AU927" s="5" t="s">
        <v>1703</v>
      </c>
      <c r="AV927" s="5" t="s">
        <v>1720</v>
      </c>
      <c r="AW927" s="5" t="s">
        <v>2193</v>
      </c>
      <c r="AX927" s="5" t="s">
        <v>2356</v>
      </c>
      <c r="AY927" s="5">
        <v>52.2</v>
      </c>
      <c r="AZ927" s="5">
        <v>-120.7</v>
      </c>
      <c r="BA927" s="5">
        <v>0.0</v>
      </c>
    </row>
    <row r="928" ht="14.25" customHeight="1">
      <c r="A928" s="5" t="s">
        <v>422</v>
      </c>
      <c r="B928" s="5">
        <v>12.0</v>
      </c>
      <c r="C928" s="5" t="s">
        <v>7666</v>
      </c>
      <c r="D928" s="5">
        <v>689.0</v>
      </c>
      <c r="E928" s="5">
        <v>2140.0</v>
      </c>
      <c r="F928" s="18" t="s">
        <v>3490</v>
      </c>
      <c r="G928" s="29" t="s">
        <v>3491</v>
      </c>
      <c r="H928" s="5" t="s">
        <v>3492</v>
      </c>
      <c r="I928" s="5" t="s">
        <v>641</v>
      </c>
      <c r="J928" s="5" t="s">
        <v>1746</v>
      </c>
      <c r="K928" s="5">
        <v>1.0</v>
      </c>
      <c r="L928" s="5">
        <v>2543.0</v>
      </c>
      <c r="M928" s="8"/>
      <c r="AO928" s="5" t="s">
        <v>3490</v>
      </c>
      <c r="AP928" s="5">
        <v>689.0</v>
      </c>
      <c r="AQ928" s="5" t="s">
        <v>1716</v>
      </c>
      <c r="AR928" s="5" t="s">
        <v>1717</v>
      </c>
      <c r="AS928" s="5" t="s">
        <v>1718</v>
      </c>
      <c r="AT928" s="5" t="s">
        <v>1719</v>
      </c>
      <c r="AU928" s="5" t="s">
        <v>1703</v>
      </c>
      <c r="AV928" s="5" t="s">
        <v>1720</v>
      </c>
      <c r="AW928" s="5" t="s">
        <v>2193</v>
      </c>
      <c r="AX928" s="5" t="s">
        <v>2356</v>
      </c>
      <c r="AY928" s="5">
        <v>52.5</v>
      </c>
      <c r="AZ928" s="5">
        <v>-121.5</v>
      </c>
      <c r="BA928" s="5">
        <v>0.0</v>
      </c>
    </row>
    <row r="929" ht="14.25" customHeight="1">
      <c r="B929" s="5">
        <v>12.0</v>
      </c>
      <c r="C929" s="5" t="s">
        <v>7666</v>
      </c>
      <c r="D929" s="5">
        <v>690.0</v>
      </c>
      <c r="E929" s="5">
        <v>2141.0</v>
      </c>
      <c r="F929" s="18" t="s">
        <v>3493</v>
      </c>
      <c r="G929" s="5" t="s">
        <v>3494</v>
      </c>
      <c r="H929" s="5" t="s">
        <v>3495</v>
      </c>
      <c r="I929" s="5" t="s">
        <v>1664</v>
      </c>
      <c r="J929" s="5" t="s">
        <v>1746</v>
      </c>
      <c r="K929" s="5">
        <v>1.0</v>
      </c>
      <c r="L929" s="5">
        <v>2544.0</v>
      </c>
      <c r="M929" s="8"/>
      <c r="AO929" s="5" t="s">
        <v>3493</v>
      </c>
      <c r="AP929" s="5">
        <v>690.0</v>
      </c>
      <c r="AQ929" s="5" t="s">
        <v>1716</v>
      </c>
      <c r="AR929" s="5" t="s">
        <v>1717</v>
      </c>
      <c r="AS929" s="5" t="s">
        <v>1718</v>
      </c>
      <c r="AT929" s="5" t="s">
        <v>1719</v>
      </c>
      <c r="AU929" s="5" t="s">
        <v>1703</v>
      </c>
      <c r="AV929" s="5" t="s">
        <v>1720</v>
      </c>
      <c r="AW929" s="5" t="s">
        <v>2193</v>
      </c>
      <c r="AX929" s="5" t="s">
        <v>2401</v>
      </c>
      <c r="AY929" s="5">
        <v>52.0</v>
      </c>
      <c r="AZ929" s="5">
        <v>-120.2</v>
      </c>
      <c r="BA929" s="5">
        <v>14.0</v>
      </c>
    </row>
    <row r="930" ht="14.25" customHeight="1">
      <c r="A930" s="5" t="s">
        <v>422</v>
      </c>
      <c r="B930" s="5">
        <v>12.0</v>
      </c>
      <c r="C930" s="5" t="s">
        <v>7666</v>
      </c>
      <c r="D930" s="5">
        <v>691.0</v>
      </c>
      <c r="E930" s="5">
        <v>2142.0</v>
      </c>
      <c r="F930" s="18" t="s">
        <v>3496</v>
      </c>
      <c r="G930" s="5" t="s">
        <v>3497</v>
      </c>
      <c r="H930" s="5" t="s">
        <v>3498</v>
      </c>
      <c r="I930" s="5" t="s">
        <v>1664</v>
      </c>
      <c r="J930" s="5" t="s">
        <v>1746</v>
      </c>
      <c r="K930" s="5">
        <v>1.0</v>
      </c>
      <c r="L930" s="5">
        <v>2545.0</v>
      </c>
      <c r="M930" s="8"/>
      <c r="AO930" s="5" t="s">
        <v>3496</v>
      </c>
      <c r="AP930" s="5">
        <v>691.0</v>
      </c>
      <c r="AQ930" s="5" t="s">
        <v>1716</v>
      </c>
      <c r="AR930" s="5" t="s">
        <v>1717</v>
      </c>
      <c r="AS930" s="5" t="s">
        <v>1718</v>
      </c>
      <c r="AT930" s="5" t="s">
        <v>1719</v>
      </c>
      <c r="AU930" s="5" t="s">
        <v>1703</v>
      </c>
      <c r="AV930" s="5" t="s">
        <v>1720</v>
      </c>
      <c r="AW930" s="5" t="s">
        <v>2368</v>
      </c>
      <c r="AX930" s="5" t="s">
        <v>2401</v>
      </c>
      <c r="AY930" s="5">
        <v>51.8</v>
      </c>
      <c r="AZ930" s="5">
        <v>-119.4</v>
      </c>
      <c r="BA930" s="5">
        <v>11.0</v>
      </c>
    </row>
    <row r="931" ht="14.25" customHeight="1">
      <c r="B931" s="5">
        <v>12.0</v>
      </c>
      <c r="C931" s="5" t="s">
        <v>7666</v>
      </c>
      <c r="D931" s="5">
        <v>692.0</v>
      </c>
      <c r="E931" s="5">
        <v>2143.0</v>
      </c>
      <c r="F931" s="18" t="s">
        <v>3499</v>
      </c>
      <c r="G931" s="5" t="s">
        <v>3500</v>
      </c>
      <c r="H931" s="5" t="s">
        <v>3501</v>
      </c>
      <c r="I931" s="5" t="s">
        <v>1664</v>
      </c>
      <c r="J931" s="5" t="s">
        <v>1715</v>
      </c>
      <c r="K931" s="5">
        <v>1.0</v>
      </c>
      <c r="L931" s="5">
        <v>2546.0</v>
      </c>
      <c r="M931" s="8"/>
      <c r="AO931" s="5" t="s">
        <v>3499</v>
      </c>
      <c r="AP931" s="5">
        <v>692.0</v>
      </c>
      <c r="AQ931" s="5" t="s">
        <v>1716</v>
      </c>
      <c r="AR931" s="5" t="s">
        <v>1717</v>
      </c>
      <c r="AS931" s="5" t="s">
        <v>1718</v>
      </c>
      <c r="AT931" s="5" t="s">
        <v>1719</v>
      </c>
      <c r="AU931" s="5" t="s">
        <v>1703</v>
      </c>
      <c r="AV931" s="5" t="s">
        <v>1720</v>
      </c>
      <c r="AW931" s="5" t="s">
        <v>2193</v>
      </c>
      <c r="AX931" s="5" t="s">
        <v>2287</v>
      </c>
      <c r="AY931" s="5">
        <v>51.6</v>
      </c>
      <c r="AZ931" s="5">
        <v>-120.9</v>
      </c>
      <c r="BA931" s="5">
        <v>13.0</v>
      </c>
    </row>
    <row r="932" ht="14.25" customHeight="1">
      <c r="A932" s="5" t="s">
        <v>422</v>
      </c>
      <c r="B932" s="5">
        <v>12.0</v>
      </c>
      <c r="C932" s="5" t="s">
        <v>7666</v>
      </c>
      <c r="D932" s="5">
        <v>693.0</v>
      </c>
      <c r="E932" s="5">
        <v>2144.0</v>
      </c>
      <c r="F932" s="18" t="s">
        <v>3502</v>
      </c>
      <c r="G932" s="5" t="s">
        <v>3503</v>
      </c>
      <c r="H932" s="5" t="s">
        <v>3504</v>
      </c>
      <c r="I932" s="5" t="s">
        <v>1664</v>
      </c>
      <c r="J932" s="5" t="s">
        <v>1746</v>
      </c>
      <c r="K932" s="5">
        <v>1.0</v>
      </c>
      <c r="L932" s="5">
        <v>2547.0</v>
      </c>
      <c r="M932" s="8"/>
      <c r="AO932" s="5" t="s">
        <v>3502</v>
      </c>
      <c r="AP932" s="5">
        <v>693.0</v>
      </c>
      <c r="AQ932" s="5" t="s">
        <v>1716</v>
      </c>
      <c r="AR932" s="5" t="s">
        <v>1717</v>
      </c>
      <c r="AS932" s="5" t="s">
        <v>1718</v>
      </c>
      <c r="AT932" s="5" t="s">
        <v>1719</v>
      </c>
      <c r="AU932" s="5" t="s">
        <v>1703</v>
      </c>
      <c r="AV932" s="5" t="s">
        <v>1720</v>
      </c>
      <c r="AW932" s="5" t="s">
        <v>2368</v>
      </c>
      <c r="AX932" s="5" t="s">
        <v>2401</v>
      </c>
      <c r="AY932" s="5">
        <v>51.7</v>
      </c>
      <c r="AZ932" s="5">
        <v>-119.6</v>
      </c>
      <c r="BA932" s="5">
        <v>13.0</v>
      </c>
    </row>
    <row r="933" ht="14.25" customHeight="1">
      <c r="B933" s="5">
        <v>12.0</v>
      </c>
      <c r="C933" s="5" t="s">
        <v>7666</v>
      </c>
      <c r="D933" s="5">
        <v>694.0</v>
      </c>
      <c r="E933" s="5">
        <v>2145.0</v>
      </c>
      <c r="F933" s="18" t="s">
        <v>3505</v>
      </c>
      <c r="G933" s="5" t="s">
        <v>3506</v>
      </c>
      <c r="H933" s="5" t="s">
        <v>3507</v>
      </c>
      <c r="I933" s="5" t="s">
        <v>1664</v>
      </c>
      <c r="J933" s="5" t="s">
        <v>1746</v>
      </c>
      <c r="K933" s="5">
        <v>1.0</v>
      </c>
      <c r="L933" s="5">
        <v>2548.0</v>
      </c>
      <c r="M933" s="8"/>
      <c r="AO933" s="5" t="s">
        <v>3505</v>
      </c>
      <c r="AP933" s="5">
        <v>694.0</v>
      </c>
      <c r="AQ933" s="5" t="s">
        <v>1716</v>
      </c>
      <c r="AR933" s="5" t="s">
        <v>1717</v>
      </c>
      <c r="AS933" s="5" t="s">
        <v>1718</v>
      </c>
      <c r="AT933" s="5" t="s">
        <v>1719</v>
      </c>
      <c r="AU933" s="5" t="s">
        <v>1703</v>
      </c>
      <c r="AV933" s="5" t="s">
        <v>1720</v>
      </c>
      <c r="AW933" s="5" t="s">
        <v>2193</v>
      </c>
      <c r="AX933" s="5" t="s">
        <v>2287</v>
      </c>
      <c r="AY933" s="5">
        <v>52.0</v>
      </c>
      <c r="AZ933" s="5">
        <v>-120.8</v>
      </c>
      <c r="BA933" s="5">
        <v>13.0</v>
      </c>
    </row>
    <row r="934" ht="14.25" customHeight="1">
      <c r="B934" s="5">
        <v>12.0</v>
      </c>
      <c r="C934" s="5" t="s">
        <v>7666</v>
      </c>
      <c r="D934" s="5">
        <v>695.0</v>
      </c>
      <c r="E934" s="5">
        <v>2146.0</v>
      </c>
      <c r="F934" s="18" t="s">
        <v>3508</v>
      </c>
      <c r="G934" s="5" t="s">
        <v>3509</v>
      </c>
      <c r="H934" s="5" t="s">
        <v>3510</v>
      </c>
      <c r="I934" s="5" t="s">
        <v>1664</v>
      </c>
      <c r="J934" s="5" t="s">
        <v>1715</v>
      </c>
      <c r="K934" s="5">
        <v>1.0</v>
      </c>
      <c r="L934" s="5">
        <v>2549.0</v>
      </c>
      <c r="M934" s="8"/>
      <c r="AO934" s="5" t="s">
        <v>3508</v>
      </c>
      <c r="AP934" s="5">
        <v>695.0</v>
      </c>
      <c r="AQ934" s="5" t="s">
        <v>1716</v>
      </c>
      <c r="AR934" s="5" t="s">
        <v>1717</v>
      </c>
      <c r="AS934" s="5" t="s">
        <v>1718</v>
      </c>
      <c r="AT934" s="5" t="s">
        <v>1719</v>
      </c>
      <c r="AU934" s="5" t="s">
        <v>1703</v>
      </c>
      <c r="AV934" s="5" t="s">
        <v>1720</v>
      </c>
      <c r="AW934" s="5" t="s">
        <v>2193</v>
      </c>
      <c r="AX934" s="5" t="s">
        <v>2194</v>
      </c>
      <c r="AY934" s="5">
        <v>52.9</v>
      </c>
      <c r="AZ934" s="5">
        <v>-121.7</v>
      </c>
      <c r="BA934" s="5">
        <v>13.0</v>
      </c>
    </row>
    <row r="935" ht="14.25" customHeight="1">
      <c r="B935" s="5">
        <v>12.0</v>
      </c>
      <c r="C935" s="5" t="s">
        <v>7666</v>
      </c>
      <c r="D935" s="5">
        <v>696.0</v>
      </c>
      <c r="E935" s="5">
        <v>2147.0</v>
      </c>
      <c r="F935" s="18" t="s">
        <v>3511</v>
      </c>
      <c r="G935" s="5" t="s">
        <v>3512</v>
      </c>
      <c r="H935" s="5" t="s">
        <v>3513</v>
      </c>
      <c r="I935" s="5" t="s">
        <v>1664</v>
      </c>
      <c r="J935" s="5" t="s">
        <v>1746</v>
      </c>
      <c r="K935" s="5">
        <v>1.0</v>
      </c>
      <c r="L935" s="5">
        <v>2550.0</v>
      </c>
      <c r="M935" s="8"/>
      <c r="AO935" s="5" t="s">
        <v>3511</v>
      </c>
      <c r="AP935" s="5">
        <v>696.0</v>
      </c>
      <c r="AQ935" s="5" t="s">
        <v>1716</v>
      </c>
      <c r="AR935" s="5" t="s">
        <v>1717</v>
      </c>
      <c r="AS935" s="5" t="s">
        <v>1718</v>
      </c>
      <c r="AT935" s="5" t="s">
        <v>1719</v>
      </c>
      <c r="AU935" s="5" t="s">
        <v>1703</v>
      </c>
      <c r="AV935" s="5" t="s">
        <v>1720</v>
      </c>
      <c r="AW935" s="5" t="s">
        <v>2368</v>
      </c>
      <c r="AX935" s="5" t="s">
        <v>2369</v>
      </c>
      <c r="AY935" s="5">
        <v>51.0</v>
      </c>
      <c r="AZ935" s="5">
        <v>-120.0</v>
      </c>
      <c r="BA935" s="5">
        <v>13.0</v>
      </c>
    </row>
    <row r="936" ht="14.25" customHeight="1">
      <c r="B936" s="5">
        <v>12.0</v>
      </c>
      <c r="C936" s="5" t="s">
        <v>7666</v>
      </c>
      <c r="D936" s="5">
        <v>697.0</v>
      </c>
      <c r="E936" s="5">
        <v>2148.0</v>
      </c>
      <c r="F936" s="18" t="s">
        <v>3514</v>
      </c>
      <c r="G936" s="5" t="s">
        <v>3515</v>
      </c>
      <c r="H936" s="5" t="s">
        <v>3516</v>
      </c>
      <c r="I936" s="5" t="s">
        <v>1664</v>
      </c>
      <c r="J936" s="5" t="s">
        <v>1746</v>
      </c>
      <c r="K936" s="5">
        <v>1.0</v>
      </c>
      <c r="L936" s="5">
        <v>2551.0</v>
      </c>
      <c r="M936" s="8"/>
      <c r="AO936" s="5" t="s">
        <v>3514</v>
      </c>
      <c r="AP936" s="5">
        <v>697.0</v>
      </c>
      <c r="AQ936" s="5" t="s">
        <v>1716</v>
      </c>
      <c r="AR936" s="5" t="s">
        <v>1717</v>
      </c>
      <c r="AS936" s="5" t="s">
        <v>1718</v>
      </c>
      <c r="AT936" s="5" t="s">
        <v>1719</v>
      </c>
      <c r="AU936" s="5" t="s">
        <v>1703</v>
      </c>
      <c r="AV936" s="5" t="s">
        <v>1720</v>
      </c>
      <c r="AW936" s="5" t="s">
        <v>2193</v>
      </c>
      <c r="AX936" s="5" t="s">
        <v>2194</v>
      </c>
      <c r="AY936" s="5">
        <v>53.0</v>
      </c>
      <c r="AZ936" s="5">
        <v>-121.0</v>
      </c>
      <c r="BA936" s="5">
        <v>13.0</v>
      </c>
    </row>
    <row r="937" ht="14.25" customHeight="1">
      <c r="B937" s="5">
        <v>12.0</v>
      </c>
      <c r="C937" s="5" t="s">
        <v>7666</v>
      </c>
      <c r="D937" s="5">
        <v>698.0</v>
      </c>
      <c r="E937" s="5">
        <v>2149.0</v>
      </c>
      <c r="F937" s="18" t="s">
        <v>3517</v>
      </c>
      <c r="G937" s="5" t="s">
        <v>3518</v>
      </c>
      <c r="H937" s="5" t="s">
        <v>3041</v>
      </c>
      <c r="I937" s="5" t="s">
        <v>1664</v>
      </c>
      <c r="J937" s="5" t="s">
        <v>1715</v>
      </c>
      <c r="K937" s="5">
        <v>1.0</v>
      </c>
      <c r="L937" s="5">
        <v>2552.0</v>
      </c>
      <c r="M937" s="8"/>
      <c r="AO937" s="5" t="s">
        <v>3517</v>
      </c>
      <c r="AP937" s="5">
        <v>698.0</v>
      </c>
      <c r="AQ937" s="5" t="s">
        <v>1716</v>
      </c>
      <c r="AR937" s="5" t="s">
        <v>1717</v>
      </c>
      <c r="AS937" s="5" t="s">
        <v>1718</v>
      </c>
      <c r="AT937" s="5" t="s">
        <v>1719</v>
      </c>
      <c r="AU937" s="5" t="s">
        <v>1703</v>
      </c>
      <c r="AV937" s="5" t="s">
        <v>1720</v>
      </c>
      <c r="AW937" s="5" t="s">
        <v>2193</v>
      </c>
      <c r="AX937" s="5" t="s">
        <v>2287</v>
      </c>
      <c r="AY937" s="5">
        <v>52.0</v>
      </c>
      <c r="AZ937" s="5">
        <v>-121.0</v>
      </c>
      <c r="BA937" s="5">
        <v>13.0</v>
      </c>
    </row>
    <row r="938" ht="14.25" customHeight="1">
      <c r="B938" s="5">
        <v>12.0</v>
      </c>
      <c r="C938" s="5" t="s">
        <v>7666</v>
      </c>
      <c r="D938" s="5">
        <v>700.0</v>
      </c>
      <c r="E938" s="5">
        <v>2150.0</v>
      </c>
      <c r="F938" s="18" t="s">
        <v>3519</v>
      </c>
      <c r="G938" s="5" t="s">
        <v>3520</v>
      </c>
      <c r="H938" s="5" t="s">
        <v>3521</v>
      </c>
      <c r="I938" s="5" t="s">
        <v>1664</v>
      </c>
      <c r="J938" s="5" t="s">
        <v>1746</v>
      </c>
      <c r="K938" s="5">
        <v>1.0</v>
      </c>
      <c r="L938" s="5">
        <v>2553.0</v>
      </c>
      <c r="M938" s="8"/>
      <c r="AO938" s="5" t="s">
        <v>3519</v>
      </c>
      <c r="AP938" s="5">
        <v>700.0</v>
      </c>
      <c r="AQ938" s="5" t="s">
        <v>1716</v>
      </c>
      <c r="AR938" s="5" t="s">
        <v>1717</v>
      </c>
      <c r="AS938" s="5" t="s">
        <v>1718</v>
      </c>
      <c r="AT938" s="5" t="s">
        <v>1719</v>
      </c>
      <c r="AU938" s="5" t="s">
        <v>1703</v>
      </c>
      <c r="AV938" s="5" t="s">
        <v>1720</v>
      </c>
      <c r="AW938" s="5" t="s">
        <v>2193</v>
      </c>
      <c r="AX938" s="5" t="s">
        <v>2369</v>
      </c>
      <c r="AY938" s="5">
        <v>50.5</v>
      </c>
      <c r="AZ938" s="5">
        <v>-120.3</v>
      </c>
      <c r="BA938" s="5">
        <v>9.0</v>
      </c>
    </row>
    <row r="939" ht="14.25" customHeight="1">
      <c r="B939" s="5">
        <v>12.0</v>
      </c>
      <c r="C939" s="5" t="s">
        <v>7666</v>
      </c>
      <c r="D939" s="5">
        <v>701.0</v>
      </c>
      <c r="E939" s="5">
        <v>2151.0</v>
      </c>
      <c r="F939" s="18" t="s">
        <v>3522</v>
      </c>
      <c r="G939" s="5" t="s">
        <v>3523</v>
      </c>
      <c r="H939" s="5" t="s">
        <v>3524</v>
      </c>
      <c r="I939" s="5" t="s">
        <v>1664</v>
      </c>
      <c r="J939" s="5" t="s">
        <v>1715</v>
      </c>
      <c r="K939" s="5">
        <v>1.0</v>
      </c>
      <c r="L939" s="5">
        <v>2554.0</v>
      </c>
      <c r="M939" s="8"/>
      <c r="AO939" s="5" t="s">
        <v>3522</v>
      </c>
      <c r="AP939" s="5">
        <v>701.0</v>
      </c>
      <c r="AQ939" s="5" t="s">
        <v>1716</v>
      </c>
      <c r="AR939" s="5" t="s">
        <v>1717</v>
      </c>
      <c r="AS939" s="5" t="s">
        <v>1718</v>
      </c>
      <c r="AT939" s="5" t="s">
        <v>1719</v>
      </c>
      <c r="AU939" s="5" t="s">
        <v>1703</v>
      </c>
      <c r="AV939" s="5" t="s">
        <v>1720</v>
      </c>
      <c r="AW939" s="5" t="s">
        <v>2193</v>
      </c>
      <c r="AX939" s="5" t="s">
        <v>2356</v>
      </c>
      <c r="AY939" s="5">
        <v>52.5</v>
      </c>
      <c r="AZ939" s="5">
        <v>-121.5</v>
      </c>
      <c r="BA939" s="5">
        <v>98.0</v>
      </c>
    </row>
    <row r="940" ht="14.25" customHeight="1">
      <c r="B940" s="5">
        <v>12.0</v>
      </c>
      <c r="C940" s="5" t="s">
        <v>7666</v>
      </c>
      <c r="D940" s="5">
        <v>702.0</v>
      </c>
      <c r="E940" s="5">
        <v>2152.0</v>
      </c>
      <c r="F940" s="18" t="s">
        <v>3525</v>
      </c>
      <c r="G940" s="5" t="s">
        <v>3526</v>
      </c>
      <c r="H940" s="5" t="s">
        <v>3527</v>
      </c>
      <c r="I940" s="5" t="s">
        <v>1664</v>
      </c>
      <c r="J940" s="5" t="s">
        <v>1746</v>
      </c>
      <c r="K940" s="5">
        <v>1.0</v>
      </c>
      <c r="L940" s="5">
        <v>2555.0</v>
      </c>
      <c r="M940" s="8"/>
      <c r="AO940" s="5" t="s">
        <v>3525</v>
      </c>
      <c r="AP940" s="5">
        <v>702.0</v>
      </c>
      <c r="AQ940" s="5" t="s">
        <v>1716</v>
      </c>
      <c r="AR940" s="5" t="s">
        <v>1717</v>
      </c>
      <c r="AS940" s="5" t="s">
        <v>1718</v>
      </c>
      <c r="AT940" s="5" t="s">
        <v>1719</v>
      </c>
      <c r="AU940" s="5" t="s">
        <v>1703</v>
      </c>
      <c r="AV940" s="5" t="s">
        <v>1720</v>
      </c>
      <c r="AW940" s="5" t="s">
        <v>2193</v>
      </c>
      <c r="AX940" s="5" t="s">
        <v>1879</v>
      </c>
      <c r="AY940" s="5">
        <v>50.0</v>
      </c>
      <c r="AZ940" s="5">
        <v>-123.0</v>
      </c>
      <c r="BA940" s="5">
        <v>0.0</v>
      </c>
    </row>
    <row r="941" ht="14.25" customHeight="1">
      <c r="B941" s="5">
        <v>12.0</v>
      </c>
      <c r="C941" s="5" t="s">
        <v>7666</v>
      </c>
      <c r="D941" s="5">
        <v>703.0</v>
      </c>
      <c r="E941" s="5">
        <v>2153.0</v>
      </c>
      <c r="F941" s="18" t="s">
        <v>3528</v>
      </c>
      <c r="G941" s="5" t="s">
        <v>3529</v>
      </c>
      <c r="H941" s="5" t="s">
        <v>3530</v>
      </c>
      <c r="I941" s="5" t="s">
        <v>641</v>
      </c>
      <c r="J941" s="5" t="s">
        <v>1746</v>
      </c>
      <c r="K941" s="5">
        <v>1.0</v>
      </c>
      <c r="L941" s="5">
        <v>2556.0</v>
      </c>
      <c r="M941" s="8"/>
      <c r="AO941" s="5" t="s">
        <v>3528</v>
      </c>
      <c r="AP941" s="5">
        <v>703.0</v>
      </c>
      <c r="AQ941" s="5" t="s">
        <v>1716</v>
      </c>
      <c r="AR941" s="5" t="s">
        <v>1717</v>
      </c>
      <c r="AS941" s="5" t="s">
        <v>1718</v>
      </c>
      <c r="AT941" s="5" t="s">
        <v>1703</v>
      </c>
      <c r="AU941" s="5" t="s">
        <v>1703</v>
      </c>
      <c r="AV941" s="5" t="s">
        <v>1720</v>
      </c>
      <c r="AW941" s="5" t="s">
        <v>2368</v>
      </c>
      <c r="AX941" s="5" t="s">
        <v>2258</v>
      </c>
      <c r="AY941" s="5">
        <v>52.5</v>
      </c>
      <c r="AZ941" s="5">
        <v>-119.1</v>
      </c>
      <c r="BA941" s="5">
        <v>9.0</v>
      </c>
    </row>
    <row r="942" ht="14.25" customHeight="1">
      <c r="A942" s="5" t="s">
        <v>422</v>
      </c>
      <c r="B942" s="5">
        <v>12.0</v>
      </c>
      <c r="C942" s="5" t="s">
        <v>7666</v>
      </c>
      <c r="D942" s="5">
        <v>704.0</v>
      </c>
      <c r="E942" s="5">
        <v>2154.0</v>
      </c>
      <c r="F942" s="18" t="s">
        <v>3531</v>
      </c>
      <c r="G942" s="5" t="s">
        <v>3532</v>
      </c>
      <c r="H942" s="5" t="s">
        <v>3533</v>
      </c>
      <c r="I942" s="5" t="s">
        <v>641</v>
      </c>
      <c r="J942" s="5" t="s">
        <v>1746</v>
      </c>
      <c r="K942" s="5">
        <v>1.0</v>
      </c>
      <c r="L942" s="5">
        <v>2557.0</v>
      </c>
      <c r="M942" s="8"/>
      <c r="AO942" s="5" t="s">
        <v>3531</v>
      </c>
      <c r="AP942" s="5">
        <v>704.0</v>
      </c>
      <c r="AQ942" s="5" t="s">
        <v>1716</v>
      </c>
      <c r="AR942" s="5" t="s">
        <v>1717</v>
      </c>
      <c r="AS942" s="5" t="s">
        <v>1718</v>
      </c>
      <c r="AT942" s="5" t="s">
        <v>1719</v>
      </c>
      <c r="AU942" s="5" t="s">
        <v>1703</v>
      </c>
      <c r="AV942" s="5" t="s">
        <v>1720</v>
      </c>
      <c r="AW942" s="5" t="s">
        <v>2368</v>
      </c>
      <c r="AX942" s="5" t="s">
        <v>2258</v>
      </c>
      <c r="AY942" s="5">
        <v>52.5</v>
      </c>
      <c r="AZ942" s="5">
        <v>-119.0</v>
      </c>
      <c r="BA942" s="5">
        <v>7.0</v>
      </c>
    </row>
    <row r="943" ht="14.25" customHeight="1">
      <c r="B943" s="5">
        <v>12.0</v>
      </c>
      <c r="C943" s="5" t="s">
        <v>7666</v>
      </c>
      <c r="D943" s="5">
        <v>705.0</v>
      </c>
      <c r="E943" s="5">
        <v>2155.0</v>
      </c>
      <c r="F943" s="18" t="s">
        <v>3534</v>
      </c>
      <c r="G943" s="29" t="s">
        <v>3535</v>
      </c>
      <c r="H943" s="5" t="s">
        <v>3536</v>
      </c>
      <c r="I943" s="5" t="s">
        <v>1664</v>
      </c>
      <c r="J943" s="5" t="s">
        <v>1746</v>
      </c>
      <c r="K943" s="5">
        <v>1.0</v>
      </c>
      <c r="L943" s="5">
        <v>2558.0</v>
      </c>
      <c r="M943" s="8"/>
      <c r="AO943" s="5" t="s">
        <v>3534</v>
      </c>
      <c r="AP943" s="5">
        <v>705.0</v>
      </c>
      <c r="AQ943" s="5" t="s">
        <v>1716</v>
      </c>
      <c r="AR943" s="5" t="s">
        <v>1717</v>
      </c>
      <c r="AS943" s="5" t="s">
        <v>1718</v>
      </c>
      <c r="AT943" s="5" t="s">
        <v>1719</v>
      </c>
      <c r="AU943" s="5" t="s">
        <v>1703</v>
      </c>
      <c r="AV943" s="5" t="s">
        <v>1720</v>
      </c>
      <c r="AW943" s="5" t="s">
        <v>2193</v>
      </c>
      <c r="AX943" s="5" t="s">
        <v>2356</v>
      </c>
      <c r="AY943" s="5">
        <v>52.3</v>
      </c>
      <c r="AZ943" s="5">
        <v>-121.4</v>
      </c>
      <c r="BA943" s="5">
        <v>0.0</v>
      </c>
    </row>
    <row r="944" ht="14.25" customHeight="1">
      <c r="A944" s="5" t="s">
        <v>422</v>
      </c>
      <c r="B944" s="5">
        <v>12.0</v>
      </c>
      <c r="C944" s="5" t="s">
        <v>7666</v>
      </c>
      <c r="D944" s="5">
        <v>706.0</v>
      </c>
      <c r="E944" s="5">
        <v>2156.0</v>
      </c>
      <c r="F944" s="18" t="s">
        <v>3537</v>
      </c>
      <c r="G944" s="29" t="s">
        <v>3538</v>
      </c>
      <c r="H944" s="5" t="s">
        <v>3539</v>
      </c>
      <c r="I944" s="5" t="s">
        <v>1664</v>
      </c>
      <c r="J944" s="5" t="s">
        <v>1746</v>
      </c>
      <c r="K944" s="5">
        <v>1.0</v>
      </c>
      <c r="L944" s="5">
        <v>2559.0</v>
      </c>
      <c r="M944" s="8"/>
      <c r="AO944" s="5" t="s">
        <v>3537</v>
      </c>
      <c r="AP944" s="5">
        <v>706.0</v>
      </c>
      <c r="AQ944" s="5" t="s">
        <v>1716</v>
      </c>
      <c r="AR944" s="5" t="s">
        <v>1717</v>
      </c>
      <c r="AS944" s="5" t="s">
        <v>1718</v>
      </c>
      <c r="AT944" s="5" t="s">
        <v>1719</v>
      </c>
      <c r="AU944" s="5" t="s">
        <v>1703</v>
      </c>
      <c r="AV944" s="5" t="s">
        <v>1720</v>
      </c>
      <c r="AW944" s="5" t="s">
        <v>2193</v>
      </c>
      <c r="AX944" s="5" t="s">
        <v>2401</v>
      </c>
      <c r="AY944" s="5">
        <v>52.5</v>
      </c>
      <c r="AZ944" s="5">
        <v>-120.5</v>
      </c>
      <c r="BA944" s="5">
        <v>30.0</v>
      </c>
    </row>
    <row r="945" ht="14.25" customHeight="1">
      <c r="B945" s="5">
        <v>12.0</v>
      </c>
      <c r="C945" s="5" t="s">
        <v>7666</v>
      </c>
      <c r="D945" s="5">
        <v>707.0</v>
      </c>
      <c r="E945" s="5">
        <v>2157.0</v>
      </c>
      <c r="F945" s="18" t="s">
        <v>3540</v>
      </c>
      <c r="G945" s="5" t="s">
        <v>3541</v>
      </c>
      <c r="H945" s="5" t="s">
        <v>3542</v>
      </c>
      <c r="I945" s="5" t="s">
        <v>1664</v>
      </c>
      <c r="J945" s="5" t="s">
        <v>1746</v>
      </c>
      <c r="K945" s="5">
        <v>1.0</v>
      </c>
      <c r="L945" s="5">
        <v>2560.0</v>
      </c>
      <c r="M945" s="8"/>
      <c r="AO945" s="5" t="s">
        <v>3540</v>
      </c>
      <c r="AP945" s="5">
        <v>707.0</v>
      </c>
      <c r="AQ945" s="5" t="s">
        <v>1716</v>
      </c>
      <c r="AR945" s="5" t="s">
        <v>1717</v>
      </c>
      <c r="AS945" s="5" t="s">
        <v>1718</v>
      </c>
      <c r="AT945" s="5" t="s">
        <v>1719</v>
      </c>
      <c r="AU945" s="5" t="s">
        <v>1703</v>
      </c>
      <c r="AV945" s="5" t="s">
        <v>1720</v>
      </c>
      <c r="AW945" s="5" t="s">
        <v>2193</v>
      </c>
      <c r="AX945" s="5" t="s">
        <v>2194</v>
      </c>
      <c r="AY945" s="5">
        <v>52.4</v>
      </c>
      <c r="AZ945" s="5">
        <v>-122.8</v>
      </c>
      <c r="BA945" s="5">
        <v>13.0</v>
      </c>
    </row>
    <row r="946" ht="14.25" customHeight="1">
      <c r="A946" s="5" t="s">
        <v>422</v>
      </c>
      <c r="B946" s="5">
        <v>12.0</v>
      </c>
      <c r="C946" s="5" t="s">
        <v>7666</v>
      </c>
      <c r="D946" s="5">
        <v>708.0</v>
      </c>
      <c r="E946" s="5">
        <v>2158.0</v>
      </c>
      <c r="F946" s="18" t="s">
        <v>3543</v>
      </c>
      <c r="G946" s="5" t="s">
        <v>3544</v>
      </c>
      <c r="H946" s="5" t="s">
        <v>3545</v>
      </c>
      <c r="I946" s="5" t="s">
        <v>1664</v>
      </c>
      <c r="J946" s="5" t="s">
        <v>1746</v>
      </c>
      <c r="K946" s="5">
        <v>1.0</v>
      </c>
      <c r="L946" s="5">
        <v>2561.0</v>
      </c>
      <c r="M946" s="8"/>
      <c r="AO946" s="5" t="s">
        <v>3543</v>
      </c>
      <c r="AP946" s="5">
        <v>708.0</v>
      </c>
      <c r="AQ946" s="5" t="s">
        <v>1716</v>
      </c>
      <c r="AR946" s="5" t="s">
        <v>1717</v>
      </c>
      <c r="AS946" s="5" t="s">
        <v>1718</v>
      </c>
      <c r="AT946" s="5" t="s">
        <v>1719</v>
      </c>
      <c r="AU946" s="5" t="s">
        <v>1703</v>
      </c>
      <c r="AV946" s="5" t="s">
        <v>1720</v>
      </c>
      <c r="AW946" s="5" t="s">
        <v>2368</v>
      </c>
      <c r="AX946" s="5" t="s">
        <v>2258</v>
      </c>
      <c r="AY946" s="5">
        <v>52.1</v>
      </c>
      <c r="AZ946" s="5">
        <v>-119.4</v>
      </c>
      <c r="BA946" s="5">
        <v>10.0</v>
      </c>
    </row>
    <row r="947" ht="14.25" customHeight="1">
      <c r="B947" s="5">
        <v>12.0</v>
      </c>
      <c r="C947" s="5" t="s">
        <v>7666</v>
      </c>
      <c r="D947" s="5">
        <v>709.0</v>
      </c>
      <c r="E947" s="5">
        <v>2159.0</v>
      </c>
      <c r="F947" s="18" t="s">
        <v>3546</v>
      </c>
      <c r="G947" s="29" t="s">
        <v>3547</v>
      </c>
      <c r="H947" s="5" t="s">
        <v>3548</v>
      </c>
      <c r="I947" s="5" t="s">
        <v>1664</v>
      </c>
      <c r="J947" s="5" t="s">
        <v>1746</v>
      </c>
      <c r="K947" s="5">
        <v>1.0</v>
      </c>
      <c r="L947" s="5">
        <v>2562.0</v>
      </c>
      <c r="M947" s="8"/>
      <c r="AO947" s="5" t="s">
        <v>3546</v>
      </c>
      <c r="AP947" s="5">
        <v>709.0</v>
      </c>
      <c r="AQ947" s="5" t="s">
        <v>1716</v>
      </c>
      <c r="AR947" s="5" t="s">
        <v>1717</v>
      </c>
      <c r="AS947" s="5" t="s">
        <v>1718</v>
      </c>
      <c r="AT947" s="5" t="s">
        <v>1719</v>
      </c>
      <c r="AU947" s="5" t="s">
        <v>1703</v>
      </c>
      <c r="AV947" s="5" t="s">
        <v>1720</v>
      </c>
      <c r="AW947" s="5" t="s">
        <v>2193</v>
      </c>
      <c r="AX947" s="5" t="s">
        <v>2356</v>
      </c>
      <c r="AY947" s="5">
        <v>52.5</v>
      </c>
      <c r="AZ947" s="5">
        <v>-121.4</v>
      </c>
      <c r="BA947" s="5">
        <v>9.0</v>
      </c>
    </row>
    <row r="948" ht="14.25" customHeight="1">
      <c r="B948" s="5">
        <v>12.0</v>
      </c>
      <c r="C948" s="5" t="s">
        <v>7666</v>
      </c>
      <c r="D948" s="5">
        <v>710.0</v>
      </c>
      <c r="E948" s="5">
        <v>2160.0</v>
      </c>
      <c r="F948" s="18" t="s">
        <v>3549</v>
      </c>
      <c r="G948" s="5" t="s">
        <v>3550</v>
      </c>
      <c r="H948" s="5" t="s">
        <v>3551</v>
      </c>
      <c r="I948" s="5" t="s">
        <v>1664</v>
      </c>
      <c r="J948" s="5" t="s">
        <v>1746</v>
      </c>
      <c r="K948" s="5">
        <v>1.0</v>
      </c>
      <c r="L948" s="5">
        <v>2563.0</v>
      </c>
      <c r="M948" s="8"/>
      <c r="AO948" s="5" t="s">
        <v>3549</v>
      </c>
      <c r="AP948" s="5">
        <v>710.0</v>
      </c>
      <c r="AQ948" s="5" t="s">
        <v>1716</v>
      </c>
      <c r="AR948" s="5" t="s">
        <v>1717</v>
      </c>
      <c r="AS948" s="5" t="s">
        <v>1718</v>
      </c>
      <c r="AT948" s="5" t="s">
        <v>1719</v>
      </c>
      <c r="AU948" s="5" t="s">
        <v>1703</v>
      </c>
      <c r="AV948" s="5" t="s">
        <v>1720</v>
      </c>
      <c r="AW948" s="5" t="s">
        <v>2368</v>
      </c>
      <c r="AX948" s="5" t="s">
        <v>2258</v>
      </c>
      <c r="AY948" s="5">
        <v>52.5</v>
      </c>
      <c r="AZ948" s="5">
        <v>-119.35</v>
      </c>
      <c r="BA948" s="5">
        <v>14.0</v>
      </c>
    </row>
    <row r="949" ht="14.25" customHeight="1">
      <c r="B949" s="5">
        <v>12.0</v>
      </c>
      <c r="C949" s="5" t="s">
        <v>7666</v>
      </c>
      <c r="D949" s="5">
        <v>711.0</v>
      </c>
      <c r="E949" s="5">
        <v>2161.0</v>
      </c>
      <c r="F949" s="18" t="s">
        <v>3552</v>
      </c>
      <c r="G949" s="5" t="s">
        <v>3553</v>
      </c>
      <c r="H949" s="5" t="s">
        <v>3554</v>
      </c>
      <c r="I949" s="5" t="s">
        <v>1664</v>
      </c>
      <c r="J949" s="5" t="s">
        <v>1715</v>
      </c>
      <c r="K949" s="5">
        <v>1.0</v>
      </c>
      <c r="L949" s="5">
        <v>2564.0</v>
      </c>
      <c r="M949" s="8"/>
      <c r="AO949" s="5" t="s">
        <v>3552</v>
      </c>
      <c r="AP949" s="5">
        <v>711.0</v>
      </c>
      <c r="AQ949" s="5" t="s">
        <v>1716</v>
      </c>
      <c r="AR949" s="5" t="s">
        <v>1717</v>
      </c>
      <c r="AS949" s="5" t="s">
        <v>1718</v>
      </c>
      <c r="AT949" s="5" t="s">
        <v>1719</v>
      </c>
      <c r="AU949" s="5" t="s">
        <v>1703</v>
      </c>
      <c r="AV949" s="5" t="s">
        <v>1720</v>
      </c>
      <c r="AW949" s="5" t="s">
        <v>2368</v>
      </c>
      <c r="AX949" s="5" t="s">
        <v>2401</v>
      </c>
      <c r="AY949" s="5">
        <v>51.8</v>
      </c>
      <c r="AZ949" s="5">
        <v>-119.1</v>
      </c>
      <c r="BA949" s="5">
        <v>8.0</v>
      </c>
    </row>
    <row r="950" ht="14.25" customHeight="1">
      <c r="B950" s="5">
        <v>12.0</v>
      </c>
      <c r="C950" s="5" t="s">
        <v>7666</v>
      </c>
      <c r="D950" s="5">
        <v>712.0</v>
      </c>
      <c r="E950" s="5">
        <v>2162.0</v>
      </c>
      <c r="F950" s="18" t="s">
        <v>3555</v>
      </c>
      <c r="G950" s="5" t="s">
        <v>3556</v>
      </c>
      <c r="H950" s="5" t="s">
        <v>3557</v>
      </c>
      <c r="I950" s="5" t="s">
        <v>1664</v>
      </c>
      <c r="J950" s="5" t="s">
        <v>1715</v>
      </c>
      <c r="K950" s="5">
        <v>1.0</v>
      </c>
      <c r="L950" s="5">
        <v>2565.0</v>
      </c>
      <c r="M950" s="8"/>
      <c r="AO950" s="5" t="s">
        <v>3555</v>
      </c>
      <c r="AP950" s="5">
        <v>712.0</v>
      </c>
      <c r="AQ950" s="5" t="s">
        <v>1716</v>
      </c>
      <c r="AR950" s="5" t="s">
        <v>1717</v>
      </c>
      <c r="AS950" s="5" t="s">
        <v>1718</v>
      </c>
      <c r="AT950" s="5" t="s">
        <v>1719</v>
      </c>
      <c r="AU950" s="5" t="s">
        <v>1703</v>
      </c>
      <c r="AV950" s="5" t="s">
        <v>1720</v>
      </c>
      <c r="AW950" s="5" t="s">
        <v>2193</v>
      </c>
      <c r="AX950" s="5" t="s">
        <v>2356</v>
      </c>
      <c r="AY950" s="5">
        <v>52.7</v>
      </c>
      <c r="AZ950" s="5">
        <v>-120.9</v>
      </c>
      <c r="BA950" s="5">
        <v>9.0</v>
      </c>
    </row>
    <row r="951" ht="14.25" customHeight="1">
      <c r="B951" s="5">
        <v>12.0</v>
      </c>
      <c r="C951" s="5" t="s">
        <v>7666</v>
      </c>
      <c r="D951" s="5">
        <v>713.0</v>
      </c>
      <c r="E951" s="5">
        <v>2163.0</v>
      </c>
      <c r="F951" s="18" t="s">
        <v>3558</v>
      </c>
      <c r="G951" s="5" t="s">
        <v>3559</v>
      </c>
      <c r="H951" s="5" t="s">
        <v>3560</v>
      </c>
      <c r="I951" s="5" t="s">
        <v>641</v>
      </c>
      <c r="J951" s="5" t="s">
        <v>1715</v>
      </c>
      <c r="K951" s="5">
        <v>1.0</v>
      </c>
      <c r="L951" s="5">
        <v>2566.0</v>
      </c>
      <c r="M951" s="8"/>
      <c r="AO951" s="5" t="s">
        <v>3558</v>
      </c>
      <c r="AP951" s="5">
        <v>713.0</v>
      </c>
      <c r="AQ951" s="5" t="s">
        <v>1716</v>
      </c>
      <c r="AR951" s="5" t="s">
        <v>1717</v>
      </c>
      <c r="AS951" s="5" t="s">
        <v>1718</v>
      </c>
      <c r="AT951" s="5" t="s">
        <v>1703</v>
      </c>
      <c r="AU951" s="5" t="s">
        <v>1703</v>
      </c>
      <c r="AV951" s="5" t="s">
        <v>1720</v>
      </c>
      <c r="AW951" s="5" t="s">
        <v>2368</v>
      </c>
      <c r="AX951" s="5" t="s">
        <v>2258</v>
      </c>
      <c r="AY951" s="5">
        <v>52.3</v>
      </c>
      <c r="AZ951" s="5">
        <v>-119.1</v>
      </c>
      <c r="BA951" s="5">
        <v>5.0</v>
      </c>
    </row>
    <row r="952" ht="14.25" customHeight="1">
      <c r="A952" s="5" t="s">
        <v>422</v>
      </c>
      <c r="B952" s="5">
        <v>12.0</v>
      </c>
      <c r="C952" s="5" t="s">
        <v>7666</v>
      </c>
      <c r="D952" s="5">
        <v>714.0</v>
      </c>
      <c r="E952" s="5">
        <v>2164.0</v>
      </c>
      <c r="F952" s="18" t="s">
        <v>3561</v>
      </c>
      <c r="G952" s="5" t="s">
        <v>3562</v>
      </c>
      <c r="H952" s="5" t="s">
        <v>3563</v>
      </c>
      <c r="I952" s="5" t="s">
        <v>1664</v>
      </c>
      <c r="J952" s="5" t="s">
        <v>1746</v>
      </c>
      <c r="K952" s="5">
        <v>1.0</v>
      </c>
      <c r="L952" s="5">
        <v>2567.0</v>
      </c>
      <c r="M952" s="8"/>
      <c r="AO952" s="5" t="s">
        <v>3561</v>
      </c>
      <c r="AP952" s="5">
        <v>714.0</v>
      </c>
      <c r="AQ952" s="5" t="s">
        <v>1716</v>
      </c>
      <c r="AR952" s="5" t="s">
        <v>1717</v>
      </c>
      <c r="AS952" s="5" t="s">
        <v>1718</v>
      </c>
      <c r="AT952" s="5" t="s">
        <v>1719</v>
      </c>
      <c r="AU952" s="5" t="s">
        <v>1703</v>
      </c>
      <c r="AV952" s="5" t="s">
        <v>1720</v>
      </c>
      <c r="AW952" s="5" t="s">
        <v>2193</v>
      </c>
      <c r="AX952" s="5" t="s">
        <v>2287</v>
      </c>
      <c r="AY952" s="5">
        <v>52.133</v>
      </c>
      <c r="AZ952" s="5">
        <v>-120.683</v>
      </c>
      <c r="BA952" s="5">
        <v>12.0</v>
      </c>
    </row>
    <row r="953" ht="14.25" customHeight="1">
      <c r="B953" s="5">
        <v>12.0</v>
      </c>
      <c r="C953" s="5" t="s">
        <v>7666</v>
      </c>
      <c r="D953" s="5">
        <v>715.0</v>
      </c>
      <c r="E953" s="5">
        <v>2165.0</v>
      </c>
      <c r="F953" s="18" t="s">
        <v>3564</v>
      </c>
      <c r="G953" s="5" t="s">
        <v>3544</v>
      </c>
      <c r="H953" s="5" t="s">
        <v>3565</v>
      </c>
      <c r="I953" s="5" t="s">
        <v>1664</v>
      </c>
      <c r="J953" s="5" t="s">
        <v>1746</v>
      </c>
      <c r="K953" s="5">
        <v>1.0</v>
      </c>
      <c r="L953" s="5">
        <v>2568.0</v>
      </c>
      <c r="M953" s="8"/>
      <c r="AO953" s="5" t="s">
        <v>3564</v>
      </c>
      <c r="AP953" s="5">
        <v>715.0</v>
      </c>
      <c r="AQ953" s="5" t="s">
        <v>1716</v>
      </c>
      <c r="AR953" s="5" t="s">
        <v>1717</v>
      </c>
      <c r="AS953" s="5" t="s">
        <v>1718</v>
      </c>
      <c r="AT953" s="5" t="s">
        <v>1719</v>
      </c>
      <c r="AU953" s="5" t="s">
        <v>1703</v>
      </c>
      <c r="AV953" s="5" t="s">
        <v>1720</v>
      </c>
      <c r="AW953" s="5" t="s">
        <v>2368</v>
      </c>
      <c r="AX953" s="5" t="s">
        <v>2258</v>
      </c>
      <c r="AY953" s="5">
        <v>52.1</v>
      </c>
      <c r="AZ953" s="5">
        <v>-119.4</v>
      </c>
      <c r="BA953" s="5">
        <v>10.0</v>
      </c>
    </row>
    <row r="954" ht="14.25" customHeight="1">
      <c r="B954" s="5">
        <v>12.0</v>
      </c>
      <c r="C954" s="5" t="s">
        <v>7666</v>
      </c>
      <c r="D954" s="5">
        <v>716.0</v>
      </c>
      <c r="E954" s="5">
        <v>2166.0</v>
      </c>
      <c r="F954" s="18" t="s">
        <v>3566</v>
      </c>
      <c r="G954" s="5" t="s">
        <v>3567</v>
      </c>
      <c r="H954" s="5" t="s">
        <v>3568</v>
      </c>
      <c r="I954" s="5" t="s">
        <v>1664</v>
      </c>
      <c r="J954" s="5" t="s">
        <v>1746</v>
      </c>
      <c r="K954" s="5">
        <v>1.0</v>
      </c>
      <c r="L954" s="5">
        <v>2569.0</v>
      </c>
      <c r="M954" s="8"/>
      <c r="AO954" s="5" t="s">
        <v>3566</v>
      </c>
      <c r="AP954" s="5">
        <v>716.0</v>
      </c>
      <c r="AQ954" s="5" t="s">
        <v>1716</v>
      </c>
      <c r="AR954" s="5" t="s">
        <v>1717</v>
      </c>
      <c r="AS954" s="5" t="s">
        <v>1718</v>
      </c>
      <c r="AT954" s="5" t="s">
        <v>1719</v>
      </c>
      <c r="AU954" s="5" t="s">
        <v>1703</v>
      </c>
      <c r="AV954" s="5" t="s">
        <v>1720</v>
      </c>
      <c r="AW954" s="5" t="s">
        <v>2368</v>
      </c>
      <c r="AX954" s="5" t="s">
        <v>2707</v>
      </c>
      <c r="AY954" s="5">
        <v>51.3</v>
      </c>
      <c r="AZ954" s="5">
        <v>-119.1</v>
      </c>
      <c r="BA954" s="5">
        <v>13.0</v>
      </c>
    </row>
    <row r="955" ht="14.25" customHeight="1">
      <c r="A955" s="5" t="s">
        <v>422</v>
      </c>
      <c r="B955" s="5">
        <v>12.0</v>
      </c>
      <c r="C955" s="5" t="s">
        <v>7666</v>
      </c>
      <c r="D955" s="5">
        <v>717.0</v>
      </c>
      <c r="E955" s="5">
        <v>2167.0</v>
      </c>
      <c r="F955" s="18" t="s">
        <v>3569</v>
      </c>
      <c r="G955" s="5" t="s">
        <v>3570</v>
      </c>
      <c r="H955" s="5" t="s">
        <v>3571</v>
      </c>
      <c r="I955" s="5" t="s">
        <v>1664</v>
      </c>
      <c r="J955" s="5" t="s">
        <v>1746</v>
      </c>
      <c r="K955" s="5">
        <v>1.0</v>
      </c>
      <c r="L955" s="5">
        <v>2570.0</v>
      </c>
      <c r="M955" s="8"/>
      <c r="AO955" s="5" t="s">
        <v>3569</v>
      </c>
      <c r="AP955" s="5">
        <v>717.0</v>
      </c>
      <c r="AQ955" s="5" t="s">
        <v>1716</v>
      </c>
      <c r="AR955" s="5" t="s">
        <v>1717</v>
      </c>
      <c r="AS955" s="5" t="s">
        <v>1718</v>
      </c>
      <c r="AT955" s="5" t="s">
        <v>1719</v>
      </c>
      <c r="AU955" s="5" t="s">
        <v>1703</v>
      </c>
      <c r="AV955" s="5" t="s">
        <v>1720</v>
      </c>
      <c r="AW955" s="5" t="s">
        <v>2193</v>
      </c>
      <c r="AX955" s="5" t="s">
        <v>2356</v>
      </c>
      <c r="AY955" s="5">
        <v>52.233</v>
      </c>
      <c r="AZ955" s="5">
        <v>-121.016</v>
      </c>
      <c r="BA955" s="5">
        <v>15.0</v>
      </c>
    </row>
    <row r="956" ht="14.25" customHeight="1">
      <c r="A956" s="5" t="s">
        <v>422</v>
      </c>
      <c r="B956" s="5">
        <v>12.0</v>
      </c>
      <c r="C956" s="5" t="s">
        <v>7666</v>
      </c>
      <c r="D956" s="5">
        <v>718.0</v>
      </c>
      <c r="E956" s="5">
        <v>2168.0</v>
      </c>
      <c r="F956" s="18" t="s">
        <v>3572</v>
      </c>
      <c r="G956" s="5" t="s">
        <v>3573</v>
      </c>
      <c r="H956" s="5" t="s">
        <v>3574</v>
      </c>
      <c r="I956" s="5" t="s">
        <v>641</v>
      </c>
      <c r="J956" s="5" t="s">
        <v>1746</v>
      </c>
      <c r="K956" s="5">
        <v>1.0</v>
      </c>
      <c r="L956" s="5">
        <v>2571.0</v>
      </c>
      <c r="M956" s="8"/>
      <c r="AO956" s="5" t="s">
        <v>3572</v>
      </c>
      <c r="AP956" s="5">
        <v>718.0</v>
      </c>
      <c r="AQ956" s="5" t="s">
        <v>1716</v>
      </c>
      <c r="AR956" s="5" t="s">
        <v>1717</v>
      </c>
      <c r="AS956" s="5" t="s">
        <v>1718</v>
      </c>
      <c r="AT956" s="5" t="s">
        <v>1703</v>
      </c>
      <c r="AU956" s="5" t="s">
        <v>1703</v>
      </c>
      <c r="AV956" s="5" t="s">
        <v>1720</v>
      </c>
      <c r="AW956" s="5" t="s">
        <v>2368</v>
      </c>
      <c r="AX956" s="5" t="s">
        <v>2492</v>
      </c>
      <c r="AY956" s="5">
        <v>49.5482</v>
      </c>
      <c r="AZ956" s="5">
        <v>-120.7699</v>
      </c>
      <c r="BA956" s="5">
        <v>876.0</v>
      </c>
    </row>
    <row r="957" ht="14.25" customHeight="1">
      <c r="B957" s="5">
        <v>12.0</v>
      </c>
      <c r="C957" s="5" t="s">
        <v>7666</v>
      </c>
      <c r="D957" s="5">
        <v>719.0</v>
      </c>
      <c r="E957" s="5">
        <v>2169.0</v>
      </c>
      <c r="F957" s="18" t="s">
        <v>3575</v>
      </c>
      <c r="G957" s="5" t="s">
        <v>3576</v>
      </c>
      <c r="H957" s="5" t="s">
        <v>3577</v>
      </c>
      <c r="I957" s="5" t="s">
        <v>1664</v>
      </c>
      <c r="J957" s="5" t="s">
        <v>1715</v>
      </c>
      <c r="K957" s="5">
        <v>1.0</v>
      </c>
      <c r="L957" s="5">
        <v>2572.0</v>
      </c>
      <c r="M957" s="8"/>
      <c r="AO957" s="5" t="s">
        <v>3575</v>
      </c>
      <c r="AP957" s="5">
        <v>719.0</v>
      </c>
      <c r="AQ957" s="5" t="s">
        <v>1716</v>
      </c>
      <c r="AR957" s="5" t="s">
        <v>1717</v>
      </c>
      <c r="AS957" s="5" t="s">
        <v>1718</v>
      </c>
      <c r="AT957" s="5" t="s">
        <v>1719</v>
      </c>
      <c r="AU957" s="5" t="s">
        <v>1703</v>
      </c>
      <c r="AV957" s="5" t="s">
        <v>1720</v>
      </c>
      <c r="AW957" s="5" t="s">
        <v>1705</v>
      </c>
      <c r="AX957" s="5" t="s">
        <v>1883</v>
      </c>
      <c r="AY957" s="5">
        <v>49.8</v>
      </c>
      <c r="AZ957" s="5">
        <v>-121.3</v>
      </c>
      <c r="BA957" s="5">
        <v>11.0</v>
      </c>
    </row>
    <row r="958" ht="14.25" customHeight="1">
      <c r="B958" s="5">
        <v>12.0</v>
      </c>
      <c r="C958" s="5" t="s">
        <v>7666</v>
      </c>
      <c r="D958" s="5">
        <v>720.0</v>
      </c>
      <c r="E958" s="5">
        <v>2170.0</v>
      </c>
      <c r="F958" s="18" t="s">
        <v>3578</v>
      </c>
      <c r="G958" s="5" t="s">
        <v>3579</v>
      </c>
      <c r="H958" s="5" t="s">
        <v>3580</v>
      </c>
      <c r="I958" s="5" t="s">
        <v>1664</v>
      </c>
      <c r="J958" s="5" t="s">
        <v>1715</v>
      </c>
      <c r="K958" s="5">
        <v>1.0</v>
      </c>
      <c r="L958" s="5">
        <v>2573.0</v>
      </c>
      <c r="M958" s="8"/>
      <c r="AO958" s="5" t="s">
        <v>3578</v>
      </c>
      <c r="AP958" s="5">
        <v>720.0</v>
      </c>
      <c r="AQ958" s="5" t="s">
        <v>1716</v>
      </c>
      <c r="AR958" s="5" t="s">
        <v>1717</v>
      </c>
      <c r="AS958" s="5" t="s">
        <v>1718</v>
      </c>
      <c r="AT958" s="5" t="s">
        <v>1719</v>
      </c>
      <c r="AU958" s="5" t="s">
        <v>1703</v>
      </c>
      <c r="AV958" s="5" t="s">
        <v>1720</v>
      </c>
      <c r="AW958" s="5" t="s">
        <v>1705</v>
      </c>
      <c r="AX958" s="5" t="s">
        <v>1883</v>
      </c>
      <c r="AY958" s="5">
        <v>49.7</v>
      </c>
      <c r="AZ958" s="5">
        <v>-121.5</v>
      </c>
      <c r="BA958" s="5">
        <v>10.0</v>
      </c>
    </row>
    <row r="959" ht="14.25" customHeight="1">
      <c r="A959" s="5" t="s">
        <v>422</v>
      </c>
      <c r="B959" s="5">
        <v>12.0</v>
      </c>
      <c r="C959" s="5" t="s">
        <v>7666</v>
      </c>
      <c r="D959" s="5">
        <v>722.0</v>
      </c>
      <c r="E959" s="5">
        <v>2171.0</v>
      </c>
      <c r="F959" s="18" t="s">
        <v>3581</v>
      </c>
      <c r="G959" s="5" t="s">
        <v>3582</v>
      </c>
      <c r="H959" s="5" t="s">
        <v>3583</v>
      </c>
      <c r="I959" s="5" t="s">
        <v>641</v>
      </c>
      <c r="J959" s="5" t="s">
        <v>1746</v>
      </c>
      <c r="K959" s="5">
        <v>1.0</v>
      </c>
      <c r="L959" s="5">
        <v>2574.0</v>
      </c>
      <c r="M959" s="8"/>
      <c r="AO959" s="5" t="s">
        <v>3581</v>
      </c>
      <c r="AP959" s="5">
        <v>722.0</v>
      </c>
      <c r="AQ959" s="5" t="s">
        <v>1716</v>
      </c>
      <c r="AR959" s="5" t="s">
        <v>1717</v>
      </c>
      <c r="AS959" s="5" t="s">
        <v>1718</v>
      </c>
      <c r="AT959" s="5" t="s">
        <v>1719</v>
      </c>
      <c r="AU959" s="5" t="s">
        <v>1959</v>
      </c>
      <c r="AV959" s="5" t="s">
        <v>1720</v>
      </c>
      <c r="AW959" s="5" t="s">
        <v>2368</v>
      </c>
      <c r="AX959" s="5" t="s">
        <v>2505</v>
      </c>
      <c r="AY959" s="5">
        <v>51.0619</v>
      </c>
      <c r="AZ959" s="5">
        <v>-122.751</v>
      </c>
      <c r="BA959" s="5">
        <v>0.0</v>
      </c>
    </row>
    <row r="960" ht="14.25" customHeight="1">
      <c r="A960" s="5" t="s">
        <v>422</v>
      </c>
      <c r="B960" s="5">
        <v>12.0</v>
      </c>
      <c r="C960" s="5" t="s">
        <v>7666</v>
      </c>
      <c r="D960" s="5">
        <v>723.0</v>
      </c>
      <c r="E960" s="5">
        <v>2172.0</v>
      </c>
      <c r="F960" s="18" t="s">
        <v>3584</v>
      </c>
      <c r="G960" s="5" t="s">
        <v>3585</v>
      </c>
      <c r="H960" s="5" t="s">
        <v>3586</v>
      </c>
      <c r="I960" s="5" t="s">
        <v>641</v>
      </c>
      <c r="J960" s="5" t="s">
        <v>1746</v>
      </c>
      <c r="K960" s="5">
        <v>1.0</v>
      </c>
      <c r="L960" s="5">
        <v>2575.0</v>
      </c>
      <c r="M960" s="8"/>
      <c r="AO960" s="5" t="s">
        <v>3584</v>
      </c>
      <c r="AP960" s="5">
        <v>723.0</v>
      </c>
      <c r="AQ960" s="5" t="s">
        <v>1716</v>
      </c>
      <c r="AR960" s="5" t="s">
        <v>1717</v>
      </c>
      <c r="AS960" s="5" t="s">
        <v>1718</v>
      </c>
      <c r="AT960" s="5" t="s">
        <v>1719</v>
      </c>
      <c r="AU960" s="5" t="s">
        <v>1959</v>
      </c>
      <c r="AV960" s="5" t="s">
        <v>1720</v>
      </c>
      <c r="AW960" s="5" t="s">
        <v>2368</v>
      </c>
      <c r="AX960" s="5" t="s">
        <v>2505</v>
      </c>
      <c r="AY960" s="5">
        <v>50.684</v>
      </c>
      <c r="AZ960" s="5">
        <v>-122.645</v>
      </c>
      <c r="BA960" s="5">
        <v>0.0</v>
      </c>
    </row>
    <row r="961" ht="14.25" customHeight="1">
      <c r="B961" s="5">
        <v>12.0</v>
      </c>
      <c r="C961" s="5" t="s">
        <v>7666</v>
      </c>
      <c r="D961" s="5">
        <v>724.0</v>
      </c>
      <c r="E961" s="5">
        <v>2173.0</v>
      </c>
      <c r="F961" s="18" t="s">
        <v>3587</v>
      </c>
      <c r="G961" s="5" t="s">
        <v>3588</v>
      </c>
      <c r="H961" s="5" t="s">
        <v>3589</v>
      </c>
      <c r="I961" s="5" t="s">
        <v>641</v>
      </c>
      <c r="J961" s="5" t="s">
        <v>1746</v>
      </c>
      <c r="K961" s="5">
        <v>1.0</v>
      </c>
      <c r="L961" s="5">
        <v>2576.0</v>
      </c>
      <c r="M961" s="8"/>
      <c r="AO961" s="5" t="s">
        <v>3587</v>
      </c>
      <c r="AP961" s="5">
        <v>724.0</v>
      </c>
      <c r="AQ961" s="5" t="s">
        <v>1716</v>
      </c>
      <c r="AR961" s="5" t="s">
        <v>1717</v>
      </c>
      <c r="AS961" s="5" t="s">
        <v>1718</v>
      </c>
      <c r="AT961" s="5" t="s">
        <v>1719</v>
      </c>
      <c r="AU961" s="5" t="s">
        <v>1959</v>
      </c>
      <c r="AV961" s="5" t="s">
        <v>1720</v>
      </c>
      <c r="AW961" s="5" t="s">
        <v>2368</v>
      </c>
      <c r="AX961" s="5" t="s">
        <v>2369</v>
      </c>
      <c r="AY961" s="5">
        <v>50.46</v>
      </c>
      <c r="AZ961" s="5">
        <v>-120.38</v>
      </c>
      <c r="BA961" s="5">
        <v>443.0</v>
      </c>
    </row>
    <row r="962" ht="14.25" customHeight="1">
      <c r="B962" s="5">
        <v>12.0</v>
      </c>
      <c r="C962" s="5" t="s">
        <v>7666</v>
      </c>
      <c r="D962" s="5">
        <v>725.0</v>
      </c>
      <c r="E962" s="5">
        <v>2174.0</v>
      </c>
      <c r="F962" s="18" t="s">
        <v>3590</v>
      </c>
      <c r="G962" s="5" t="s">
        <v>3591</v>
      </c>
      <c r="H962" s="5" t="s">
        <v>3592</v>
      </c>
      <c r="I962" s="5" t="s">
        <v>641</v>
      </c>
      <c r="J962" s="5" t="s">
        <v>1746</v>
      </c>
      <c r="K962" s="5">
        <v>1.0</v>
      </c>
      <c r="L962" s="5">
        <v>2577.0</v>
      </c>
      <c r="M962" s="8"/>
      <c r="AO962" s="5" t="s">
        <v>3590</v>
      </c>
      <c r="AP962" s="5">
        <v>725.0</v>
      </c>
      <c r="AQ962" s="5" t="s">
        <v>1716</v>
      </c>
      <c r="AR962" s="5" t="s">
        <v>1717</v>
      </c>
      <c r="AS962" s="5" t="s">
        <v>1718</v>
      </c>
      <c r="AT962" s="5" t="s">
        <v>1719</v>
      </c>
      <c r="AU962" s="5" t="s">
        <v>1959</v>
      </c>
      <c r="AV962" s="5" t="s">
        <v>1720</v>
      </c>
      <c r="AW962" s="5" t="s">
        <v>1705</v>
      </c>
      <c r="AX962" s="5" t="s">
        <v>1879</v>
      </c>
      <c r="AY962" s="5">
        <v>50.1966</v>
      </c>
      <c r="AZ962" s="5">
        <v>-122.345</v>
      </c>
      <c r="BA962" s="5">
        <v>950.0</v>
      </c>
    </row>
    <row r="963" ht="14.25" customHeight="1">
      <c r="A963" s="5" t="s">
        <v>422</v>
      </c>
      <c r="B963" s="5">
        <v>12.0</v>
      </c>
      <c r="C963" s="5" t="s">
        <v>7666</v>
      </c>
      <c r="D963" s="5">
        <v>727.0</v>
      </c>
      <c r="E963" s="5">
        <v>2175.0</v>
      </c>
      <c r="F963" s="18" t="s">
        <v>3593</v>
      </c>
      <c r="G963" s="5" t="s">
        <v>3594</v>
      </c>
      <c r="H963" s="5" t="s">
        <v>3595</v>
      </c>
      <c r="I963" s="5" t="s">
        <v>641</v>
      </c>
      <c r="J963" s="5" t="s">
        <v>1746</v>
      </c>
      <c r="K963" s="5">
        <v>1.0</v>
      </c>
      <c r="L963" s="5">
        <v>2578.0</v>
      </c>
      <c r="M963" s="8"/>
      <c r="AO963" s="5" t="s">
        <v>3593</v>
      </c>
      <c r="AP963" s="5">
        <v>727.0</v>
      </c>
      <c r="AQ963" s="5" t="s">
        <v>1716</v>
      </c>
      <c r="AR963" s="5" t="s">
        <v>1717</v>
      </c>
      <c r="AS963" s="5" t="s">
        <v>1718</v>
      </c>
      <c r="AT963" s="5" t="s">
        <v>1719</v>
      </c>
      <c r="AU963" s="5" t="s">
        <v>1703</v>
      </c>
      <c r="AV963" s="5" t="s">
        <v>1720</v>
      </c>
      <c r="AW963" s="5" t="s">
        <v>2368</v>
      </c>
      <c r="AX963" s="5" t="s">
        <v>2401</v>
      </c>
      <c r="AY963" s="5">
        <v>51.6</v>
      </c>
      <c r="AZ963" s="5">
        <v>-120.0</v>
      </c>
      <c r="BA963" s="5">
        <v>14.0</v>
      </c>
    </row>
    <row r="964" ht="14.25" customHeight="1">
      <c r="B964" s="5">
        <v>12.0</v>
      </c>
      <c r="C964" s="5" t="s">
        <v>7666</v>
      </c>
      <c r="D964" s="5">
        <v>728.0</v>
      </c>
      <c r="E964" s="5">
        <v>2176.0</v>
      </c>
      <c r="F964" s="18" t="s">
        <v>3596</v>
      </c>
      <c r="G964" s="5" t="s">
        <v>3597</v>
      </c>
      <c r="H964" s="5" t="s">
        <v>3598</v>
      </c>
      <c r="I964" s="5" t="s">
        <v>1664</v>
      </c>
      <c r="J964" s="5" t="s">
        <v>1715</v>
      </c>
      <c r="K964" s="5">
        <v>1.0</v>
      </c>
      <c r="L964" s="5">
        <v>2579.0</v>
      </c>
      <c r="M964" s="8"/>
      <c r="AO964" s="5" t="s">
        <v>3596</v>
      </c>
      <c r="AP964" s="5">
        <v>728.0</v>
      </c>
      <c r="AQ964" s="5" t="s">
        <v>1716</v>
      </c>
      <c r="AR964" s="5" t="s">
        <v>1717</v>
      </c>
      <c r="AS964" s="5" t="s">
        <v>1718</v>
      </c>
      <c r="AT964" s="5" t="s">
        <v>1719</v>
      </c>
      <c r="AU964" s="5" t="s">
        <v>1703</v>
      </c>
      <c r="AV964" s="5" t="s">
        <v>1720</v>
      </c>
      <c r="AW964" s="5" t="s">
        <v>2368</v>
      </c>
      <c r="AX964" s="5" t="s">
        <v>2505</v>
      </c>
      <c r="AY964" s="5">
        <v>50.3</v>
      </c>
      <c r="AZ964" s="5">
        <v>-122.3</v>
      </c>
      <c r="BA964" s="5">
        <v>4.0</v>
      </c>
    </row>
    <row r="965" ht="14.25" customHeight="1">
      <c r="B965" s="5">
        <v>12.0</v>
      </c>
      <c r="C965" s="5" t="s">
        <v>7666</v>
      </c>
      <c r="D965" s="5">
        <v>729.0</v>
      </c>
      <c r="E965" s="5">
        <v>2177.0</v>
      </c>
      <c r="F965" s="18" t="s">
        <v>3599</v>
      </c>
      <c r="G965" s="5" t="s">
        <v>3600</v>
      </c>
      <c r="H965" s="5" t="s">
        <v>3601</v>
      </c>
      <c r="I965" s="5" t="s">
        <v>1664</v>
      </c>
      <c r="J965" s="5" t="s">
        <v>1715</v>
      </c>
      <c r="K965" s="5">
        <v>1.0</v>
      </c>
      <c r="L965" s="5">
        <v>2580.0</v>
      </c>
      <c r="M965" s="8"/>
      <c r="AO965" s="5" t="s">
        <v>3599</v>
      </c>
      <c r="AP965" s="5">
        <v>729.0</v>
      </c>
      <c r="AQ965" s="5" t="s">
        <v>1716</v>
      </c>
      <c r="AR965" s="5" t="s">
        <v>1717</v>
      </c>
      <c r="AS965" s="5" t="s">
        <v>1718</v>
      </c>
      <c r="AT965" s="5" t="s">
        <v>1719</v>
      </c>
      <c r="AU965" s="5" t="s">
        <v>1703</v>
      </c>
      <c r="AV965" s="5" t="s">
        <v>1720</v>
      </c>
      <c r="AW965" s="5" t="s">
        <v>2368</v>
      </c>
      <c r="AX965" s="5" t="s">
        <v>2492</v>
      </c>
      <c r="AY965" s="5">
        <v>50.0</v>
      </c>
      <c r="AZ965" s="5">
        <v>-121.0</v>
      </c>
      <c r="BA965" s="5">
        <v>13.0</v>
      </c>
    </row>
    <row r="966" ht="14.25" customHeight="1">
      <c r="A966" s="5" t="s">
        <v>422</v>
      </c>
      <c r="B966" s="5">
        <v>12.0</v>
      </c>
      <c r="C966" s="5" t="s">
        <v>7666</v>
      </c>
      <c r="D966" s="5">
        <v>730.0</v>
      </c>
      <c r="E966" s="5">
        <v>2178.0</v>
      </c>
      <c r="F966" s="18" t="s">
        <v>3602</v>
      </c>
      <c r="G966" s="5" t="s">
        <v>3603</v>
      </c>
      <c r="H966" s="5" t="s">
        <v>3604</v>
      </c>
      <c r="I966" s="5" t="s">
        <v>1664</v>
      </c>
      <c r="J966" s="5" t="s">
        <v>1746</v>
      </c>
      <c r="K966" s="5">
        <v>1.0</v>
      </c>
      <c r="L966" s="5">
        <v>2581.0</v>
      </c>
      <c r="M966" s="8"/>
      <c r="AO966" s="5" t="s">
        <v>3602</v>
      </c>
      <c r="AP966" s="5">
        <v>730.0</v>
      </c>
      <c r="AQ966" s="5" t="s">
        <v>1716</v>
      </c>
      <c r="AR966" s="5" t="s">
        <v>1717</v>
      </c>
      <c r="AS966" s="5" t="s">
        <v>1718</v>
      </c>
      <c r="AT966" s="5" t="s">
        <v>1719</v>
      </c>
      <c r="AU966" s="5" t="s">
        <v>1703</v>
      </c>
      <c r="AV966" s="5" t="s">
        <v>1720</v>
      </c>
      <c r="AW966" s="5" t="s">
        <v>2368</v>
      </c>
      <c r="AX966" s="5" t="s">
        <v>1879</v>
      </c>
      <c r="AY966" s="5">
        <v>50.0</v>
      </c>
      <c r="AZ966" s="5">
        <v>-123.0</v>
      </c>
      <c r="BA966" s="5">
        <v>13.0</v>
      </c>
    </row>
    <row r="967" ht="14.25" customHeight="1">
      <c r="A967" s="5" t="s">
        <v>422</v>
      </c>
      <c r="B967" s="5">
        <v>12.0</v>
      </c>
      <c r="C967" s="5" t="s">
        <v>7666</v>
      </c>
      <c r="D967" s="5">
        <v>731.0</v>
      </c>
      <c r="E967" s="5">
        <v>2179.0</v>
      </c>
      <c r="F967" s="18" t="s">
        <v>3605</v>
      </c>
      <c r="G967" s="5" t="s">
        <v>3606</v>
      </c>
      <c r="H967" s="5" t="s">
        <v>3607</v>
      </c>
      <c r="I967" s="5" t="s">
        <v>1664</v>
      </c>
      <c r="J967" s="5" t="s">
        <v>1746</v>
      </c>
      <c r="K967" s="5">
        <v>1.0</v>
      </c>
      <c r="L967" s="5">
        <v>2582.0</v>
      </c>
      <c r="AO967" s="5" t="s">
        <v>3605</v>
      </c>
      <c r="AP967" s="5">
        <v>731.0</v>
      </c>
      <c r="AQ967" s="5" t="s">
        <v>1716</v>
      </c>
      <c r="AR967" s="5" t="s">
        <v>1717</v>
      </c>
      <c r="AS967" s="5" t="s">
        <v>1718</v>
      </c>
      <c r="AT967" s="5" t="s">
        <v>1719</v>
      </c>
      <c r="AU967" s="5" t="s">
        <v>1703</v>
      </c>
      <c r="AV967" s="5" t="s">
        <v>1720</v>
      </c>
      <c r="AW967" s="5" t="s">
        <v>2368</v>
      </c>
      <c r="AX967" s="5" t="s">
        <v>1883</v>
      </c>
      <c r="AY967" s="5">
        <v>50.0</v>
      </c>
      <c r="AZ967" s="5">
        <v>-122.0</v>
      </c>
      <c r="BA967" s="5">
        <v>14.0</v>
      </c>
    </row>
    <row r="968" ht="14.25" customHeight="1">
      <c r="A968" s="5" t="s">
        <v>422</v>
      </c>
      <c r="B968" s="5">
        <v>12.0</v>
      </c>
      <c r="C968" s="5" t="s">
        <v>7666</v>
      </c>
      <c r="D968" s="5">
        <v>732.0</v>
      </c>
      <c r="E968" s="5">
        <v>2180.0</v>
      </c>
      <c r="F968" s="18" t="s">
        <v>3608</v>
      </c>
      <c r="G968" s="5" t="s">
        <v>3609</v>
      </c>
      <c r="H968" s="5" t="s">
        <v>3610</v>
      </c>
      <c r="I968" s="5" t="s">
        <v>1664</v>
      </c>
      <c r="J968" s="5" t="s">
        <v>1746</v>
      </c>
      <c r="K968" s="5">
        <v>1.0</v>
      </c>
      <c r="L968" s="5">
        <v>2583.0</v>
      </c>
      <c r="M968" s="8"/>
      <c r="AO968" s="5" t="s">
        <v>3608</v>
      </c>
      <c r="AP968" s="5">
        <v>732.0</v>
      </c>
      <c r="AQ968" s="5" t="s">
        <v>1716</v>
      </c>
      <c r="AR968" s="5" t="s">
        <v>1717</v>
      </c>
      <c r="AS968" s="5" t="s">
        <v>1718</v>
      </c>
      <c r="AT968" s="5" t="s">
        <v>1719</v>
      </c>
      <c r="AU968" s="5" t="s">
        <v>1703</v>
      </c>
      <c r="AV968" s="5" t="s">
        <v>1720</v>
      </c>
      <c r="AW968" s="5" t="s">
        <v>2368</v>
      </c>
      <c r="AX968" s="5" t="s">
        <v>1883</v>
      </c>
      <c r="AY968" s="5">
        <v>50.0</v>
      </c>
      <c r="AZ968" s="5">
        <v>-122.0</v>
      </c>
      <c r="BA968" s="5">
        <v>4.0</v>
      </c>
    </row>
    <row r="969" ht="14.25" customHeight="1">
      <c r="A969" s="5" t="s">
        <v>422</v>
      </c>
      <c r="B969" s="5">
        <v>12.0</v>
      </c>
      <c r="C969" s="5" t="s">
        <v>7666</v>
      </c>
      <c r="D969" s="5">
        <v>733.0</v>
      </c>
      <c r="E969" s="5">
        <v>2181.0</v>
      </c>
      <c r="F969" s="18" t="s">
        <v>3611</v>
      </c>
      <c r="G969" s="5" t="s">
        <v>3609</v>
      </c>
      <c r="H969" s="5" t="s">
        <v>3612</v>
      </c>
      <c r="I969" s="5" t="s">
        <v>1664</v>
      </c>
      <c r="J969" s="5" t="s">
        <v>1746</v>
      </c>
      <c r="K969" s="5">
        <v>1.0</v>
      </c>
      <c r="L969" s="5">
        <v>2584.0</v>
      </c>
      <c r="M969" s="8"/>
      <c r="AK969" s="9"/>
      <c r="AO969" s="5" t="s">
        <v>3611</v>
      </c>
      <c r="AP969" s="5">
        <v>733.0</v>
      </c>
      <c r="AQ969" s="5" t="s">
        <v>1716</v>
      </c>
      <c r="AR969" s="5" t="s">
        <v>1717</v>
      </c>
      <c r="AS969" s="5" t="s">
        <v>1718</v>
      </c>
      <c r="AT969" s="5" t="s">
        <v>1719</v>
      </c>
      <c r="AU969" s="5" t="s">
        <v>1703</v>
      </c>
      <c r="AV969" s="5" t="s">
        <v>1720</v>
      </c>
      <c r="AW969" s="5" t="s">
        <v>2368</v>
      </c>
      <c r="AX969" s="5" t="s">
        <v>1883</v>
      </c>
      <c r="AY969" s="5">
        <v>50.0</v>
      </c>
      <c r="AZ969" s="5">
        <v>-122.0</v>
      </c>
      <c r="BA969" s="5">
        <v>4.0</v>
      </c>
    </row>
    <row r="970" ht="14.25" customHeight="1">
      <c r="A970" s="5" t="s">
        <v>422</v>
      </c>
      <c r="B970" s="5">
        <v>12.0</v>
      </c>
      <c r="C970" s="5" t="s">
        <v>7666</v>
      </c>
      <c r="D970" s="5">
        <v>734.0</v>
      </c>
      <c r="E970" s="5">
        <v>2182.0</v>
      </c>
      <c r="F970" s="18" t="s">
        <v>3613</v>
      </c>
      <c r="G970" s="5" t="s">
        <v>3614</v>
      </c>
      <c r="H970" s="5" t="s">
        <v>3615</v>
      </c>
      <c r="I970" s="5" t="s">
        <v>1664</v>
      </c>
      <c r="J970" s="5" t="s">
        <v>1746</v>
      </c>
      <c r="K970" s="5">
        <v>1.0</v>
      </c>
      <c r="L970" s="5">
        <v>2585.0</v>
      </c>
      <c r="M970" s="8"/>
      <c r="AK970" s="9"/>
      <c r="AO970" s="5" t="s">
        <v>3613</v>
      </c>
      <c r="AP970" s="5">
        <v>734.0</v>
      </c>
      <c r="AQ970" s="5" t="s">
        <v>1716</v>
      </c>
      <c r="AR970" s="5" t="s">
        <v>1717</v>
      </c>
      <c r="AS970" s="5" t="s">
        <v>1718</v>
      </c>
      <c r="AT970" s="5" t="s">
        <v>1719</v>
      </c>
      <c r="AU970" s="5" t="s">
        <v>1703</v>
      </c>
      <c r="AV970" s="5" t="s">
        <v>1720</v>
      </c>
      <c r="AW970" s="5" t="s">
        <v>2368</v>
      </c>
      <c r="AX970" s="5" t="s">
        <v>2505</v>
      </c>
      <c r="AY970" s="5">
        <v>50.5</v>
      </c>
      <c r="AZ970" s="5">
        <v>-122.0</v>
      </c>
      <c r="BA970" s="5">
        <v>16.0</v>
      </c>
    </row>
    <row r="971" ht="14.25" customHeight="1">
      <c r="B971" s="5">
        <v>12.0</v>
      </c>
      <c r="C971" s="5" t="s">
        <v>7666</v>
      </c>
      <c r="D971" s="5">
        <v>735.0</v>
      </c>
      <c r="E971" s="5">
        <v>2183.0</v>
      </c>
      <c r="F971" s="18" t="s">
        <v>3616</v>
      </c>
      <c r="G971" s="5" t="s">
        <v>3617</v>
      </c>
      <c r="H971" s="5" t="s">
        <v>3618</v>
      </c>
      <c r="I971" s="5" t="s">
        <v>1664</v>
      </c>
      <c r="J971" s="5" t="s">
        <v>1746</v>
      </c>
      <c r="K971" s="5">
        <v>1.0</v>
      </c>
      <c r="L971" s="5">
        <v>2586.0</v>
      </c>
      <c r="M971" s="8"/>
      <c r="AK971" s="9"/>
      <c r="AO971" s="5" t="s">
        <v>3616</v>
      </c>
      <c r="AP971" s="5">
        <v>735.0</v>
      </c>
      <c r="AQ971" s="5" t="s">
        <v>1716</v>
      </c>
      <c r="AR971" s="5" t="s">
        <v>1717</v>
      </c>
      <c r="AS971" s="5" t="s">
        <v>1718</v>
      </c>
      <c r="AT971" s="5" t="s">
        <v>1719</v>
      </c>
      <c r="AU971" s="5" t="s">
        <v>1703</v>
      </c>
      <c r="AV971" s="5" t="s">
        <v>1720</v>
      </c>
      <c r="AW971" s="5" t="s">
        <v>2368</v>
      </c>
      <c r="AX971" s="5" t="s">
        <v>2505</v>
      </c>
      <c r="AY971" s="5">
        <v>50.4</v>
      </c>
      <c r="AZ971" s="5">
        <v>-122.4</v>
      </c>
      <c r="BA971" s="5">
        <v>16.0</v>
      </c>
    </row>
    <row r="972" ht="14.25" customHeight="1">
      <c r="B972" s="5">
        <v>12.0</v>
      </c>
      <c r="C972" s="5" t="s">
        <v>7666</v>
      </c>
      <c r="D972" s="5">
        <v>736.0</v>
      </c>
      <c r="E972" s="5">
        <v>2184.0</v>
      </c>
      <c r="F972" s="18" t="s">
        <v>3619</v>
      </c>
      <c r="G972" s="5" t="s">
        <v>3620</v>
      </c>
      <c r="H972" s="5" t="s">
        <v>3621</v>
      </c>
      <c r="I972" s="5" t="s">
        <v>1664</v>
      </c>
      <c r="J972" s="5" t="s">
        <v>1746</v>
      </c>
      <c r="K972" s="5">
        <v>1.0</v>
      </c>
      <c r="L972" s="5">
        <v>2587.0</v>
      </c>
      <c r="M972" s="8"/>
      <c r="AK972" s="9"/>
      <c r="AO972" s="5" t="s">
        <v>3619</v>
      </c>
      <c r="AP972" s="5">
        <v>736.0</v>
      </c>
      <c r="AQ972" s="5" t="s">
        <v>1716</v>
      </c>
      <c r="AR972" s="5" t="s">
        <v>1717</v>
      </c>
      <c r="AS972" s="5" t="s">
        <v>1718</v>
      </c>
      <c r="AT972" s="5" t="s">
        <v>1719</v>
      </c>
      <c r="AU972" s="5" t="s">
        <v>1703</v>
      </c>
      <c r="AV972" s="5" t="s">
        <v>1720</v>
      </c>
      <c r="AW972" s="5" t="s">
        <v>2368</v>
      </c>
      <c r="AX972" s="5" t="s">
        <v>2505</v>
      </c>
      <c r="AY972" s="5">
        <v>50.6</v>
      </c>
      <c r="AZ972" s="5">
        <v>-122.2</v>
      </c>
      <c r="BA972" s="5">
        <v>12.0</v>
      </c>
    </row>
    <row r="973" ht="14.25" customHeight="1">
      <c r="A973" s="5" t="s">
        <v>422</v>
      </c>
      <c r="B973" s="5">
        <v>12.0</v>
      </c>
      <c r="C973" s="5" t="s">
        <v>7666</v>
      </c>
      <c r="D973" s="5">
        <v>737.0</v>
      </c>
      <c r="E973" s="5">
        <v>2185.0</v>
      </c>
      <c r="F973" s="18" t="s">
        <v>3622</v>
      </c>
      <c r="G973" s="5" t="s">
        <v>3623</v>
      </c>
      <c r="H973" s="5" t="s">
        <v>3624</v>
      </c>
      <c r="I973" s="5" t="s">
        <v>1664</v>
      </c>
      <c r="J973" s="5" t="s">
        <v>1746</v>
      </c>
      <c r="K973" s="5">
        <v>1.0</v>
      </c>
      <c r="L973" s="5">
        <v>2588.0</v>
      </c>
      <c r="M973" s="8"/>
      <c r="AK973" s="9"/>
      <c r="AO973" s="5" t="s">
        <v>3622</v>
      </c>
      <c r="AP973" s="5">
        <v>737.0</v>
      </c>
      <c r="AQ973" s="5" t="s">
        <v>1716</v>
      </c>
      <c r="AR973" s="5" t="s">
        <v>1717</v>
      </c>
      <c r="AS973" s="5" t="s">
        <v>1718</v>
      </c>
      <c r="AT973" s="5" t="s">
        <v>1719</v>
      </c>
      <c r="AU973" s="5" t="s">
        <v>1703</v>
      </c>
      <c r="AV973" s="5" t="s">
        <v>1720</v>
      </c>
      <c r="AW973" s="5" t="s">
        <v>2368</v>
      </c>
      <c r="AX973" s="5" t="s">
        <v>2505</v>
      </c>
      <c r="AY973" s="5">
        <v>51.2</v>
      </c>
      <c r="AZ973" s="5">
        <v>-122.2</v>
      </c>
      <c r="BA973" s="5">
        <v>3.0</v>
      </c>
    </row>
    <row r="974" ht="14.25" customHeight="1">
      <c r="B974" s="5">
        <v>12.0</v>
      </c>
      <c r="C974" s="5" t="s">
        <v>7666</v>
      </c>
      <c r="D974" s="5">
        <v>738.0</v>
      </c>
      <c r="E974" s="5">
        <v>2186.0</v>
      </c>
      <c r="F974" s="18" t="s">
        <v>3625</v>
      </c>
      <c r="G974" s="5" t="s">
        <v>3626</v>
      </c>
      <c r="H974" s="5" t="s">
        <v>3627</v>
      </c>
      <c r="I974" s="5" t="s">
        <v>1664</v>
      </c>
      <c r="J974" s="5" t="s">
        <v>1715</v>
      </c>
      <c r="K974" s="5">
        <v>1.0</v>
      </c>
      <c r="L974" s="5">
        <v>2589.0</v>
      </c>
      <c r="M974" s="8"/>
      <c r="AK974" s="9"/>
      <c r="AO974" s="5" t="s">
        <v>3625</v>
      </c>
      <c r="AP974" s="5">
        <v>738.0</v>
      </c>
      <c r="AQ974" s="5" t="s">
        <v>1716</v>
      </c>
      <c r="AR974" s="5" t="s">
        <v>1717</v>
      </c>
      <c r="AS974" s="5" t="s">
        <v>1718</v>
      </c>
      <c r="AT974" s="5" t="s">
        <v>1719</v>
      </c>
      <c r="AU974" s="5" t="s">
        <v>1703</v>
      </c>
      <c r="AV974" s="5" t="s">
        <v>1720</v>
      </c>
      <c r="AW974" s="5" t="s">
        <v>2368</v>
      </c>
      <c r="AX974" s="5" t="s">
        <v>2516</v>
      </c>
      <c r="AY974" s="5">
        <v>49.3</v>
      </c>
      <c r="AZ974" s="5">
        <v>-119.3</v>
      </c>
      <c r="BA974" s="5">
        <v>18.0</v>
      </c>
    </row>
    <row r="975" ht="14.25" customHeight="1">
      <c r="A975" s="5" t="s">
        <v>422</v>
      </c>
      <c r="B975" s="5">
        <v>12.0</v>
      </c>
      <c r="C975" s="5" t="s">
        <v>7666</v>
      </c>
      <c r="D975" s="5">
        <v>739.0</v>
      </c>
      <c r="E975" s="5">
        <v>2187.0</v>
      </c>
      <c r="F975" s="18" t="s">
        <v>3628</v>
      </c>
      <c r="G975" s="5" t="s">
        <v>3629</v>
      </c>
      <c r="H975" s="5" t="s">
        <v>3630</v>
      </c>
      <c r="I975" s="5" t="s">
        <v>641</v>
      </c>
      <c r="J975" s="5" t="s">
        <v>1746</v>
      </c>
      <c r="K975" s="5">
        <v>1.0</v>
      </c>
      <c r="L975" s="5">
        <v>2590.0</v>
      </c>
      <c r="M975" s="8"/>
      <c r="AK975" s="9"/>
      <c r="AO975" s="5" t="s">
        <v>3628</v>
      </c>
      <c r="AP975" s="5">
        <v>739.0</v>
      </c>
      <c r="AQ975" s="5" t="s">
        <v>1716</v>
      </c>
      <c r="AR975" s="5" t="s">
        <v>1717</v>
      </c>
      <c r="AS975" s="5" t="s">
        <v>1718</v>
      </c>
      <c r="AT975" s="5" t="s">
        <v>1719</v>
      </c>
      <c r="AU975" s="5" t="s">
        <v>1703</v>
      </c>
      <c r="AV975" s="5" t="s">
        <v>1720</v>
      </c>
      <c r="AW975" s="5" t="s">
        <v>2368</v>
      </c>
      <c r="AY975" s="5">
        <v>49.0</v>
      </c>
      <c r="AZ975" s="5">
        <v>-119.0</v>
      </c>
      <c r="BA975" s="5">
        <v>15.0</v>
      </c>
    </row>
    <row r="976" ht="14.25" customHeight="1">
      <c r="A976" s="5" t="s">
        <v>422</v>
      </c>
      <c r="B976" s="5">
        <v>12.0</v>
      </c>
      <c r="C976" s="5" t="s">
        <v>7666</v>
      </c>
      <c r="D976" s="5">
        <v>740.0</v>
      </c>
      <c r="E976" s="5">
        <v>2188.0</v>
      </c>
      <c r="F976" s="18" t="s">
        <v>3631</v>
      </c>
      <c r="G976" s="5" t="s">
        <v>3632</v>
      </c>
      <c r="H976" s="5" t="s">
        <v>3633</v>
      </c>
      <c r="I976" s="5" t="s">
        <v>1664</v>
      </c>
      <c r="J976" s="5" t="s">
        <v>1746</v>
      </c>
      <c r="K976" s="5">
        <v>1.0</v>
      </c>
      <c r="L976" s="5">
        <v>2591.0</v>
      </c>
      <c r="M976" s="8"/>
      <c r="AK976" s="9"/>
      <c r="AO976" s="5" t="s">
        <v>3631</v>
      </c>
      <c r="AP976" s="5">
        <v>740.0</v>
      </c>
      <c r="AQ976" s="5" t="s">
        <v>1716</v>
      </c>
      <c r="AR976" s="5" t="s">
        <v>1717</v>
      </c>
      <c r="AS976" s="5" t="s">
        <v>1718</v>
      </c>
      <c r="AT976" s="5" t="s">
        <v>1719</v>
      </c>
      <c r="AU976" s="5" t="s">
        <v>1703</v>
      </c>
      <c r="AV976" s="5" t="s">
        <v>1720</v>
      </c>
      <c r="AW976" s="5" t="s">
        <v>2368</v>
      </c>
      <c r="AY976" s="5">
        <v>49.0</v>
      </c>
      <c r="AZ976" s="5">
        <v>-119.0</v>
      </c>
      <c r="BA976" s="5">
        <v>16.0</v>
      </c>
    </row>
    <row r="977" ht="14.25" customHeight="1">
      <c r="A977" s="5" t="s">
        <v>422</v>
      </c>
      <c r="B977" s="5">
        <v>12.0</v>
      </c>
      <c r="C977" s="5" t="s">
        <v>7666</v>
      </c>
      <c r="D977" s="5">
        <v>741.0</v>
      </c>
      <c r="E977" s="5">
        <v>2189.0</v>
      </c>
      <c r="F977" s="18" t="s">
        <v>3634</v>
      </c>
      <c r="G977" s="5" t="s">
        <v>3635</v>
      </c>
      <c r="H977" s="5" t="s">
        <v>3636</v>
      </c>
      <c r="I977" s="5" t="s">
        <v>1664</v>
      </c>
      <c r="J977" s="5" t="s">
        <v>1746</v>
      </c>
      <c r="K977" s="5">
        <v>1.0</v>
      </c>
      <c r="L977" s="5">
        <v>2592.0</v>
      </c>
      <c r="M977" s="64"/>
      <c r="N977" s="36"/>
      <c r="P977" s="36"/>
      <c r="AK977" s="9"/>
      <c r="AO977" s="5" t="s">
        <v>3634</v>
      </c>
      <c r="AP977" s="5">
        <v>741.0</v>
      </c>
      <c r="AQ977" s="5" t="s">
        <v>1716</v>
      </c>
      <c r="AR977" s="5" t="s">
        <v>1717</v>
      </c>
      <c r="AS977" s="5" t="s">
        <v>1718</v>
      </c>
      <c r="AT977" s="5" t="s">
        <v>1719</v>
      </c>
      <c r="AU977" s="5" t="s">
        <v>1703</v>
      </c>
      <c r="AV977" s="5" t="s">
        <v>1720</v>
      </c>
      <c r="AW977" s="5" t="s">
        <v>2368</v>
      </c>
      <c r="AX977" s="5" t="s">
        <v>2492</v>
      </c>
      <c r="AY977" s="5">
        <v>50.1</v>
      </c>
      <c r="AZ977" s="5">
        <v>-121.1</v>
      </c>
      <c r="BA977" s="5">
        <v>10.0</v>
      </c>
    </row>
    <row r="978" ht="14.25" customHeight="1">
      <c r="A978" s="5" t="s">
        <v>422</v>
      </c>
      <c r="B978" s="5">
        <v>12.0</v>
      </c>
      <c r="C978" s="5" t="s">
        <v>7666</v>
      </c>
      <c r="D978" s="5">
        <v>742.0</v>
      </c>
      <c r="E978" s="5">
        <v>2190.0</v>
      </c>
      <c r="F978" s="18" t="s">
        <v>3637</v>
      </c>
      <c r="G978" s="5" t="s">
        <v>3638</v>
      </c>
      <c r="H978" s="5" t="s">
        <v>3639</v>
      </c>
      <c r="I978" s="5" t="s">
        <v>641</v>
      </c>
      <c r="J978" s="5" t="s">
        <v>1746</v>
      </c>
      <c r="K978" s="5">
        <v>1.0</v>
      </c>
      <c r="L978" s="5">
        <v>2593.0</v>
      </c>
      <c r="M978" s="8"/>
      <c r="AK978" s="9"/>
      <c r="AO978" s="5" t="s">
        <v>3637</v>
      </c>
      <c r="AP978" s="5">
        <v>742.0</v>
      </c>
      <c r="AQ978" s="5" t="s">
        <v>1716</v>
      </c>
      <c r="AR978" s="5" t="s">
        <v>1717</v>
      </c>
      <c r="AS978" s="5" t="s">
        <v>1718</v>
      </c>
      <c r="AT978" s="5" t="s">
        <v>1703</v>
      </c>
      <c r="AU978" s="5" t="s">
        <v>1703</v>
      </c>
      <c r="AV978" s="5" t="s">
        <v>1720</v>
      </c>
      <c r="AW978" s="5" t="s">
        <v>2368</v>
      </c>
      <c r="AX978" s="5" t="s">
        <v>2516</v>
      </c>
      <c r="AY978" s="5">
        <v>49.9596</v>
      </c>
      <c r="AZ978" s="5">
        <v>-119.7076</v>
      </c>
      <c r="BA978" s="5">
        <v>1150.0</v>
      </c>
    </row>
    <row r="979" ht="14.25" customHeight="1">
      <c r="A979" s="5" t="s">
        <v>422</v>
      </c>
      <c r="B979" s="5">
        <v>12.0</v>
      </c>
      <c r="C979" s="5" t="s">
        <v>7666</v>
      </c>
      <c r="D979" s="5">
        <v>743.0</v>
      </c>
      <c r="E979" s="5">
        <v>2191.0</v>
      </c>
      <c r="F979" s="18" t="s">
        <v>3640</v>
      </c>
      <c r="G979" s="5" t="s">
        <v>3641</v>
      </c>
      <c r="H979" s="5" t="s">
        <v>3639</v>
      </c>
      <c r="I979" s="5" t="s">
        <v>641</v>
      </c>
      <c r="J979" s="5" t="s">
        <v>1746</v>
      </c>
      <c r="K979" s="5">
        <v>1.0</v>
      </c>
      <c r="L979" s="5">
        <v>2594.0</v>
      </c>
      <c r="M979" s="8"/>
      <c r="AK979" s="9"/>
      <c r="AO979" s="5" t="s">
        <v>3640</v>
      </c>
      <c r="AP979" s="5">
        <v>743.0</v>
      </c>
      <c r="AQ979" s="5" t="s">
        <v>1716</v>
      </c>
      <c r="AR979" s="5" t="s">
        <v>1717</v>
      </c>
      <c r="AS979" s="5" t="s">
        <v>1718</v>
      </c>
      <c r="AT979" s="5" t="s">
        <v>1703</v>
      </c>
      <c r="AU979" s="5" t="s">
        <v>1703</v>
      </c>
      <c r="AV979" s="5" t="s">
        <v>1720</v>
      </c>
      <c r="AW979" s="5" t="s">
        <v>2368</v>
      </c>
      <c r="AX979" s="5" t="s">
        <v>2516</v>
      </c>
      <c r="AY979" s="5">
        <v>49.959</v>
      </c>
      <c r="AZ979" s="5">
        <v>-119.7096</v>
      </c>
      <c r="BA979" s="5">
        <v>1150.0</v>
      </c>
    </row>
    <row r="980" ht="14.25" customHeight="1">
      <c r="A980" s="5" t="s">
        <v>422</v>
      </c>
      <c r="B980" s="5">
        <v>12.0</v>
      </c>
      <c r="C980" s="5" t="s">
        <v>7666</v>
      </c>
      <c r="D980" s="5">
        <v>744.0</v>
      </c>
      <c r="E980" s="5">
        <v>2192.0</v>
      </c>
      <c r="F980" s="18" t="s">
        <v>3642</v>
      </c>
      <c r="G980" s="5" t="s">
        <v>3643</v>
      </c>
      <c r="H980" s="5" t="s">
        <v>3644</v>
      </c>
      <c r="I980" s="5" t="s">
        <v>1664</v>
      </c>
      <c r="J980" s="5" t="s">
        <v>1746</v>
      </c>
      <c r="K980" s="5">
        <v>1.0</v>
      </c>
      <c r="L980" s="5">
        <v>2595.0</v>
      </c>
      <c r="M980" s="8"/>
      <c r="AK980" s="9"/>
      <c r="AO980" s="5" t="s">
        <v>3642</v>
      </c>
      <c r="AP980" s="5">
        <v>744.0</v>
      </c>
      <c r="AQ980" s="5" t="s">
        <v>1716</v>
      </c>
      <c r="AR980" s="5" t="s">
        <v>1717</v>
      </c>
      <c r="AS980" s="5" t="s">
        <v>1718</v>
      </c>
      <c r="AT980" s="5" t="s">
        <v>1719</v>
      </c>
      <c r="AU980" s="5" t="s">
        <v>1703</v>
      </c>
      <c r="AV980" s="5" t="s">
        <v>1720</v>
      </c>
      <c r="AW980" s="5" t="s">
        <v>2368</v>
      </c>
      <c r="AX980" s="5" t="s">
        <v>2827</v>
      </c>
      <c r="AY980" s="5">
        <v>49.2</v>
      </c>
      <c r="AZ980" s="5">
        <v>-119.2</v>
      </c>
      <c r="BA980" s="5">
        <v>14.0</v>
      </c>
    </row>
    <row r="981" ht="14.25" customHeight="1">
      <c r="B981" s="5">
        <v>12.0</v>
      </c>
      <c r="C981" s="5" t="s">
        <v>7666</v>
      </c>
      <c r="D981" s="5">
        <v>745.0</v>
      </c>
      <c r="E981" s="5">
        <v>2193.0</v>
      </c>
      <c r="F981" s="18" t="s">
        <v>3645</v>
      </c>
      <c r="G981" s="5" t="s">
        <v>3646</v>
      </c>
      <c r="H981" s="5" t="s">
        <v>3647</v>
      </c>
      <c r="I981" s="5" t="s">
        <v>641</v>
      </c>
      <c r="J981" s="5" t="s">
        <v>1715</v>
      </c>
      <c r="K981" s="5">
        <v>1.0</v>
      </c>
      <c r="L981" s="5">
        <v>2596.0</v>
      </c>
      <c r="M981" s="8"/>
      <c r="AK981" s="9"/>
      <c r="AO981" s="5" t="s">
        <v>3645</v>
      </c>
      <c r="AP981" s="5">
        <v>745.0</v>
      </c>
      <c r="AQ981" s="5" t="s">
        <v>1716</v>
      </c>
      <c r="AR981" s="5" t="s">
        <v>1717</v>
      </c>
      <c r="AS981" s="5" t="s">
        <v>1718</v>
      </c>
      <c r="AT981" s="5" t="s">
        <v>1719</v>
      </c>
      <c r="AU981" s="5" t="s">
        <v>1703</v>
      </c>
      <c r="AV981" s="5" t="s">
        <v>1720</v>
      </c>
      <c r="AW981" s="5" t="s">
        <v>2368</v>
      </c>
      <c r="AX981" s="5" t="s">
        <v>2516</v>
      </c>
      <c r="AY981" s="5">
        <v>49.967</v>
      </c>
      <c r="AZ981" s="5">
        <v>-119.717</v>
      </c>
      <c r="BA981" s="5">
        <v>1100.0</v>
      </c>
    </row>
    <row r="982" ht="14.25" customHeight="1">
      <c r="A982" s="5" t="s">
        <v>422</v>
      </c>
      <c r="B982" s="5">
        <v>12.0</v>
      </c>
      <c r="C982" s="5" t="s">
        <v>7666</v>
      </c>
      <c r="D982" s="5">
        <v>746.0</v>
      </c>
      <c r="E982" s="5">
        <v>2194.0</v>
      </c>
      <c r="F982" s="18" t="s">
        <v>3648</v>
      </c>
      <c r="G982" s="5" t="s">
        <v>3649</v>
      </c>
      <c r="H982" s="5" t="s">
        <v>3650</v>
      </c>
      <c r="I982" s="5" t="s">
        <v>641</v>
      </c>
      <c r="J982" s="5" t="s">
        <v>1746</v>
      </c>
      <c r="K982" s="5">
        <v>1.0</v>
      </c>
      <c r="L982" s="5">
        <v>2597.0</v>
      </c>
      <c r="M982" s="8"/>
      <c r="AK982" s="9"/>
      <c r="AO982" s="5" t="s">
        <v>3648</v>
      </c>
      <c r="AP982" s="5">
        <v>746.0</v>
      </c>
      <c r="AQ982" s="5" t="s">
        <v>1716</v>
      </c>
      <c r="AR982" s="5" t="s">
        <v>1717</v>
      </c>
      <c r="AS982" s="5" t="s">
        <v>1718</v>
      </c>
      <c r="AT982" s="5" t="s">
        <v>1719</v>
      </c>
      <c r="AU982" s="5" t="s">
        <v>1959</v>
      </c>
      <c r="AV982" s="5" t="s">
        <v>1720</v>
      </c>
      <c r="AW982" s="5" t="s">
        <v>2368</v>
      </c>
      <c r="AX982" s="5" t="s">
        <v>2522</v>
      </c>
      <c r="AY982" s="5">
        <v>50.4442</v>
      </c>
      <c r="AZ982" s="5">
        <v>-118.8957</v>
      </c>
      <c r="BA982" s="5">
        <v>1180.0</v>
      </c>
    </row>
    <row r="983" ht="14.25" customHeight="1">
      <c r="A983" s="5" t="s">
        <v>422</v>
      </c>
      <c r="B983" s="5">
        <v>12.0</v>
      </c>
      <c r="C983" s="5" t="s">
        <v>7666</v>
      </c>
      <c r="D983" s="5">
        <v>747.0</v>
      </c>
      <c r="E983" s="5">
        <v>2195.0</v>
      </c>
      <c r="F983" s="18" t="s">
        <v>3651</v>
      </c>
      <c r="G983" s="5" t="s">
        <v>3652</v>
      </c>
      <c r="H983" s="5" t="s">
        <v>3653</v>
      </c>
      <c r="I983" s="5" t="s">
        <v>641</v>
      </c>
      <c r="J983" s="5" t="s">
        <v>1746</v>
      </c>
      <c r="K983" s="5">
        <v>1.0</v>
      </c>
      <c r="L983" s="5">
        <v>2598.0</v>
      </c>
      <c r="M983" s="8"/>
      <c r="AK983" s="9"/>
      <c r="AO983" s="5" t="s">
        <v>3651</v>
      </c>
      <c r="AP983" s="5">
        <v>747.0</v>
      </c>
      <c r="AQ983" s="5" t="s">
        <v>1716</v>
      </c>
      <c r="AR983" s="5" t="s">
        <v>1717</v>
      </c>
      <c r="AS983" s="5" t="s">
        <v>1718</v>
      </c>
      <c r="AT983" s="5" t="s">
        <v>1719</v>
      </c>
      <c r="AU983" s="5" t="s">
        <v>1703</v>
      </c>
      <c r="AV983" s="5" t="s">
        <v>1720</v>
      </c>
      <c r="AW983" s="5" t="s">
        <v>2368</v>
      </c>
      <c r="AX983" s="5" t="s">
        <v>2522</v>
      </c>
      <c r="AY983" s="5">
        <v>50.2055</v>
      </c>
      <c r="AZ983" s="5">
        <v>-119.57</v>
      </c>
      <c r="BA983" s="5">
        <v>1100.0</v>
      </c>
    </row>
    <row r="984" ht="14.25" customHeight="1">
      <c r="B984" s="5">
        <v>12.0</v>
      </c>
      <c r="C984" s="5" t="s">
        <v>7666</v>
      </c>
      <c r="D984" s="5">
        <v>748.0</v>
      </c>
      <c r="E984" s="5">
        <v>2196.0</v>
      </c>
      <c r="F984" s="18" t="s">
        <v>3654</v>
      </c>
      <c r="G984" s="5" t="s">
        <v>3655</v>
      </c>
      <c r="H984" s="5" t="s">
        <v>3656</v>
      </c>
      <c r="I984" s="5" t="s">
        <v>1664</v>
      </c>
      <c r="J984" s="5" t="s">
        <v>1715</v>
      </c>
      <c r="K984" s="5">
        <v>1.0</v>
      </c>
      <c r="L984" s="5">
        <v>2599.0</v>
      </c>
      <c r="M984" s="8"/>
      <c r="AK984" s="9"/>
      <c r="AO984" s="5" t="s">
        <v>3654</v>
      </c>
      <c r="AP984" s="5">
        <v>748.0</v>
      </c>
      <c r="AQ984" s="5" t="s">
        <v>1716</v>
      </c>
      <c r="AR984" s="5" t="s">
        <v>1717</v>
      </c>
      <c r="AS984" s="5" t="s">
        <v>1718</v>
      </c>
      <c r="AT984" s="5" t="s">
        <v>1719</v>
      </c>
      <c r="AU984" s="5" t="s">
        <v>1703</v>
      </c>
      <c r="AV984" s="5" t="s">
        <v>1720</v>
      </c>
      <c r="AW984" s="5" t="s">
        <v>2368</v>
      </c>
      <c r="AX984" s="5" t="s">
        <v>2401</v>
      </c>
      <c r="AY984" s="5">
        <v>52.0</v>
      </c>
      <c r="AZ984" s="5">
        <v>-119.0</v>
      </c>
      <c r="BA984" s="5">
        <v>5.0</v>
      </c>
    </row>
    <row r="985" ht="14.25" customHeight="1">
      <c r="B985" s="5">
        <v>12.0</v>
      </c>
      <c r="C985" s="5" t="s">
        <v>7666</v>
      </c>
      <c r="D985" s="5">
        <v>749.0</v>
      </c>
      <c r="E985" s="5">
        <v>2197.0</v>
      </c>
      <c r="F985" s="18" t="s">
        <v>3657</v>
      </c>
      <c r="G985" s="5" t="s">
        <v>3658</v>
      </c>
      <c r="H985" s="5" t="s">
        <v>3308</v>
      </c>
      <c r="I985" s="5" t="s">
        <v>1664</v>
      </c>
      <c r="J985" s="5" t="s">
        <v>1715</v>
      </c>
      <c r="K985" s="5">
        <v>1.0</v>
      </c>
      <c r="L985" s="5">
        <v>2600.0</v>
      </c>
      <c r="M985" s="8"/>
      <c r="AK985" s="9"/>
      <c r="AO985" s="5" t="s">
        <v>3657</v>
      </c>
      <c r="AP985" s="5">
        <v>749.0</v>
      </c>
      <c r="AQ985" s="5" t="s">
        <v>1716</v>
      </c>
      <c r="AR985" s="5" t="s">
        <v>1717</v>
      </c>
      <c r="AS985" s="5" t="s">
        <v>1718</v>
      </c>
      <c r="AT985" s="5" t="s">
        <v>1719</v>
      </c>
      <c r="AU985" s="5" t="s">
        <v>1703</v>
      </c>
      <c r="AV985" s="5" t="s">
        <v>1720</v>
      </c>
      <c r="AW985" s="5" t="s">
        <v>2368</v>
      </c>
      <c r="AX985" s="5" t="s">
        <v>2401</v>
      </c>
      <c r="AY985" s="5">
        <v>52.0</v>
      </c>
      <c r="AZ985" s="5">
        <v>-119.1</v>
      </c>
      <c r="BA985" s="5">
        <v>12.0</v>
      </c>
    </row>
    <row r="986" ht="14.25" customHeight="1">
      <c r="A986" s="5" t="s">
        <v>422</v>
      </c>
      <c r="B986" s="5">
        <v>12.0</v>
      </c>
      <c r="C986" s="5" t="s">
        <v>7666</v>
      </c>
      <c r="D986" s="5">
        <v>750.0</v>
      </c>
      <c r="E986" s="5">
        <v>2198.0</v>
      </c>
      <c r="F986" s="18" t="s">
        <v>3659</v>
      </c>
      <c r="G986" s="5" t="s">
        <v>3660</v>
      </c>
      <c r="H986" s="5" t="s">
        <v>3661</v>
      </c>
      <c r="I986" s="5" t="s">
        <v>1664</v>
      </c>
      <c r="J986" s="5" t="s">
        <v>1746</v>
      </c>
      <c r="K986" s="5">
        <v>1.0</v>
      </c>
      <c r="L986" s="5">
        <v>2601.0</v>
      </c>
      <c r="M986" s="8"/>
      <c r="AK986" s="9"/>
      <c r="AO986" s="5" t="s">
        <v>3659</v>
      </c>
      <c r="AP986" s="5">
        <v>750.0</v>
      </c>
      <c r="AQ986" s="5" t="s">
        <v>1716</v>
      </c>
      <c r="AR986" s="5" t="s">
        <v>1717</v>
      </c>
      <c r="AS986" s="5" t="s">
        <v>1718</v>
      </c>
      <c r="AT986" s="5" t="s">
        <v>1719</v>
      </c>
      <c r="AU986" s="5" t="s">
        <v>1703</v>
      </c>
      <c r="AV986" s="5" t="s">
        <v>1720</v>
      </c>
      <c r="AW986" s="5" t="s">
        <v>2698</v>
      </c>
      <c r="AX986" s="5" t="s">
        <v>2801</v>
      </c>
      <c r="AY986" s="5">
        <v>50.8</v>
      </c>
      <c r="AZ986" s="5">
        <v>-117.0</v>
      </c>
      <c r="BA986" s="5">
        <v>12.0</v>
      </c>
    </row>
    <row r="987" ht="14.25" customHeight="1">
      <c r="A987" s="5" t="s">
        <v>422</v>
      </c>
      <c r="B987" s="5">
        <v>12.0</v>
      </c>
      <c r="C987" s="5" t="s">
        <v>7666</v>
      </c>
      <c r="D987" s="5">
        <v>751.0</v>
      </c>
      <c r="E987" s="5">
        <v>2199.0</v>
      </c>
      <c r="F987" s="18" t="s">
        <v>3662</v>
      </c>
      <c r="G987" s="5" t="s">
        <v>3663</v>
      </c>
      <c r="H987" s="5" t="s">
        <v>3664</v>
      </c>
      <c r="I987" s="5" t="s">
        <v>1664</v>
      </c>
      <c r="J987" s="5" t="s">
        <v>1746</v>
      </c>
      <c r="K987" s="5">
        <v>1.0</v>
      </c>
      <c r="L987" s="5">
        <v>2602.0</v>
      </c>
      <c r="M987" s="8"/>
      <c r="AK987" s="9"/>
      <c r="AO987" s="5" t="s">
        <v>3662</v>
      </c>
      <c r="AP987" s="5">
        <v>751.0</v>
      </c>
      <c r="AQ987" s="5" t="s">
        <v>1716</v>
      </c>
      <c r="AR987" s="5" t="s">
        <v>1717</v>
      </c>
      <c r="AS987" s="5" t="s">
        <v>1718</v>
      </c>
      <c r="AT987" s="5" t="s">
        <v>1719</v>
      </c>
      <c r="AU987" s="5" t="s">
        <v>1703</v>
      </c>
      <c r="AV987" s="5" t="s">
        <v>1720</v>
      </c>
      <c r="AW987" s="5" t="s">
        <v>2368</v>
      </c>
      <c r="AX987" s="5" t="s">
        <v>2401</v>
      </c>
      <c r="AY987" s="5">
        <v>51.7</v>
      </c>
      <c r="AZ987" s="5">
        <v>-119.3</v>
      </c>
      <c r="BA987" s="5">
        <v>13.0</v>
      </c>
    </row>
    <row r="988" ht="14.25" customHeight="1">
      <c r="A988" s="5" t="s">
        <v>422</v>
      </c>
      <c r="B988" s="5">
        <v>12.0</v>
      </c>
      <c r="C988" s="5" t="s">
        <v>7666</v>
      </c>
      <c r="D988" s="5">
        <v>753.0</v>
      </c>
      <c r="E988" s="5">
        <v>2201.0</v>
      </c>
      <c r="F988" s="18" t="s">
        <v>3665</v>
      </c>
      <c r="G988" s="5" t="s">
        <v>3666</v>
      </c>
      <c r="H988" s="5" t="s">
        <v>3667</v>
      </c>
      <c r="I988" s="5" t="s">
        <v>1664</v>
      </c>
      <c r="J988" s="5" t="s">
        <v>1746</v>
      </c>
      <c r="K988" s="5">
        <v>1.0</v>
      </c>
      <c r="L988" s="5">
        <v>2604.0</v>
      </c>
      <c r="M988" s="8"/>
      <c r="AK988" s="9"/>
      <c r="AO988" s="29" t="s">
        <v>3665</v>
      </c>
      <c r="AP988" s="5">
        <v>753.0</v>
      </c>
      <c r="AQ988" s="5" t="s">
        <v>1716</v>
      </c>
      <c r="AR988" s="5" t="s">
        <v>1717</v>
      </c>
      <c r="AS988" s="5" t="s">
        <v>2257</v>
      </c>
      <c r="AT988" s="5" t="s">
        <v>1703</v>
      </c>
      <c r="AU988" s="5" t="s">
        <v>3668</v>
      </c>
      <c r="AV988" s="5" t="s">
        <v>1720</v>
      </c>
      <c r="AW988" s="5" t="s">
        <v>2698</v>
      </c>
      <c r="AX988" s="5" t="s">
        <v>2699</v>
      </c>
      <c r="AY988" s="5">
        <v>51.35</v>
      </c>
      <c r="AZ988" s="5">
        <v>-118.16</v>
      </c>
      <c r="BA988" s="5">
        <v>1000.0</v>
      </c>
    </row>
    <row r="989" ht="14.25" customHeight="1">
      <c r="A989" s="5" t="s">
        <v>422</v>
      </c>
      <c r="B989" s="5">
        <v>12.0</v>
      </c>
      <c r="C989" s="5" t="s">
        <v>7666</v>
      </c>
      <c r="D989" s="5">
        <v>754.0</v>
      </c>
      <c r="E989" s="5">
        <v>2202.0</v>
      </c>
      <c r="F989" s="18" t="s">
        <v>3669</v>
      </c>
      <c r="G989" s="5" t="s">
        <v>3670</v>
      </c>
      <c r="H989" s="5" t="s">
        <v>3671</v>
      </c>
      <c r="I989" s="5" t="s">
        <v>1664</v>
      </c>
      <c r="J989" s="5" t="s">
        <v>1746</v>
      </c>
      <c r="K989" s="5">
        <v>1.0</v>
      </c>
      <c r="L989" s="5">
        <v>2605.0</v>
      </c>
      <c r="M989" s="8"/>
      <c r="AK989" s="9"/>
      <c r="AO989" s="5" t="s">
        <v>3669</v>
      </c>
      <c r="AP989" s="5">
        <v>754.0</v>
      </c>
      <c r="AQ989" s="5" t="s">
        <v>1716</v>
      </c>
      <c r="AR989" s="5" t="s">
        <v>1717</v>
      </c>
      <c r="AS989" s="5" t="s">
        <v>2257</v>
      </c>
      <c r="AT989" s="5" t="s">
        <v>1703</v>
      </c>
      <c r="AU989" s="5" t="s">
        <v>3668</v>
      </c>
      <c r="AV989" s="5" t="s">
        <v>1720</v>
      </c>
      <c r="AW989" s="5" t="s">
        <v>2698</v>
      </c>
      <c r="AX989" s="5" t="s">
        <v>2699</v>
      </c>
      <c r="AY989" s="5">
        <v>51.12</v>
      </c>
      <c r="AZ989" s="5">
        <v>-118.16</v>
      </c>
      <c r="BA989" s="5">
        <v>1000.0</v>
      </c>
    </row>
    <row r="990" ht="14.25" customHeight="1">
      <c r="B990" s="5">
        <v>12.0</v>
      </c>
      <c r="C990" s="5" t="s">
        <v>7666</v>
      </c>
      <c r="D990" s="5">
        <v>755.0</v>
      </c>
      <c r="E990" s="5">
        <v>2203.0</v>
      </c>
      <c r="F990" s="18" t="s">
        <v>3672</v>
      </c>
      <c r="G990" s="5" t="s">
        <v>3673</v>
      </c>
      <c r="H990" s="5" t="s">
        <v>3279</v>
      </c>
      <c r="I990" s="5" t="s">
        <v>1664</v>
      </c>
      <c r="J990" s="5" t="s">
        <v>1715</v>
      </c>
      <c r="K990" s="5">
        <v>1.0</v>
      </c>
      <c r="L990" s="5">
        <v>2606.0</v>
      </c>
      <c r="M990" s="8"/>
      <c r="AK990" s="9"/>
      <c r="AO990" s="5" t="s">
        <v>3672</v>
      </c>
      <c r="AP990" s="5">
        <v>755.0</v>
      </c>
      <c r="AQ990" s="5" t="s">
        <v>1716</v>
      </c>
      <c r="AR990" s="5" t="s">
        <v>1717</v>
      </c>
      <c r="AS990" s="5" t="s">
        <v>1718</v>
      </c>
      <c r="AT990" s="5" t="s">
        <v>1719</v>
      </c>
      <c r="AU990" s="5" t="s">
        <v>1703</v>
      </c>
      <c r="AV990" s="5" t="s">
        <v>1720</v>
      </c>
      <c r="AW990" s="5" t="s">
        <v>2698</v>
      </c>
      <c r="AX990" s="5" t="s">
        <v>2699</v>
      </c>
      <c r="AY990" s="5">
        <v>51.5</v>
      </c>
      <c r="AZ990" s="5">
        <v>-118.5</v>
      </c>
      <c r="BA990" s="5">
        <v>13.0</v>
      </c>
    </row>
    <row r="991" ht="14.25" customHeight="1">
      <c r="A991" s="5" t="s">
        <v>422</v>
      </c>
      <c r="B991" s="5">
        <v>12.0</v>
      </c>
      <c r="C991" s="5" t="s">
        <v>7666</v>
      </c>
      <c r="D991" s="5">
        <v>756.0</v>
      </c>
      <c r="E991" s="5">
        <v>2204.0</v>
      </c>
      <c r="F991" s="18" t="s">
        <v>3674</v>
      </c>
      <c r="G991" s="5" t="s">
        <v>3675</v>
      </c>
      <c r="H991" s="5" t="s">
        <v>3676</v>
      </c>
      <c r="I991" s="5" t="s">
        <v>1664</v>
      </c>
      <c r="J991" s="5" t="s">
        <v>1746</v>
      </c>
      <c r="K991" s="5">
        <v>1.0</v>
      </c>
      <c r="L991" s="5">
        <v>2607.0</v>
      </c>
      <c r="M991" s="8"/>
      <c r="AK991" s="9"/>
      <c r="AO991" s="5" t="s">
        <v>3674</v>
      </c>
      <c r="AP991" s="5">
        <v>756.0</v>
      </c>
      <c r="AQ991" s="5" t="s">
        <v>1716</v>
      </c>
      <c r="AR991" s="5" t="s">
        <v>1717</v>
      </c>
      <c r="AS991" s="5" t="s">
        <v>1718</v>
      </c>
      <c r="AT991" s="5" t="s">
        <v>1719</v>
      </c>
      <c r="AU991" s="5" t="s">
        <v>1703</v>
      </c>
      <c r="AV991" s="5" t="s">
        <v>1720</v>
      </c>
      <c r="AW991" s="5" t="s">
        <v>2003</v>
      </c>
      <c r="AX991" s="5" t="s">
        <v>2699</v>
      </c>
      <c r="AY991" s="5">
        <v>52.0</v>
      </c>
      <c r="AZ991" s="5">
        <v>-118.0</v>
      </c>
      <c r="BA991" s="5">
        <v>35.0</v>
      </c>
    </row>
    <row r="992" ht="14.25" customHeight="1">
      <c r="A992" s="5" t="s">
        <v>422</v>
      </c>
      <c r="B992" s="5">
        <v>12.0</v>
      </c>
      <c r="C992" s="5" t="s">
        <v>7666</v>
      </c>
      <c r="D992" s="5">
        <v>757.0</v>
      </c>
      <c r="E992" s="5">
        <v>2205.0</v>
      </c>
      <c r="F992" s="18" t="s">
        <v>3677</v>
      </c>
      <c r="G992" s="5" t="s">
        <v>3678</v>
      </c>
      <c r="H992" s="5" t="s">
        <v>3679</v>
      </c>
      <c r="I992" s="5" t="s">
        <v>641</v>
      </c>
      <c r="J992" s="5" t="s">
        <v>1746</v>
      </c>
      <c r="K992" s="5">
        <v>1.0</v>
      </c>
      <c r="L992" s="5">
        <v>2608.0</v>
      </c>
      <c r="M992" s="8"/>
      <c r="AK992" s="9"/>
      <c r="AO992" s="67" t="s">
        <v>3677</v>
      </c>
      <c r="AP992" s="5">
        <v>757.0</v>
      </c>
      <c r="AQ992" s="5" t="s">
        <v>1716</v>
      </c>
      <c r="AR992" s="5" t="s">
        <v>1717</v>
      </c>
      <c r="AS992" s="5" t="s">
        <v>1718</v>
      </c>
      <c r="AT992" s="5" t="s">
        <v>1703</v>
      </c>
      <c r="AU992" s="5" t="s">
        <v>1703</v>
      </c>
      <c r="AV992" s="5" t="s">
        <v>1720</v>
      </c>
      <c r="AW992" s="5" t="s">
        <v>2003</v>
      </c>
      <c r="AX992" s="5" t="s">
        <v>2707</v>
      </c>
      <c r="AY992" s="5">
        <v>50.659</v>
      </c>
      <c r="AZ992" s="5">
        <v>-119.496</v>
      </c>
      <c r="BA992" s="5">
        <v>1768.0</v>
      </c>
    </row>
    <row r="993" ht="14.25" customHeight="1">
      <c r="B993" s="5">
        <v>12.0</v>
      </c>
      <c r="C993" s="5" t="s">
        <v>7666</v>
      </c>
      <c r="D993" s="5">
        <v>758.0</v>
      </c>
      <c r="E993" s="5">
        <v>2206.0</v>
      </c>
      <c r="F993" s="18" t="s">
        <v>3680</v>
      </c>
      <c r="G993" s="5" t="s">
        <v>3681</v>
      </c>
      <c r="H993" s="5" t="s">
        <v>3682</v>
      </c>
      <c r="I993" s="5" t="s">
        <v>1664</v>
      </c>
      <c r="J993" s="5" t="s">
        <v>1746</v>
      </c>
      <c r="K993" s="5">
        <v>1.0</v>
      </c>
      <c r="L993" s="5">
        <v>2609.0</v>
      </c>
      <c r="M993" s="8"/>
      <c r="AK993" s="9"/>
      <c r="AO993" s="29" t="s">
        <v>3680</v>
      </c>
      <c r="AP993" s="5">
        <v>758.0</v>
      </c>
      <c r="AQ993" s="5" t="s">
        <v>1716</v>
      </c>
      <c r="AR993" s="5" t="s">
        <v>1717</v>
      </c>
      <c r="AS993" s="5" t="s">
        <v>1718</v>
      </c>
      <c r="AT993" s="5" t="s">
        <v>1719</v>
      </c>
      <c r="AU993" s="5" t="s">
        <v>1703</v>
      </c>
      <c r="AV993" s="5" t="s">
        <v>1720</v>
      </c>
      <c r="AW993" s="5" t="s">
        <v>2698</v>
      </c>
      <c r="AX993" s="5" t="s">
        <v>2699</v>
      </c>
      <c r="AY993" s="5">
        <v>51.5</v>
      </c>
      <c r="AZ993" s="5">
        <v>-117.2</v>
      </c>
      <c r="BA993" s="5">
        <v>8.0</v>
      </c>
    </row>
    <row r="994" ht="14.25" customHeight="1">
      <c r="A994" s="5" t="s">
        <v>422</v>
      </c>
      <c r="B994" s="5">
        <v>12.0</v>
      </c>
      <c r="C994" s="5" t="s">
        <v>7666</v>
      </c>
      <c r="D994" s="5">
        <v>759.0</v>
      </c>
      <c r="E994" s="5">
        <v>2207.0</v>
      </c>
      <c r="F994" s="18" t="s">
        <v>3683</v>
      </c>
      <c r="G994" s="5" t="s">
        <v>3684</v>
      </c>
      <c r="H994" s="5" t="s">
        <v>3685</v>
      </c>
      <c r="I994" s="5" t="s">
        <v>641</v>
      </c>
      <c r="J994" s="5" t="s">
        <v>1746</v>
      </c>
      <c r="K994" s="5">
        <v>1.0</v>
      </c>
      <c r="L994" s="5">
        <v>2610.0</v>
      </c>
      <c r="M994" s="8"/>
      <c r="AK994" s="9"/>
      <c r="AO994" s="5" t="s">
        <v>3683</v>
      </c>
      <c r="AP994" s="5">
        <v>759.0</v>
      </c>
      <c r="AQ994" s="5" t="s">
        <v>1716</v>
      </c>
      <c r="AR994" s="5" t="s">
        <v>1717</v>
      </c>
      <c r="AS994" s="5" t="s">
        <v>1718</v>
      </c>
      <c r="AT994" s="5" t="s">
        <v>1719</v>
      </c>
      <c r="AU994" s="5" t="s">
        <v>1703</v>
      </c>
      <c r="AV994" s="5" t="s">
        <v>1720</v>
      </c>
      <c r="AW994" s="5" t="s">
        <v>2698</v>
      </c>
      <c r="AX994" s="5" t="s">
        <v>2699</v>
      </c>
      <c r="AY994" s="5">
        <v>51.0</v>
      </c>
      <c r="AZ994" s="5">
        <v>-116.2</v>
      </c>
      <c r="BA994" s="5">
        <v>14.0</v>
      </c>
    </row>
    <row r="995" ht="14.25" customHeight="1">
      <c r="B995" s="5">
        <v>12.0</v>
      </c>
      <c r="C995" s="5" t="s">
        <v>7666</v>
      </c>
      <c r="D995" s="5">
        <v>760.0</v>
      </c>
      <c r="E995" s="5">
        <v>2208.0</v>
      </c>
      <c r="F995" s="18" t="s">
        <v>3686</v>
      </c>
      <c r="G995" s="5" t="s">
        <v>3687</v>
      </c>
      <c r="H995" s="5" t="s">
        <v>3688</v>
      </c>
      <c r="I995" s="5" t="s">
        <v>1664</v>
      </c>
      <c r="J995" s="5" t="s">
        <v>1715</v>
      </c>
      <c r="K995" s="5">
        <v>1.0</v>
      </c>
      <c r="L995" s="5">
        <v>2611.0</v>
      </c>
      <c r="M995" s="8"/>
      <c r="AK995" s="9"/>
      <c r="AO995" s="5" t="s">
        <v>3686</v>
      </c>
      <c r="AP995" s="5">
        <v>760.0</v>
      </c>
      <c r="AQ995" s="5" t="s">
        <v>1716</v>
      </c>
      <c r="AR995" s="5" t="s">
        <v>1717</v>
      </c>
      <c r="AS995" s="5" t="s">
        <v>1718</v>
      </c>
      <c r="AT995" s="5" t="s">
        <v>1719</v>
      </c>
      <c r="AU995" s="5" t="s">
        <v>1703</v>
      </c>
      <c r="AV995" s="5" t="s">
        <v>1720</v>
      </c>
      <c r="AW995" s="5" t="s">
        <v>2698</v>
      </c>
      <c r="AX995" s="5" t="s">
        <v>2699</v>
      </c>
      <c r="AY995" s="5">
        <v>51.2</v>
      </c>
      <c r="AZ995" s="5">
        <v>-117.3</v>
      </c>
      <c r="BA995" s="5">
        <v>13.0</v>
      </c>
    </row>
    <row r="996" ht="14.25" customHeight="1">
      <c r="B996" s="5">
        <v>12.0</v>
      </c>
      <c r="C996" s="5" t="s">
        <v>7666</v>
      </c>
      <c r="D996" s="5">
        <v>761.0</v>
      </c>
      <c r="E996" s="5">
        <v>2209.0</v>
      </c>
      <c r="F996" s="18" t="s">
        <v>3689</v>
      </c>
      <c r="G996" s="5" t="s">
        <v>3690</v>
      </c>
      <c r="H996" s="5" t="s">
        <v>3691</v>
      </c>
      <c r="I996" s="5" t="s">
        <v>1664</v>
      </c>
      <c r="J996" s="5" t="s">
        <v>1715</v>
      </c>
      <c r="K996" s="5">
        <v>1.0</v>
      </c>
      <c r="L996" s="5">
        <v>2612.0</v>
      </c>
      <c r="M996" s="8"/>
      <c r="AK996" s="9"/>
      <c r="AO996" s="29" t="s">
        <v>3689</v>
      </c>
      <c r="AP996" s="5">
        <v>761.0</v>
      </c>
      <c r="AQ996" s="5" t="s">
        <v>1716</v>
      </c>
      <c r="AR996" s="5" t="s">
        <v>1717</v>
      </c>
      <c r="AS996" s="5" t="s">
        <v>1718</v>
      </c>
      <c r="AT996" s="5" t="s">
        <v>1719</v>
      </c>
      <c r="AU996" s="5" t="s">
        <v>1703</v>
      </c>
      <c r="AV996" s="5" t="s">
        <v>1720</v>
      </c>
      <c r="AW996" s="5" t="s">
        <v>2698</v>
      </c>
      <c r="AX996" s="5" t="s">
        <v>2768</v>
      </c>
      <c r="AY996" s="5">
        <v>51.2</v>
      </c>
      <c r="AZ996" s="5">
        <v>-117.2</v>
      </c>
      <c r="BA996" s="5">
        <v>14.0</v>
      </c>
    </row>
    <row r="997" ht="14.25" customHeight="1">
      <c r="B997" s="5">
        <v>12.0</v>
      </c>
      <c r="C997" s="5" t="s">
        <v>7666</v>
      </c>
      <c r="D997" s="5">
        <v>762.0</v>
      </c>
      <c r="E997" s="5">
        <v>2210.0</v>
      </c>
      <c r="F997" s="18" t="s">
        <v>3692</v>
      </c>
      <c r="G997" s="5" t="s">
        <v>3693</v>
      </c>
      <c r="H997" s="5" t="s">
        <v>3694</v>
      </c>
      <c r="I997" s="5" t="s">
        <v>1664</v>
      </c>
      <c r="J997" s="5" t="s">
        <v>1715</v>
      </c>
      <c r="K997" s="5">
        <v>1.0</v>
      </c>
      <c r="L997" s="5">
        <v>2613.0</v>
      </c>
      <c r="M997" s="8"/>
      <c r="AK997" s="9"/>
      <c r="AO997" s="5" t="s">
        <v>3692</v>
      </c>
      <c r="AP997" s="5">
        <v>762.0</v>
      </c>
      <c r="AQ997" s="5" t="s">
        <v>1716</v>
      </c>
      <c r="AR997" s="5" t="s">
        <v>1717</v>
      </c>
      <c r="AS997" s="5" t="s">
        <v>1718</v>
      </c>
      <c r="AT997" s="5" t="s">
        <v>1719</v>
      </c>
      <c r="AU997" s="5" t="s">
        <v>1703</v>
      </c>
      <c r="AV997" s="5" t="s">
        <v>1720</v>
      </c>
      <c r="AW997" s="5" t="s">
        <v>2698</v>
      </c>
      <c r="AX997" s="5" t="s">
        <v>2699</v>
      </c>
      <c r="AY997" s="5">
        <v>51.4</v>
      </c>
      <c r="AZ997" s="5">
        <v>-117.4</v>
      </c>
      <c r="BA997" s="5">
        <v>13.0</v>
      </c>
    </row>
    <row r="998" ht="14.25" customHeight="1">
      <c r="B998" s="5">
        <v>12.0</v>
      </c>
      <c r="C998" s="5" t="s">
        <v>7666</v>
      </c>
      <c r="D998" s="5">
        <v>764.0</v>
      </c>
      <c r="E998" s="5">
        <v>2212.0</v>
      </c>
      <c r="F998" s="18" t="s">
        <v>3695</v>
      </c>
      <c r="G998" s="5" t="s">
        <v>3696</v>
      </c>
      <c r="H998" s="5" t="s">
        <v>3697</v>
      </c>
      <c r="I998" s="5" t="s">
        <v>1664</v>
      </c>
      <c r="J998" s="5" t="s">
        <v>1715</v>
      </c>
      <c r="K998" s="5">
        <v>1.0</v>
      </c>
      <c r="L998" s="5">
        <v>2615.0</v>
      </c>
      <c r="M998" s="8"/>
      <c r="AK998" s="9"/>
      <c r="AO998" s="5" t="s">
        <v>3695</v>
      </c>
      <c r="AP998" s="5">
        <v>764.0</v>
      </c>
      <c r="AQ998" s="5" t="s">
        <v>1716</v>
      </c>
      <c r="AR998" s="5" t="s">
        <v>1717</v>
      </c>
      <c r="AS998" s="5" t="s">
        <v>1718</v>
      </c>
      <c r="AT998" s="5" t="s">
        <v>1719</v>
      </c>
      <c r="AU998" s="5" t="s">
        <v>1703</v>
      </c>
      <c r="AV998" s="5" t="s">
        <v>1720</v>
      </c>
      <c r="AW998" s="5" t="s">
        <v>2698</v>
      </c>
      <c r="AX998" s="5" t="s">
        <v>2768</v>
      </c>
      <c r="AY998" s="5">
        <v>51.1</v>
      </c>
      <c r="AZ998" s="5">
        <v>-117.1</v>
      </c>
      <c r="BA998" s="5">
        <v>16.0</v>
      </c>
    </row>
    <row r="999" ht="14.25" customHeight="1">
      <c r="B999" s="5">
        <v>12.0</v>
      </c>
      <c r="C999" s="5" t="s">
        <v>7666</v>
      </c>
      <c r="D999" s="5">
        <v>765.0</v>
      </c>
      <c r="E999" s="5">
        <v>2213.0</v>
      </c>
      <c r="F999" s="18" t="s">
        <v>3698</v>
      </c>
      <c r="G999" s="5" t="s">
        <v>3699</v>
      </c>
      <c r="H999" s="5" t="s">
        <v>3700</v>
      </c>
      <c r="I999" s="5" t="s">
        <v>1664</v>
      </c>
      <c r="J999" s="5" t="s">
        <v>1715</v>
      </c>
      <c r="K999" s="5">
        <v>1.0</v>
      </c>
      <c r="L999" s="5">
        <v>2616.0</v>
      </c>
      <c r="M999" s="8"/>
      <c r="AK999" s="9"/>
      <c r="AO999" s="5" t="s">
        <v>3698</v>
      </c>
      <c r="AP999" s="5">
        <v>765.0</v>
      </c>
      <c r="AQ999" s="5" t="s">
        <v>1716</v>
      </c>
      <c r="AR999" s="5" t="s">
        <v>1717</v>
      </c>
      <c r="AS999" s="5" t="s">
        <v>1718</v>
      </c>
      <c r="AT999" s="5" t="s">
        <v>1719</v>
      </c>
      <c r="AU999" s="5" t="s">
        <v>1703</v>
      </c>
      <c r="AV999" s="5" t="s">
        <v>1720</v>
      </c>
      <c r="AW999" s="5" t="s">
        <v>2698</v>
      </c>
      <c r="AX999" s="5" t="s">
        <v>2768</v>
      </c>
      <c r="AY999" s="5">
        <v>51.0</v>
      </c>
      <c r="AZ999" s="5">
        <v>-117.0</v>
      </c>
      <c r="BA999" s="5">
        <v>13.0</v>
      </c>
    </row>
    <row r="1000" ht="14.25" customHeight="1">
      <c r="B1000" s="5">
        <v>12.0</v>
      </c>
      <c r="C1000" s="5" t="s">
        <v>7666</v>
      </c>
      <c r="D1000" s="5">
        <v>766.0</v>
      </c>
      <c r="E1000" s="5">
        <v>2214.0</v>
      </c>
      <c r="F1000" s="18" t="s">
        <v>3701</v>
      </c>
      <c r="G1000" s="5" t="s">
        <v>3702</v>
      </c>
      <c r="H1000" s="5" t="s">
        <v>3703</v>
      </c>
      <c r="I1000" s="5" t="s">
        <v>1664</v>
      </c>
      <c r="J1000" s="5" t="s">
        <v>1746</v>
      </c>
      <c r="K1000" s="5">
        <v>1.0</v>
      </c>
      <c r="L1000" s="5">
        <v>2617.0</v>
      </c>
      <c r="M1000" s="8"/>
      <c r="AK1000" s="9"/>
      <c r="AO1000" s="5" t="s">
        <v>3701</v>
      </c>
      <c r="AP1000" s="5">
        <v>766.0</v>
      </c>
      <c r="AQ1000" s="5" t="s">
        <v>1716</v>
      </c>
      <c r="AR1000" s="5" t="s">
        <v>1717</v>
      </c>
      <c r="AS1000" s="5" t="s">
        <v>1718</v>
      </c>
      <c r="AT1000" s="5" t="s">
        <v>1719</v>
      </c>
      <c r="AU1000" s="5" t="s">
        <v>1703</v>
      </c>
      <c r="AV1000" s="5" t="s">
        <v>1720</v>
      </c>
      <c r="AW1000" s="5" t="s">
        <v>2698</v>
      </c>
      <c r="AX1000" s="5" t="s">
        <v>2699</v>
      </c>
      <c r="AY1000" s="5">
        <v>51.4</v>
      </c>
      <c r="AZ1000" s="5">
        <v>-117.4</v>
      </c>
      <c r="BA1000" s="5">
        <v>15.0</v>
      </c>
    </row>
    <row r="1001" ht="14.25" customHeight="1">
      <c r="B1001" s="5">
        <v>12.0</v>
      </c>
      <c r="C1001" s="5" t="s">
        <v>7666</v>
      </c>
      <c r="D1001" s="5">
        <v>767.0</v>
      </c>
      <c r="E1001" s="5">
        <v>2215.0</v>
      </c>
      <c r="F1001" s="18" t="s">
        <v>3704</v>
      </c>
      <c r="G1001" s="5" t="s">
        <v>3705</v>
      </c>
      <c r="H1001" s="5" t="s">
        <v>3706</v>
      </c>
      <c r="I1001" s="5" t="s">
        <v>1664</v>
      </c>
      <c r="J1001" s="5" t="s">
        <v>1715</v>
      </c>
      <c r="K1001" s="5">
        <v>1.0</v>
      </c>
      <c r="L1001" s="5">
        <v>2618.0</v>
      </c>
      <c r="M1001" s="8"/>
      <c r="AK1001" s="9"/>
      <c r="AO1001" s="5" t="s">
        <v>3704</v>
      </c>
      <c r="AP1001" s="5">
        <v>767.0</v>
      </c>
      <c r="AQ1001" s="5" t="s">
        <v>1716</v>
      </c>
      <c r="AR1001" s="5" t="s">
        <v>1717</v>
      </c>
      <c r="AS1001" s="5" t="s">
        <v>1718</v>
      </c>
      <c r="AT1001" s="5" t="s">
        <v>1719</v>
      </c>
      <c r="AU1001" s="5" t="s">
        <v>1703</v>
      </c>
      <c r="AV1001" s="5" t="s">
        <v>1720</v>
      </c>
      <c r="AW1001" s="5" t="s">
        <v>2698</v>
      </c>
      <c r="AX1001" s="5" t="s">
        <v>2699</v>
      </c>
      <c r="AY1001" s="5">
        <v>51.7</v>
      </c>
      <c r="AZ1001" s="5">
        <v>-117.1</v>
      </c>
      <c r="BA1001" s="5">
        <v>8.0</v>
      </c>
    </row>
    <row r="1002" ht="14.25" customHeight="1">
      <c r="B1002" s="5">
        <v>12.0</v>
      </c>
      <c r="C1002" s="5" t="s">
        <v>7666</v>
      </c>
      <c r="D1002" s="5">
        <v>768.0</v>
      </c>
      <c r="E1002" s="5">
        <v>2216.0</v>
      </c>
      <c r="F1002" s="18" t="s">
        <v>3707</v>
      </c>
      <c r="G1002" s="5" t="s">
        <v>3708</v>
      </c>
      <c r="H1002" s="5" t="s">
        <v>3709</v>
      </c>
      <c r="I1002" s="5" t="s">
        <v>1664</v>
      </c>
      <c r="J1002" s="5" t="s">
        <v>1715</v>
      </c>
      <c r="K1002" s="5">
        <v>1.0</v>
      </c>
      <c r="L1002" s="5">
        <v>2619.0</v>
      </c>
      <c r="M1002" s="8"/>
      <c r="AK1002" s="9"/>
      <c r="AO1002" s="5" t="s">
        <v>3707</v>
      </c>
      <c r="AP1002" s="5">
        <v>768.0</v>
      </c>
      <c r="AQ1002" s="5" t="s">
        <v>1716</v>
      </c>
      <c r="AR1002" s="5" t="s">
        <v>1717</v>
      </c>
      <c r="AS1002" s="5" t="s">
        <v>1718</v>
      </c>
      <c r="AT1002" s="5" t="s">
        <v>1719</v>
      </c>
      <c r="AU1002" s="5" t="s">
        <v>1703</v>
      </c>
      <c r="AV1002" s="5" t="s">
        <v>1720</v>
      </c>
      <c r="AW1002" s="5" t="s">
        <v>2698</v>
      </c>
      <c r="AX1002" s="5" t="s">
        <v>2699</v>
      </c>
      <c r="AY1002" s="5">
        <v>52.0</v>
      </c>
      <c r="AZ1002" s="5">
        <v>-117.9</v>
      </c>
      <c r="BA1002" s="5">
        <v>8.0</v>
      </c>
    </row>
    <row r="1003" ht="14.25" customHeight="1">
      <c r="A1003" s="5" t="s">
        <v>422</v>
      </c>
      <c r="B1003" s="5">
        <v>12.0</v>
      </c>
      <c r="C1003" s="5" t="s">
        <v>7666</v>
      </c>
      <c r="D1003" s="5">
        <v>770.0</v>
      </c>
      <c r="E1003" s="5">
        <v>2217.0</v>
      </c>
      <c r="F1003" s="18" t="s">
        <v>3710</v>
      </c>
      <c r="G1003" s="5" t="s">
        <v>3711</v>
      </c>
      <c r="H1003" s="5" t="s">
        <v>3712</v>
      </c>
      <c r="I1003" s="5" t="s">
        <v>1664</v>
      </c>
      <c r="J1003" s="5" t="s">
        <v>1746</v>
      </c>
      <c r="K1003" s="5">
        <v>1.0</v>
      </c>
      <c r="L1003" s="5">
        <v>2620.0</v>
      </c>
      <c r="M1003" s="8"/>
      <c r="AK1003" s="9"/>
      <c r="AO1003" s="5" t="s">
        <v>3710</v>
      </c>
      <c r="AP1003" s="5">
        <v>770.0</v>
      </c>
      <c r="AQ1003" s="5" t="s">
        <v>1716</v>
      </c>
      <c r="AR1003" s="5" t="s">
        <v>1717</v>
      </c>
      <c r="AS1003" s="5" t="s">
        <v>1718</v>
      </c>
      <c r="AT1003" s="5" t="s">
        <v>1719</v>
      </c>
      <c r="AU1003" s="5" t="s">
        <v>1703</v>
      </c>
      <c r="AV1003" s="5" t="s">
        <v>1720</v>
      </c>
      <c r="AW1003" s="5" t="s">
        <v>2698</v>
      </c>
      <c r="AX1003" s="5" t="s">
        <v>2768</v>
      </c>
      <c r="AY1003" s="5">
        <v>51.0</v>
      </c>
      <c r="AZ1003" s="5">
        <v>-117.0</v>
      </c>
      <c r="BA1003" s="5">
        <v>10.0</v>
      </c>
    </row>
    <row r="1004" ht="14.25" customHeight="1">
      <c r="B1004" s="5">
        <v>12.0</v>
      </c>
      <c r="C1004" s="5" t="s">
        <v>7666</v>
      </c>
      <c r="D1004" s="5">
        <v>771.0</v>
      </c>
      <c r="E1004" s="5">
        <v>2218.0</v>
      </c>
      <c r="F1004" s="18" t="s">
        <v>3713</v>
      </c>
      <c r="G1004" s="5" t="s">
        <v>3714</v>
      </c>
      <c r="H1004" s="5" t="s">
        <v>3715</v>
      </c>
      <c r="I1004" s="5" t="s">
        <v>1664</v>
      </c>
      <c r="J1004" s="5" t="s">
        <v>1746</v>
      </c>
      <c r="K1004" s="5">
        <v>1.0</v>
      </c>
      <c r="L1004" s="5">
        <v>2621.0</v>
      </c>
      <c r="M1004" s="8"/>
      <c r="AK1004" s="9"/>
      <c r="AO1004" s="5" t="s">
        <v>3713</v>
      </c>
      <c r="AP1004" s="5">
        <v>771.0</v>
      </c>
      <c r="AQ1004" s="5" t="s">
        <v>1716</v>
      </c>
      <c r="AR1004" s="5" t="s">
        <v>1717</v>
      </c>
      <c r="AS1004" s="5" t="s">
        <v>1718</v>
      </c>
      <c r="AT1004" s="5" t="s">
        <v>1719</v>
      </c>
      <c r="AU1004" s="5" t="s">
        <v>1703</v>
      </c>
      <c r="AV1004" s="5" t="s">
        <v>1720</v>
      </c>
      <c r="AW1004" s="5" t="s">
        <v>2698</v>
      </c>
      <c r="AX1004" s="5" t="s">
        <v>2699</v>
      </c>
      <c r="AY1004" s="5">
        <v>51.5</v>
      </c>
      <c r="AZ1004" s="5">
        <v>-117.1</v>
      </c>
      <c r="BA1004" s="5">
        <v>11.0</v>
      </c>
    </row>
    <row r="1005" ht="14.25" customHeight="1">
      <c r="A1005" s="5" t="s">
        <v>422</v>
      </c>
      <c r="B1005" s="5">
        <v>12.0</v>
      </c>
      <c r="C1005" s="5" t="s">
        <v>7666</v>
      </c>
      <c r="D1005" s="5">
        <v>772.0</v>
      </c>
      <c r="E1005" s="5">
        <v>2219.0</v>
      </c>
      <c r="F1005" s="18" t="s">
        <v>3716</v>
      </c>
      <c r="G1005" s="5" t="s">
        <v>3717</v>
      </c>
      <c r="H1005" s="5" t="s">
        <v>3718</v>
      </c>
      <c r="I1005" s="5" t="s">
        <v>1664</v>
      </c>
      <c r="J1005" s="5" t="s">
        <v>1746</v>
      </c>
      <c r="K1005" s="5">
        <v>1.0</v>
      </c>
      <c r="L1005" s="5">
        <v>2622.0</v>
      </c>
      <c r="M1005" s="8"/>
      <c r="AK1005" s="9"/>
      <c r="AO1005" s="5" t="s">
        <v>3716</v>
      </c>
      <c r="AP1005" s="5">
        <v>772.0</v>
      </c>
      <c r="AQ1005" s="5" t="s">
        <v>1716</v>
      </c>
      <c r="AR1005" s="5" t="s">
        <v>1717</v>
      </c>
      <c r="AS1005" s="5" t="s">
        <v>1718</v>
      </c>
      <c r="AT1005" s="5" t="s">
        <v>1719</v>
      </c>
      <c r="AU1005" s="5" t="s">
        <v>1703</v>
      </c>
      <c r="AV1005" s="5" t="s">
        <v>1720</v>
      </c>
      <c r="AW1005" s="5" t="s">
        <v>2698</v>
      </c>
      <c r="AX1005" s="5" t="s">
        <v>2699</v>
      </c>
      <c r="AY1005" s="5">
        <v>51.8</v>
      </c>
      <c r="AZ1005" s="5">
        <v>-117.9</v>
      </c>
      <c r="BA1005" s="5">
        <v>11.0</v>
      </c>
    </row>
    <row r="1006" ht="14.25" customHeight="1">
      <c r="B1006" s="5">
        <v>12.0</v>
      </c>
      <c r="C1006" s="5" t="s">
        <v>7666</v>
      </c>
      <c r="D1006" s="5">
        <v>773.0</v>
      </c>
      <c r="E1006" s="5">
        <v>2220.0</v>
      </c>
      <c r="F1006" s="18" t="s">
        <v>3719</v>
      </c>
      <c r="G1006" s="5" t="s">
        <v>3720</v>
      </c>
      <c r="H1006" s="5" t="s">
        <v>3721</v>
      </c>
      <c r="I1006" s="5" t="s">
        <v>1664</v>
      </c>
      <c r="J1006" s="5" t="s">
        <v>1715</v>
      </c>
      <c r="K1006" s="5">
        <v>1.0</v>
      </c>
      <c r="L1006" s="5">
        <v>2623.0</v>
      </c>
      <c r="M1006" s="8"/>
      <c r="AK1006" s="9"/>
      <c r="AO1006" s="5" t="s">
        <v>3719</v>
      </c>
      <c r="AP1006" s="5">
        <v>773.0</v>
      </c>
      <c r="AQ1006" s="5" t="s">
        <v>1716</v>
      </c>
      <c r="AR1006" s="5" t="s">
        <v>1717</v>
      </c>
      <c r="AS1006" s="5" t="s">
        <v>1718</v>
      </c>
      <c r="AT1006" s="5" t="s">
        <v>1719</v>
      </c>
      <c r="AU1006" s="5" t="s">
        <v>1703</v>
      </c>
      <c r="AV1006" s="5" t="s">
        <v>1720</v>
      </c>
      <c r="AW1006" s="5" t="s">
        <v>2698</v>
      </c>
      <c r="AX1006" s="5" t="s">
        <v>2699</v>
      </c>
      <c r="AY1006" s="5">
        <v>51.5</v>
      </c>
      <c r="AZ1006" s="5">
        <v>-117.9</v>
      </c>
      <c r="BA1006" s="5">
        <v>13.0</v>
      </c>
    </row>
    <row r="1007" ht="14.25" customHeight="1">
      <c r="B1007" s="5">
        <v>12.0</v>
      </c>
      <c r="C1007" s="5" t="s">
        <v>7666</v>
      </c>
      <c r="D1007" s="5">
        <v>774.0</v>
      </c>
      <c r="E1007" s="5">
        <v>2221.0</v>
      </c>
      <c r="F1007" s="18" t="s">
        <v>3722</v>
      </c>
      <c r="G1007" s="5" t="s">
        <v>3723</v>
      </c>
      <c r="H1007" s="5" t="s">
        <v>3724</v>
      </c>
      <c r="I1007" s="5" t="s">
        <v>1664</v>
      </c>
      <c r="J1007" s="5" t="s">
        <v>1715</v>
      </c>
      <c r="K1007" s="5">
        <v>1.0</v>
      </c>
      <c r="L1007" s="5">
        <v>2624.0</v>
      </c>
      <c r="M1007" s="8"/>
      <c r="AK1007" s="9"/>
      <c r="AO1007" s="29" t="s">
        <v>3722</v>
      </c>
      <c r="AP1007" s="5">
        <v>774.0</v>
      </c>
      <c r="AQ1007" s="5" t="s">
        <v>1716</v>
      </c>
      <c r="AR1007" s="5" t="s">
        <v>1717</v>
      </c>
      <c r="AS1007" s="5" t="s">
        <v>1718</v>
      </c>
      <c r="AT1007" s="5" t="s">
        <v>1719</v>
      </c>
      <c r="AU1007" s="5" t="s">
        <v>1703</v>
      </c>
      <c r="AV1007" s="5" t="s">
        <v>1720</v>
      </c>
      <c r="AW1007" s="5" t="s">
        <v>2698</v>
      </c>
      <c r="AX1007" s="5" t="s">
        <v>2768</v>
      </c>
      <c r="AY1007" s="5">
        <v>50.9</v>
      </c>
      <c r="AZ1007" s="5">
        <v>-116.9</v>
      </c>
      <c r="BA1007" s="5">
        <v>14.0</v>
      </c>
    </row>
    <row r="1008" ht="14.25" customHeight="1">
      <c r="B1008" s="5">
        <v>12.0</v>
      </c>
      <c r="C1008" s="5" t="s">
        <v>7666</v>
      </c>
      <c r="D1008" s="5">
        <v>775.0</v>
      </c>
      <c r="E1008" s="5">
        <v>2222.0</v>
      </c>
      <c r="F1008" s="18" t="s">
        <v>3725</v>
      </c>
      <c r="G1008" s="5" t="s">
        <v>3726</v>
      </c>
      <c r="H1008" s="5" t="s">
        <v>3727</v>
      </c>
      <c r="I1008" s="5" t="s">
        <v>1664</v>
      </c>
      <c r="J1008" s="5" t="s">
        <v>1715</v>
      </c>
      <c r="K1008" s="5">
        <v>1.0</v>
      </c>
      <c r="L1008" s="5">
        <v>2625.0</v>
      </c>
      <c r="M1008" s="8"/>
      <c r="AK1008" s="9"/>
      <c r="AO1008" s="5" t="s">
        <v>3725</v>
      </c>
      <c r="AP1008" s="5">
        <v>775.0</v>
      </c>
      <c r="AQ1008" s="5" t="s">
        <v>1716</v>
      </c>
      <c r="AR1008" s="5" t="s">
        <v>1717</v>
      </c>
      <c r="AS1008" s="5" t="s">
        <v>1718</v>
      </c>
      <c r="AT1008" s="5" t="s">
        <v>1719</v>
      </c>
      <c r="AU1008" s="5" t="s">
        <v>1703</v>
      </c>
      <c r="AV1008" s="5" t="s">
        <v>1720</v>
      </c>
      <c r="AW1008" s="5" t="s">
        <v>2698</v>
      </c>
      <c r="AX1008" s="5" t="s">
        <v>2699</v>
      </c>
      <c r="AY1008" s="5">
        <v>51.5</v>
      </c>
      <c r="AZ1008" s="5">
        <v>-117.2</v>
      </c>
      <c r="BA1008" s="5">
        <v>9.0</v>
      </c>
    </row>
    <row r="1009" ht="14.25" customHeight="1">
      <c r="B1009" s="5">
        <v>12.0</v>
      </c>
      <c r="C1009" s="5" t="s">
        <v>7666</v>
      </c>
      <c r="D1009" s="5">
        <v>776.0</v>
      </c>
      <c r="E1009" s="5">
        <v>2223.0</v>
      </c>
      <c r="F1009" s="18" t="s">
        <v>3728</v>
      </c>
      <c r="G1009" s="5" t="s">
        <v>3729</v>
      </c>
      <c r="H1009" s="5" t="s">
        <v>3730</v>
      </c>
      <c r="I1009" s="5" t="s">
        <v>1664</v>
      </c>
      <c r="J1009" s="5" t="s">
        <v>1715</v>
      </c>
      <c r="K1009" s="5">
        <v>1.0</v>
      </c>
      <c r="L1009" s="5">
        <v>2626.0</v>
      </c>
      <c r="M1009" s="8"/>
      <c r="AK1009" s="9"/>
      <c r="AO1009" s="5" t="s">
        <v>3728</v>
      </c>
      <c r="AP1009" s="5">
        <v>776.0</v>
      </c>
      <c r="AQ1009" s="5" t="s">
        <v>1716</v>
      </c>
      <c r="AR1009" s="5" t="s">
        <v>1717</v>
      </c>
      <c r="AS1009" s="5" t="s">
        <v>1718</v>
      </c>
      <c r="AT1009" s="5" t="s">
        <v>1719</v>
      </c>
      <c r="AU1009" s="5" t="s">
        <v>1703</v>
      </c>
      <c r="AV1009" s="5" t="s">
        <v>1720</v>
      </c>
      <c r="AW1009" s="5" t="s">
        <v>2698</v>
      </c>
      <c r="AX1009" s="5" t="s">
        <v>2699</v>
      </c>
      <c r="AY1009" s="5">
        <v>51.4</v>
      </c>
      <c r="AZ1009" s="5">
        <v>-117.5</v>
      </c>
      <c r="BA1009" s="5">
        <v>11.0</v>
      </c>
    </row>
    <row r="1010" ht="14.25" customHeight="1">
      <c r="B1010" s="5">
        <v>12.0</v>
      </c>
      <c r="C1010" s="5" t="s">
        <v>7666</v>
      </c>
      <c r="D1010" s="5">
        <v>777.0</v>
      </c>
      <c r="E1010" s="5">
        <v>2224.0</v>
      </c>
      <c r="F1010" s="18" t="s">
        <v>3731</v>
      </c>
      <c r="G1010" s="5" t="s">
        <v>3732</v>
      </c>
      <c r="H1010" s="5" t="s">
        <v>3733</v>
      </c>
      <c r="I1010" s="5" t="s">
        <v>1664</v>
      </c>
      <c r="J1010" s="5" t="s">
        <v>1715</v>
      </c>
      <c r="K1010" s="5">
        <v>1.0</v>
      </c>
      <c r="L1010" s="5">
        <v>2627.0</v>
      </c>
      <c r="M1010" s="8"/>
      <c r="AK1010" s="9"/>
      <c r="AO1010" s="5" t="s">
        <v>3731</v>
      </c>
      <c r="AP1010" s="5">
        <v>777.0</v>
      </c>
      <c r="AQ1010" s="5" t="s">
        <v>1716</v>
      </c>
      <c r="AR1010" s="5" t="s">
        <v>1717</v>
      </c>
      <c r="AS1010" s="5" t="s">
        <v>1718</v>
      </c>
      <c r="AT1010" s="5" t="s">
        <v>1719</v>
      </c>
      <c r="AU1010" s="5" t="s">
        <v>1703</v>
      </c>
      <c r="AV1010" s="5" t="s">
        <v>1720</v>
      </c>
      <c r="AW1010" s="5" t="s">
        <v>2698</v>
      </c>
      <c r="AX1010" s="5" t="s">
        <v>2699</v>
      </c>
      <c r="AY1010" s="5">
        <v>51.5</v>
      </c>
      <c r="AZ1010" s="5">
        <v>-117.5</v>
      </c>
      <c r="BA1010" s="5">
        <v>5.0</v>
      </c>
    </row>
    <row r="1011" ht="14.25" customHeight="1">
      <c r="B1011" s="5">
        <v>12.0</v>
      </c>
      <c r="C1011" s="5" t="s">
        <v>7666</v>
      </c>
      <c r="D1011" s="5">
        <v>779.0</v>
      </c>
      <c r="E1011" s="5">
        <v>2226.0</v>
      </c>
      <c r="F1011" s="18" t="s">
        <v>3734</v>
      </c>
      <c r="G1011" s="5" t="s">
        <v>3735</v>
      </c>
      <c r="H1011" s="5" t="s">
        <v>3736</v>
      </c>
      <c r="I1011" s="5" t="s">
        <v>1664</v>
      </c>
      <c r="J1011" s="5" t="s">
        <v>1746</v>
      </c>
      <c r="K1011" s="5">
        <v>1.0</v>
      </c>
      <c r="L1011" s="5">
        <v>2629.0</v>
      </c>
      <c r="M1011" s="64"/>
      <c r="N1011" s="36"/>
      <c r="P1011" s="36"/>
      <c r="R1011" s="36"/>
      <c r="T1011" s="37"/>
      <c r="W1011" s="36"/>
      <c r="AK1011" s="9"/>
      <c r="AO1011" s="5" t="s">
        <v>3734</v>
      </c>
      <c r="AP1011" s="5">
        <v>779.0</v>
      </c>
      <c r="AQ1011" s="5" t="s">
        <v>1716</v>
      </c>
      <c r="AR1011" s="5" t="s">
        <v>1717</v>
      </c>
      <c r="AS1011" s="5" t="s">
        <v>1718</v>
      </c>
      <c r="AT1011" s="5" t="s">
        <v>1719</v>
      </c>
      <c r="AU1011" s="5" t="s">
        <v>1703</v>
      </c>
      <c r="AV1011" s="5" t="s">
        <v>1720</v>
      </c>
      <c r="AW1011" s="5" t="s">
        <v>2698</v>
      </c>
      <c r="AX1011" s="5" t="s">
        <v>2699</v>
      </c>
      <c r="AY1011" s="5">
        <v>51.4</v>
      </c>
      <c r="AZ1011" s="5">
        <v>-117.1</v>
      </c>
      <c r="BA1011" s="5">
        <v>13.0</v>
      </c>
    </row>
    <row r="1012" ht="14.25" customHeight="1">
      <c r="A1012" s="5" t="s">
        <v>422</v>
      </c>
      <c r="B1012" s="5">
        <v>12.0</v>
      </c>
      <c r="C1012" s="5" t="s">
        <v>7666</v>
      </c>
      <c r="D1012" s="5">
        <v>780.0</v>
      </c>
      <c r="E1012" s="5">
        <v>2227.0</v>
      </c>
      <c r="F1012" s="18" t="s">
        <v>3737</v>
      </c>
      <c r="G1012" s="5" t="s">
        <v>3738</v>
      </c>
      <c r="H1012" s="5" t="s">
        <v>3739</v>
      </c>
      <c r="I1012" s="5" t="s">
        <v>1664</v>
      </c>
      <c r="J1012" s="5" t="s">
        <v>1746</v>
      </c>
      <c r="K1012" s="5">
        <v>1.0</v>
      </c>
      <c r="L1012" s="5">
        <v>2630.0</v>
      </c>
      <c r="M1012" s="8"/>
      <c r="AK1012" s="9"/>
      <c r="AO1012" s="5" t="s">
        <v>3737</v>
      </c>
      <c r="AP1012" s="5">
        <v>780.0</v>
      </c>
      <c r="AQ1012" s="5" t="s">
        <v>1716</v>
      </c>
      <c r="AR1012" s="5" t="s">
        <v>1717</v>
      </c>
      <c r="AS1012" s="5" t="s">
        <v>1718</v>
      </c>
      <c r="AT1012" s="5" t="s">
        <v>1719</v>
      </c>
      <c r="AU1012" s="5" t="s">
        <v>1703</v>
      </c>
      <c r="AV1012" s="5" t="s">
        <v>1720</v>
      </c>
      <c r="AW1012" s="5" t="s">
        <v>2698</v>
      </c>
      <c r="AX1012" s="5" t="s">
        <v>2797</v>
      </c>
      <c r="AY1012" s="5">
        <v>50.8</v>
      </c>
      <c r="AZ1012" s="5">
        <v>-117.8</v>
      </c>
      <c r="BA1012" s="5">
        <v>12.0</v>
      </c>
    </row>
    <row r="1013" ht="14.25" customHeight="1">
      <c r="A1013" s="5" t="s">
        <v>422</v>
      </c>
      <c r="B1013" s="5">
        <v>12.0</v>
      </c>
      <c r="C1013" s="5" t="s">
        <v>7666</v>
      </c>
      <c r="D1013" s="5">
        <v>781.0</v>
      </c>
      <c r="E1013" s="5">
        <v>2228.0</v>
      </c>
      <c r="F1013" s="18" t="s">
        <v>3740</v>
      </c>
      <c r="G1013" s="5" t="s">
        <v>3741</v>
      </c>
      <c r="H1013" s="5" t="s">
        <v>3742</v>
      </c>
      <c r="I1013" s="5" t="s">
        <v>1664</v>
      </c>
      <c r="J1013" s="5" t="s">
        <v>1746</v>
      </c>
      <c r="K1013" s="5">
        <v>1.0</v>
      </c>
      <c r="L1013" s="5">
        <v>2631.0</v>
      </c>
      <c r="M1013" s="8"/>
      <c r="W1013" s="36"/>
      <c r="AK1013" s="9"/>
      <c r="AO1013" s="5" t="s">
        <v>3740</v>
      </c>
      <c r="AP1013" s="5">
        <v>781.0</v>
      </c>
      <c r="AQ1013" s="5" t="s">
        <v>1716</v>
      </c>
      <c r="AR1013" s="5" t="s">
        <v>1717</v>
      </c>
      <c r="AS1013" s="5" t="s">
        <v>1718</v>
      </c>
      <c r="AT1013" s="5" t="s">
        <v>1719</v>
      </c>
      <c r="AU1013" s="5" t="s">
        <v>1703</v>
      </c>
      <c r="AV1013" s="5" t="s">
        <v>1720</v>
      </c>
      <c r="AW1013" s="5" t="s">
        <v>2698</v>
      </c>
      <c r="AX1013" s="5" t="s">
        <v>2699</v>
      </c>
      <c r="AY1013" s="5">
        <v>51.5</v>
      </c>
      <c r="AZ1013" s="5">
        <v>-117.2</v>
      </c>
      <c r="BA1013" s="5">
        <v>13.0</v>
      </c>
    </row>
    <row r="1014" ht="14.25" customHeight="1">
      <c r="A1014" s="5" t="s">
        <v>422</v>
      </c>
      <c r="B1014" s="5">
        <v>12.0</v>
      </c>
      <c r="C1014" s="5" t="s">
        <v>7666</v>
      </c>
      <c r="D1014" s="5">
        <v>782.0</v>
      </c>
      <c r="E1014" s="5">
        <v>2229.0</v>
      </c>
      <c r="F1014" s="18" t="s">
        <v>3743</v>
      </c>
      <c r="G1014" s="5" t="s">
        <v>3744</v>
      </c>
      <c r="H1014" s="5" t="s">
        <v>3745</v>
      </c>
      <c r="I1014" s="5" t="s">
        <v>1664</v>
      </c>
      <c r="J1014" s="5" t="s">
        <v>1746</v>
      </c>
      <c r="K1014" s="5">
        <v>1.0</v>
      </c>
      <c r="L1014" s="5">
        <v>2632.0</v>
      </c>
      <c r="M1014" s="64"/>
      <c r="N1014" s="36"/>
      <c r="P1014" s="36"/>
      <c r="R1014" s="36"/>
      <c r="T1014" s="37"/>
      <c r="AK1014" s="9"/>
      <c r="AO1014" s="5" t="s">
        <v>3743</v>
      </c>
      <c r="AP1014" s="5">
        <v>782.0</v>
      </c>
      <c r="AQ1014" s="5" t="s">
        <v>1716</v>
      </c>
      <c r="AR1014" s="5" t="s">
        <v>1717</v>
      </c>
      <c r="AS1014" s="5" t="s">
        <v>1718</v>
      </c>
      <c r="AT1014" s="5" t="s">
        <v>1719</v>
      </c>
      <c r="AU1014" s="5" t="s">
        <v>1703</v>
      </c>
      <c r="AV1014" s="5" t="s">
        <v>1720</v>
      </c>
      <c r="AW1014" s="5" t="s">
        <v>2698</v>
      </c>
      <c r="AX1014" s="5" t="s">
        <v>2699</v>
      </c>
      <c r="AY1014" s="5">
        <v>52.0</v>
      </c>
      <c r="AZ1014" s="5">
        <v>-117.5</v>
      </c>
      <c r="BA1014" s="5">
        <v>10.0</v>
      </c>
    </row>
    <row r="1015" ht="14.25" customHeight="1">
      <c r="A1015" s="5" t="s">
        <v>422</v>
      </c>
      <c r="B1015" s="5">
        <v>12.0</v>
      </c>
      <c r="C1015" s="5" t="s">
        <v>7666</v>
      </c>
      <c r="D1015" s="5">
        <v>783.0</v>
      </c>
      <c r="E1015" s="5">
        <v>2230.0</v>
      </c>
      <c r="F1015" s="18" t="s">
        <v>3746</v>
      </c>
      <c r="G1015" s="5" t="s">
        <v>3747</v>
      </c>
      <c r="H1015" s="5" t="s">
        <v>3748</v>
      </c>
      <c r="I1015" s="5" t="s">
        <v>1664</v>
      </c>
      <c r="J1015" s="5" t="s">
        <v>1746</v>
      </c>
      <c r="K1015" s="5">
        <v>1.0</v>
      </c>
      <c r="L1015" s="5">
        <v>2633.0</v>
      </c>
      <c r="M1015" s="8"/>
      <c r="AK1015" s="9"/>
      <c r="AO1015" s="5" t="s">
        <v>3746</v>
      </c>
      <c r="AP1015" s="5">
        <v>783.0</v>
      </c>
      <c r="AQ1015" s="5" t="s">
        <v>1716</v>
      </c>
      <c r="AR1015" s="5" t="s">
        <v>1717</v>
      </c>
      <c r="AS1015" s="5" t="s">
        <v>1718</v>
      </c>
      <c r="AT1015" s="5" t="s">
        <v>1719</v>
      </c>
      <c r="AU1015" s="5" t="s">
        <v>1703</v>
      </c>
      <c r="AV1015" s="5" t="s">
        <v>1720</v>
      </c>
      <c r="AW1015" s="5" t="s">
        <v>2698</v>
      </c>
      <c r="AX1015" s="5" t="s">
        <v>2801</v>
      </c>
      <c r="AY1015" s="5">
        <v>50.0</v>
      </c>
      <c r="AZ1015" s="5">
        <v>-117.0</v>
      </c>
      <c r="BA1015" s="5">
        <v>11.0</v>
      </c>
    </row>
    <row r="1016" ht="14.25" customHeight="1">
      <c r="B1016" s="5">
        <v>12.0</v>
      </c>
      <c r="C1016" s="5" t="s">
        <v>7666</v>
      </c>
      <c r="D1016" s="5">
        <v>784.0</v>
      </c>
      <c r="E1016" s="5">
        <v>2231.0</v>
      </c>
      <c r="F1016" s="18" t="s">
        <v>3749</v>
      </c>
      <c r="G1016" s="5" t="s">
        <v>3750</v>
      </c>
      <c r="H1016" s="5" t="s">
        <v>3751</v>
      </c>
      <c r="I1016" s="5" t="s">
        <v>1664</v>
      </c>
      <c r="J1016" s="5" t="s">
        <v>1715</v>
      </c>
      <c r="K1016" s="5">
        <v>1.0</v>
      </c>
      <c r="L1016" s="5">
        <v>2634.0</v>
      </c>
      <c r="M1016" s="64"/>
      <c r="N1016" s="36"/>
      <c r="R1016" s="36"/>
      <c r="T1016" s="37"/>
      <c r="W1016" s="36"/>
      <c r="AK1016" s="9"/>
      <c r="AO1016" s="5" t="s">
        <v>3749</v>
      </c>
      <c r="AP1016" s="5">
        <v>784.0</v>
      </c>
      <c r="AQ1016" s="5" t="s">
        <v>1716</v>
      </c>
      <c r="AR1016" s="5" t="s">
        <v>1717</v>
      </c>
      <c r="AS1016" s="5" t="s">
        <v>1718</v>
      </c>
      <c r="AT1016" s="5" t="s">
        <v>1719</v>
      </c>
      <c r="AU1016" s="5" t="s">
        <v>1703</v>
      </c>
      <c r="AV1016" s="5" t="s">
        <v>1720</v>
      </c>
      <c r="AW1016" s="5" t="s">
        <v>2698</v>
      </c>
      <c r="AX1016" s="5" t="s">
        <v>2827</v>
      </c>
      <c r="AY1016" s="5">
        <v>49.2</v>
      </c>
      <c r="AZ1016" s="5">
        <v>-118.4</v>
      </c>
      <c r="BA1016" s="5">
        <v>10.0</v>
      </c>
    </row>
    <row r="1017" ht="14.25" customHeight="1">
      <c r="B1017" s="5">
        <v>12.0</v>
      </c>
      <c r="C1017" s="5" t="s">
        <v>7666</v>
      </c>
      <c r="D1017" s="5">
        <v>785.0</v>
      </c>
      <c r="E1017" s="5">
        <v>2232.0</v>
      </c>
      <c r="F1017" s="18" t="s">
        <v>3752</v>
      </c>
      <c r="G1017" s="5" t="s">
        <v>3753</v>
      </c>
      <c r="H1017" s="5" t="s">
        <v>3253</v>
      </c>
      <c r="I1017" s="5" t="s">
        <v>1664</v>
      </c>
      <c r="J1017" s="5" t="s">
        <v>1715</v>
      </c>
      <c r="K1017" s="5">
        <v>1.0</v>
      </c>
      <c r="L1017" s="5">
        <v>2635.0</v>
      </c>
      <c r="M1017" s="64"/>
      <c r="N1017" s="36"/>
      <c r="R1017" s="36"/>
      <c r="T1017" s="37"/>
      <c r="W1017" s="36"/>
      <c r="AK1017" s="9"/>
      <c r="AO1017" s="5" t="s">
        <v>3752</v>
      </c>
      <c r="AP1017" s="5">
        <v>785.0</v>
      </c>
      <c r="AQ1017" s="5" t="s">
        <v>1716</v>
      </c>
      <c r="AR1017" s="5" t="s">
        <v>1717</v>
      </c>
      <c r="AS1017" s="5" t="s">
        <v>1718</v>
      </c>
      <c r="AT1017" s="5" t="s">
        <v>1719</v>
      </c>
      <c r="AU1017" s="5" t="s">
        <v>1703</v>
      </c>
      <c r="AV1017" s="5" t="s">
        <v>1720</v>
      </c>
      <c r="AW1017" s="5" t="s">
        <v>2698</v>
      </c>
      <c r="AX1017" s="5" t="s">
        <v>2827</v>
      </c>
      <c r="AY1017" s="5">
        <v>49.1</v>
      </c>
      <c r="AZ1017" s="5">
        <v>-118.1</v>
      </c>
      <c r="BA1017" s="5">
        <v>11.0</v>
      </c>
    </row>
    <row r="1018" ht="14.25" customHeight="1">
      <c r="B1018" s="5">
        <v>12.0</v>
      </c>
      <c r="C1018" s="5" t="s">
        <v>7666</v>
      </c>
      <c r="D1018" s="5">
        <v>786.0</v>
      </c>
      <c r="E1018" s="5">
        <v>2233.0</v>
      </c>
      <c r="F1018" s="18" t="s">
        <v>3754</v>
      </c>
      <c r="G1018" s="5" t="s">
        <v>3755</v>
      </c>
      <c r="H1018" s="5" t="s">
        <v>3756</v>
      </c>
      <c r="I1018" s="5" t="s">
        <v>1664</v>
      </c>
      <c r="J1018" s="5" t="s">
        <v>1746</v>
      </c>
      <c r="K1018" s="5">
        <v>1.0</v>
      </c>
      <c r="L1018" s="5">
        <v>2636.0</v>
      </c>
      <c r="M1018" s="8"/>
      <c r="W1018" s="36"/>
      <c r="AK1018" s="9"/>
      <c r="AO1018" s="5" t="s">
        <v>3754</v>
      </c>
      <c r="AP1018" s="5">
        <v>786.0</v>
      </c>
      <c r="AQ1018" s="5" t="s">
        <v>1716</v>
      </c>
      <c r="AR1018" s="5" t="s">
        <v>1717</v>
      </c>
      <c r="AS1018" s="5" t="s">
        <v>1718</v>
      </c>
      <c r="AT1018" s="5" t="s">
        <v>1719</v>
      </c>
      <c r="AU1018" s="5" t="s">
        <v>1703</v>
      </c>
      <c r="AV1018" s="5" t="s">
        <v>1720</v>
      </c>
      <c r="AW1018" s="5" t="s">
        <v>2698</v>
      </c>
      <c r="AX1018" s="5" t="s">
        <v>2827</v>
      </c>
      <c r="AY1018" s="5">
        <v>49.2</v>
      </c>
      <c r="AZ1018" s="5">
        <v>-118.5</v>
      </c>
      <c r="BA1018" s="5">
        <v>8.0</v>
      </c>
    </row>
    <row r="1019" ht="14.25" customHeight="1">
      <c r="B1019" s="5">
        <v>12.0</v>
      </c>
      <c r="C1019" s="5" t="s">
        <v>7666</v>
      </c>
      <c r="D1019" s="5">
        <v>787.0</v>
      </c>
      <c r="E1019" s="5">
        <v>2234.0</v>
      </c>
      <c r="F1019" s="18" t="s">
        <v>3757</v>
      </c>
      <c r="G1019" s="5" t="s">
        <v>3758</v>
      </c>
      <c r="H1019" s="5" t="s">
        <v>3759</v>
      </c>
      <c r="I1019" s="5" t="s">
        <v>641</v>
      </c>
      <c r="J1019" s="5" t="s">
        <v>1715</v>
      </c>
      <c r="K1019" s="5">
        <v>1.0</v>
      </c>
      <c r="L1019" s="5">
        <v>2637.0</v>
      </c>
      <c r="M1019" s="64"/>
      <c r="N1019" s="36"/>
      <c r="R1019" s="36"/>
      <c r="T1019" s="37"/>
      <c r="W1019" s="36"/>
      <c r="AK1019" s="9"/>
      <c r="AO1019" s="5" t="s">
        <v>3757</v>
      </c>
      <c r="AP1019" s="5">
        <v>787.0</v>
      </c>
      <c r="AQ1019" s="5" t="s">
        <v>1716</v>
      </c>
      <c r="AR1019" s="5" t="s">
        <v>1717</v>
      </c>
      <c r="AS1019" s="5" t="s">
        <v>1718</v>
      </c>
      <c r="AT1019" s="5" t="s">
        <v>1703</v>
      </c>
      <c r="AU1019" s="5" t="s">
        <v>1703</v>
      </c>
      <c r="AV1019" s="5" t="s">
        <v>1720</v>
      </c>
      <c r="AW1019" s="5" t="s">
        <v>2698</v>
      </c>
      <c r="AX1019" s="5" t="s">
        <v>2801</v>
      </c>
      <c r="AY1019" s="5">
        <v>49.04</v>
      </c>
      <c r="AZ1019" s="5">
        <v>-116.9383</v>
      </c>
      <c r="BA1019" s="5">
        <v>1507.0</v>
      </c>
    </row>
    <row r="1020" ht="14.25" customHeight="1">
      <c r="A1020" s="5" t="s">
        <v>88</v>
      </c>
      <c r="B1020" s="5">
        <v>12.0</v>
      </c>
      <c r="C1020" s="5" t="s">
        <v>7666</v>
      </c>
      <c r="D1020" s="5">
        <v>788.0</v>
      </c>
      <c r="E1020" s="5">
        <v>2235.0</v>
      </c>
      <c r="F1020" s="5" t="s">
        <v>3760</v>
      </c>
      <c r="G1020" s="28" t="s">
        <v>3761</v>
      </c>
      <c r="H1020" s="5" t="s">
        <v>3762</v>
      </c>
      <c r="I1020" s="5" t="s">
        <v>641</v>
      </c>
      <c r="J1020" s="5" t="s">
        <v>1891</v>
      </c>
      <c r="K1020" s="5">
        <v>1.0</v>
      </c>
      <c r="L1020" s="5">
        <v>2638.0</v>
      </c>
      <c r="M1020" s="64">
        <v>50.0867</v>
      </c>
      <c r="N1020" s="36">
        <v>-114.8997</v>
      </c>
      <c r="O1020" s="11" t="s">
        <v>170</v>
      </c>
      <c r="P1020" s="11">
        <v>788.0</v>
      </c>
      <c r="Q1020" s="22">
        <v>5.0</v>
      </c>
      <c r="R1020" s="36" t="s">
        <v>3760</v>
      </c>
      <c r="S1020" s="11" t="s">
        <v>1737</v>
      </c>
      <c r="T1020" s="37">
        <v>1647.0</v>
      </c>
      <c r="U1020" s="11"/>
      <c r="V1020" s="11"/>
      <c r="W1020" s="23">
        <v>36892.0</v>
      </c>
      <c r="X1020" s="11" t="s">
        <v>1738</v>
      </c>
      <c r="AK1020" s="9"/>
      <c r="AO1020" s="5" t="s">
        <v>3760</v>
      </c>
      <c r="AP1020" s="5">
        <v>788.0</v>
      </c>
      <c r="AQ1020" s="5" t="s">
        <v>1700</v>
      </c>
      <c r="AR1020" s="5" t="s">
        <v>1739</v>
      </c>
      <c r="AS1020" s="5" t="s">
        <v>1740</v>
      </c>
      <c r="AT1020" s="5" t="s">
        <v>1741</v>
      </c>
      <c r="AU1020" s="5" t="s">
        <v>1959</v>
      </c>
      <c r="AV1020" s="5" t="s">
        <v>1720</v>
      </c>
      <c r="AW1020" s="5" t="s">
        <v>2698</v>
      </c>
      <c r="AX1020" s="5" t="s">
        <v>2902</v>
      </c>
      <c r="AY1020" s="5">
        <v>50.082</v>
      </c>
      <c r="AZ1020" s="5">
        <v>-114.9004</v>
      </c>
      <c r="BA1020" s="5">
        <v>1647.0</v>
      </c>
    </row>
    <row r="1021" ht="14.25" customHeight="1">
      <c r="A1021" s="5" t="s">
        <v>2037</v>
      </c>
      <c r="B1021" s="5">
        <v>12.0</v>
      </c>
      <c r="C1021" s="5" t="s">
        <v>7666</v>
      </c>
      <c r="D1021" s="5">
        <v>789.0</v>
      </c>
      <c r="E1021" s="5">
        <v>2236.0</v>
      </c>
      <c r="F1021" s="10" t="s">
        <v>3763</v>
      </c>
      <c r="G1021" s="5" t="s">
        <v>3764</v>
      </c>
      <c r="H1021" s="5" t="s">
        <v>3765</v>
      </c>
      <c r="I1021" s="5" t="s">
        <v>641</v>
      </c>
      <c r="J1021" s="5" t="s">
        <v>1891</v>
      </c>
      <c r="K1021" s="5">
        <v>1.0</v>
      </c>
      <c r="L1021" s="5">
        <v>2639.0</v>
      </c>
      <c r="M1021" s="8">
        <v>49.4539</v>
      </c>
      <c r="N1021" s="11">
        <v>-115.9872</v>
      </c>
      <c r="O1021" s="11" t="s">
        <v>170</v>
      </c>
      <c r="P1021" s="11">
        <v>789.0</v>
      </c>
      <c r="Q1021" s="22">
        <v>5.0</v>
      </c>
      <c r="R1021" s="11" t="s">
        <v>3766</v>
      </c>
      <c r="S1021" s="11" t="s">
        <v>1737</v>
      </c>
      <c r="T1021" s="11">
        <v>1572.0</v>
      </c>
      <c r="U1021" s="11"/>
      <c r="V1021" s="11"/>
      <c r="W1021" s="68">
        <v>36892.0</v>
      </c>
      <c r="X1021" s="11" t="s">
        <v>1738</v>
      </c>
      <c r="AK1021" s="9"/>
      <c r="AO1021" s="5" t="s">
        <v>3767</v>
      </c>
      <c r="AP1021" s="5">
        <v>789.0</v>
      </c>
      <c r="AQ1021" s="5" t="s">
        <v>1716</v>
      </c>
      <c r="AR1021" s="5" t="s">
        <v>2441</v>
      </c>
      <c r="AS1021" s="5" t="s">
        <v>1740</v>
      </c>
      <c r="AT1021" s="5" t="s">
        <v>1835</v>
      </c>
      <c r="AU1021" s="5" t="s">
        <v>1959</v>
      </c>
      <c r="AV1021" s="5" t="s">
        <v>1720</v>
      </c>
      <c r="AW1021" s="5" t="s">
        <v>2698</v>
      </c>
      <c r="AX1021" s="5" t="s">
        <v>2902</v>
      </c>
      <c r="AY1021" s="5">
        <v>49.4539</v>
      </c>
      <c r="AZ1021" s="5">
        <v>-115.9872</v>
      </c>
      <c r="BA1021" s="5">
        <v>1572.0</v>
      </c>
    </row>
    <row r="1022" ht="14.25" customHeight="1">
      <c r="A1022" s="5" t="s">
        <v>88</v>
      </c>
      <c r="B1022" s="5">
        <v>12.0</v>
      </c>
      <c r="C1022" s="5" t="s">
        <v>7666</v>
      </c>
      <c r="D1022" s="5">
        <v>790.0</v>
      </c>
      <c r="E1022" s="5">
        <v>2237.0</v>
      </c>
      <c r="F1022" s="5" t="s">
        <v>3768</v>
      </c>
      <c r="G1022" s="10" t="s">
        <v>3769</v>
      </c>
      <c r="H1022" s="5" t="s">
        <v>3770</v>
      </c>
      <c r="I1022" s="5" t="s">
        <v>641</v>
      </c>
      <c r="J1022" s="5" t="s">
        <v>1865</v>
      </c>
      <c r="K1022" s="5">
        <v>1.0</v>
      </c>
      <c r="L1022" s="5">
        <v>2640.0</v>
      </c>
      <c r="M1022" s="8">
        <v>50.185</v>
      </c>
      <c r="N1022" s="11">
        <v>-115.266</v>
      </c>
      <c r="O1022" s="11" t="s">
        <v>170</v>
      </c>
      <c r="P1022" s="11">
        <v>790.0</v>
      </c>
      <c r="Q1022" s="22">
        <v>4.0</v>
      </c>
      <c r="R1022" s="11" t="s">
        <v>3768</v>
      </c>
      <c r="S1022" s="11" t="s">
        <v>1737</v>
      </c>
      <c r="T1022" s="11">
        <v>1357.0</v>
      </c>
      <c r="U1022" s="11"/>
      <c r="V1022" s="11"/>
      <c r="W1022" s="23">
        <v>32509.0</v>
      </c>
      <c r="AK1022" s="9"/>
      <c r="AO1022" s="5" t="s">
        <v>3768</v>
      </c>
      <c r="AP1022" s="5">
        <v>790.0</v>
      </c>
      <c r="AQ1022" s="5" t="s">
        <v>1716</v>
      </c>
      <c r="AR1022" s="5" t="s">
        <v>1739</v>
      </c>
      <c r="AS1022" s="5" t="s">
        <v>1740</v>
      </c>
      <c r="AT1022" s="5" t="s">
        <v>1741</v>
      </c>
      <c r="AU1022" s="5" t="s">
        <v>1742</v>
      </c>
      <c r="AV1022" s="5" t="s">
        <v>1720</v>
      </c>
      <c r="AW1022" s="5" t="s">
        <v>2698</v>
      </c>
      <c r="AX1022" s="5" t="s">
        <v>2768</v>
      </c>
      <c r="AY1022" s="5">
        <v>50.185</v>
      </c>
      <c r="AZ1022" s="5">
        <v>-115.2676</v>
      </c>
      <c r="BA1022" s="5">
        <v>1357.0</v>
      </c>
    </row>
    <row r="1023" ht="14.25" customHeight="1">
      <c r="B1023" s="5">
        <v>12.0</v>
      </c>
      <c r="C1023" s="5" t="s">
        <v>7666</v>
      </c>
      <c r="D1023" s="5">
        <v>791.0</v>
      </c>
      <c r="E1023" s="5">
        <v>2238.0</v>
      </c>
      <c r="F1023" s="5" t="s">
        <v>3771</v>
      </c>
      <c r="G1023" s="5" t="s">
        <v>3772</v>
      </c>
      <c r="H1023" s="5" t="s">
        <v>3773</v>
      </c>
      <c r="I1023" s="5" t="s">
        <v>641</v>
      </c>
      <c r="J1023" s="5" t="s">
        <v>1865</v>
      </c>
      <c r="K1023" s="5">
        <v>1.0</v>
      </c>
      <c r="L1023" s="5">
        <v>2641.0</v>
      </c>
      <c r="M1023" s="8">
        <v>49.188</v>
      </c>
      <c r="N1023" s="11">
        <v>-115.542</v>
      </c>
      <c r="O1023" s="11" t="s">
        <v>170</v>
      </c>
      <c r="P1023" s="11">
        <v>791.0</v>
      </c>
      <c r="Q1023" s="22">
        <v>4.0</v>
      </c>
      <c r="R1023" s="11" t="s">
        <v>3771</v>
      </c>
      <c r="S1023" s="11" t="s">
        <v>1737</v>
      </c>
      <c r="T1023" s="11">
        <v>1372.0</v>
      </c>
      <c r="U1023" s="11"/>
      <c r="V1023" s="11"/>
      <c r="W1023" s="23">
        <v>32509.0</v>
      </c>
      <c r="X1023" s="11" t="s">
        <v>1738</v>
      </c>
      <c r="AK1023" s="9"/>
      <c r="AO1023" s="5" t="s">
        <v>3771</v>
      </c>
      <c r="AP1023" s="5">
        <v>791.0</v>
      </c>
      <c r="AQ1023" s="5" t="s">
        <v>1700</v>
      </c>
      <c r="AR1023" s="5" t="s">
        <v>1739</v>
      </c>
      <c r="AS1023" s="5" t="s">
        <v>1740</v>
      </c>
      <c r="AT1023" s="5" t="s">
        <v>1741</v>
      </c>
      <c r="AU1023" s="5" t="s">
        <v>1959</v>
      </c>
      <c r="AV1023" s="5" t="s">
        <v>1720</v>
      </c>
      <c r="AW1023" s="5" t="s">
        <v>2698</v>
      </c>
      <c r="AX1023" s="5" t="s">
        <v>2902</v>
      </c>
      <c r="AY1023" s="5">
        <v>49.1878</v>
      </c>
      <c r="AZ1023" s="5">
        <v>-115.5417</v>
      </c>
      <c r="BA1023" s="5">
        <v>1372.0</v>
      </c>
    </row>
    <row r="1024" ht="14.25" customHeight="1">
      <c r="B1024" s="5">
        <v>12.0</v>
      </c>
      <c r="C1024" s="5" t="s">
        <v>7666</v>
      </c>
      <c r="D1024" s="5">
        <v>792.0</v>
      </c>
      <c r="E1024" s="5">
        <v>2239.0</v>
      </c>
      <c r="F1024" s="18" t="s">
        <v>3774</v>
      </c>
      <c r="G1024" s="5" t="s">
        <v>3775</v>
      </c>
      <c r="H1024" s="5" t="s">
        <v>3776</v>
      </c>
      <c r="I1024" s="5" t="s">
        <v>1664</v>
      </c>
      <c r="J1024" s="5" t="s">
        <v>1715</v>
      </c>
      <c r="K1024" s="5">
        <v>1.0</v>
      </c>
      <c r="L1024" s="5">
        <v>2642.0</v>
      </c>
      <c r="M1024" s="64"/>
      <c r="N1024" s="36"/>
      <c r="R1024" s="36"/>
      <c r="T1024" s="37"/>
      <c r="AK1024" s="9"/>
      <c r="AO1024" s="5" t="s">
        <v>3774</v>
      </c>
      <c r="AP1024" s="5">
        <v>792.0</v>
      </c>
      <c r="AQ1024" s="5" t="s">
        <v>1716</v>
      </c>
      <c r="AR1024" s="5" t="s">
        <v>1717</v>
      </c>
      <c r="AS1024" s="5" t="s">
        <v>1718</v>
      </c>
      <c r="AT1024" s="5" t="s">
        <v>1719</v>
      </c>
      <c r="AU1024" s="5" t="s">
        <v>1703</v>
      </c>
      <c r="AV1024" s="5" t="s">
        <v>1720</v>
      </c>
      <c r="AW1024" s="5" t="s">
        <v>2698</v>
      </c>
      <c r="AX1024" s="5" t="s">
        <v>2768</v>
      </c>
      <c r="AY1024" s="5">
        <v>50.3</v>
      </c>
      <c r="AZ1024" s="5">
        <v>-115.3</v>
      </c>
      <c r="BA1024" s="5">
        <v>16.0</v>
      </c>
    </row>
    <row r="1025" ht="14.25" customHeight="1">
      <c r="A1025" s="5" t="s">
        <v>88</v>
      </c>
      <c r="B1025" s="5">
        <v>12.0</v>
      </c>
      <c r="C1025" s="5" t="s">
        <v>7666</v>
      </c>
      <c r="D1025" s="5">
        <v>793.0</v>
      </c>
      <c r="E1025" s="5">
        <v>2240.0</v>
      </c>
      <c r="F1025" s="5" t="s">
        <v>3777</v>
      </c>
      <c r="G1025" s="10" t="s">
        <v>3778</v>
      </c>
      <c r="H1025" s="5" t="s">
        <v>3779</v>
      </c>
      <c r="I1025" s="5" t="s">
        <v>641</v>
      </c>
      <c r="J1025" s="5" t="s">
        <v>1829</v>
      </c>
      <c r="K1025" s="5">
        <v>1.0</v>
      </c>
      <c r="L1025" s="5">
        <v>2643.0</v>
      </c>
      <c r="M1025" s="64">
        <v>51.1767</v>
      </c>
      <c r="N1025" s="36">
        <v>-117.2303</v>
      </c>
      <c r="O1025" s="5" t="s">
        <v>170</v>
      </c>
      <c r="P1025" s="5">
        <v>793.0</v>
      </c>
      <c r="Q1025" s="5">
        <v>4.0</v>
      </c>
      <c r="R1025" s="36" t="s">
        <v>3780</v>
      </c>
      <c r="S1025" s="5" t="s">
        <v>1737</v>
      </c>
      <c r="T1025" s="37">
        <v>1518.0</v>
      </c>
      <c r="W1025" s="36">
        <v>36892.0</v>
      </c>
      <c r="X1025" s="5" t="s">
        <v>1738</v>
      </c>
      <c r="AK1025" s="9"/>
      <c r="AO1025" s="5" t="s">
        <v>3781</v>
      </c>
      <c r="AP1025" s="5">
        <v>793.0</v>
      </c>
      <c r="AQ1025" s="5" t="s">
        <v>1716</v>
      </c>
      <c r="AR1025" s="5" t="s">
        <v>1717</v>
      </c>
      <c r="AS1025" s="5" t="s">
        <v>1718</v>
      </c>
      <c r="AT1025" s="5" t="s">
        <v>1835</v>
      </c>
      <c r="AU1025" s="5" t="s">
        <v>1836</v>
      </c>
      <c r="AV1025" s="5" t="s">
        <v>1720</v>
      </c>
      <c r="AW1025" s="5" t="s">
        <v>2698</v>
      </c>
      <c r="AX1025" s="5" t="s">
        <v>2768</v>
      </c>
      <c r="AY1025" s="5">
        <v>51.1764</v>
      </c>
      <c r="AZ1025" s="5">
        <v>-117.2317</v>
      </c>
      <c r="BA1025" s="5">
        <v>1518.0</v>
      </c>
    </row>
    <row r="1026" ht="14.25" customHeight="1">
      <c r="B1026" s="5">
        <v>12.0</v>
      </c>
      <c r="C1026" s="5" t="s">
        <v>7666</v>
      </c>
      <c r="D1026" s="5">
        <v>794.0</v>
      </c>
      <c r="E1026" s="5">
        <v>2241.0</v>
      </c>
      <c r="F1026" s="18" t="s">
        <v>3782</v>
      </c>
      <c r="G1026" s="5" t="s">
        <v>3783</v>
      </c>
      <c r="H1026" s="5" t="s">
        <v>3784</v>
      </c>
      <c r="I1026" s="5" t="s">
        <v>1664</v>
      </c>
      <c r="J1026" s="5" t="s">
        <v>1715</v>
      </c>
      <c r="K1026" s="5">
        <v>1.0</v>
      </c>
      <c r="L1026" s="5">
        <v>2644.0</v>
      </c>
      <c r="M1026" s="64"/>
      <c r="N1026" s="36"/>
      <c r="R1026" s="36"/>
      <c r="T1026" s="37"/>
      <c r="W1026" s="36"/>
      <c r="AK1026" s="9"/>
      <c r="AO1026" s="5" t="s">
        <v>3782</v>
      </c>
      <c r="AP1026" s="5">
        <v>794.0</v>
      </c>
      <c r="AQ1026" s="5" t="s">
        <v>1716</v>
      </c>
      <c r="AR1026" s="5" t="s">
        <v>1717</v>
      </c>
      <c r="AS1026" s="5" t="s">
        <v>1718</v>
      </c>
      <c r="AT1026" s="5" t="s">
        <v>1719</v>
      </c>
      <c r="AU1026" s="5" t="s">
        <v>1703</v>
      </c>
      <c r="AV1026" s="5" t="s">
        <v>1720</v>
      </c>
      <c r="AW1026" s="5" t="s">
        <v>2698</v>
      </c>
      <c r="AX1026" s="5" t="s">
        <v>2801</v>
      </c>
      <c r="AY1026" s="5">
        <v>49.3</v>
      </c>
      <c r="AZ1026" s="5">
        <v>-116.2</v>
      </c>
      <c r="BA1026" s="5">
        <v>15.0</v>
      </c>
    </row>
    <row r="1027" ht="14.25" customHeight="1">
      <c r="B1027" s="5">
        <v>12.0</v>
      </c>
      <c r="C1027" s="5" t="s">
        <v>7666</v>
      </c>
      <c r="D1027" s="5">
        <v>795.0</v>
      </c>
      <c r="E1027" s="5">
        <v>2242.0</v>
      </c>
      <c r="F1027" s="18" t="s">
        <v>3785</v>
      </c>
      <c r="G1027" s="69" t="s">
        <v>3786</v>
      </c>
      <c r="H1027" s="5" t="s">
        <v>3787</v>
      </c>
      <c r="I1027" s="5" t="s">
        <v>1664</v>
      </c>
      <c r="J1027" s="5" t="s">
        <v>1746</v>
      </c>
      <c r="K1027" s="5">
        <v>1.0</v>
      </c>
      <c r="L1027" s="5">
        <v>2645.0</v>
      </c>
      <c r="M1027" s="64"/>
      <c r="N1027" s="36"/>
      <c r="R1027" s="36"/>
      <c r="T1027" s="37"/>
      <c r="W1027" s="36"/>
      <c r="AK1027" s="9"/>
      <c r="AO1027" s="5" t="s">
        <v>3785</v>
      </c>
      <c r="AP1027" s="5">
        <v>795.0</v>
      </c>
      <c r="AQ1027" s="5" t="s">
        <v>1716</v>
      </c>
      <c r="AR1027" s="5" t="s">
        <v>1717</v>
      </c>
      <c r="AS1027" s="5" t="s">
        <v>1718</v>
      </c>
      <c r="AT1027" s="5" t="s">
        <v>1719</v>
      </c>
      <c r="AU1027" s="5" t="s">
        <v>1703</v>
      </c>
      <c r="AV1027" s="5" t="s">
        <v>1720</v>
      </c>
      <c r="AW1027" s="5" t="s">
        <v>2698</v>
      </c>
      <c r="AX1027" s="5" t="s">
        <v>2902</v>
      </c>
      <c r="AY1027" s="5">
        <v>49.2</v>
      </c>
      <c r="AZ1027" s="5">
        <v>-115.5</v>
      </c>
      <c r="BA1027" s="5">
        <v>15.0</v>
      </c>
    </row>
    <row r="1028" ht="14.25" customHeight="1">
      <c r="A1028" s="5" t="s">
        <v>422</v>
      </c>
      <c r="B1028" s="5">
        <v>12.0</v>
      </c>
      <c r="C1028" s="5" t="s">
        <v>7666</v>
      </c>
      <c r="D1028" s="5">
        <v>797.0</v>
      </c>
      <c r="E1028" s="5">
        <v>2244.0</v>
      </c>
      <c r="F1028" s="18" t="s">
        <v>3788</v>
      </c>
      <c r="G1028" s="5" t="s">
        <v>3789</v>
      </c>
      <c r="H1028" s="5" t="s">
        <v>3790</v>
      </c>
      <c r="I1028" s="5" t="s">
        <v>1664</v>
      </c>
      <c r="J1028" s="5" t="s">
        <v>1746</v>
      </c>
      <c r="K1028" s="5">
        <v>1.0</v>
      </c>
      <c r="L1028" s="5">
        <v>2647.0</v>
      </c>
      <c r="M1028" s="8"/>
      <c r="AK1028" s="9"/>
      <c r="AO1028" s="5" t="s">
        <v>3788</v>
      </c>
      <c r="AP1028" s="5">
        <v>797.0</v>
      </c>
      <c r="AQ1028" s="5" t="s">
        <v>1716</v>
      </c>
      <c r="AR1028" s="5" t="s">
        <v>1717</v>
      </c>
      <c r="AS1028" s="5" t="s">
        <v>1718</v>
      </c>
      <c r="AT1028" s="5" t="s">
        <v>1719</v>
      </c>
      <c r="AU1028" s="5" t="s">
        <v>1703</v>
      </c>
      <c r="AV1028" s="5" t="s">
        <v>1720</v>
      </c>
      <c r="AW1028" s="5" t="s">
        <v>2698</v>
      </c>
      <c r="AX1028" s="5" t="s">
        <v>2768</v>
      </c>
      <c r="AY1028" s="5">
        <v>50.3</v>
      </c>
      <c r="AZ1028" s="5">
        <v>-116.3</v>
      </c>
      <c r="BA1028" s="5">
        <v>18.0</v>
      </c>
    </row>
    <row r="1029" ht="14.25" customHeight="1">
      <c r="A1029" s="5" t="s">
        <v>422</v>
      </c>
      <c r="B1029" s="5">
        <v>12.0</v>
      </c>
      <c r="C1029" s="5" t="s">
        <v>7666</v>
      </c>
      <c r="D1029" s="5">
        <v>798.0</v>
      </c>
      <c r="E1029" s="5">
        <v>2245.0</v>
      </c>
      <c r="F1029" s="18" t="s">
        <v>3791</v>
      </c>
      <c r="G1029" s="5" t="s">
        <v>3792</v>
      </c>
      <c r="H1029" s="5" t="s">
        <v>3793</v>
      </c>
      <c r="I1029" s="5" t="s">
        <v>1664</v>
      </c>
      <c r="J1029" s="5" t="s">
        <v>1746</v>
      </c>
      <c r="K1029" s="5">
        <v>1.0</v>
      </c>
      <c r="L1029" s="5">
        <v>2648.0</v>
      </c>
      <c r="M1029" s="64"/>
      <c r="N1029" s="36"/>
      <c r="P1029" s="36"/>
      <c r="R1029" s="36"/>
      <c r="T1029" s="37"/>
      <c r="AK1029" s="9"/>
      <c r="AO1029" s="5" t="s">
        <v>3791</v>
      </c>
      <c r="AP1029" s="5">
        <v>798.0</v>
      </c>
      <c r="AQ1029" s="5" t="s">
        <v>1716</v>
      </c>
      <c r="AR1029" s="5" t="s">
        <v>1717</v>
      </c>
      <c r="AS1029" s="5" t="s">
        <v>1718</v>
      </c>
      <c r="AT1029" s="5" t="s">
        <v>1719</v>
      </c>
      <c r="AU1029" s="5" t="s">
        <v>1703</v>
      </c>
      <c r="AV1029" s="5" t="s">
        <v>1720</v>
      </c>
      <c r="AW1029" s="5" t="s">
        <v>2698</v>
      </c>
      <c r="AX1029" s="5" t="s">
        <v>2768</v>
      </c>
      <c r="AY1029" s="5">
        <v>50.3</v>
      </c>
      <c r="AZ1029" s="5">
        <v>-115.8</v>
      </c>
      <c r="BA1029" s="5">
        <v>16.0</v>
      </c>
    </row>
    <row r="1030" ht="14.25" customHeight="1">
      <c r="B1030" s="5">
        <v>12.0</v>
      </c>
      <c r="C1030" s="5" t="s">
        <v>7666</v>
      </c>
      <c r="D1030" s="5">
        <v>799.0</v>
      </c>
      <c r="E1030" s="5">
        <v>2246.0</v>
      </c>
      <c r="F1030" s="18" t="s">
        <v>3794</v>
      </c>
      <c r="G1030" s="5" t="s">
        <v>3795</v>
      </c>
      <c r="H1030" s="5" t="s">
        <v>3796</v>
      </c>
      <c r="I1030" s="5" t="s">
        <v>1664</v>
      </c>
      <c r="J1030" s="5" t="s">
        <v>1746</v>
      </c>
      <c r="K1030" s="5">
        <v>1.0</v>
      </c>
      <c r="L1030" s="5">
        <v>2649.0</v>
      </c>
      <c r="M1030" s="64"/>
      <c r="N1030" s="36"/>
      <c r="P1030" s="36"/>
      <c r="R1030" s="36"/>
      <c r="T1030" s="37"/>
      <c r="AK1030" s="9"/>
      <c r="AO1030" s="5" t="s">
        <v>3794</v>
      </c>
      <c r="AP1030" s="5">
        <v>799.0</v>
      </c>
      <c r="AQ1030" s="5" t="s">
        <v>1716</v>
      </c>
      <c r="AR1030" s="5" t="s">
        <v>1717</v>
      </c>
      <c r="AS1030" s="5" t="s">
        <v>1718</v>
      </c>
      <c r="AT1030" s="5" t="s">
        <v>1719</v>
      </c>
      <c r="AU1030" s="5" t="s">
        <v>1703</v>
      </c>
      <c r="AV1030" s="5" t="s">
        <v>1720</v>
      </c>
      <c r="AW1030" s="5" t="s">
        <v>2698</v>
      </c>
      <c r="AX1030" s="5" t="s">
        <v>2768</v>
      </c>
      <c r="AY1030" s="5">
        <v>50.3</v>
      </c>
      <c r="AZ1030" s="5">
        <v>-115.2</v>
      </c>
      <c r="BA1030" s="5">
        <v>15.0</v>
      </c>
    </row>
    <row r="1031" ht="14.25" customHeight="1">
      <c r="B1031" s="5">
        <v>12.0</v>
      </c>
      <c r="C1031" s="5" t="s">
        <v>7666</v>
      </c>
      <c r="D1031" s="5">
        <v>800.0</v>
      </c>
      <c r="E1031" s="5">
        <v>2247.0</v>
      </c>
      <c r="F1031" s="18" t="s">
        <v>3797</v>
      </c>
      <c r="G1031" s="5" t="s">
        <v>3798</v>
      </c>
      <c r="H1031" s="5" t="s">
        <v>3799</v>
      </c>
      <c r="I1031" s="5" t="s">
        <v>1664</v>
      </c>
      <c r="J1031" s="5" t="s">
        <v>1715</v>
      </c>
      <c r="K1031" s="5">
        <v>1.0</v>
      </c>
      <c r="L1031" s="5">
        <v>2650.0</v>
      </c>
      <c r="M1031" s="64"/>
      <c r="N1031" s="36"/>
      <c r="P1031" s="36"/>
      <c r="R1031" s="36"/>
      <c r="T1031" s="37"/>
      <c r="W1031" s="36"/>
      <c r="AK1031" s="9"/>
      <c r="AO1031" s="5" t="s">
        <v>3797</v>
      </c>
      <c r="AP1031" s="5">
        <v>800.0</v>
      </c>
      <c r="AQ1031" s="5" t="s">
        <v>1716</v>
      </c>
      <c r="AR1031" s="5" t="s">
        <v>1717</v>
      </c>
      <c r="AS1031" s="5" t="s">
        <v>1718</v>
      </c>
      <c r="AT1031" s="5" t="s">
        <v>1719</v>
      </c>
      <c r="AU1031" s="5" t="s">
        <v>1703</v>
      </c>
      <c r="AV1031" s="5" t="s">
        <v>1720</v>
      </c>
      <c r="AW1031" s="5" t="s">
        <v>2698</v>
      </c>
      <c r="AX1031" s="5" t="s">
        <v>2768</v>
      </c>
      <c r="AY1031" s="5">
        <v>50.4</v>
      </c>
      <c r="AZ1031" s="5">
        <v>-116.1</v>
      </c>
      <c r="BA1031" s="5">
        <v>16.0</v>
      </c>
    </row>
    <row r="1032" ht="14.25" customHeight="1">
      <c r="A1032" s="5" t="s">
        <v>422</v>
      </c>
      <c r="B1032" s="5">
        <v>12.0</v>
      </c>
      <c r="C1032" s="5" t="s">
        <v>7666</v>
      </c>
      <c r="D1032" s="5">
        <v>801.0</v>
      </c>
      <c r="E1032" s="5">
        <v>2248.0</v>
      </c>
      <c r="F1032" s="18" t="s">
        <v>3800</v>
      </c>
      <c r="G1032" s="5" t="s">
        <v>3801</v>
      </c>
      <c r="H1032" s="5" t="s">
        <v>3802</v>
      </c>
      <c r="I1032" s="5" t="s">
        <v>1664</v>
      </c>
      <c r="J1032" s="5" t="s">
        <v>1746</v>
      </c>
      <c r="K1032" s="5">
        <v>1.0</v>
      </c>
      <c r="L1032" s="5">
        <v>2651.0</v>
      </c>
      <c r="M1032" s="64"/>
      <c r="N1032" s="36"/>
      <c r="P1032" s="36"/>
      <c r="R1032" s="36"/>
      <c r="T1032" s="37"/>
      <c r="W1032" s="36"/>
      <c r="AK1032" s="9"/>
      <c r="AO1032" s="29" t="s">
        <v>3800</v>
      </c>
      <c r="AP1032" s="5">
        <v>801.0</v>
      </c>
      <c r="AQ1032" s="5" t="s">
        <v>1716</v>
      </c>
      <c r="AR1032" s="5" t="s">
        <v>1717</v>
      </c>
      <c r="AS1032" s="5" t="s">
        <v>1718</v>
      </c>
      <c r="AT1032" s="5" t="s">
        <v>1719</v>
      </c>
      <c r="AU1032" s="5" t="s">
        <v>1703</v>
      </c>
      <c r="AV1032" s="5" t="s">
        <v>1720</v>
      </c>
      <c r="AW1032" s="5" t="s">
        <v>2698</v>
      </c>
      <c r="AX1032" s="5" t="s">
        <v>2768</v>
      </c>
      <c r="AY1032" s="5">
        <v>49.9</v>
      </c>
      <c r="AZ1032" s="5">
        <v>-115.8</v>
      </c>
      <c r="BA1032" s="5">
        <v>9.0</v>
      </c>
    </row>
    <row r="1033" ht="14.25" customHeight="1">
      <c r="B1033" s="5">
        <v>12.0</v>
      </c>
      <c r="C1033" s="5" t="s">
        <v>7666</v>
      </c>
      <c r="D1033" s="5">
        <v>802.0</v>
      </c>
      <c r="E1033" s="5">
        <v>2249.0</v>
      </c>
      <c r="F1033" s="18" t="s">
        <v>3803</v>
      </c>
      <c r="G1033" s="5" t="s">
        <v>3804</v>
      </c>
      <c r="H1033" s="5" t="s">
        <v>3805</v>
      </c>
      <c r="I1033" s="5" t="s">
        <v>1664</v>
      </c>
      <c r="J1033" s="5" t="s">
        <v>1715</v>
      </c>
      <c r="K1033" s="5">
        <v>1.0</v>
      </c>
      <c r="L1033" s="5">
        <v>2652.0</v>
      </c>
      <c r="M1033" s="64"/>
      <c r="N1033" s="36"/>
      <c r="P1033" s="36"/>
      <c r="R1033" s="36"/>
      <c r="T1033" s="37"/>
      <c r="W1033" s="36"/>
      <c r="AK1033" s="9"/>
      <c r="AO1033" s="5" t="s">
        <v>3803</v>
      </c>
      <c r="AP1033" s="5">
        <v>802.0</v>
      </c>
      <c r="AQ1033" s="5" t="s">
        <v>1716</v>
      </c>
      <c r="AR1033" s="5" t="s">
        <v>1717</v>
      </c>
      <c r="AS1033" s="5" t="s">
        <v>1718</v>
      </c>
      <c r="AT1033" s="5" t="s">
        <v>1719</v>
      </c>
      <c r="AU1033" s="5" t="s">
        <v>1703</v>
      </c>
      <c r="AV1033" s="5" t="s">
        <v>1720</v>
      </c>
      <c r="AW1033" s="5" t="s">
        <v>2698</v>
      </c>
      <c r="AX1033" s="5" t="s">
        <v>2768</v>
      </c>
      <c r="AY1033" s="5">
        <v>50.1</v>
      </c>
      <c r="AZ1033" s="5">
        <v>-115.8</v>
      </c>
      <c r="BA1033" s="5">
        <v>9.0</v>
      </c>
    </row>
    <row r="1034" ht="14.25" customHeight="1">
      <c r="B1034" s="5">
        <v>12.0</v>
      </c>
      <c r="C1034" s="5" t="s">
        <v>7666</v>
      </c>
      <c r="D1034" s="5">
        <v>803.0</v>
      </c>
      <c r="E1034" s="5">
        <v>2250.0</v>
      </c>
      <c r="F1034" s="18" t="s">
        <v>3806</v>
      </c>
      <c r="G1034" s="5" t="s">
        <v>3807</v>
      </c>
      <c r="H1034" s="5" t="s">
        <v>3808</v>
      </c>
      <c r="I1034" s="5" t="s">
        <v>1664</v>
      </c>
      <c r="J1034" s="5" t="s">
        <v>1746</v>
      </c>
      <c r="K1034" s="5">
        <v>1.0</v>
      </c>
      <c r="L1034" s="5">
        <v>2653.0</v>
      </c>
      <c r="M1034" s="64"/>
      <c r="N1034" s="36"/>
      <c r="P1034" s="36"/>
      <c r="R1034" s="36"/>
      <c r="T1034" s="37"/>
      <c r="W1034" s="36"/>
      <c r="AK1034" s="9"/>
      <c r="AO1034" s="5" t="s">
        <v>3806</v>
      </c>
      <c r="AP1034" s="5">
        <v>803.0</v>
      </c>
      <c r="AQ1034" s="5" t="s">
        <v>1716</v>
      </c>
      <c r="AR1034" s="5" t="s">
        <v>1717</v>
      </c>
      <c r="AS1034" s="5" t="s">
        <v>1718</v>
      </c>
      <c r="AT1034" s="5" t="s">
        <v>1719</v>
      </c>
      <c r="AU1034" s="5" t="s">
        <v>1703</v>
      </c>
      <c r="AV1034" s="5" t="s">
        <v>1720</v>
      </c>
      <c r="AW1034" s="5" t="s">
        <v>2698</v>
      </c>
      <c r="AX1034" s="5" t="s">
        <v>2768</v>
      </c>
      <c r="AY1034" s="5">
        <v>50.4</v>
      </c>
      <c r="AZ1034" s="5">
        <v>-115.3</v>
      </c>
      <c r="BA1034" s="5">
        <v>17.0</v>
      </c>
    </row>
    <row r="1035" ht="14.25" customHeight="1">
      <c r="A1035" s="5" t="s">
        <v>422</v>
      </c>
      <c r="B1035" s="5">
        <v>12.0</v>
      </c>
      <c r="C1035" s="5" t="s">
        <v>7666</v>
      </c>
      <c r="D1035" s="5">
        <v>804.0</v>
      </c>
      <c r="E1035" s="5">
        <v>2251.0</v>
      </c>
      <c r="F1035" s="18" t="s">
        <v>3809</v>
      </c>
      <c r="G1035" s="69" t="s">
        <v>3810</v>
      </c>
      <c r="H1035" s="5" t="s">
        <v>3811</v>
      </c>
      <c r="I1035" s="5" t="s">
        <v>1664</v>
      </c>
      <c r="J1035" s="5" t="s">
        <v>1746</v>
      </c>
      <c r="K1035" s="5">
        <v>1.0</v>
      </c>
      <c r="L1035" s="5">
        <v>2654.0</v>
      </c>
      <c r="M1035" s="64"/>
      <c r="N1035" s="36"/>
      <c r="P1035" s="36"/>
      <c r="R1035" s="36"/>
      <c r="T1035" s="37"/>
      <c r="AK1035" s="9"/>
      <c r="AO1035" s="5" t="s">
        <v>3809</v>
      </c>
      <c r="AP1035" s="5">
        <v>804.0</v>
      </c>
      <c r="AQ1035" s="5" t="s">
        <v>1716</v>
      </c>
      <c r="AR1035" s="5" t="s">
        <v>1717</v>
      </c>
      <c r="AS1035" s="5" t="s">
        <v>1718</v>
      </c>
      <c r="AT1035" s="5" t="s">
        <v>1719</v>
      </c>
      <c r="AU1035" s="5" t="s">
        <v>1703</v>
      </c>
      <c r="AV1035" s="5" t="s">
        <v>1720</v>
      </c>
      <c r="AW1035" s="5" t="s">
        <v>2698</v>
      </c>
      <c r="AX1035" s="5" t="s">
        <v>2768</v>
      </c>
      <c r="AY1035" s="5">
        <v>50.2</v>
      </c>
      <c r="AZ1035" s="5">
        <v>-115.5</v>
      </c>
      <c r="BA1035" s="5">
        <v>13.0</v>
      </c>
    </row>
    <row r="1036" ht="14.25" customHeight="1">
      <c r="B1036" s="5">
        <v>12.0</v>
      </c>
      <c r="C1036" s="5" t="s">
        <v>7666</v>
      </c>
      <c r="D1036" s="5">
        <v>805.0</v>
      </c>
      <c r="E1036" s="5">
        <v>2252.0</v>
      </c>
      <c r="F1036" s="18" t="s">
        <v>3812</v>
      </c>
      <c r="G1036" s="69" t="s">
        <v>3813</v>
      </c>
      <c r="H1036" s="5" t="s">
        <v>3814</v>
      </c>
      <c r="I1036" s="5" t="s">
        <v>1664</v>
      </c>
      <c r="J1036" s="5" t="s">
        <v>1715</v>
      </c>
      <c r="K1036" s="5">
        <v>1.0</v>
      </c>
      <c r="L1036" s="5">
        <v>2655.0</v>
      </c>
      <c r="M1036" s="64"/>
      <c r="N1036" s="36"/>
      <c r="P1036" s="36"/>
      <c r="R1036" s="36"/>
      <c r="T1036" s="37"/>
      <c r="W1036" s="36"/>
      <c r="AK1036" s="9"/>
      <c r="AO1036" s="5" t="s">
        <v>3812</v>
      </c>
      <c r="AP1036" s="5">
        <v>805.0</v>
      </c>
      <c r="AQ1036" s="5" t="s">
        <v>1716</v>
      </c>
      <c r="AR1036" s="5" t="s">
        <v>1717</v>
      </c>
      <c r="AS1036" s="5" t="s">
        <v>1718</v>
      </c>
      <c r="AT1036" s="5" t="s">
        <v>1719</v>
      </c>
      <c r="AU1036" s="5" t="s">
        <v>1703</v>
      </c>
      <c r="AV1036" s="5" t="s">
        <v>1720</v>
      </c>
      <c r="AW1036" s="5" t="s">
        <v>2698</v>
      </c>
      <c r="AX1036" s="5" t="s">
        <v>2768</v>
      </c>
      <c r="AY1036" s="5">
        <v>50.1</v>
      </c>
      <c r="AZ1036" s="5">
        <v>-115.3</v>
      </c>
      <c r="BA1036" s="5">
        <v>17.0</v>
      </c>
    </row>
    <row r="1037" ht="14.25" customHeight="1">
      <c r="B1037" s="5">
        <v>12.0</v>
      </c>
      <c r="C1037" s="5" t="s">
        <v>7666</v>
      </c>
      <c r="D1037" s="5">
        <v>806.0</v>
      </c>
      <c r="E1037" s="5">
        <v>2253.0</v>
      </c>
      <c r="F1037" s="18" t="s">
        <v>3815</v>
      </c>
      <c r="G1037" s="5" t="s">
        <v>3816</v>
      </c>
      <c r="H1037" s="5" t="s">
        <v>3817</v>
      </c>
      <c r="I1037" s="5" t="s">
        <v>1664</v>
      </c>
      <c r="J1037" s="5" t="s">
        <v>1746</v>
      </c>
      <c r="K1037" s="5">
        <v>1.0</v>
      </c>
      <c r="L1037" s="5">
        <v>2656.0</v>
      </c>
      <c r="M1037" s="64"/>
      <c r="N1037" s="36"/>
      <c r="P1037" s="36"/>
      <c r="R1037" s="36"/>
      <c r="T1037" s="37"/>
      <c r="W1037" s="36"/>
      <c r="AK1037" s="9"/>
      <c r="AO1037" s="5" t="s">
        <v>3815</v>
      </c>
      <c r="AP1037" s="5">
        <v>806.0</v>
      </c>
      <c r="AQ1037" s="5" t="s">
        <v>1716</v>
      </c>
      <c r="AR1037" s="5" t="s">
        <v>1717</v>
      </c>
      <c r="AS1037" s="5" t="s">
        <v>1718</v>
      </c>
      <c r="AT1037" s="5" t="s">
        <v>1719</v>
      </c>
      <c r="AU1037" s="5" t="s">
        <v>1703</v>
      </c>
      <c r="AV1037" s="5" t="s">
        <v>1720</v>
      </c>
      <c r="AW1037" s="5" t="s">
        <v>2698</v>
      </c>
      <c r="AX1037" s="5" t="s">
        <v>2768</v>
      </c>
      <c r="AY1037" s="5">
        <v>50.7</v>
      </c>
      <c r="AZ1037" s="5">
        <v>-115.5</v>
      </c>
      <c r="BA1037" s="5">
        <v>16.0</v>
      </c>
    </row>
    <row r="1038" ht="14.25" customHeight="1">
      <c r="B1038" s="5">
        <v>12.0</v>
      </c>
      <c r="C1038" s="5" t="s">
        <v>7666</v>
      </c>
      <c r="D1038" s="5">
        <v>807.0</v>
      </c>
      <c r="E1038" s="5">
        <v>2254.0</v>
      </c>
      <c r="F1038" s="18" t="s">
        <v>3818</v>
      </c>
      <c r="G1038" s="5" t="s">
        <v>3819</v>
      </c>
      <c r="H1038" s="5" t="s">
        <v>3820</v>
      </c>
      <c r="I1038" s="5" t="s">
        <v>1664</v>
      </c>
      <c r="J1038" s="5" t="s">
        <v>1746</v>
      </c>
      <c r="K1038" s="5">
        <v>1.0</v>
      </c>
      <c r="L1038" s="5">
        <v>2657.0</v>
      </c>
      <c r="M1038" s="64"/>
      <c r="N1038" s="36"/>
      <c r="P1038" s="36"/>
      <c r="R1038" s="36"/>
      <c r="T1038" s="37"/>
      <c r="AK1038" s="9"/>
      <c r="AO1038" s="5" t="s">
        <v>3818</v>
      </c>
      <c r="AP1038" s="5">
        <v>807.0</v>
      </c>
      <c r="AQ1038" s="5" t="s">
        <v>1716</v>
      </c>
      <c r="AR1038" s="5" t="s">
        <v>1717</v>
      </c>
      <c r="AS1038" s="5" t="s">
        <v>1718</v>
      </c>
      <c r="AT1038" s="5" t="s">
        <v>1719</v>
      </c>
      <c r="AU1038" s="5" t="s">
        <v>1703</v>
      </c>
      <c r="AV1038" s="5" t="s">
        <v>1720</v>
      </c>
      <c r="AW1038" s="5" t="s">
        <v>2698</v>
      </c>
      <c r="AX1038" s="5" t="s">
        <v>2902</v>
      </c>
      <c r="AY1038" s="5">
        <v>49.3</v>
      </c>
      <c r="AZ1038" s="5">
        <v>-115.3</v>
      </c>
      <c r="BA1038" s="5">
        <v>10.0</v>
      </c>
    </row>
    <row r="1039" ht="14.25" customHeight="1">
      <c r="B1039" s="5">
        <v>12.0</v>
      </c>
      <c r="C1039" s="5" t="s">
        <v>7666</v>
      </c>
      <c r="D1039" s="5">
        <v>808.0</v>
      </c>
      <c r="E1039" s="5">
        <v>2255.0</v>
      </c>
      <c r="F1039" s="18" t="s">
        <v>3821</v>
      </c>
      <c r="G1039" s="5" t="s">
        <v>3822</v>
      </c>
      <c r="H1039" s="5" t="s">
        <v>3823</v>
      </c>
      <c r="I1039" s="5" t="s">
        <v>1664</v>
      </c>
      <c r="J1039" s="5" t="s">
        <v>1715</v>
      </c>
      <c r="K1039" s="5">
        <v>1.0</v>
      </c>
      <c r="L1039" s="5">
        <v>2658.0</v>
      </c>
      <c r="M1039" s="64"/>
      <c r="N1039" s="36"/>
      <c r="P1039" s="36"/>
      <c r="R1039" s="36"/>
      <c r="T1039" s="37"/>
      <c r="W1039" s="36"/>
      <c r="AK1039" s="9"/>
      <c r="AO1039" s="5" t="s">
        <v>3821</v>
      </c>
      <c r="AP1039" s="5">
        <v>808.0</v>
      </c>
      <c r="AQ1039" s="5" t="s">
        <v>1716</v>
      </c>
      <c r="AR1039" s="5" t="s">
        <v>1717</v>
      </c>
      <c r="AS1039" s="5" t="s">
        <v>1718</v>
      </c>
      <c r="AT1039" s="5" t="s">
        <v>1719</v>
      </c>
      <c r="AU1039" s="5" t="s">
        <v>1703</v>
      </c>
      <c r="AV1039" s="5" t="s">
        <v>1720</v>
      </c>
      <c r="AW1039" s="5" t="s">
        <v>2698</v>
      </c>
      <c r="AX1039" s="5" t="s">
        <v>2902</v>
      </c>
      <c r="AY1039" s="5">
        <v>49.3</v>
      </c>
      <c r="AZ1039" s="5">
        <v>-115.8</v>
      </c>
      <c r="BA1039" s="5">
        <v>11.0</v>
      </c>
    </row>
    <row r="1040" ht="14.25" customHeight="1">
      <c r="B1040" s="5">
        <v>12.0</v>
      </c>
      <c r="C1040" s="5" t="s">
        <v>7666</v>
      </c>
      <c r="D1040" s="5">
        <v>809.0</v>
      </c>
      <c r="E1040" s="5">
        <v>2256.0</v>
      </c>
      <c r="F1040" s="18" t="s">
        <v>3824</v>
      </c>
      <c r="G1040" s="5" t="s">
        <v>3825</v>
      </c>
      <c r="H1040" s="5" t="s">
        <v>3826</v>
      </c>
      <c r="I1040" s="5" t="s">
        <v>1664</v>
      </c>
      <c r="J1040" s="5" t="s">
        <v>1746</v>
      </c>
      <c r="K1040" s="5">
        <v>1.0</v>
      </c>
      <c r="L1040" s="5">
        <v>2659.0</v>
      </c>
      <c r="M1040" s="64"/>
      <c r="N1040" s="36"/>
      <c r="P1040" s="36"/>
      <c r="R1040" s="36"/>
      <c r="T1040" s="37"/>
      <c r="W1040" s="36"/>
      <c r="AK1040" s="9"/>
      <c r="AO1040" s="5" t="s">
        <v>3824</v>
      </c>
      <c r="AP1040" s="5">
        <v>809.0</v>
      </c>
      <c r="AQ1040" s="5" t="s">
        <v>1716</v>
      </c>
      <c r="AR1040" s="5" t="s">
        <v>1717</v>
      </c>
      <c r="AS1040" s="5" t="s">
        <v>1718</v>
      </c>
      <c r="AT1040" s="5" t="s">
        <v>1719</v>
      </c>
      <c r="AU1040" s="5" t="s">
        <v>1703</v>
      </c>
      <c r="AV1040" s="5" t="s">
        <v>1720</v>
      </c>
      <c r="AW1040" s="5" t="s">
        <v>2698</v>
      </c>
      <c r="AX1040" s="5" t="s">
        <v>2768</v>
      </c>
      <c r="AY1040" s="5">
        <v>50.8</v>
      </c>
      <c r="AZ1040" s="5">
        <v>-116.0</v>
      </c>
      <c r="BA1040" s="5">
        <v>11.0</v>
      </c>
    </row>
    <row r="1041" ht="14.25" customHeight="1">
      <c r="B1041" s="5">
        <v>12.0</v>
      </c>
      <c r="C1041" s="5" t="s">
        <v>7666</v>
      </c>
      <c r="D1041" s="5">
        <v>810.0</v>
      </c>
      <c r="E1041" s="5">
        <v>2257.0</v>
      </c>
      <c r="F1041" s="18" t="s">
        <v>3827</v>
      </c>
      <c r="G1041" s="5" t="s">
        <v>3828</v>
      </c>
      <c r="H1041" s="5" t="s">
        <v>3829</v>
      </c>
      <c r="I1041" s="5" t="s">
        <v>1664</v>
      </c>
      <c r="J1041" s="5" t="s">
        <v>1746</v>
      </c>
      <c r="K1041" s="5">
        <v>1.0</v>
      </c>
      <c r="L1041" s="5">
        <v>2660.0</v>
      </c>
      <c r="M1041" s="64"/>
      <c r="N1041" s="36"/>
      <c r="P1041" s="36"/>
      <c r="R1041" s="36"/>
      <c r="T1041" s="37"/>
      <c r="AK1041" s="9"/>
      <c r="AO1041" s="5" t="s">
        <v>3827</v>
      </c>
      <c r="AP1041" s="5">
        <v>810.0</v>
      </c>
      <c r="AQ1041" s="5" t="s">
        <v>1716</v>
      </c>
      <c r="AR1041" s="5" t="s">
        <v>1717</v>
      </c>
      <c r="AS1041" s="5" t="s">
        <v>1718</v>
      </c>
      <c r="AT1041" s="5" t="s">
        <v>1719</v>
      </c>
      <c r="AU1041" s="5" t="s">
        <v>1703</v>
      </c>
      <c r="AV1041" s="5" t="s">
        <v>1720</v>
      </c>
      <c r="AW1041" s="5" t="s">
        <v>2698</v>
      </c>
      <c r="AX1041" s="5" t="s">
        <v>2768</v>
      </c>
      <c r="AY1041" s="5">
        <v>50.7</v>
      </c>
      <c r="AZ1041" s="5">
        <v>-115.9</v>
      </c>
      <c r="BA1041" s="5">
        <v>14.0</v>
      </c>
    </row>
    <row r="1042" ht="14.25" customHeight="1">
      <c r="B1042" s="5">
        <v>12.0</v>
      </c>
      <c r="C1042" s="5" t="s">
        <v>7666</v>
      </c>
      <c r="D1042" s="5">
        <v>811.0</v>
      </c>
      <c r="E1042" s="5">
        <v>2258.0</v>
      </c>
      <c r="F1042" s="18" t="s">
        <v>3830</v>
      </c>
      <c r="G1042" s="5" t="s">
        <v>3831</v>
      </c>
      <c r="H1042" s="5" t="s">
        <v>3832</v>
      </c>
      <c r="I1042" s="5" t="s">
        <v>1664</v>
      </c>
      <c r="J1042" s="5" t="s">
        <v>1746</v>
      </c>
      <c r="K1042" s="5">
        <v>1.0</v>
      </c>
      <c r="L1042" s="5">
        <v>2661.0</v>
      </c>
      <c r="M1042" s="64"/>
      <c r="N1042" s="36"/>
      <c r="P1042" s="36"/>
      <c r="R1042" s="36"/>
      <c r="T1042" s="37"/>
      <c r="W1042" s="36"/>
      <c r="AK1042" s="9"/>
      <c r="AO1042" s="5" t="s">
        <v>3830</v>
      </c>
      <c r="AP1042" s="5">
        <v>811.0</v>
      </c>
      <c r="AQ1042" s="5" t="s">
        <v>1716</v>
      </c>
      <c r="AR1042" s="5" t="s">
        <v>1717</v>
      </c>
      <c r="AS1042" s="5" t="s">
        <v>1718</v>
      </c>
      <c r="AT1042" s="5" t="s">
        <v>1719</v>
      </c>
      <c r="AU1042" s="5" t="s">
        <v>1703</v>
      </c>
      <c r="AV1042" s="5" t="s">
        <v>1720</v>
      </c>
      <c r="AW1042" s="5" t="s">
        <v>2698</v>
      </c>
      <c r="AX1042" s="5" t="s">
        <v>2902</v>
      </c>
      <c r="AY1042" s="5">
        <v>49.2</v>
      </c>
      <c r="AZ1042" s="5">
        <v>-115.3</v>
      </c>
      <c r="BA1042" s="5">
        <v>9.0</v>
      </c>
    </row>
    <row r="1043" ht="14.25" customHeight="1">
      <c r="B1043" s="5">
        <v>12.0</v>
      </c>
      <c r="C1043" s="5" t="s">
        <v>7666</v>
      </c>
      <c r="D1043" s="5">
        <v>812.0</v>
      </c>
      <c r="E1043" s="5">
        <v>2259.0</v>
      </c>
      <c r="F1043" s="18" t="s">
        <v>3833</v>
      </c>
      <c r="G1043" s="5" t="s">
        <v>3834</v>
      </c>
      <c r="H1043" s="5" t="s">
        <v>3835</v>
      </c>
      <c r="I1043" s="5" t="s">
        <v>1664</v>
      </c>
      <c r="J1043" s="5" t="s">
        <v>1746</v>
      </c>
      <c r="K1043" s="5">
        <v>1.0</v>
      </c>
      <c r="L1043" s="5">
        <v>2662.0</v>
      </c>
      <c r="M1043" s="64"/>
      <c r="N1043" s="36"/>
      <c r="P1043" s="36"/>
      <c r="R1043" s="36"/>
      <c r="T1043" s="37"/>
      <c r="W1043" s="36"/>
      <c r="AK1043" s="9"/>
      <c r="AO1043" s="5" t="s">
        <v>3833</v>
      </c>
      <c r="AP1043" s="5">
        <v>812.0</v>
      </c>
      <c r="AQ1043" s="5" t="s">
        <v>1716</v>
      </c>
      <c r="AR1043" s="5" t="s">
        <v>1717</v>
      </c>
      <c r="AS1043" s="5" t="s">
        <v>1718</v>
      </c>
      <c r="AT1043" s="5" t="s">
        <v>1719</v>
      </c>
      <c r="AU1043" s="5" t="s">
        <v>1703</v>
      </c>
      <c r="AV1043" s="5" t="s">
        <v>1720</v>
      </c>
      <c r="AW1043" s="5" t="s">
        <v>2698</v>
      </c>
      <c r="AX1043" s="5" t="s">
        <v>2768</v>
      </c>
      <c r="AY1043" s="5">
        <v>50.5</v>
      </c>
      <c r="AZ1043" s="5">
        <v>-115.9</v>
      </c>
      <c r="BA1043" s="5">
        <v>15.0</v>
      </c>
    </row>
    <row r="1044" ht="14.25" customHeight="1">
      <c r="A1044" s="5" t="s">
        <v>422</v>
      </c>
      <c r="B1044" s="5">
        <v>12.0</v>
      </c>
      <c r="C1044" s="5" t="s">
        <v>7666</v>
      </c>
      <c r="D1044" s="5">
        <v>813.0</v>
      </c>
      <c r="E1044" s="5">
        <v>2260.0</v>
      </c>
      <c r="F1044" s="18" t="s">
        <v>3836</v>
      </c>
      <c r="G1044" s="5" t="s">
        <v>3837</v>
      </c>
      <c r="H1044" s="5" t="s">
        <v>3838</v>
      </c>
      <c r="I1044" s="5" t="s">
        <v>1664</v>
      </c>
      <c r="J1044" s="5" t="s">
        <v>1746</v>
      </c>
      <c r="K1044" s="5">
        <v>1.0</v>
      </c>
      <c r="L1044" s="5">
        <v>2663.0</v>
      </c>
      <c r="M1044" s="64"/>
      <c r="N1044" s="36"/>
      <c r="P1044" s="36"/>
      <c r="R1044" s="36"/>
      <c r="T1044" s="37"/>
      <c r="W1044" s="36"/>
      <c r="AK1044" s="9"/>
      <c r="AO1044" s="5" t="s">
        <v>3836</v>
      </c>
      <c r="AP1044" s="5">
        <v>813.0</v>
      </c>
      <c r="AQ1044" s="5" t="s">
        <v>1716</v>
      </c>
      <c r="AR1044" s="5" t="s">
        <v>1717</v>
      </c>
      <c r="AS1044" s="5" t="s">
        <v>1718</v>
      </c>
      <c r="AT1044" s="5" t="s">
        <v>1719</v>
      </c>
      <c r="AU1044" s="5" t="s">
        <v>1703</v>
      </c>
      <c r="AV1044" s="5" t="s">
        <v>1720</v>
      </c>
      <c r="AW1044" s="5" t="s">
        <v>1947</v>
      </c>
      <c r="AX1044" s="5" t="s">
        <v>2133</v>
      </c>
      <c r="AY1044" s="5">
        <v>55.1</v>
      </c>
      <c r="AZ1044" s="5">
        <v>-127.3</v>
      </c>
      <c r="BA1044" s="5">
        <v>40.0</v>
      </c>
    </row>
    <row r="1045" ht="14.25" customHeight="1">
      <c r="A1045" s="5" t="s">
        <v>422</v>
      </c>
      <c r="B1045" s="5">
        <v>12.0</v>
      </c>
      <c r="C1045" s="5" t="s">
        <v>7666</v>
      </c>
      <c r="D1045" s="5">
        <v>814.0</v>
      </c>
      <c r="E1045" s="5">
        <v>2261.0</v>
      </c>
      <c r="F1045" s="18" t="s">
        <v>3839</v>
      </c>
      <c r="G1045" s="5" t="s">
        <v>3840</v>
      </c>
      <c r="H1045" s="5" t="s">
        <v>3841</v>
      </c>
      <c r="I1045" s="5" t="s">
        <v>1664</v>
      </c>
      <c r="J1045" s="5" t="s">
        <v>1746</v>
      </c>
      <c r="K1045" s="5">
        <v>1.0</v>
      </c>
      <c r="L1045" s="5">
        <v>2664.0</v>
      </c>
      <c r="M1045" s="64"/>
      <c r="N1045" s="36"/>
      <c r="P1045" s="36"/>
      <c r="R1045" s="36"/>
      <c r="T1045" s="37"/>
      <c r="AK1045" s="9"/>
      <c r="AO1045" s="5" t="s">
        <v>3839</v>
      </c>
      <c r="AP1045" s="5">
        <v>814.0</v>
      </c>
      <c r="AQ1045" s="5" t="s">
        <v>1716</v>
      </c>
      <c r="AR1045" s="5" t="s">
        <v>1717</v>
      </c>
      <c r="AS1045" s="5" t="s">
        <v>1718</v>
      </c>
      <c r="AT1045" s="5" t="s">
        <v>1719</v>
      </c>
      <c r="AU1045" s="5" t="s">
        <v>1703</v>
      </c>
      <c r="AV1045" s="5" t="s">
        <v>1720</v>
      </c>
      <c r="AW1045" s="5" t="s">
        <v>1947</v>
      </c>
      <c r="AX1045" s="5" t="s">
        <v>2133</v>
      </c>
      <c r="AY1045" s="5">
        <v>55.0</v>
      </c>
      <c r="AZ1045" s="5">
        <v>-127.0</v>
      </c>
      <c r="BA1045" s="5">
        <v>2.0</v>
      </c>
    </row>
    <row r="1046" ht="14.25" customHeight="1">
      <c r="A1046" s="5" t="s">
        <v>422</v>
      </c>
      <c r="B1046" s="5">
        <v>12.0</v>
      </c>
      <c r="C1046" s="5" t="s">
        <v>7666</v>
      </c>
      <c r="D1046" s="5">
        <v>815.0</v>
      </c>
      <c r="E1046" s="5">
        <v>2262.0</v>
      </c>
      <c r="F1046" s="18" t="s">
        <v>3842</v>
      </c>
      <c r="G1046" s="5" t="s">
        <v>3843</v>
      </c>
      <c r="H1046" s="5" t="s">
        <v>3844</v>
      </c>
      <c r="I1046" s="5" t="s">
        <v>1664</v>
      </c>
      <c r="J1046" s="5" t="s">
        <v>1746</v>
      </c>
      <c r="K1046" s="5">
        <v>1.0</v>
      </c>
      <c r="L1046" s="5">
        <v>2665.0</v>
      </c>
      <c r="M1046" s="8"/>
      <c r="AK1046" s="9"/>
      <c r="AO1046" s="5" t="s">
        <v>3842</v>
      </c>
      <c r="AP1046" s="5">
        <v>815.0</v>
      </c>
      <c r="AQ1046" s="5" t="s">
        <v>1716</v>
      </c>
      <c r="AR1046" s="5" t="s">
        <v>1717</v>
      </c>
      <c r="AS1046" s="5" t="s">
        <v>1718</v>
      </c>
      <c r="AT1046" s="5" t="s">
        <v>1719</v>
      </c>
      <c r="AU1046" s="5" t="s">
        <v>1703</v>
      </c>
      <c r="AV1046" s="5" t="s">
        <v>1720</v>
      </c>
      <c r="AW1046" s="5" t="s">
        <v>1947</v>
      </c>
      <c r="AX1046" s="5" t="s">
        <v>2948</v>
      </c>
      <c r="AY1046" s="5">
        <v>55.6</v>
      </c>
      <c r="AZ1046" s="5">
        <v>-128.7</v>
      </c>
      <c r="BA1046" s="5">
        <v>4.0</v>
      </c>
    </row>
    <row r="1047" ht="14.25" customHeight="1">
      <c r="B1047" s="5">
        <v>12.0</v>
      </c>
      <c r="C1047" s="5" t="s">
        <v>7666</v>
      </c>
      <c r="D1047" s="5">
        <v>816.0</v>
      </c>
      <c r="E1047" s="5">
        <v>2263.0</v>
      </c>
      <c r="F1047" s="18" t="s">
        <v>3845</v>
      </c>
      <c r="G1047" s="5" t="s">
        <v>3846</v>
      </c>
      <c r="H1047" s="5" t="s">
        <v>3847</v>
      </c>
      <c r="I1047" s="5" t="s">
        <v>1664</v>
      </c>
      <c r="J1047" s="5" t="s">
        <v>1715</v>
      </c>
      <c r="K1047" s="5">
        <v>1.0</v>
      </c>
      <c r="L1047" s="5">
        <v>2666.0</v>
      </c>
      <c r="M1047" s="8"/>
      <c r="AK1047" s="9"/>
      <c r="AO1047" s="5" t="s">
        <v>3845</v>
      </c>
      <c r="AP1047" s="5">
        <v>816.0</v>
      </c>
      <c r="AQ1047" s="5" t="s">
        <v>1716</v>
      </c>
      <c r="AR1047" s="5" t="s">
        <v>1717</v>
      </c>
      <c r="AS1047" s="5" t="s">
        <v>1718</v>
      </c>
      <c r="AT1047" s="5" t="s">
        <v>1719</v>
      </c>
      <c r="AU1047" s="5" t="s">
        <v>1703</v>
      </c>
      <c r="AV1047" s="5" t="s">
        <v>1720</v>
      </c>
      <c r="AW1047" s="5" t="s">
        <v>1947</v>
      </c>
      <c r="AX1047" s="5" t="s">
        <v>2948</v>
      </c>
      <c r="AY1047" s="5">
        <v>55.6</v>
      </c>
      <c r="AZ1047" s="5">
        <v>-127.1</v>
      </c>
      <c r="BA1047" s="5">
        <v>11.0</v>
      </c>
    </row>
    <row r="1048" ht="14.25" customHeight="1">
      <c r="B1048" s="5">
        <v>12.0</v>
      </c>
      <c r="C1048" s="5" t="s">
        <v>7666</v>
      </c>
      <c r="D1048" s="5">
        <v>817.0</v>
      </c>
      <c r="E1048" s="5">
        <v>2264.0</v>
      </c>
      <c r="F1048" s="18" t="s">
        <v>3848</v>
      </c>
      <c r="G1048" s="5" t="s">
        <v>3849</v>
      </c>
      <c r="H1048" s="5" t="s">
        <v>3850</v>
      </c>
      <c r="I1048" s="5" t="s">
        <v>1664</v>
      </c>
      <c r="J1048" s="5" t="s">
        <v>1715</v>
      </c>
      <c r="K1048" s="5">
        <v>1.0</v>
      </c>
      <c r="L1048" s="5">
        <v>2667.0</v>
      </c>
      <c r="M1048" s="8"/>
      <c r="AK1048" s="9"/>
      <c r="AO1048" s="5" t="s">
        <v>3848</v>
      </c>
      <c r="AP1048" s="5">
        <v>817.0</v>
      </c>
      <c r="AQ1048" s="5" t="s">
        <v>1716</v>
      </c>
      <c r="AR1048" s="5" t="s">
        <v>1717</v>
      </c>
      <c r="AS1048" s="5" t="s">
        <v>1718</v>
      </c>
      <c r="AT1048" s="5" t="s">
        <v>1719</v>
      </c>
      <c r="AU1048" s="5" t="s">
        <v>1703</v>
      </c>
      <c r="AV1048" s="5" t="s">
        <v>1720</v>
      </c>
      <c r="AW1048" s="5" t="s">
        <v>1947</v>
      </c>
      <c r="AX1048" s="5" t="s">
        <v>1973</v>
      </c>
      <c r="AY1048" s="5">
        <v>56.4</v>
      </c>
      <c r="AZ1048" s="5">
        <v>-129.4</v>
      </c>
      <c r="BA1048" s="5">
        <v>2.0</v>
      </c>
    </row>
    <row r="1049" ht="14.25" customHeight="1">
      <c r="B1049" s="5">
        <v>12.0</v>
      </c>
      <c r="C1049" s="5" t="s">
        <v>7666</v>
      </c>
      <c r="D1049" s="5">
        <v>818.0</v>
      </c>
      <c r="E1049" s="5">
        <v>2265.0</v>
      </c>
      <c r="F1049" s="18" t="s">
        <v>3851</v>
      </c>
      <c r="G1049" s="5" t="s">
        <v>3852</v>
      </c>
      <c r="H1049" s="5" t="s">
        <v>3853</v>
      </c>
      <c r="I1049" s="5" t="s">
        <v>1664</v>
      </c>
      <c r="J1049" s="5" t="s">
        <v>1746</v>
      </c>
      <c r="K1049" s="5">
        <v>1.0</v>
      </c>
      <c r="L1049" s="5">
        <v>2668.0</v>
      </c>
      <c r="M1049" s="8"/>
      <c r="AK1049" s="9"/>
      <c r="AO1049" s="5" t="s">
        <v>3851</v>
      </c>
      <c r="AP1049" s="5">
        <v>818.0</v>
      </c>
      <c r="AQ1049" s="5" t="s">
        <v>1716</v>
      </c>
      <c r="AR1049" s="5" t="s">
        <v>1717</v>
      </c>
      <c r="AS1049" s="5" t="s">
        <v>1718</v>
      </c>
      <c r="AT1049" s="5" t="s">
        <v>1719</v>
      </c>
      <c r="AU1049" s="5" t="s">
        <v>1703</v>
      </c>
      <c r="AV1049" s="5" t="s">
        <v>1720</v>
      </c>
      <c r="AW1049" s="5" t="s">
        <v>1947</v>
      </c>
      <c r="AX1049" s="5" t="s">
        <v>2948</v>
      </c>
      <c r="AY1049" s="5">
        <v>55.5</v>
      </c>
      <c r="AZ1049" s="5">
        <v>-128.2</v>
      </c>
      <c r="BA1049" s="5">
        <v>7.0</v>
      </c>
    </row>
    <row r="1050" ht="14.25" customHeight="1">
      <c r="A1050" s="5" t="s">
        <v>422</v>
      </c>
      <c r="B1050" s="5">
        <v>12.0</v>
      </c>
      <c r="C1050" s="5" t="s">
        <v>7666</v>
      </c>
      <c r="D1050" s="5">
        <v>819.0</v>
      </c>
      <c r="E1050" s="5">
        <v>2266.0</v>
      </c>
      <c r="F1050" s="18" t="s">
        <v>3854</v>
      </c>
      <c r="G1050" s="5" t="s">
        <v>3855</v>
      </c>
      <c r="H1050" s="5" t="s">
        <v>3856</v>
      </c>
      <c r="I1050" s="5" t="s">
        <v>1664</v>
      </c>
      <c r="J1050" s="5" t="s">
        <v>1746</v>
      </c>
      <c r="K1050" s="5">
        <v>1.0</v>
      </c>
      <c r="L1050" s="5">
        <v>2669.0</v>
      </c>
      <c r="M1050" s="8"/>
      <c r="AK1050" s="9"/>
      <c r="AO1050" s="5" t="s">
        <v>3854</v>
      </c>
      <c r="AP1050" s="5">
        <v>819.0</v>
      </c>
      <c r="AQ1050" s="5" t="s">
        <v>1716</v>
      </c>
      <c r="AR1050" s="5" t="s">
        <v>1717</v>
      </c>
      <c r="AS1050" s="5" t="s">
        <v>1718</v>
      </c>
      <c r="AT1050" s="5" t="s">
        <v>1719</v>
      </c>
      <c r="AU1050" s="5" t="s">
        <v>1703</v>
      </c>
      <c r="AV1050" s="5" t="s">
        <v>1720</v>
      </c>
      <c r="AW1050" s="5" t="s">
        <v>1947</v>
      </c>
      <c r="AX1050" s="5" t="s">
        <v>1973</v>
      </c>
      <c r="AY1050" s="5">
        <v>55.2</v>
      </c>
      <c r="AZ1050" s="5">
        <v>-129.1</v>
      </c>
      <c r="BA1050" s="5">
        <v>1.0</v>
      </c>
    </row>
    <row r="1051" ht="14.25" customHeight="1">
      <c r="B1051" s="5">
        <v>12.0</v>
      </c>
      <c r="C1051" s="5" t="s">
        <v>7666</v>
      </c>
      <c r="D1051" s="5">
        <v>821.0</v>
      </c>
      <c r="E1051" s="5">
        <v>2267.0</v>
      </c>
      <c r="F1051" s="18" t="s">
        <v>3857</v>
      </c>
      <c r="G1051" s="5" t="s">
        <v>3858</v>
      </c>
      <c r="H1051" s="5" t="s">
        <v>3859</v>
      </c>
      <c r="I1051" s="5" t="s">
        <v>641</v>
      </c>
      <c r="J1051" s="5" t="s">
        <v>1746</v>
      </c>
      <c r="K1051" s="5">
        <v>1.0</v>
      </c>
      <c r="L1051" s="5">
        <v>2670.0</v>
      </c>
      <c r="M1051" s="8"/>
      <c r="AK1051" s="9"/>
      <c r="AO1051" s="5" t="s">
        <v>3857</v>
      </c>
      <c r="AP1051" s="5">
        <v>821.0</v>
      </c>
      <c r="AQ1051" s="5" t="s">
        <v>1716</v>
      </c>
      <c r="AR1051" s="5" t="s">
        <v>1717</v>
      </c>
      <c r="AS1051" s="5" t="s">
        <v>1718</v>
      </c>
      <c r="AT1051" s="5" t="s">
        <v>1719</v>
      </c>
      <c r="AU1051" s="5" t="s">
        <v>1703</v>
      </c>
      <c r="AV1051" s="5" t="s">
        <v>1720</v>
      </c>
      <c r="AW1051" s="5" t="s">
        <v>1705</v>
      </c>
      <c r="AX1051" s="5" t="s">
        <v>1883</v>
      </c>
      <c r="AY1051" s="5">
        <v>49.2</v>
      </c>
      <c r="AZ1051" s="5">
        <v>-122.9</v>
      </c>
      <c r="BA1051" s="5">
        <v>50.0</v>
      </c>
    </row>
    <row r="1052" ht="14.25" customHeight="1">
      <c r="A1052" s="5" t="s">
        <v>422</v>
      </c>
      <c r="B1052" s="5">
        <v>12.0</v>
      </c>
      <c r="C1052" s="5" t="s">
        <v>7666</v>
      </c>
      <c r="D1052" s="5">
        <v>823.0</v>
      </c>
      <c r="E1052" s="5">
        <v>2268.0</v>
      </c>
      <c r="F1052" s="18" t="s">
        <v>3860</v>
      </c>
      <c r="G1052" s="5" t="s">
        <v>3861</v>
      </c>
      <c r="H1052" s="5" t="s">
        <v>3862</v>
      </c>
      <c r="I1052" s="5" t="s">
        <v>641</v>
      </c>
      <c r="J1052" s="5" t="s">
        <v>1746</v>
      </c>
      <c r="K1052" s="5">
        <v>1.0</v>
      </c>
      <c r="L1052" s="5">
        <v>2671.0</v>
      </c>
      <c r="M1052" s="8"/>
      <c r="AK1052" s="9"/>
      <c r="AO1052" s="5" t="s">
        <v>3860</v>
      </c>
      <c r="AP1052" s="5">
        <v>823.0</v>
      </c>
      <c r="AQ1052" s="5" t="s">
        <v>1716</v>
      </c>
      <c r="AR1052" s="5" t="s">
        <v>1717</v>
      </c>
      <c r="AS1052" s="5" t="s">
        <v>1718</v>
      </c>
      <c r="AT1052" s="5" t="s">
        <v>1719</v>
      </c>
      <c r="AU1052" s="5" t="s">
        <v>1703</v>
      </c>
      <c r="AW1052" s="5" t="s">
        <v>3863</v>
      </c>
      <c r="AY1052" s="5">
        <v>49.0</v>
      </c>
      <c r="AZ1052" s="5">
        <v>-122.0</v>
      </c>
      <c r="BA1052" s="5">
        <v>0.0</v>
      </c>
    </row>
    <row r="1053" ht="14.25" customHeight="1">
      <c r="B1053" s="5">
        <v>12.0</v>
      </c>
      <c r="C1053" s="5" t="s">
        <v>7666</v>
      </c>
      <c r="D1053" s="5">
        <v>832.0</v>
      </c>
      <c r="E1053" s="5">
        <v>2269.0</v>
      </c>
      <c r="F1053" s="5" t="s">
        <v>3864</v>
      </c>
      <c r="G1053" s="5" t="s">
        <v>3865</v>
      </c>
      <c r="H1053" s="5" t="s">
        <v>3866</v>
      </c>
      <c r="I1053" s="5" t="s">
        <v>641</v>
      </c>
      <c r="J1053" s="5" t="s">
        <v>1829</v>
      </c>
      <c r="K1053" s="5">
        <v>1.0</v>
      </c>
      <c r="L1053" s="5">
        <v>2672.0</v>
      </c>
      <c r="M1053" s="8">
        <v>51.40272</v>
      </c>
      <c r="N1053" s="11">
        <v>-122.32017</v>
      </c>
      <c r="O1053" s="11" t="s">
        <v>148</v>
      </c>
      <c r="P1053" s="11">
        <v>832.0</v>
      </c>
      <c r="Q1053" s="22">
        <v>4.0</v>
      </c>
      <c r="R1053" s="11" t="s">
        <v>3864</v>
      </c>
      <c r="S1053" s="11" t="s">
        <v>1737</v>
      </c>
      <c r="T1053" s="11">
        <v>1100.0</v>
      </c>
      <c r="U1053" s="11"/>
      <c r="V1053" s="11"/>
      <c r="W1053" s="23">
        <v>37722.0</v>
      </c>
      <c r="X1053" s="11" t="s">
        <v>1738</v>
      </c>
      <c r="AK1053" s="9"/>
      <c r="AO1053" s="5" t="s">
        <v>3864</v>
      </c>
      <c r="AP1053" s="5">
        <v>832.0</v>
      </c>
      <c r="AQ1053" s="5" t="s">
        <v>1716</v>
      </c>
      <c r="AR1053" s="5" t="s">
        <v>1739</v>
      </c>
      <c r="AS1053" s="5" t="s">
        <v>1740</v>
      </c>
      <c r="AT1053" s="5" t="s">
        <v>1741</v>
      </c>
      <c r="AU1053" s="5" t="s">
        <v>1742</v>
      </c>
      <c r="AV1053" s="5" t="s">
        <v>1720</v>
      </c>
      <c r="AW1053" s="5" t="s">
        <v>2193</v>
      </c>
      <c r="AX1053" s="5" t="s">
        <v>2291</v>
      </c>
      <c r="AY1053" s="5">
        <v>51.4027</v>
      </c>
      <c r="AZ1053" s="5">
        <v>-122.3202</v>
      </c>
      <c r="BA1053" s="5">
        <v>1100.0</v>
      </c>
    </row>
    <row r="1054" ht="14.25" customHeight="1">
      <c r="B1054" s="5">
        <v>12.0</v>
      </c>
      <c r="C1054" s="5" t="s">
        <v>7666</v>
      </c>
      <c r="D1054" s="5">
        <v>836.0</v>
      </c>
      <c r="E1054" s="5">
        <v>2270.0</v>
      </c>
      <c r="F1054" s="5" t="s">
        <v>3867</v>
      </c>
      <c r="G1054" s="5" t="s">
        <v>3868</v>
      </c>
      <c r="H1054" s="5" t="s">
        <v>3869</v>
      </c>
      <c r="I1054" s="5" t="s">
        <v>641</v>
      </c>
      <c r="J1054" s="5" t="s">
        <v>1891</v>
      </c>
      <c r="K1054" s="5">
        <v>1.0</v>
      </c>
      <c r="L1054" s="5">
        <v>2673.0</v>
      </c>
      <c r="M1054" s="8">
        <v>49.43348</v>
      </c>
      <c r="N1054" s="11">
        <v>-120.45712</v>
      </c>
      <c r="O1054" s="11" t="s">
        <v>142</v>
      </c>
      <c r="P1054" s="16">
        <v>836.0</v>
      </c>
      <c r="Q1054" s="22">
        <v>2.0</v>
      </c>
      <c r="R1054" s="11" t="s">
        <v>3867</v>
      </c>
      <c r="S1054" s="11" t="s">
        <v>1737</v>
      </c>
      <c r="T1054" s="11">
        <v>855.0</v>
      </c>
      <c r="U1054" s="11"/>
      <c r="V1054" s="11"/>
      <c r="W1054" s="23">
        <v>37769.0</v>
      </c>
      <c r="X1054" s="11" t="s">
        <v>1738</v>
      </c>
      <c r="AK1054" s="9"/>
      <c r="AO1054" s="5" t="s">
        <v>3867</v>
      </c>
      <c r="AP1054" s="5">
        <v>836.0</v>
      </c>
      <c r="AQ1054" s="5" t="s">
        <v>1716</v>
      </c>
      <c r="AR1054" s="5" t="s">
        <v>1739</v>
      </c>
      <c r="AS1054" s="5" t="s">
        <v>1740</v>
      </c>
      <c r="AT1054" s="5" t="s">
        <v>1741</v>
      </c>
      <c r="AU1054" s="5" t="s">
        <v>1772</v>
      </c>
      <c r="AV1054" s="5" t="s">
        <v>1720</v>
      </c>
      <c r="AW1054" s="5" t="s">
        <v>2368</v>
      </c>
      <c r="AX1054" s="5" t="s">
        <v>2492</v>
      </c>
      <c r="AY1054" s="5">
        <v>49.4335</v>
      </c>
      <c r="AZ1054" s="5">
        <v>-120.4571</v>
      </c>
      <c r="BA1054" s="5">
        <v>855.0</v>
      </c>
    </row>
    <row r="1055" ht="14.25" customHeight="1">
      <c r="B1055" s="5">
        <v>12.0</v>
      </c>
      <c r="C1055" s="5" t="s">
        <v>7666</v>
      </c>
      <c r="D1055" s="5">
        <v>838.0</v>
      </c>
      <c r="E1055" s="5">
        <v>2271.0</v>
      </c>
      <c r="F1055" s="5" t="s">
        <v>3870</v>
      </c>
      <c r="G1055" s="5" t="s">
        <v>3871</v>
      </c>
      <c r="H1055" s="5" t="s">
        <v>3872</v>
      </c>
      <c r="I1055" s="5" t="s">
        <v>641</v>
      </c>
      <c r="J1055" s="5" t="s">
        <v>1891</v>
      </c>
      <c r="K1055" s="5">
        <v>1.0</v>
      </c>
      <c r="L1055" s="5">
        <v>2674.0</v>
      </c>
      <c r="M1055" s="8">
        <v>49.4358</v>
      </c>
      <c r="N1055" s="11">
        <v>-116.7464</v>
      </c>
      <c r="O1055" s="11" t="s">
        <v>170</v>
      </c>
      <c r="P1055" s="11">
        <v>838.0</v>
      </c>
      <c r="Q1055" s="22">
        <v>1.0</v>
      </c>
      <c r="R1055" s="11" t="s">
        <v>3870</v>
      </c>
      <c r="S1055" s="11" t="s">
        <v>1737</v>
      </c>
      <c r="T1055" s="11">
        <v>821.0</v>
      </c>
      <c r="U1055" s="11" t="s">
        <v>645</v>
      </c>
      <c r="V1055" s="11"/>
      <c r="W1055" s="23">
        <v>37784.0</v>
      </c>
      <c r="X1055" s="11" t="s">
        <v>1738</v>
      </c>
      <c r="AK1055" s="9"/>
      <c r="AO1055" s="5" t="s">
        <v>3870</v>
      </c>
      <c r="AP1055" s="5">
        <v>838.0</v>
      </c>
      <c r="AQ1055" s="5" t="s">
        <v>1700</v>
      </c>
      <c r="AR1055" s="5" t="s">
        <v>1739</v>
      </c>
      <c r="AS1055" s="5" t="s">
        <v>1740</v>
      </c>
      <c r="AT1055" s="5" t="s">
        <v>1741</v>
      </c>
      <c r="AU1055" s="5" t="s">
        <v>1959</v>
      </c>
      <c r="AV1055" s="5" t="s">
        <v>1720</v>
      </c>
      <c r="AW1055" s="5" t="s">
        <v>2698</v>
      </c>
      <c r="AX1055" s="5" t="s">
        <v>2801</v>
      </c>
      <c r="AY1055" s="5">
        <v>49.4358</v>
      </c>
      <c r="AZ1055" s="5">
        <v>-116.7464</v>
      </c>
      <c r="BA1055" s="5">
        <v>821.0</v>
      </c>
    </row>
    <row r="1056" ht="14.25" customHeight="1">
      <c r="B1056" s="5">
        <v>12.0</v>
      </c>
      <c r="C1056" s="5" t="s">
        <v>7666</v>
      </c>
      <c r="D1056" s="5">
        <v>839.0</v>
      </c>
      <c r="E1056" s="5">
        <v>2272.0</v>
      </c>
      <c r="F1056" s="18" t="s">
        <v>3873</v>
      </c>
      <c r="G1056" s="10" t="s">
        <v>3874</v>
      </c>
      <c r="H1056" s="5" t="s">
        <v>3875</v>
      </c>
      <c r="I1056" s="5" t="s">
        <v>641</v>
      </c>
      <c r="J1056" s="5" t="s">
        <v>1746</v>
      </c>
      <c r="K1056" s="5">
        <v>1.0</v>
      </c>
      <c r="L1056" s="5">
        <v>2675.0</v>
      </c>
      <c r="M1056" s="8"/>
      <c r="AK1056" s="9"/>
      <c r="AO1056" s="5" t="s">
        <v>3873</v>
      </c>
      <c r="AP1056" s="5">
        <v>839.0</v>
      </c>
      <c r="AQ1056" s="5" t="s">
        <v>1716</v>
      </c>
      <c r="AR1056" s="5" t="s">
        <v>1717</v>
      </c>
      <c r="AS1056" s="5" t="s">
        <v>1718</v>
      </c>
      <c r="AT1056" s="5" t="s">
        <v>1719</v>
      </c>
      <c r="AU1056" s="5" t="s">
        <v>1959</v>
      </c>
      <c r="AV1056" s="5" t="s">
        <v>1720</v>
      </c>
      <c r="AW1056" s="5" t="s">
        <v>1705</v>
      </c>
      <c r="AX1056" s="5" t="s">
        <v>1723</v>
      </c>
      <c r="AY1056" s="5">
        <v>49.8875</v>
      </c>
      <c r="AZ1056" s="5">
        <v>-126.1454</v>
      </c>
      <c r="BA1056" s="5">
        <v>1125.0</v>
      </c>
    </row>
    <row r="1057" ht="14.25" customHeight="1">
      <c r="A1057" s="5" t="s">
        <v>422</v>
      </c>
      <c r="B1057" s="5">
        <v>12.0</v>
      </c>
      <c r="C1057" s="5" t="s">
        <v>7666</v>
      </c>
      <c r="D1057" s="5">
        <v>846.0</v>
      </c>
      <c r="E1057" s="5">
        <v>2273.0</v>
      </c>
      <c r="F1057" s="18" t="s">
        <v>3876</v>
      </c>
      <c r="G1057" s="5" t="s">
        <v>3877</v>
      </c>
      <c r="H1057" s="5" t="s">
        <v>3878</v>
      </c>
      <c r="I1057" s="5" t="s">
        <v>641</v>
      </c>
      <c r="J1057" s="5" t="s">
        <v>1746</v>
      </c>
      <c r="K1057" s="5">
        <v>1.0</v>
      </c>
      <c r="L1057" s="5">
        <v>2676.0</v>
      </c>
      <c r="M1057" s="8"/>
      <c r="AK1057" s="9"/>
      <c r="AO1057" s="67" t="s">
        <v>3876</v>
      </c>
      <c r="AP1057" s="5">
        <v>846.0</v>
      </c>
      <c r="AQ1057" s="5" t="s">
        <v>1716</v>
      </c>
      <c r="AR1057" s="5" t="s">
        <v>1717</v>
      </c>
      <c r="AS1057" s="5" t="s">
        <v>1718</v>
      </c>
      <c r="AT1057" s="5" t="s">
        <v>1835</v>
      </c>
      <c r="AU1057" s="5" t="s">
        <v>1836</v>
      </c>
      <c r="AX1057" s="5" t="s">
        <v>2283</v>
      </c>
      <c r="AY1057" s="5">
        <v>51.7236</v>
      </c>
      <c r="AZ1057" s="5">
        <v>-124.0611</v>
      </c>
      <c r="BA1057" s="5">
        <v>1250.0</v>
      </c>
    </row>
    <row r="1058" ht="14.25" customHeight="1">
      <c r="A1058" s="5" t="s">
        <v>422</v>
      </c>
      <c r="B1058" s="5">
        <v>12.0</v>
      </c>
      <c r="C1058" s="5" t="s">
        <v>7666</v>
      </c>
      <c r="D1058" s="5">
        <v>847.0</v>
      </c>
      <c r="E1058" s="5">
        <v>2274.0</v>
      </c>
      <c r="F1058" s="18" t="s">
        <v>3879</v>
      </c>
      <c r="G1058" s="5" t="s">
        <v>3880</v>
      </c>
      <c r="H1058" s="5" t="s">
        <v>3881</v>
      </c>
      <c r="I1058" s="5" t="s">
        <v>641</v>
      </c>
      <c r="J1058" s="5" t="s">
        <v>1746</v>
      </c>
      <c r="K1058" s="5">
        <v>1.0</v>
      </c>
      <c r="L1058" s="5">
        <v>2677.0</v>
      </c>
      <c r="M1058" s="8"/>
      <c r="AK1058" s="9"/>
      <c r="AO1058" s="67" t="s">
        <v>3879</v>
      </c>
      <c r="AP1058" s="5">
        <v>847.0</v>
      </c>
      <c r="AQ1058" s="5" t="s">
        <v>1716</v>
      </c>
      <c r="AR1058" s="5" t="s">
        <v>1717</v>
      </c>
      <c r="AS1058" s="5" t="s">
        <v>1718</v>
      </c>
      <c r="AT1058" s="5" t="s">
        <v>1835</v>
      </c>
      <c r="AU1058" s="5" t="s">
        <v>1836</v>
      </c>
      <c r="AV1058" s="5" t="s">
        <v>1720</v>
      </c>
      <c r="AX1058" s="5" t="s">
        <v>2369</v>
      </c>
      <c r="AY1058" s="5">
        <v>51.1</v>
      </c>
      <c r="AZ1058" s="5">
        <v>-120.2</v>
      </c>
      <c r="BA1058" s="5">
        <v>600.0</v>
      </c>
    </row>
    <row r="1059" ht="14.25" customHeight="1">
      <c r="A1059" s="5" t="s">
        <v>422</v>
      </c>
      <c r="B1059" s="5">
        <v>12.0</v>
      </c>
      <c r="C1059" s="5" t="s">
        <v>7666</v>
      </c>
      <c r="D1059" s="5">
        <v>850.0</v>
      </c>
      <c r="E1059" s="5">
        <v>2275.0</v>
      </c>
      <c r="F1059" s="18" t="s">
        <v>3882</v>
      </c>
      <c r="G1059" s="5" t="s">
        <v>3883</v>
      </c>
      <c r="H1059" s="5" t="s">
        <v>3884</v>
      </c>
      <c r="I1059" s="5" t="s">
        <v>641</v>
      </c>
      <c r="J1059" s="5" t="s">
        <v>1746</v>
      </c>
      <c r="K1059" s="5">
        <v>1.0</v>
      </c>
      <c r="L1059" s="5">
        <v>2678.0</v>
      </c>
      <c r="M1059" s="8"/>
      <c r="AK1059" s="9"/>
      <c r="AO1059" s="5" t="s">
        <v>3882</v>
      </c>
      <c r="AP1059" s="5">
        <v>850.0</v>
      </c>
      <c r="AQ1059" s="5" t="s">
        <v>1716</v>
      </c>
      <c r="AR1059" s="5" t="s">
        <v>1717</v>
      </c>
      <c r="AS1059" s="5" t="s">
        <v>1718</v>
      </c>
      <c r="AT1059" s="5" t="s">
        <v>1835</v>
      </c>
      <c r="AU1059" s="5" t="s">
        <v>1836</v>
      </c>
      <c r="AV1059" s="5" t="s">
        <v>1720</v>
      </c>
      <c r="AX1059" s="5" t="s">
        <v>2801</v>
      </c>
      <c r="AY1059" s="5">
        <v>49.4958</v>
      </c>
      <c r="AZ1059" s="5">
        <v>-117.2406</v>
      </c>
      <c r="BA1059" s="5">
        <v>2000.0</v>
      </c>
    </row>
    <row r="1060" ht="14.25" customHeight="1">
      <c r="A1060" s="5" t="s">
        <v>422</v>
      </c>
      <c r="B1060" s="5">
        <v>12.0</v>
      </c>
      <c r="C1060" s="5" t="s">
        <v>7666</v>
      </c>
      <c r="D1060" s="5">
        <v>851.0</v>
      </c>
      <c r="E1060" s="5">
        <v>2276.0</v>
      </c>
      <c r="F1060" s="18" t="s">
        <v>3885</v>
      </c>
      <c r="G1060" s="5" t="s">
        <v>3886</v>
      </c>
      <c r="H1060" s="5" t="s">
        <v>3887</v>
      </c>
      <c r="I1060" s="5" t="s">
        <v>641</v>
      </c>
      <c r="J1060" s="5" t="s">
        <v>1746</v>
      </c>
      <c r="K1060" s="5">
        <v>1.0</v>
      </c>
      <c r="L1060" s="5">
        <v>2679.0</v>
      </c>
      <c r="M1060" s="8"/>
      <c r="AK1060" s="9"/>
      <c r="AO1060" s="67" t="s">
        <v>3885</v>
      </c>
      <c r="AP1060" s="5">
        <v>851.0</v>
      </c>
      <c r="AQ1060" s="5" t="s">
        <v>1716</v>
      </c>
      <c r="AR1060" s="5" t="s">
        <v>1717</v>
      </c>
      <c r="AS1060" s="5" t="s">
        <v>1718</v>
      </c>
      <c r="AT1060" s="5" t="s">
        <v>1835</v>
      </c>
      <c r="AU1060" s="5" t="s">
        <v>1959</v>
      </c>
      <c r="AV1060" s="5" t="s">
        <v>1720</v>
      </c>
      <c r="AX1060" s="5" t="s">
        <v>2902</v>
      </c>
      <c r="AY1060" s="5">
        <v>49.367</v>
      </c>
      <c r="AZ1060" s="5">
        <v>-115.8553</v>
      </c>
      <c r="BA1060" s="5">
        <v>1060.0</v>
      </c>
    </row>
    <row r="1061" ht="14.25" customHeight="1">
      <c r="A1061" s="5" t="s">
        <v>422</v>
      </c>
      <c r="B1061" s="5">
        <v>12.0</v>
      </c>
      <c r="C1061" s="5" t="s">
        <v>7666</v>
      </c>
      <c r="D1061" s="5">
        <v>853.0</v>
      </c>
      <c r="E1061" s="5">
        <v>2277.0</v>
      </c>
      <c r="F1061" s="5" t="s">
        <v>3888</v>
      </c>
      <c r="G1061" s="5" t="s">
        <v>3889</v>
      </c>
      <c r="H1061" s="5" t="s">
        <v>3890</v>
      </c>
      <c r="I1061" s="5" t="s">
        <v>641</v>
      </c>
      <c r="J1061" s="5" t="s">
        <v>1746</v>
      </c>
      <c r="K1061" s="5">
        <v>1.0</v>
      </c>
      <c r="L1061" s="5">
        <v>2680.0</v>
      </c>
      <c r="M1061" s="8"/>
      <c r="AK1061" s="9"/>
      <c r="AO1061" s="5" t="s">
        <v>3891</v>
      </c>
      <c r="AP1061" s="5">
        <v>853.0</v>
      </c>
      <c r="AQ1061" s="5" t="s">
        <v>1716</v>
      </c>
      <c r="AR1061" s="5" t="s">
        <v>1717</v>
      </c>
      <c r="AS1061" s="5" t="s">
        <v>1718</v>
      </c>
      <c r="AT1061" s="5" t="s">
        <v>1719</v>
      </c>
      <c r="AU1061" s="5" t="s">
        <v>1959</v>
      </c>
      <c r="AV1061" s="5" t="s">
        <v>1720</v>
      </c>
      <c r="AX1061" s="5" t="s">
        <v>2797</v>
      </c>
      <c r="AY1061" s="5">
        <v>50.0237</v>
      </c>
      <c r="AZ1061" s="5">
        <v>-117.9894</v>
      </c>
      <c r="BA1061" s="5">
        <v>2000.0</v>
      </c>
    </row>
    <row r="1062" ht="14.25" customHeight="1">
      <c r="A1062" s="5" t="s">
        <v>422</v>
      </c>
      <c r="B1062" s="5">
        <v>12.0</v>
      </c>
      <c r="C1062" s="5" t="s">
        <v>7666</v>
      </c>
      <c r="D1062" s="5">
        <v>854.0</v>
      </c>
      <c r="E1062" s="5">
        <v>2278.0</v>
      </c>
      <c r="F1062" s="18" t="s">
        <v>3892</v>
      </c>
      <c r="G1062" s="5" t="s">
        <v>3893</v>
      </c>
      <c r="H1062" s="5" t="s">
        <v>3894</v>
      </c>
      <c r="I1062" s="5" t="s">
        <v>641</v>
      </c>
      <c r="J1062" s="5" t="s">
        <v>1746</v>
      </c>
      <c r="K1062" s="5">
        <v>1.0</v>
      </c>
      <c r="L1062" s="5">
        <v>2681.0</v>
      </c>
      <c r="M1062" s="8"/>
      <c r="AK1062" s="9"/>
      <c r="AO1062" s="5" t="s">
        <v>3892</v>
      </c>
      <c r="AP1062" s="5">
        <v>854.0</v>
      </c>
      <c r="AQ1062" s="5" t="s">
        <v>1716</v>
      </c>
      <c r="AR1062" s="5" t="s">
        <v>1717</v>
      </c>
      <c r="AS1062" s="5" t="s">
        <v>2257</v>
      </c>
      <c r="AT1062" s="5" t="s">
        <v>3895</v>
      </c>
      <c r="AU1062" s="5" t="s">
        <v>3668</v>
      </c>
      <c r="AV1062" s="5" t="s">
        <v>1720</v>
      </c>
      <c r="AW1062" s="5" t="s">
        <v>2368</v>
      </c>
      <c r="AX1062" s="5" t="s">
        <v>2522</v>
      </c>
      <c r="AY1062" s="5">
        <v>50.3926</v>
      </c>
      <c r="AZ1062" s="5">
        <v>-118.4234</v>
      </c>
      <c r="BA1062" s="5">
        <v>1200.0</v>
      </c>
    </row>
    <row r="1063" ht="14.25" customHeight="1">
      <c r="A1063" s="5" t="s">
        <v>422</v>
      </c>
      <c r="B1063" s="5">
        <v>12.0</v>
      </c>
      <c r="C1063" s="5" t="s">
        <v>7666</v>
      </c>
      <c r="D1063" s="5">
        <v>857.0</v>
      </c>
      <c r="E1063" s="5">
        <v>2279.0</v>
      </c>
      <c r="F1063" s="18" t="s">
        <v>3896</v>
      </c>
      <c r="G1063" s="5" t="s">
        <v>3897</v>
      </c>
      <c r="H1063" s="5" t="s">
        <v>3898</v>
      </c>
      <c r="I1063" s="5" t="s">
        <v>641</v>
      </c>
      <c r="J1063" s="5" t="s">
        <v>1746</v>
      </c>
      <c r="K1063" s="5">
        <v>1.0</v>
      </c>
      <c r="L1063" s="5">
        <v>2682.0</v>
      </c>
      <c r="M1063" s="8"/>
      <c r="AK1063" s="9"/>
      <c r="AO1063" s="5" t="s">
        <v>3896</v>
      </c>
      <c r="AP1063" s="5">
        <v>857.0</v>
      </c>
      <c r="AQ1063" s="5" t="s">
        <v>1716</v>
      </c>
      <c r="AR1063" s="5" t="s">
        <v>1717</v>
      </c>
      <c r="AS1063" s="5" t="s">
        <v>1718</v>
      </c>
      <c r="AT1063" s="5" t="s">
        <v>1835</v>
      </c>
      <c r="AU1063" s="5" t="s">
        <v>1836</v>
      </c>
      <c r="AV1063" s="5" t="s">
        <v>1720</v>
      </c>
      <c r="AX1063" s="5" t="s">
        <v>1883</v>
      </c>
      <c r="AY1063" s="5">
        <v>49.15</v>
      </c>
      <c r="AZ1063" s="5">
        <v>-122.55</v>
      </c>
      <c r="BA1063" s="5">
        <v>100.0</v>
      </c>
    </row>
    <row r="1064" ht="14.25" customHeight="1">
      <c r="A1064" s="5" t="s">
        <v>422</v>
      </c>
      <c r="B1064" s="5">
        <v>12.0</v>
      </c>
      <c r="C1064" s="5" t="s">
        <v>7666</v>
      </c>
      <c r="D1064" s="5">
        <v>861.0</v>
      </c>
      <c r="E1064" s="5">
        <v>2280.0</v>
      </c>
      <c r="F1064" s="5" t="s">
        <v>3899</v>
      </c>
      <c r="G1064" s="5" t="s">
        <v>3900</v>
      </c>
      <c r="H1064" s="5" t="s">
        <v>3901</v>
      </c>
      <c r="I1064" s="5" t="s">
        <v>641</v>
      </c>
      <c r="J1064" s="5" t="s">
        <v>1746</v>
      </c>
      <c r="K1064" s="5">
        <v>1.0</v>
      </c>
      <c r="L1064" s="5">
        <v>2683.0</v>
      </c>
      <c r="M1064" s="8"/>
      <c r="AK1064" s="9"/>
      <c r="AO1064" s="5" t="s">
        <v>3902</v>
      </c>
      <c r="AP1064" s="5">
        <v>861.0</v>
      </c>
      <c r="AQ1064" s="5" t="s">
        <v>1716</v>
      </c>
      <c r="AR1064" s="5" t="s">
        <v>1717</v>
      </c>
      <c r="AS1064" s="5" t="s">
        <v>1718</v>
      </c>
      <c r="AT1064" s="5" t="s">
        <v>1719</v>
      </c>
      <c r="AU1064" s="5" t="s">
        <v>1959</v>
      </c>
      <c r="AV1064" s="5" t="s">
        <v>1720</v>
      </c>
      <c r="AX1064" s="5" t="s">
        <v>2902</v>
      </c>
      <c r="AY1064" s="5">
        <v>49.3881</v>
      </c>
      <c r="AZ1064" s="5">
        <v>-115.3976</v>
      </c>
      <c r="BA1064" s="5">
        <v>797.0</v>
      </c>
    </row>
    <row r="1065" ht="14.25" customHeight="1">
      <c r="B1065" s="5">
        <v>12.0</v>
      </c>
      <c r="C1065" s="27" t="s">
        <v>7666</v>
      </c>
      <c r="D1065" s="5">
        <v>863.0</v>
      </c>
      <c r="E1065" s="5">
        <v>2281.0</v>
      </c>
      <c r="F1065" s="18" t="s">
        <v>3903</v>
      </c>
      <c r="G1065" s="69" t="s">
        <v>3904</v>
      </c>
      <c r="H1065" s="5" t="s">
        <v>3905</v>
      </c>
      <c r="I1065" s="5" t="s">
        <v>641</v>
      </c>
      <c r="J1065" s="5" t="s">
        <v>1746</v>
      </c>
      <c r="K1065" s="5">
        <v>1.0</v>
      </c>
      <c r="L1065" s="5">
        <v>2684.0</v>
      </c>
      <c r="M1065" s="8"/>
      <c r="AK1065" s="9"/>
      <c r="AO1065" s="27" t="s">
        <v>3903</v>
      </c>
      <c r="AP1065" s="27">
        <v>863.0</v>
      </c>
      <c r="AQ1065" s="27" t="s">
        <v>1716</v>
      </c>
      <c r="AR1065" s="27" t="s">
        <v>1717</v>
      </c>
      <c r="AS1065" s="27" t="s">
        <v>1718</v>
      </c>
      <c r="AT1065" s="27" t="s">
        <v>1835</v>
      </c>
      <c r="AU1065" s="27" t="s">
        <v>1836</v>
      </c>
      <c r="AV1065" s="27"/>
      <c r="AW1065" s="27" t="s">
        <v>2368</v>
      </c>
      <c r="AX1065" s="27" t="s">
        <v>2369</v>
      </c>
      <c r="AY1065" s="27">
        <v>50.7611</v>
      </c>
      <c r="AZ1065" s="27">
        <v>-121.5653</v>
      </c>
      <c r="BA1065" s="27">
        <v>1085.0</v>
      </c>
    </row>
    <row r="1066" ht="14.25" customHeight="1">
      <c r="B1066" s="5">
        <v>12.0</v>
      </c>
      <c r="C1066" s="5" t="s">
        <v>7666</v>
      </c>
      <c r="D1066" s="5">
        <v>865.0</v>
      </c>
      <c r="E1066" s="5">
        <v>2282.0</v>
      </c>
      <c r="F1066" s="5" t="s">
        <v>3906</v>
      </c>
      <c r="G1066" s="5" t="s">
        <v>3907</v>
      </c>
      <c r="H1066" s="5" t="s">
        <v>3908</v>
      </c>
      <c r="I1066" s="5" t="s">
        <v>641</v>
      </c>
      <c r="J1066" s="5" t="s">
        <v>1891</v>
      </c>
      <c r="K1066" s="5">
        <v>1.0</v>
      </c>
      <c r="L1066" s="5">
        <v>2685.0</v>
      </c>
      <c r="M1066" s="8">
        <v>50.8193</v>
      </c>
      <c r="N1066" s="11">
        <v>-116.2449</v>
      </c>
      <c r="O1066" s="11" t="s">
        <v>170</v>
      </c>
      <c r="P1066" s="11">
        <v>865.0</v>
      </c>
      <c r="Q1066" s="22">
        <v>2.0</v>
      </c>
      <c r="R1066" s="11" t="s">
        <v>3906</v>
      </c>
      <c r="S1066" s="11" t="s">
        <v>1737</v>
      </c>
      <c r="T1066" s="11">
        <v>930.0</v>
      </c>
      <c r="U1066" s="11"/>
      <c r="V1066" s="11"/>
      <c r="W1066" s="23">
        <v>38125.0</v>
      </c>
      <c r="X1066" s="11" t="s">
        <v>1738</v>
      </c>
      <c r="AK1066" s="9"/>
      <c r="AO1066" s="5" t="s">
        <v>3906</v>
      </c>
      <c r="AP1066" s="5">
        <v>865.0</v>
      </c>
      <c r="AQ1066" s="5" t="s">
        <v>1700</v>
      </c>
      <c r="AR1066" s="5" t="s">
        <v>1739</v>
      </c>
      <c r="AS1066" s="5" t="s">
        <v>1740</v>
      </c>
      <c r="AT1066" s="5" t="s">
        <v>1741</v>
      </c>
      <c r="AU1066" s="5" t="s">
        <v>1959</v>
      </c>
      <c r="AV1066" s="5" t="s">
        <v>1720</v>
      </c>
      <c r="AW1066" s="5" t="s">
        <v>2698</v>
      </c>
      <c r="AX1066" s="5" t="s">
        <v>2768</v>
      </c>
      <c r="AY1066" s="5">
        <v>50.8193</v>
      </c>
      <c r="AZ1066" s="5">
        <v>-116.2449</v>
      </c>
      <c r="BA1066" s="5">
        <v>930.0</v>
      </c>
    </row>
    <row r="1067" ht="14.25" customHeight="1">
      <c r="B1067" s="5">
        <v>12.0</v>
      </c>
      <c r="C1067" s="5" t="s">
        <v>7666</v>
      </c>
      <c r="D1067" s="5">
        <v>866.0</v>
      </c>
      <c r="E1067" s="5">
        <v>2283.0</v>
      </c>
      <c r="F1067" s="5" t="s">
        <v>1145</v>
      </c>
      <c r="G1067" s="5" t="s">
        <v>3909</v>
      </c>
      <c r="H1067" s="5" t="s">
        <v>3910</v>
      </c>
      <c r="I1067" s="5" t="s">
        <v>641</v>
      </c>
      <c r="J1067" s="5" t="s">
        <v>1829</v>
      </c>
      <c r="K1067" s="5">
        <v>1.0</v>
      </c>
      <c r="L1067" s="5">
        <v>2686.0</v>
      </c>
      <c r="M1067" s="8">
        <v>51.4357</v>
      </c>
      <c r="N1067" s="11">
        <v>-117.0571</v>
      </c>
      <c r="O1067" s="11" t="s">
        <v>170</v>
      </c>
      <c r="P1067" s="11">
        <v>866.0</v>
      </c>
      <c r="Q1067" s="22">
        <v>1.0</v>
      </c>
      <c r="R1067" s="11" t="s">
        <v>1145</v>
      </c>
      <c r="S1067" s="11" t="s">
        <v>1737</v>
      </c>
      <c r="T1067" s="11">
        <v>861.0</v>
      </c>
      <c r="U1067" s="11" t="s">
        <v>645</v>
      </c>
      <c r="V1067" s="11"/>
      <c r="W1067" s="23">
        <v>38126.0</v>
      </c>
      <c r="X1067" s="11" t="s">
        <v>1738</v>
      </c>
      <c r="AK1067" s="9"/>
      <c r="AO1067" s="5" t="s">
        <v>1145</v>
      </c>
      <c r="AP1067" s="5">
        <v>866.0</v>
      </c>
      <c r="AQ1067" s="5" t="s">
        <v>1700</v>
      </c>
      <c r="AR1067" s="5" t="s">
        <v>1739</v>
      </c>
      <c r="AS1067" s="5" t="s">
        <v>1740</v>
      </c>
      <c r="AT1067" s="5" t="s">
        <v>1741</v>
      </c>
      <c r="AU1067" s="5" t="s">
        <v>1772</v>
      </c>
      <c r="AV1067" s="5" t="s">
        <v>1720</v>
      </c>
      <c r="AW1067" s="5" t="s">
        <v>2698</v>
      </c>
      <c r="AX1067" s="5" t="s">
        <v>2699</v>
      </c>
      <c r="AY1067" s="5">
        <v>51.4357</v>
      </c>
      <c r="AZ1067" s="5">
        <v>-117.0571</v>
      </c>
      <c r="BA1067" s="5">
        <v>861.0</v>
      </c>
    </row>
    <row r="1068" ht="14.25" customHeight="1">
      <c r="B1068" s="5">
        <v>12.0</v>
      </c>
      <c r="C1068" s="5" t="s">
        <v>7666</v>
      </c>
      <c r="D1068" s="5">
        <v>867.0</v>
      </c>
      <c r="E1068" s="5">
        <v>2284.0</v>
      </c>
      <c r="F1068" s="18" t="s">
        <v>3911</v>
      </c>
      <c r="G1068" s="69" t="s">
        <v>3912</v>
      </c>
      <c r="H1068" s="5" t="s">
        <v>3913</v>
      </c>
      <c r="I1068" s="5" t="s">
        <v>641</v>
      </c>
      <c r="J1068" s="5" t="s">
        <v>1746</v>
      </c>
      <c r="K1068" s="5">
        <v>1.0</v>
      </c>
      <c r="L1068" s="5">
        <v>2687.0</v>
      </c>
      <c r="M1068" s="8"/>
      <c r="AK1068" s="9"/>
      <c r="AO1068" s="5" t="s">
        <v>3911</v>
      </c>
      <c r="AP1068" s="5">
        <v>867.0</v>
      </c>
      <c r="AQ1068" s="5" t="s">
        <v>1716</v>
      </c>
      <c r="AR1068" s="5" t="s">
        <v>1717</v>
      </c>
      <c r="AS1068" s="5" t="s">
        <v>1718</v>
      </c>
      <c r="AT1068" s="5" t="s">
        <v>1719</v>
      </c>
      <c r="AU1068" s="5" t="s">
        <v>1959</v>
      </c>
      <c r="AV1068" s="5" t="s">
        <v>1720</v>
      </c>
      <c r="AW1068" s="5" t="s">
        <v>2368</v>
      </c>
      <c r="AX1068" s="5" t="s">
        <v>2258</v>
      </c>
      <c r="AY1068" s="5">
        <v>52.1125</v>
      </c>
      <c r="AZ1068" s="5">
        <v>-119.1214</v>
      </c>
      <c r="BA1068" s="5">
        <v>774.0</v>
      </c>
    </row>
    <row r="1069" ht="14.25" customHeight="1">
      <c r="B1069" s="5">
        <v>12.0</v>
      </c>
      <c r="C1069" s="5" t="s">
        <v>7666</v>
      </c>
      <c r="D1069" s="5">
        <v>868.0</v>
      </c>
      <c r="E1069" s="5">
        <v>2285.0</v>
      </c>
      <c r="F1069" s="5" t="s">
        <v>3914</v>
      </c>
      <c r="G1069" s="5" t="s">
        <v>3915</v>
      </c>
      <c r="H1069" s="5" t="s">
        <v>3916</v>
      </c>
      <c r="I1069" s="5" t="s">
        <v>641</v>
      </c>
      <c r="J1069" s="5" t="s">
        <v>1891</v>
      </c>
      <c r="K1069" s="5">
        <v>1.0</v>
      </c>
      <c r="L1069" s="5">
        <v>2688.0</v>
      </c>
      <c r="M1069" s="8">
        <v>51.85333</v>
      </c>
      <c r="N1069" s="11">
        <v>-118.59139</v>
      </c>
      <c r="O1069" s="11" t="s">
        <v>170</v>
      </c>
      <c r="P1069" s="11">
        <v>868.0</v>
      </c>
      <c r="Q1069" s="22">
        <v>2.0</v>
      </c>
      <c r="R1069" s="11" t="s">
        <v>3917</v>
      </c>
      <c r="S1069" s="11" t="s">
        <v>1737</v>
      </c>
      <c r="T1069" s="11">
        <v>1091.0</v>
      </c>
      <c r="U1069" s="11"/>
      <c r="V1069" s="11"/>
      <c r="W1069" s="23">
        <v>38148.0</v>
      </c>
      <c r="X1069" s="11" t="s">
        <v>1738</v>
      </c>
      <c r="AK1069" s="9"/>
      <c r="AO1069" s="5" t="s">
        <v>3917</v>
      </c>
      <c r="AP1069" s="5">
        <v>868.0</v>
      </c>
      <c r="AQ1069" s="5" t="s">
        <v>1716</v>
      </c>
      <c r="AR1069" s="5" t="s">
        <v>1739</v>
      </c>
      <c r="AS1069" s="5" t="s">
        <v>1740</v>
      </c>
      <c r="AT1069" s="5" t="s">
        <v>1741</v>
      </c>
      <c r="AU1069" s="5" t="s">
        <v>1742</v>
      </c>
      <c r="AV1069" s="5" t="s">
        <v>1720</v>
      </c>
      <c r="AW1069" s="5" t="s">
        <v>2698</v>
      </c>
      <c r="AX1069" s="5" t="s">
        <v>2699</v>
      </c>
      <c r="AY1069" s="5">
        <v>51.8533</v>
      </c>
      <c r="AZ1069" s="5">
        <v>-118.5914</v>
      </c>
      <c r="BA1069" s="5">
        <v>1091.0</v>
      </c>
    </row>
    <row r="1070" ht="14.25" customHeight="1">
      <c r="A1070" s="5" t="s">
        <v>422</v>
      </c>
      <c r="B1070" s="5">
        <v>12.0</v>
      </c>
      <c r="C1070" s="5" t="s">
        <v>7666</v>
      </c>
      <c r="D1070" s="5">
        <v>869.0</v>
      </c>
      <c r="E1070" s="5">
        <v>2286.0</v>
      </c>
      <c r="F1070" s="18" t="s">
        <v>3918</v>
      </c>
      <c r="G1070" s="5" t="s">
        <v>3919</v>
      </c>
      <c r="H1070" s="5" t="s">
        <v>3920</v>
      </c>
      <c r="I1070" s="5" t="s">
        <v>641</v>
      </c>
      <c r="J1070" s="5" t="s">
        <v>1746</v>
      </c>
      <c r="K1070" s="5">
        <v>1.0</v>
      </c>
      <c r="L1070" s="5">
        <v>2689.0</v>
      </c>
      <c r="M1070" s="8"/>
      <c r="AK1070" s="9"/>
      <c r="AO1070" s="5" t="s">
        <v>3918</v>
      </c>
      <c r="AP1070" s="5">
        <v>869.0</v>
      </c>
      <c r="AQ1070" s="5" t="s">
        <v>1716</v>
      </c>
      <c r="AR1070" s="5" t="s">
        <v>1717</v>
      </c>
      <c r="AS1070" s="5" t="s">
        <v>1718</v>
      </c>
      <c r="AT1070" s="5" t="s">
        <v>1835</v>
      </c>
      <c r="AU1070" s="5" t="s">
        <v>1836</v>
      </c>
      <c r="AW1070" s="5" t="s">
        <v>2368</v>
      </c>
      <c r="AX1070" s="5" t="s">
        <v>2505</v>
      </c>
      <c r="AY1070" s="5">
        <v>50.7561</v>
      </c>
      <c r="AZ1070" s="5">
        <v>-122.0203</v>
      </c>
      <c r="BA1070" s="5">
        <v>1640.0</v>
      </c>
    </row>
    <row r="1071" ht="14.25" customHeight="1">
      <c r="A1071" s="5" t="s">
        <v>422</v>
      </c>
      <c r="B1071" s="5">
        <v>12.0</v>
      </c>
      <c r="C1071" s="5" t="s">
        <v>7666</v>
      </c>
      <c r="D1071" s="5">
        <v>870.0</v>
      </c>
      <c r="E1071" s="5">
        <v>2287.0</v>
      </c>
      <c r="F1071" s="18" t="s">
        <v>3921</v>
      </c>
      <c r="G1071" s="5" t="s">
        <v>3922</v>
      </c>
      <c r="H1071" s="5" t="s">
        <v>3923</v>
      </c>
      <c r="I1071" s="5" t="s">
        <v>641</v>
      </c>
      <c r="J1071" s="5" t="s">
        <v>1746</v>
      </c>
      <c r="K1071" s="5">
        <v>1.0</v>
      </c>
      <c r="L1071" s="5">
        <v>2690.0</v>
      </c>
      <c r="M1071" s="8"/>
      <c r="AK1071" s="9"/>
      <c r="AO1071" s="5" t="s">
        <v>3921</v>
      </c>
      <c r="AP1071" s="5">
        <v>870.0</v>
      </c>
      <c r="AQ1071" s="5" t="s">
        <v>1716</v>
      </c>
      <c r="AR1071" s="5" t="s">
        <v>1717</v>
      </c>
      <c r="AS1071" s="5" t="s">
        <v>1718</v>
      </c>
      <c r="AT1071" s="5" t="s">
        <v>1835</v>
      </c>
      <c r="AU1071" s="5" t="s">
        <v>1836</v>
      </c>
      <c r="AW1071" s="5" t="s">
        <v>2193</v>
      </c>
      <c r="AX1071" s="5" t="s">
        <v>2283</v>
      </c>
      <c r="AY1071" s="5">
        <v>52.2369</v>
      </c>
      <c r="AZ1071" s="5">
        <v>-125.2693</v>
      </c>
      <c r="BA1071" s="5">
        <v>1230.0</v>
      </c>
    </row>
    <row r="1072" ht="14.25" customHeight="1">
      <c r="B1072" s="5">
        <v>12.0</v>
      </c>
      <c r="C1072" s="5" t="s">
        <v>7666</v>
      </c>
      <c r="D1072" s="5">
        <v>872.0</v>
      </c>
      <c r="E1072" s="5">
        <v>2288.0</v>
      </c>
      <c r="F1072" s="18" t="s">
        <v>3924</v>
      </c>
      <c r="G1072" s="5" t="s">
        <v>3925</v>
      </c>
      <c r="H1072" s="5" t="s">
        <v>3926</v>
      </c>
      <c r="I1072" s="5" t="s">
        <v>641</v>
      </c>
      <c r="J1072" s="5" t="s">
        <v>1746</v>
      </c>
      <c r="K1072" s="5">
        <v>1.0</v>
      </c>
      <c r="L1072" s="5">
        <v>2691.0</v>
      </c>
      <c r="M1072" s="8"/>
      <c r="AK1072" s="9"/>
      <c r="AO1072" s="5" t="s">
        <v>3924</v>
      </c>
      <c r="AP1072" s="5">
        <v>872.0</v>
      </c>
      <c r="AQ1072" s="5" t="s">
        <v>1716</v>
      </c>
      <c r="AR1072" s="5" t="s">
        <v>1717</v>
      </c>
      <c r="AS1072" s="5" t="s">
        <v>1718</v>
      </c>
      <c r="AT1072" s="5" t="s">
        <v>1835</v>
      </c>
      <c r="AU1072" s="5" t="s">
        <v>1836</v>
      </c>
      <c r="AV1072" s="5" t="s">
        <v>1720</v>
      </c>
      <c r="AX1072" s="5" t="s">
        <v>1986</v>
      </c>
      <c r="AY1072" s="5">
        <v>59.8843</v>
      </c>
      <c r="AZ1072" s="5">
        <v>-131.4556</v>
      </c>
      <c r="BA1072" s="5">
        <v>690.0</v>
      </c>
    </row>
    <row r="1073" ht="14.25" customHeight="1">
      <c r="B1073" s="5">
        <v>12.0</v>
      </c>
      <c r="C1073" s="5" t="s">
        <v>7666</v>
      </c>
      <c r="D1073" s="5">
        <v>873.0</v>
      </c>
      <c r="E1073" s="5">
        <v>2289.0</v>
      </c>
      <c r="F1073" s="5" t="s">
        <v>3927</v>
      </c>
      <c r="G1073" s="69" t="s">
        <v>3928</v>
      </c>
      <c r="H1073" s="5" t="s">
        <v>3929</v>
      </c>
      <c r="I1073" s="5" t="s">
        <v>641</v>
      </c>
      <c r="J1073" s="5" t="s">
        <v>1829</v>
      </c>
      <c r="K1073" s="5">
        <v>1.0</v>
      </c>
      <c r="L1073" s="5">
        <v>2692.0</v>
      </c>
      <c r="M1073" s="8">
        <v>50.765</v>
      </c>
      <c r="N1073" s="5">
        <v>-117.95778</v>
      </c>
      <c r="O1073" s="5" t="s">
        <v>170</v>
      </c>
      <c r="P1073" s="5">
        <v>873.0</v>
      </c>
      <c r="Q1073" s="5">
        <v>1.0</v>
      </c>
      <c r="R1073" s="5" t="s">
        <v>3927</v>
      </c>
      <c r="S1073" s="5" t="s">
        <v>1737</v>
      </c>
      <c r="T1073" s="5">
        <v>887.0</v>
      </c>
      <c r="W1073" s="5">
        <v>38196.0</v>
      </c>
      <c r="X1073" s="5" t="s">
        <v>1738</v>
      </c>
      <c r="AK1073" s="9"/>
      <c r="AO1073" s="5" t="s">
        <v>3927</v>
      </c>
      <c r="AP1073" s="5">
        <v>873.0</v>
      </c>
      <c r="AQ1073" s="5" t="s">
        <v>1716</v>
      </c>
      <c r="AR1073" s="5" t="s">
        <v>1739</v>
      </c>
      <c r="AS1073" s="5" t="s">
        <v>1740</v>
      </c>
      <c r="AT1073" s="5" t="s">
        <v>1835</v>
      </c>
      <c r="AU1073" s="5" t="s">
        <v>1742</v>
      </c>
      <c r="AV1073" s="5" t="s">
        <v>1720</v>
      </c>
      <c r="AW1073" s="5" t="s">
        <v>2698</v>
      </c>
      <c r="AX1073" s="5" t="s">
        <v>2699</v>
      </c>
      <c r="AY1073" s="5">
        <v>50.765</v>
      </c>
      <c r="AZ1073" s="5">
        <v>-117.9578</v>
      </c>
      <c r="BA1073" s="5">
        <v>887.0</v>
      </c>
    </row>
    <row r="1074" ht="14.25" customHeight="1">
      <c r="A1074" s="5" t="s">
        <v>422</v>
      </c>
      <c r="B1074" s="5">
        <v>12.0</v>
      </c>
      <c r="C1074" s="5" t="s">
        <v>7666</v>
      </c>
      <c r="D1074" s="5">
        <v>874.0</v>
      </c>
      <c r="E1074" s="5">
        <v>2290.0</v>
      </c>
      <c r="F1074" s="5" t="s">
        <v>3930</v>
      </c>
      <c r="G1074" s="69" t="s">
        <v>3931</v>
      </c>
      <c r="H1074" s="5" t="s">
        <v>3932</v>
      </c>
      <c r="I1074" s="5" t="s">
        <v>641</v>
      </c>
      <c r="J1074" s="5" t="s">
        <v>1746</v>
      </c>
      <c r="K1074" s="5">
        <v>1.0</v>
      </c>
      <c r="L1074" s="5">
        <v>2693.0</v>
      </c>
      <c r="M1074" s="8"/>
      <c r="AK1074" s="9"/>
      <c r="AO1074" s="5" t="s">
        <v>3933</v>
      </c>
      <c r="AP1074" s="5">
        <v>874.0</v>
      </c>
      <c r="AQ1074" s="5" t="s">
        <v>1716</v>
      </c>
      <c r="AR1074" s="5" t="s">
        <v>1717</v>
      </c>
      <c r="AS1074" s="5" t="s">
        <v>1718</v>
      </c>
      <c r="AT1074" s="5" t="s">
        <v>1835</v>
      </c>
      <c r="AU1074" s="5" t="s">
        <v>1836</v>
      </c>
      <c r="AX1074" s="5" t="s">
        <v>2283</v>
      </c>
      <c r="AY1074" s="5">
        <v>51.8825</v>
      </c>
      <c r="AZ1074" s="5">
        <v>-124.9961</v>
      </c>
      <c r="BA1074" s="5">
        <v>1355.0</v>
      </c>
    </row>
    <row r="1075" ht="14.25" customHeight="1">
      <c r="A1075" s="5" t="s">
        <v>422</v>
      </c>
      <c r="B1075" s="5">
        <v>12.0</v>
      </c>
      <c r="C1075" s="5" t="s">
        <v>7666</v>
      </c>
      <c r="D1075" s="5">
        <v>875.0</v>
      </c>
      <c r="E1075" s="5">
        <v>2291.0</v>
      </c>
      <c r="F1075" s="18" t="s">
        <v>3934</v>
      </c>
      <c r="G1075" s="5" t="s">
        <v>3935</v>
      </c>
      <c r="H1075" s="5" t="s">
        <v>3936</v>
      </c>
      <c r="I1075" s="5" t="s">
        <v>641</v>
      </c>
      <c r="J1075" s="5" t="s">
        <v>1746</v>
      </c>
      <c r="K1075" s="5">
        <v>1.0</v>
      </c>
      <c r="L1075" s="5">
        <v>2694.0</v>
      </c>
      <c r="M1075" s="8"/>
      <c r="AK1075" s="9"/>
      <c r="AO1075" s="5" t="s">
        <v>3934</v>
      </c>
      <c r="AP1075" s="5">
        <v>875.0</v>
      </c>
      <c r="AQ1075" s="5" t="s">
        <v>1716</v>
      </c>
      <c r="AR1075" s="5" t="s">
        <v>1717</v>
      </c>
      <c r="AS1075" s="5" t="s">
        <v>1718</v>
      </c>
      <c r="AT1075" s="5" t="s">
        <v>1719</v>
      </c>
      <c r="AU1075" s="5" t="s">
        <v>1959</v>
      </c>
      <c r="AV1075" s="5" t="s">
        <v>1720</v>
      </c>
      <c r="AW1075" s="5" t="s">
        <v>2368</v>
      </c>
      <c r="AX1075" s="5" t="s">
        <v>2516</v>
      </c>
      <c r="AY1075" s="5">
        <v>49.7672</v>
      </c>
      <c r="AZ1075" s="5">
        <v>-119.1242</v>
      </c>
      <c r="BA1075" s="5">
        <v>1300.0</v>
      </c>
    </row>
    <row r="1076" ht="14.25" customHeight="1">
      <c r="A1076" s="5" t="s">
        <v>1908</v>
      </c>
      <c r="B1076" s="5">
        <v>12.0</v>
      </c>
      <c r="C1076" s="5" t="s">
        <v>7666</v>
      </c>
      <c r="D1076" s="5">
        <v>876.0</v>
      </c>
      <c r="E1076" s="5">
        <v>2292.0</v>
      </c>
      <c r="F1076" s="10" t="s">
        <v>3937</v>
      </c>
      <c r="G1076" s="10" t="s">
        <v>3938</v>
      </c>
      <c r="H1076" s="5" t="s">
        <v>3939</v>
      </c>
      <c r="I1076" s="5" t="s">
        <v>641</v>
      </c>
      <c r="J1076" s="5" t="s">
        <v>1829</v>
      </c>
      <c r="K1076" s="5">
        <v>1.0</v>
      </c>
      <c r="L1076" s="5">
        <v>2695.0</v>
      </c>
      <c r="M1076" s="8">
        <v>49.76722</v>
      </c>
      <c r="N1076" s="5">
        <v>-119.12407</v>
      </c>
      <c r="O1076" s="5" t="s">
        <v>142</v>
      </c>
      <c r="P1076" s="5">
        <v>876.0</v>
      </c>
      <c r="Q1076" s="5">
        <v>4.0</v>
      </c>
      <c r="R1076" s="5" t="s">
        <v>3940</v>
      </c>
      <c r="S1076" s="5" t="s">
        <v>1737</v>
      </c>
      <c r="T1076" s="5">
        <v>1261.0</v>
      </c>
      <c r="U1076" s="5" t="s">
        <v>645</v>
      </c>
      <c r="W1076" s="5">
        <v>38146.0</v>
      </c>
      <c r="X1076" s="5" t="s">
        <v>1738</v>
      </c>
      <c r="AK1076" s="9"/>
      <c r="AO1076" s="5" t="s">
        <v>3941</v>
      </c>
      <c r="AP1076" s="5">
        <v>876.0</v>
      </c>
      <c r="AQ1076" s="5" t="s">
        <v>1716</v>
      </c>
      <c r="AR1076" s="5" t="s">
        <v>1739</v>
      </c>
      <c r="AS1076" s="5" t="s">
        <v>1740</v>
      </c>
      <c r="AT1076" s="5" t="s">
        <v>1741</v>
      </c>
      <c r="AU1076" s="5" t="s">
        <v>1742</v>
      </c>
      <c r="AV1076" s="5" t="s">
        <v>1720</v>
      </c>
      <c r="AW1076" s="5" t="s">
        <v>2368</v>
      </c>
      <c r="AX1076" s="5" t="s">
        <v>2516</v>
      </c>
      <c r="AY1076" s="5">
        <v>49.7672</v>
      </c>
      <c r="AZ1076" s="5">
        <v>-119.1241</v>
      </c>
      <c r="BA1076" s="5">
        <v>1246.0</v>
      </c>
    </row>
    <row r="1077" ht="14.25" customHeight="1">
      <c r="A1077" s="5" t="s">
        <v>422</v>
      </c>
      <c r="B1077" s="5">
        <v>12.0</v>
      </c>
      <c r="C1077" s="5" t="s">
        <v>7666</v>
      </c>
      <c r="D1077" s="5">
        <v>879.0</v>
      </c>
      <c r="E1077" s="5">
        <v>2293.0</v>
      </c>
      <c r="F1077" s="18" t="s">
        <v>3942</v>
      </c>
      <c r="G1077" s="5" t="s">
        <v>3943</v>
      </c>
      <c r="H1077" s="5" t="s">
        <v>3944</v>
      </c>
      <c r="I1077" s="5" t="s">
        <v>641</v>
      </c>
      <c r="J1077" s="5" t="s">
        <v>1746</v>
      </c>
      <c r="K1077" s="5">
        <v>1.0</v>
      </c>
      <c r="L1077" s="5">
        <v>2696.0</v>
      </c>
      <c r="M1077" s="8"/>
      <c r="AK1077" s="9"/>
      <c r="AO1077" s="5" t="s">
        <v>3942</v>
      </c>
      <c r="AP1077" s="5">
        <v>879.0</v>
      </c>
      <c r="AQ1077" s="5" t="s">
        <v>1716</v>
      </c>
      <c r="AR1077" s="5" t="s">
        <v>1717</v>
      </c>
      <c r="AS1077" s="5" t="s">
        <v>1718</v>
      </c>
      <c r="AT1077" s="5" t="s">
        <v>1835</v>
      </c>
      <c r="AU1077" s="5" t="s">
        <v>1836</v>
      </c>
      <c r="AV1077" s="5" t="s">
        <v>1720</v>
      </c>
      <c r="AW1077" s="5" t="s">
        <v>2368</v>
      </c>
      <c r="AX1077" s="5" t="s">
        <v>2505</v>
      </c>
      <c r="AY1077" s="5">
        <v>50.7469</v>
      </c>
      <c r="AZ1077" s="5">
        <v>-122.4281</v>
      </c>
      <c r="BA1077" s="5">
        <v>2165.0</v>
      </c>
    </row>
    <row r="1078" ht="14.25" customHeight="1">
      <c r="A1078" s="5" t="s">
        <v>88</v>
      </c>
      <c r="B1078" s="5">
        <v>12.0</v>
      </c>
      <c r="C1078" s="5" t="s">
        <v>7666</v>
      </c>
      <c r="D1078" s="5">
        <v>882.0</v>
      </c>
      <c r="E1078" s="5">
        <v>2294.0</v>
      </c>
      <c r="F1078" s="5" t="s">
        <v>3945</v>
      </c>
      <c r="G1078" s="10" t="s">
        <v>3946</v>
      </c>
      <c r="H1078" s="5" t="s">
        <v>3947</v>
      </c>
      <c r="I1078" s="5" t="s">
        <v>641</v>
      </c>
      <c r="J1078" s="5" t="s">
        <v>1891</v>
      </c>
      <c r="K1078" s="5">
        <v>1.0</v>
      </c>
      <c r="L1078" s="5">
        <v>2697.0</v>
      </c>
      <c r="M1078" s="8">
        <v>50.86347</v>
      </c>
      <c r="N1078" s="5">
        <v>-119.00285</v>
      </c>
      <c r="O1078" s="5" t="s">
        <v>170</v>
      </c>
      <c r="P1078" s="5">
        <v>882.0</v>
      </c>
      <c r="Q1078" s="5">
        <v>2.0</v>
      </c>
      <c r="R1078" s="5" t="s">
        <v>3945</v>
      </c>
      <c r="S1078" s="5" t="s">
        <v>1737</v>
      </c>
      <c r="T1078" s="5">
        <v>1115.0</v>
      </c>
      <c r="U1078" s="5" t="s">
        <v>645</v>
      </c>
      <c r="W1078" s="5">
        <v>38253.0</v>
      </c>
      <c r="X1078" s="5" t="s">
        <v>1738</v>
      </c>
      <c r="AK1078" s="9"/>
      <c r="AO1078" s="5" t="s">
        <v>3945</v>
      </c>
      <c r="AP1078" s="5">
        <v>882.0</v>
      </c>
      <c r="AQ1078" s="5" t="s">
        <v>1700</v>
      </c>
      <c r="AR1078" s="5" t="s">
        <v>1739</v>
      </c>
      <c r="AS1078" s="5" t="s">
        <v>1740</v>
      </c>
      <c r="AT1078" s="5" t="s">
        <v>1741</v>
      </c>
      <c r="AU1078" s="5" t="s">
        <v>1959</v>
      </c>
      <c r="AV1078" s="5" t="s">
        <v>1720</v>
      </c>
      <c r="AW1078" s="5" t="s">
        <v>2368</v>
      </c>
      <c r="AX1078" s="5" t="s">
        <v>2522</v>
      </c>
      <c r="AY1078" s="5">
        <v>50.8635</v>
      </c>
      <c r="AZ1078" s="5">
        <v>-119.0028</v>
      </c>
      <c r="BA1078" s="5">
        <v>1115.0</v>
      </c>
    </row>
    <row r="1079" ht="14.25" customHeight="1">
      <c r="A1079" s="5" t="s">
        <v>88</v>
      </c>
      <c r="B1079" s="5">
        <v>12.0</v>
      </c>
      <c r="C1079" s="5" t="s">
        <v>7666</v>
      </c>
      <c r="D1079" s="5">
        <v>886.0</v>
      </c>
      <c r="E1079" s="5">
        <v>2295.0</v>
      </c>
      <c r="F1079" s="5" t="s">
        <v>3948</v>
      </c>
      <c r="G1079" s="70" t="s">
        <v>3949</v>
      </c>
      <c r="H1079" s="5" t="s">
        <v>3950</v>
      </c>
      <c r="I1079" s="5" t="s">
        <v>641</v>
      </c>
      <c r="J1079" s="5" t="s">
        <v>1891</v>
      </c>
      <c r="K1079" s="5">
        <v>1.0</v>
      </c>
      <c r="L1079" s="5">
        <v>2698.0</v>
      </c>
      <c r="M1079" s="8">
        <v>49.6673</v>
      </c>
      <c r="N1079" s="5">
        <v>-115.2144</v>
      </c>
      <c r="O1079" s="5" t="s">
        <v>170</v>
      </c>
      <c r="P1079" s="5">
        <v>886.0</v>
      </c>
      <c r="Q1079" s="5">
        <v>2.0</v>
      </c>
      <c r="R1079" s="5" t="s">
        <v>3948</v>
      </c>
      <c r="S1079" s="5" t="s">
        <v>1737</v>
      </c>
      <c r="T1079" s="5">
        <v>1051.0</v>
      </c>
      <c r="W1079" s="5">
        <v>38288.0</v>
      </c>
      <c r="X1079" s="5" t="s">
        <v>1738</v>
      </c>
      <c r="AK1079" s="9"/>
      <c r="AO1079" s="5" t="s">
        <v>3948</v>
      </c>
      <c r="AP1079" s="5">
        <v>886.0</v>
      </c>
      <c r="AQ1079" s="5" t="s">
        <v>1716</v>
      </c>
      <c r="AR1079" s="5" t="s">
        <v>1739</v>
      </c>
      <c r="AS1079" s="5" t="s">
        <v>1740</v>
      </c>
      <c r="AT1079" s="5" t="s">
        <v>1741</v>
      </c>
      <c r="AU1079" s="5" t="s">
        <v>1742</v>
      </c>
      <c r="AV1079" s="5" t="s">
        <v>1720</v>
      </c>
      <c r="AW1079" s="5" t="s">
        <v>2698</v>
      </c>
      <c r="AX1079" s="5" t="s">
        <v>2902</v>
      </c>
      <c r="AY1079" s="5">
        <v>49.6673</v>
      </c>
      <c r="AZ1079" s="5">
        <v>-115.2144</v>
      </c>
      <c r="BA1079" s="5">
        <v>1063.0</v>
      </c>
    </row>
    <row r="1080" ht="14.25" customHeight="1">
      <c r="A1080" s="5" t="s">
        <v>422</v>
      </c>
      <c r="B1080" s="5">
        <v>12.0</v>
      </c>
      <c r="C1080" s="5" t="s">
        <v>7666</v>
      </c>
      <c r="D1080" s="5">
        <v>892.0</v>
      </c>
      <c r="E1080" s="5">
        <v>2296.0</v>
      </c>
      <c r="F1080" s="18" t="s">
        <v>3951</v>
      </c>
      <c r="G1080" s="69" t="s">
        <v>3952</v>
      </c>
      <c r="H1080" s="5" t="s">
        <v>3953</v>
      </c>
      <c r="I1080" s="5" t="s">
        <v>641</v>
      </c>
      <c r="J1080" s="5" t="s">
        <v>1746</v>
      </c>
      <c r="K1080" s="5">
        <v>1.0</v>
      </c>
      <c r="L1080" s="5">
        <v>2699.0</v>
      </c>
      <c r="M1080" s="8"/>
      <c r="AK1080" s="9"/>
      <c r="AO1080" s="5" t="s">
        <v>3951</v>
      </c>
      <c r="AP1080" s="5">
        <v>892.0</v>
      </c>
      <c r="AQ1080" s="5" t="s">
        <v>1716</v>
      </c>
      <c r="AR1080" s="5" t="s">
        <v>1717</v>
      </c>
      <c r="AS1080" s="5" t="s">
        <v>1718</v>
      </c>
      <c r="AT1080" s="5" t="s">
        <v>1841</v>
      </c>
      <c r="AU1080" s="5" t="s">
        <v>1959</v>
      </c>
      <c r="AV1080" s="5" t="s">
        <v>1720</v>
      </c>
      <c r="AW1080" s="5" t="s">
        <v>2368</v>
      </c>
      <c r="AX1080" s="5" t="s">
        <v>2401</v>
      </c>
      <c r="AY1080" s="5">
        <v>51.5814</v>
      </c>
      <c r="AZ1080" s="5">
        <v>-120.0433</v>
      </c>
      <c r="BA1080" s="5">
        <v>1200.0</v>
      </c>
    </row>
    <row r="1081" ht="14.25" customHeight="1">
      <c r="A1081" s="5" t="s">
        <v>422</v>
      </c>
      <c r="B1081" s="5">
        <v>12.0</v>
      </c>
      <c r="C1081" s="5" t="s">
        <v>7665</v>
      </c>
      <c r="D1081" s="5">
        <v>896.0</v>
      </c>
      <c r="E1081" s="5">
        <v>12976.0</v>
      </c>
      <c r="G1081" s="69" t="s">
        <v>127</v>
      </c>
      <c r="H1081" s="5" t="s">
        <v>1697</v>
      </c>
      <c r="I1081" s="5" t="s">
        <v>49</v>
      </c>
      <c r="J1081" s="5" t="s">
        <v>1746</v>
      </c>
      <c r="K1081" s="5">
        <v>1.0</v>
      </c>
      <c r="L1081" s="5">
        <v>14908.0</v>
      </c>
      <c r="M1081" s="8"/>
      <c r="AK1081" s="9"/>
      <c r="AO1081" s="50" t="s">
        <v>3954</v>
      </c>
      <c r="AP1081" s="50">
        <v>896.0</v>
      </c>
      <c r="AQ1081" s="50" t="s">
        <v>1700</v>
      </c>
      <c r="AR1081" s="50" t="s">
        <v>1739</v>
      </c>
      <c r="AS1081" s="50" t="s">
        <v>1702</v>
      </c>
      <c r="AT1081" s="50" t="s">
        <v>1703</v>
      </c>
      <c r="AU1081" s="50" t="s">
        <v>1704</v>
      </c>
      <c r="AV1081" s="50" t="s">
        <v>1702</v>
      </c>
      <c r="AW1081" s="50" t="s">
        <v>1705</v>
      </c>
      <c r="AX1081" s="50" t="s">
        <v>1879</v>
      </c>
      <c r="AY1081" s="50">
        <v>50.1443</v>
      </c>
      <c r="AZ1081" s="50">
        <v>-123.1093</v>
      </c>
      <c r="BA1081" s="50">
        <v>869.0</v>
      </c>
    </row>
    <row r="1082" ht="14.25" customHeight="1">
      <c r="A1082" s="5" t="s">
        <v>422</v>
      </c>
      <c r="B1082" s="5">
        <v>12.0</v>
      </c>
      <c r="C1082" s="5" t="s">
        <v>7666</v>
      </c>
      <c r="D1082" s="5">
        <v>900.0</v>
      </c>
      <c r="E1082" s="5">
        <v>2297.0</v>
      </c>
      <c r="F1082" s="18" t="s">
        <v>3955</v>
      </c>
      <c r="G1082" s="5" t="s">
        <v>3956</v>
      </c>
      <c r="H1082" s="5" t="s">
        <v>3957</v>
      </c>
      <c r="I1082" s="5" t="s">
        <v>641</v>
      </c>
      <c r="J1082" s="5" t="s">
        <v>1746</v>
      </c>
      <c r="K1082" s="5">
        <v>1.0</v>
      </c>
      <c r="L1082" s="5">
        <v>2700.0</v>
      </c>
      <c r="M1082" s="8"/>
      <c r="AK1082" s="9"/>
      <c r="AO1082" s="5" t="s">
        <v>3955</v>
      </c>
      <c r="AP1082" s="5">
        <v>900.0</v>
      </c>
      <c r="AQ1082" s="5" t="s">
        <v>1716</v>
      </c>
      <c r="AR1082" s="5" t="s">
        <v>1717</v>
      </c>
      <c r="AS1082" s="5" t="s">
        <v>1718</v>
      </c>
      <c r="AT1082" s="5" t="s">
        <v>1841</v>
      </c>
      <c r="AU1082" s="5" t="s">
        <v>1959</v>
      </c>
      <c r="AV1082" s="5" t="s">
        <v>1720</v>
      </c>
      <c r="AW1082" s="5" t="s">
        <v>2368</v>
      </c>
      <c r="AX1082" s="5" t="s">
        <v>2369</v>
      </c>
      <c r="AY1082" s="5">
        <v>51.4397</v>
      </c>
      <c r="AZ1082" s="5">
        <v>-119.7136</v>
      </c>
      <c r="BA1082" s="5">
        <v>900.0</v>
      </c>
    </row>
    <row r="1083" ht="14.25" customHeight="1">
      <c r="B1083" s="5">
        <v>12.0</v>
      </c>
      <c r="C1083" s="5" t="s">
        <v>7666</v>
      </c>
      <c r="D1083" s="5">
        <v>903.0</v>
      </c>
      <c r="E1083" s="5">
        <v>2298.0</v>
      </c>
      <c r="F1083" s="5" t="s">
        <v>3958</v>
      </c>
      <c r="G1083" s="70" t="s">
        <v>3959</v>
      </c>
      <c r="H1083" s="5" t="s">
        <v>3960</v>
      </c>
      <c r="I1083" s="5" t="s">
        <v>641</v>
      </c>
      <c r="J1083" s="5" t="s">
        <v>1746</v>
      </c>
      <c r="K1083" s="5">
        <v>1.0</v>
      </c>
      <c r="L1083" s="5">
        <v>2701.0</v>
      </c>
      <c r="M1083" s="8"/>
      <c r="AK1083" s="9"/>
      <c r="AO1083" s="5" t="s">
        <v>3961</v>
      </c>
      <c r="AP1083" s="5">
        <v>903.0</v>
      </c>
      <c r="AQ1083" s="5" t="s">
        <v>1716</v>
      </c>
      <c r="AR1083" s="5" t="s">
        <v>1717</v>
      </c>
      <c r="AS1083" s="5" t="s">
        <v>1718</v>
      </c>
      <c r="AT1083" s="5" t="s">
        <v>1835</v>
      </c>
      <c r="AU1083" s="5" t="s">
        <v>1959</v>
      </c>
      <c r="AV1083" s="5" t="s">
        <v>1720</v>
      </c>
      <c r="AW1083" s="5" t="s">
        <v>2003</v>
      </c>
      <c r="AX1083" s="5" t="s">
        <v>2139</v>
      </c>
      <c r="AY1083" s="5">
        <v>53.4008</v>
      </c>
      <c r="AZ1083" s="5">
        <v>-124.4389</v>
      </c>
      <c r="BA1083" s="5">
        <v>1000.0</v>
      </c>
    </row>
    <row r="1084" ht="14.25" customHeight="1">
      <c r="A1084" s="5" t="s">
        <v>2037</v>
      </c>
      <c r="B1084" s="5">
        <v>12.0</v>
      </c>
      <c r="C1084" s="27" t="s">
        <v>7666</v>
      </c>
      <c r="D1084" s="5">
        <v>904.0</v>
      </c>
      <c r="E1084" s="5">
        <v>2299.0</v>
      </c>
      <c r="F1084" s="10" t="s">
        <v>3962</v>
      </c>
      <c r="G1084" s="70" t="s">
        <v>3963</v>
      </c>
      <c r="H1084" s="5" t="s">
        <v>3964</v>
      </c>
      <c r="I1084" s="5" t="s">
        <v>641</v>
      </c>
      <c r="J1084" s="5" t="s">
        <v>1829</v>
      </c>
      <c r="K1084" s="5">
        <v>1.0</v>
      </c>
      <c r="L1084" s="5">
        <v>2702.0</v>
      </c>
      <c r="M1084" s="8">
        <v>52.38725</v>
      </c>
      <c r="N1084" s="5">
        <v>-126.58972</v>
      </c>
      <c r="O1084" s="5" t="s">
        <v>51</v>
      </c>
      <c r="P1084" s="5">
        <v>904.0</v>
      </c>
      <c r="Q1084" s="5">
        <v>1.0</v>
      </c>
      <c r="R1084" s="5" t="s">
        <v>3965</v>
      </c>
      <c r="S1084" s="5" t="s">
        <v>1737</v>
      </c>
      <c r="T1084" s="5">
        <v>47.0</v>
      </c>
      <c r="W1084" s="5">
        <v>38546.0</v>
      </c>
      <c r="X1084" s="5" t="s">
        <v>1738</v>
      </c>
      <c r="AK1084" s="9"/>
      <c r="AO1084" s="27" t="s">
        <v>3965</v>
      </c>
      <c r="AP1084" s="27">
        <v>904.0</v>
      </c>
      <c r="AQ1084" s="27" t="s">
        <v>1700</v>
      </c>
      <c r="AR1084" s="27" t="s">
        <v>1739</v>
      </c>
      <c r="AS1084" s="27" t="s">
        <v>1740</v>
      </c>
      <c r="AT1084" s="27" t="s">
        <v>1741</v>
      </c>
      <c r="AU1084" s="27" t="s">
        <v>1772</v>
      </c>
      <c r="AV1084" s="27" t="s">
        <v>1720</v>
      </c>
      <c r="AW1084" s="27" t="s">
        <v>1705</v>
      </c>
      <c r="AX1084" s="27" t="s">
        <v>1965</v>
      </c>
      <c r="AY1084" s="27">
        <v>52.3873</v>
      </c>
      <c r="AZ1084" s="27">
        <v>-126.5897</v>
      </c>
      <c r="BA1084" s="27">
        <v>47.0</v>
      </c>
    </row>
    <row r="1085" ht="14.25" customHeight="1">
      <c r="B1085" s="5">
        <v>12.0</v>
      </c>
      <c r="C1085" s="5" t="s">
        <v>7666</v>
      </c>
      <c r="D1085" s="5">
        <v>905.0</v>
      </c>
      <c r="E1085" s="5">
        <v>2300.0</v>
      </c>
      <c r="F1085" s="5" t="s">
        <v>3966</v>
      </c>
      <c r="G1085" s="5" t="s">
        <v>3967</v>
      </c>
      <c r="H1085" s="5" t="s">
        <v>3968</v>
      </c>
      <c r="I1085" s="5" t="s">
        <v>641</v>
      </c>
      <c r="J1085" s="5" t="s">
        <v>1891</v>
      </c>
      <c r="K1085" s="5">
        <v>1.0</v>
      </c>
      <c r="L1085" s="5">
        <v>2703.0</v>
      </c>
      <c r="M1085" s="8">
        <v>51.5154</v>
      </c>
      <c r="N1085" s="5">
        <v>-118.27207</v>
      </c>
      <c r="O1085" s="5" t="s">
        <v>170</v>
      </c>
      <c r="P1085" s="5">
        <v>905.0</v>
      </c>
      <c r="Q1085" s="5">
        <v>1.0</v>
      </c>
      <c r="R1085" s="5" t="s">
        <v>3966</v>
      </c>
      <c r="S1085" s="5" t="s">
        <v>1737</v>
      </c>
      <c r="T1085" s="5">
        <v>757.0</v>
      </c>
      <c r="W1085" s="5">
        <v>38547.0</v>
      </c>
      <c r="X1085" s="5" t="s">
        <v>1738</v>
      </c>
      <c r="AK1085" s="9"/>
      <c r="AO1085" s="5" t="s">
        <v>3966</v>
      </c>
      <c r="AP1085" s="5">
        <v>905.0</v>
      </c>
      <c r="AQ1085" s="5" t="s">
        <v>1716</v>
      </c>
      <c r="AR1085" s="5" t="s">
        <v>1739</v>
      </c>
      <c r="AS1085" s="5" t="s">
        <v>1740</v>
      </c>
      <c r="AT1085" s="5" t="s">
        <v>1741</v>
      </c>
      <c r="AU1085" s="5" t="s">
        <v>1742</v>
      </c>
      <c r="AV1085" s="5" t="s">
        <v>1720</v>
      </c>
      <c r="AW1085" s="5" t="s">
        <v>2698</v>
      </c>
      <c r="AX1085" s="5" t="s">
        <v>2699</v>
      </c>
      <c r="AY1085" s="5">
        <v>51.5154</v>
      </c>
      <c r="AZ1085" s="5">
        <v>-118.2721</v>
      </c>
      <c r="BA1085" s="5">
        <v>757.0</v>
      </c>
    </row>
    <row r="1086" ht="14.25" customHeight="1">
      <c r="A1086" s="5" t="s">
        <v>88</v>
      </c>
      <c r="B1086" s="5">
        <v>12.0</v>
      </c>
      <c r="C1086" s="5" t="s">
        <v>7666</v>
      </c>
      <c r="D1086" s="5">
        <v>910.0</v>
      </c>
      <c r="E1086" s="5">
        <v>2301.0</v>
      </c>
      <c r="F1086" s="5" t="s">
        <v>3969</v>
      </c>
      <c r="G1086" s="10" t="s">
        <v>3970</v>
      </c>
      <c r="H1086" s="5" t="s">
        <v>3971</v>
      </c>
      <c r="I1086" s="5" t="s">
        <v>641</v>
      </c>
      <c r="J1086" s="5" t="s">
        <v>1746</v>
      </c>
      <c r="K1086" s="5">
        <v>1.0</v>
      </c>
      <c r="L1086" s="5">
        <v>2704.0</v>
      </c>
      <c r="M1086" s="8"/>
      <c r="AK1086" s="9"/>
      <c r="AO1086" s="5" t="s">
        <v>3972</v>
      </c>
      <c r="AP1086" s="5">
        <v>910.0</v>
      </c>
      <c r="AQ1086" s="5" t="s">
        <v>1716</v>
      </c>
      <c r="AR1086" s="5" t="s">
        <v>1717</v>
      </c>
      <c r="AS1086" s="5" t="s">
        <v>1718</v>
      </c>
      <c r="AT1086" s="5" t="s">
        <v>1719</v>
      </c>
      <c r="AU1086" s="5" t="s">
        <v>1959</v>
      </c>
      <c r="AV1086" s="5" t="s">
        <v>1720</v>
      </c>
      <c r="AW1086" s="5" t="s">
        <v>2368</v>
      </c>
      <c r="AX1086" s="5" t="s">
        <v>2505</v>
      </c>
      <c r="AY1086" s="5">
        <v>50.8273</v>
      </c>
      <c r="AZ1086" s="5">
        <v>-122.3369</v>
      </c>
      <c r="BA1086" s="5">
        <v>2017.0</v>
      </c>
    </row>
    <row r="1087" ht="14.25" customHeight="1">
      <c r="A1087" s="5" t="s">
        <v>2037</v>
      </c>
      <c r="B1087" s="5">
        <v>12.0</v>
      </c>
      <c r="C1087" s="5" t="s">
        <v>7666</v>
      </c>
      <c r="D1087" s="5">
        <v>913.0</v>
      </c>
      <c r="E1087" s="5">
        <v>2302.0</v>
      </c>
      <c r="F1087" s="5" t="s">
        <v>3973</v>
      </c>
      <c r="G1087" s="5" t="s">
        <v>3974</v>
      </c>
      <c r="H1087" s="5" t="s">
        <v>3975</v>
      </c>
      <c r="I1087" s="5" t="s">
        <v>1664</v>
      </c>
      <c r="J1087" s="5" t="s">
        <v>1746</v>
      </c>
      <c r="K1087" s="5">
        <v>1.0</v>
      </c>
      <c r="L1087" s="5">
        <v>2705.0</v>
      </c>
      <c r="M1087" s="8"/>
      <c r="AK1087" s="9"/>
      <c r="AO1087" s="5" t="s">
        <v>3976</v>
      </c>
      <c r="AP1087" s="5">
        <v>913.0</v>
      </c>
      <c r="AQ1087" s="5" t="s">
        <v>1716</v>
      </c>
      <c r="AR1087" s="5" t="s">
        <v>1717</v>
      </c>
      <c r="AS1087" s="5" t="s">
        <v>2257</v>
      </c>
      <c r="AT1087" s="5" t="s">
        <v>1703</v>
      </c>
      <c r="AU1087" s="5" t="s">
        <v>3668</v>
      </c>
      <c r="AV1087" s="5" t="s">
        <v>1720</v>
      </c>
      <c r="AW1087" s="5" t="s">
        <v>2698</v>
      </c>
      <c r="AX1087" s="5" t="s">
        <v>1965</v>
      </c>
      <c r="AY1087" s="5">
        <v>52.2692</v>
      </c>
      <c r="AZ1087" s="5">
        <v>-125.7827</v>
      </c>
      <c r="BA1087" s="5">
        <v>1098.0</v>
      </c>
    </row>
    <row r="1088" ht="14.25" customHeight="1">
      <c r="A1088" s="5" t="s">
        <v>422</v>
      </c>
      <c r="B1088" s="5">
        <v>12.0</v>
      </c>
      <c r="C1088" s="5" t="s">
        <v>7666</v>
      </c>
      <c r="D1088" s="5">
        <v>914.0</v>
      </c>
      <c r="E1088" s="5">
        <v>2303.0</v>
      </c>
      <c r="F1088" s="18" t="s">
        <v>3977</v>
      </c>
      <c r="G1088" s="5" t="s">
        <v>3978</v>
      </c>
      <c r="H1088" s="5" t="s">
        <v>3979</v>
      </c>
      <c r="I1088" s="5" t="s">
        <v>641</v>
      </c>
      <c r="J1088" s="5" t="s">
        <v>1746</v>
      </c>
      <c r="K1088" s="5">
        <v>1.0</v>
      </c>
      <c r="L1088" s="5">
        <v>2706.0</v>
      </c>
      <c r="M1088" s="8"/>
      <c r="AK1088" s="9"/>
      <c r="AO1088" s="29" t="s">
        <v>3977</v>
      </c>
      <c r="AP1088" s="5">
        <v>914.0</v>
      </c>
      <c r="AQ1088" s="5" t="s">
        <v>1716</v>
      </c>
      <c r="AR1088" s="5" t="s">
        <v>1717</v>
      </c>
      <c r="AS1088" s="5" t="s">
        <v>1718</v>
      </c>
      <c r="AT1088" s="5" t="s">
        <v>1835</v>
      </c>
      <c r="AU1088" s="5" t="s">
        <v>1836</v>
      </c>
      <c r="AV1088" s="5" t="s">
        <v>1720</v>
      </c>
      <c r="AW1088" s="5" t="s">
        <v>1705</v>
      </c>
      <c r="AX1088" s="5" t="s">
        <v>1879</v>
      </c>
      <c r="AY1088" s="5">
        <v>50.3242</v>
      </c>
      <c r="AZ1088" s="5">
        <v>-123.5589</v>
      </c>
      <c r="BA1088" s="5">
        <v>650.0</v>
      </c>
    </row>
    <row r="1089" ht="14.25" customHeight="1">
      <c r="A1089" s="5" t="s">
        <v>422</v>
      </c>
      <c r="B1089" s="5">
        <v>12.0</v>
      </c>
      <c r="C1089" s="5" t="s">
        <v>7665</v>
      </c>
      <c r="D1089" s="5">
        <v>915.0</v>
      </c>
      <c r="E1089" s="5">
        <v>12977.0</v>
      </c>
      <c r="G1089" s="5" t="s">
        <v>127</v>
      </c>
      <c r="H1089" s="5" t="s">
        <v>1697</v>
      </c>
      <c r="I1089" s="5" t="s">
        <v>49</v>
      </c>
      <c r="J1089" s="5" t="s">
        <v>1746</v>
      </c>
      <c r="K1089" s="5">
        <v>1.0</v>
      </c>
      <c r="L1089" s="5">
        <v>14909.0</v>
      </c>
      <c r="M1089" s="8"/>
      <c r="AK1089" s="9"/>
      <c r="AO1089" s="71" t="s">
        <v>3980</v>
      </c>
      <c r="AP1089" s="50">
        <v>915.0</v>
      </c>
      <c r="AQ1089" s="50" t="s">
        <v>1700</v>
      </c>
      <c r="AR1089" s="50" t="s">
        <v>1701</v>
      </c>
      <c r="AS1089" s="50" t="s">
        <v>1702</v>
      </c>
      <c r="AT1089" s="50" t="s">
        <v>1703</v>
      </c>
      <c r="AU1089" s="50" t="s">
        <v>1704</v>
      </c>
      <c r="AV1089" s="50" t="s">
        <v>1702</v>
      </c>
      <c r="AW1089" s="50" t="s">
        <v>1705</v>
      </c>
      <c r="AX1089" s="50" t="s">
        <v>1747</v>
      </c>
      <c r="AY1089" s="50">
        <v>48.7833</v>
      </c>
      <c r="AZ1089" s="50">
        <v>-123.05</v>
      </c>
      <c r="BA1089" s="50">
        <v>24.0</v>
      </c>
    </row>
    <row r="1090" ht="14.25" customHeight="1">
      <c r="A1090" s="5" t="s">
        <v>2037</v>
      </c>
      <c r="B1090" s="5">
        <v>12.0</v>
      </c>
      <c r="C1090" s="5" t="s">
        <v>7666</v>
      </c>
      <c r="D1090" s="5">
        <v>919.0</v>
      </c>
      <c r="E1090" s="5">
        <v>2304.0</v>
      </c>
      <c r="F1090" s="10" t="s">
        <v>3981</v>
      </c>
      <c r="G1090" s="5" t="s">
        <v>3982</v>
      </c>
      <c r="H1090" s="5" t="s">
        <v>3983</v>
      </c>
      <c r="I1090" s="5" t="s">
        <v>641</v>
      </c>
      <c r="J1090" s="5" t="s">
        <v>1891</v>
      </c>
      <c r="K1090" s="5">
        <v>1.0</v>
      </c>
      <c r="L1090" s="5">
        <v>2707.0</v>
      </c>
      <c r="M1090" s="8">
        <v>51.66943</v>
      </c>
      <c r="N1090" s="11">
        <v>-118.48707</v>
      </c>
      <c r="O1090" s="11" t="s">
        <v>170</v>
      </c>
      <c r="P1090" s="11">
        <v>919.0</v>
      </c>
      <c r="Q1090" s="22">
        <v>3.0</v>
      </c>
      <c r="R1090" s="11" t="s">
        <v>3984</v>
      </c>
      <c r="S1090" s="11" t="s">
        <v>1737</v>
      </c>
      <c r="T1090" s="11">
        <v>1333.0</v>
      </c>
      <c r="U1090" s="11"/>
      <c r="V1090" s="11"/>
      <c r="W1090" s="23">
        <v>38610.0</v>
      </c>
      <c r="X1090" s="11" t="s">
        <v>1738</v>
      </c>
      <c r="AK1090" s="9"/>
      <c r="AO1090" s="5" t="s">
        <v>3984</v>
      </c>
      <c r="AP1090" s="5">
        <v>919.0</v>
      </c>
      <c r="AQ1090" s="5" t="s">
        <v>1716</v>
      </c>
      <c r="AR1090" s="5" t="s">
        <v>1739</v>
      </c>
      <c r="AS1090" s="5" t="s">
        <v>1740</v>
      </c>
      <c r="AT1090" s="5" t="s">
        <v>1741</v>
      </c>
      <c r="AU1090" s="5" t="s">
        <v>1742</v>
      </c>
      <c r="AV1090" s="5" t="s">
        <v>1720</v>
      </c>
      <c r="AW1090" s="5" t="s">
        <v>2698</v>
      </c>
      <c r="AX1090" s="5" t="s">
        <v>2699</v>
      </c>
      <c r="AY1090" s="5">
        <v>51.6694</v>
      </c>
      <c r="AZ1090" s="5">
        <v>-118.4871</v>
      </c>
      <c r="BA1090" s="5">
        <v>1333.0</v>
      </c>
    </row>
    <row r="1091" ht="14.25" customHeight="1">
      <c r="A1091" s="5" t="s">
        <v>422</v>
      </c>
      <c r="B1091" s="5">
        <v>12.0</v>
      </c>
      <c r="C1091" s="5" t="s">
        <v>7666</v>
      </c>
      <c r="D1091" s="5">
        <v>920.0</v>
      </c>
      <c r="E1091" s="5">
        <v>2305.0</v>
      </c>
      <c r="F1091" s="5" t="s">
        <v>3985</v>
      </c>
      <c r="G1091" s="5" t="s">
        <v>3986</v>
      </c>
      <c r="H1091" s="5" t="s">
        <v>3987</v>
      </c>
      <c r="I1091" s="5" t="s">
        <v>641</v>
      </c>
      <c r="J1091" s="5" t="s">
        <v>1746</v>
      </c>
      <c r="K1091" s="5">
        <v>1.0</v>
      </c>
      <c r="L1091" s="5">
        <v>2708.0</v>
      </c>
      <c r="M1091" s="8"/>
      <c r="N1091" s="11"/>
      <c r="O1091" s="11"/>
      <c r="P1091" s="11"/>
      <c r="Q1091" s="22"/>
      <c r="R1091" s="11"/>
      <c r="S1091" s="11"/>
      <c r="T1091" s="11"/>
      <c r="U1091" s="11"/>
      <c r="V1091" s="11"/>
      <c r="W1091" s="23"/>
      <c r="X1091" s="11"/>
      <c r="AK1091" s="9"/>
      <c r="AO1091" s="5" t="s">
        <v>3988</v>
      </c>
      <c r="AP1091" s="5">
        <v>920.0</v>
      </c>
      <c r="AQ1091" s="5" t="s">
        <v>1716</v>
      </c>
      <c r="AR1091" s="5" t="s">
        <v>1717</v>
      </c>
      <c r="AS1091" s="5" t="s">
        <v>1718</v>
      </c>
      <c r="AT1091" s="5" t="s">
        <v>1835</v>
      </c>
      <c r="AU1091" s="5" t="s">
        <v>1836</v>
      </c>
      <c r="AV1091" s="5" t="s">
        <v>1720</v>
      </c>
      <c r="AW1091" s="5" t="s">
        <v>2698</v>
      </c>
      <c r="AX1091" s="5" t="s">
        <v>2801</v>
      </c>
      <c r="AY1091" s="5">
        <v>49.6278</v>
      </c>
      <c r="AZ1091" s="5">
        <v>-117.1258</v>
      </c>
      <c r="BA1091" s="5">
        <v>1376.0</v>
      </c>
    </row>
    <row r="1092" ht="14.25" customHeight="1">
      <c r="A1092" s="5" t="s">
        <v>422</v>
      </c>
      <c r="B1092" s="5">
        <v>12.0</v>
      </c>
      <c r="C1092" s="5" t="s">
        <v>7666</v>
      </c>
      <c r="D1092" s="5">
        <v>925.0</v>
      </c>
      <c r="E1092" s="5">
        <v>2306.0</v>
      </c>
      <c r="F1092" s="18" t="s">
        <v>3989</v>
      </c>
      <c r="G1092" s="5" t="s">
        <v>3990</v>
      </c>
      <c r="H1092" s="5" t="s">
        <v>3991</v>
      </c>
      <c r="I1092" s="5" t="s">
        <v>641</v>
      </c>
      <c r="J1092" s="5" t="s">
        <v>1746</v>
      </c>
      <c r="K1092" s="5">
        <v>1.0</v>
      </c>
      <c r="L1092" s="5">
        <v>2709.0</v>
      </c>
      <c r="M1092" s="8"/>
      <c r="AK1092" s="9"/>
      <c r="AO1092" s="5" t="s">
        <v>3989</v>
      </c>
      <c r="AP1092" s="5">
        <v>925.0</v>
      </c>
      <c r="AQ1092" s="5" t="s">
        <v>1716</v>
      </c>
      <c r="AR1092" s="5" t="s">
        <v>1717</v>
      </c>
      <c r="AS1092" s="5" t="s">
        <v>1718</v>
      </c>
      <c r="AT1092" s="5" t="s">
        <v>1835</v>
      </c>
      <c r="AU1092" s="5" t="s">
        <v>1836</v>
      </c>
      <c r="AV1092" s="5" t="s">
        <v>1720</v>
      </c>
      <c r="AW1092" s="5" t="s">
        <v>1705</v>
      </c>
      <c r="AX1092" s="5" t="s">
        <v>1879</v>
      </c>
      <c r="AY1092" s="5">
        <v>50.1169</v>
      </c>
      <c r="AZ1092" s="5">
        <v>-122.9531</v>
      </c>
      <c r="BA1092" s="5">
        <v>678.0</v>
      </c>
    </row>
    <row r="1093" ht="14.25" customHeight="1">
      <c r="A1093" s="5" t="s">
        <v>422</v>
      </c>
      <c r="B1093" s="5">
        <v>12.0</v>
      </c>
      <c r="C1093" s="5" t="s">
        <v>7666</v>
      </c>
      <c r="D1093" s="5">
        <v>926.0</v>
      </c>
      <c r="E1093" s="5">
        <v>2307.0</v>
      </c>
      <c r="F1093" s="18" t="s">
        <v>3992</v>
      </c>
      <c r="G1093" s="69" t="s">
        <v>3993</v>
      </c>
      <c r="H1093" s="5" t="s">
        <v>3991</v>
      </c>
      <c r="I1093" s="5" t="s">
        <v>641</v>
      </c>
      <c r="J1093" s="5" t="s">
        <v>1746</v>
      </c>
      <c r="K1093" s="5">
        <v>1.0</v>
      </c>
      <c r="L1093" s="5">
        <v>2710.0</v>
      </c>
      <c r="M1093" s="8"/>
      <c r="AK1093" s="9"/>
      <c r="AO1093" s="5" t="s">
        <v>3992</v>
      </c>
      <c r="AP1093" s="5">
        <v>926.0</v>
      </c>
      <c r="AQ1093" s="5" t="s">
        <v>1716</v>
      </c>
      <c r="AR1093" s="5" t="s">
        <v>1717</v>
      </c>
      <c r="AS1093" s="5" t="s">
        <v>1718</v>
      </c>
      <c r="AT1093" s="5" t="s">
        <v>1835</v>
      </c>
      <c r="AU1093" s="5" t="s">
        <v>1836</v>
      </c>
      <c r="AV1093" s="5" t="s">
        <v>1720</v>
      </c>
      <c r="AW1093" s="5" t="s">
        <v>1705</v>
      </c>
      <c r="AX1093" s="5" t="s">
        <v>1879</v>
      </c>
      <c r="AY1093" s="5">
        <v>50.3058</v>
      </c>
      <c r="AZ1093" s="5">
        <v>-122.7292</v>
      </c>
      <c r="BA1093" s="5">
        <v>206.0</v>
      </c>
    </row>
    <row r="1094" ht="14.25" customHeight="1">
      <c r="A1094" s="5" t="s">
        <v>422</v>
      </c>
      <c r="B1094" s="5">
        <v>12.0</v>
      </c>
      <c r="C1094" s="5" t="s">
        <v>7666</v>
      </c>
      <c r="D1094" s="5">
        <v>927.0</v>
      </c>
      <c r="E1094" s="5">
        <v>2308.0</v>
      </c>
      <c r="F1094" s="5" t="s">
        <v>3994</v>
      </c>
      <c r="G1094" s="5" t="s">
        <v>3995</v>
      </c>
      <c r="H1094" s="5" t="s">
        <v>3996</v>
      </c>
      <c r="I1094" s="5" t="s">
        <v>1664</v>
      </c>
      <c r="J1094" s="5" t="s">
        <v>1746</v>
      </c>
      <c r="K1094" s="5">
        <v>1.0</v>
      </c>
      <c r="L1094" s="5">
        <v>2711.0</v>
      </c>
      <c r="M1094" s="8"/>
      <c r="N1094" s="11"/>
      <c r="O1094" s="11"/>
      <c r="P1094" s="11"/>
      <c r="Q1094" s="22"/>
      <c r="R1094" s="11"/>
      <c r="S1094" s="11"/>
      <c r="T1094" s="11"/>
      <c r="U1094" s="11"/>
      <c r="V1094" s="11"/>
      <c r="W1094" s="23"/>
      <c r="X1094" s="11"/>
      <c r="AK1094" s="9"/>
      <c r="AO1094" s="5" t="s">
        <v>3997</v>
      </c>
      <c r="AP1094" s="5">
        <v>927.0</v>
      </c>
      <c r="AQ1094" s="5" t="s">
        <v>1716</v>
      </c>
      <c r="AR1094" s="5" t="s">
        <v>1717</v>
      </c>
      <c r="AS1094" s="5" t="s">
        <v>2257</v>
      </c>
      <c r="AT1094" s="5" t="s">
        <v>1719</v>
      </c>
      <c r="AU1094" s="5" t="s">
        <v>3668</v>
      </c>
      <c r="AW1094" s="5" t="s">
        <v>2003</v>
      </c>
      <c r="AX1094" s="5" t="s">
        <v>2258</v>
      </c>
      <c r="AY1094" s="5">
        <v>52.2502</v>
      </c>
      <c r="AZ1094" s="5">
        <v>-119.0256</v>
      </c>
      <c r="BA1094" s="5">
        <v>1109.0</v>
      </c>
    </row>
    <row r="1095" ht="14.25" customHeight="1">
      <c r="A1095" s="5" t="s">
        <v>422</v>
      </c>
      <c r="B1095" s="5">
        <v>12.0</v>
      </c>
      <c r="C1095" s="5" t="s">
        <v>7666</v>
      </c>
      <c r="D1095" s="5">
        <v>928.0</v>
      </c>
      <c r="E1095" s="5">
        <v>2309.0</v>
      </c>
      <c r="F1095" s="5" t="s">
        <v>3998</v>
      </c>
      <c r="G1095" s="5" t="s">
        <v>3999</v>
      </c>
      <c r="H1095" s="5" t="s">
        <v>4000</v>
      </c>
      <c r="I1095" s="5" t="s">
        <v>1664</v>
      </c>
      <c r="J1095" s="5" t="s">
        <v>1746</v>
      </c>
      <c r="K1095" s="5">
        <v>1.0</v>
      </c>
      <c r="L1095" s="5">
        <v>2712.0</v>
      </c>
      <c r="M1095" s="8"/>
      <c r="N1095" s="11"/>
      <c r="O1095" s="11"/>
      <c r="P1095" s="11"/>
      <c r="Q1095" s="72"/>
      <c r="R1095" s="11"/>
      <c r="S1095" s="11"/>
      <c r="T1095" s="11"/>
      <c r="U1095" s="11"/>
      <c r="V1095" s="11"/>
      <c r="W1095" s="60"/>
      <c r="X1095" s="11"/>
      <c r="AK1095" s="9"/>
      <c r="AO1095" s="5" t="s">
        <v>4001</v>
      </c>
      <c r="AP1095" s="5">
        <v>928.0</v>
      </c>
      <c r="AQ1095" s="5" t="s">
        <v>1716</v>
      </c>
      <c r="AR1095" s="5" t="s">
        <v>1717</v>
      </c>
      <c r="AS1095" s="5" t="s">
        <v>2257</v>
      </c>
      <c r="AT1095" s="5" t="s">
        <v>1719</v>
      </c>
      <c r="AU1095" s="5" t="s">
        <v>3668</v>
      </c>
      <c r="AW1095" s="5" t="s">
        <v>2003</v>
      </c>
      <c r="AX1095" s="5" t="s">
        <v>2258</v>
      </c>
      <c r="AY1095" s="5">
        <v>52.4697</v>
      </c>
      <c r="AZ1095" s="5">
        <v>-119.2868</v>
      </c>
      <c r="BA1095" s="5">
        <v>1160.0</v>
      </c>
    </row>
    <row r="1096" ht="14.25" customHeight="1">
      <c r="A1096" s="5" t="s">
        <v>422</v>
      </c>
      <c r="B1096" s="5">
        <v>12.0</v>
      </c>
      <c r="C1096" s="5" t="s">
        <v>7666</v>
      </c>
      <c r="D1096" s="5">
        <v>929.0</v>
      </c>
      <c r="E1096" s="5">
        <v>2310.0</v>
      </c>
      <c r="F1096" s="5" t="s">
        <v>4002</v>
      </c>
      <c r="G1096" s="5" t="s">
        <v>4003</v>
      </c>
      <c r="H1096" s="5" t="s">
        <v>4004</v>
      </c>
      <c r="I1096" s="5" t="s">
        <v>1664</v>
      </c>
      <c r="J1096" s="5" t="s">
        <v>1746</v>
      </c>
      <c r="K1096" s="5">
        <v>1.0</v>
      </c>
      <c r="L1096" s="5">
        <v>2713.0</v>
      </c>
      <c r="M1096" s="8"/>
      <c r="N1096" s="11"/>
      <c r="O1096" s="11"/>
      <c r="P1096" s="11"/>
      <c r="Q1096" s="22"/>
      <c r="R1096" s="11"/>
      <c r="S1096" s="11"/>
      <c r="T1096" s="11"/>
      <c r="U1096" s="11"/>
      <c r="V1096" s="11"/>
      <c r="W1096" s="23"/>
      <c r="X1096" s="11"/>
      <c r="AK1096" s="9"/>
      <c r="AO1096" s="5" t="s">
        <v>4005</v>
      </c>
      <c r="AP1096" s="5">
        <v>929.0</v>
      </c>
      <c r="AQ1096" s="5" t="s">
        <v>1716</v>
      </c>
      <c r="AR1096" s="5" t="s">
        <v>1717</v>
      </c>
      <c r="AS1096" s="5" t="s">
        <v>2257</v>
      </c>
      <c r="AT1096" s="5" t="s">
        <v>1719</v>
      </c>
      <c r="AU1096" s="5" t="s">
        <v>3668</v>
      </c>
      <c r="AW1096" s="5" t="s">
        <v>2003</v>
      </c>
      <c r="AX1096" s="5" t="s">
        <v>2258</v>
      </c>
      <c r="AY1096" s="5">
        <v>52.8415</v>
      </c>
      <c r="AZ1096" s="5">
        <v>-119.7708</v>
      </c>
      <c r="BA1096" s="5">
        <v>1070.0</v>
      </c>
    </row>
    <row r="1097" ht="14.25" customHeight="1">
      <c r="A1097" s="5" t="s">
        <v>2037</v>
      </c>
      <c r="B1097" s="5">
        <v>12.0</v>
      </c>
      <c r="C1097" s="5" t="s">
        <v>7666</v>
      </c>
      <c r="D1097" s="5">
        <v>930.0</v>
      </c>
      <c r="E1097" s="5">
        <v>2311.0</v>
      </c>
      <c r="F1097" s="5" t="s">
        <v>4006</v>
      </c>
      <c r="G1097" s="5" t="s">
        <v>4007</v>
      </c>
      <c r="H1097" s="5" t="s">
        <v>4008</v>
      </c>
      <c r="I1097" s="5" t="s">
        <v>641</v>
      </c>
      <c r="J1097" s="5" t="s">
        <v>1746</v>
      </c>
      <c r="K1097" s="5">
        <v>1.0</v>
      </c>
      <c r="L1097" s="5">
        <v>2714.0</v>
      </c>
      <c r="M1097" s="8">
        <v>49.6551</v>
      </c>
      <c r="N1097" s="11">
        <v>-121.35807</v>
      </c>
      <c r="O1097" s="11" t="s">
        <v>51</v>
      </c>
      <c r="P1097" s="16">
        <v>977.0</v>
      </c>
      <c r="Q1097" s="22">
        <v>4.0</v>
      </c>
      <c r="R1097" s="11" t="s">
        <v>4009</v>
      </c>
      <c r="S1097" s="11" t="s">
        <v>1737</v>
      </c>
      <c r="T1097" s="11">
        <v>630.0</v>
      </c>
      <c r="U1097" s="11"/>
      <c r="V1097" s="11"/>
      <c r="W1097" s="23">
        <v>39219.0</v>
      </c>
      <c r="X1097" s="11" t="s">
        <v>1738</v>
      </c>
      <c r="AK1097" s="9"/>
      <c r="AO1097" s="5" t="s">
        <v>4010</v>
      </c>
      <c r="AP1097" s="5">
        <v>930.0</v>
      </c>
      <c r="AQ1097" s="5" t="s">
        <v>1716</v>
      </c>
      <c r="AR1097" s="5" t="s">
        <v>1717</v>
      </c>
      <c r="AS1097" s="5" t="s">
        <v>1718</v>
      </c>
      <c r="AT1097" s="5" t="s">
        <v>1719</v>
      </c>
      <c r="AU1097" s="5" t="s">
        <v>1959</v>
      </c>
      <c r="AV1097" s="5" t="s">
        <v>1720</v>
      </c>
      <c r="AW1097" s="5" t="s">
        <v>2193</v>
      </c>
      <c r="AX1097" s="5" t="s">
        <v>2291</v>
      </c>
      <c r="AY1097" s="5">
        <v>52.076</v>
      </c>
      <c r="AZ1097" s="5">
        <v>-122.082</v>
      </c>
      <c r="BA1097" s="5">
        <v>920.0</v>
      </c>
    </row>
    <row r="1098" ht="14.25" customHeight="1">
      <c r="A1098" s="5" t="s">
        <v>422</v>
      </c>
      <c r="B1098" s="5">
        <v>12.0</v>
      </c>
      <c r="C1098" s="5" t="s">
        <v>7666</v>
      </c>
      <c r="D1098" s="5">
        <v>931.0</v>
      </c>
      <c r="E1098" s="5">
        <v>2312.0</v>
      </c>
      <c r="F1098" s="18" t="s">
        <v>4011</v>
      </c>
      <c r="G1098" s="5" t="s">
        <v>4012</v>
      </c>
      <c r="H1098" s="5" t="s">
        <v>4013</v>
      </c>
      <c r="I1098" s="5" t="s">
        <v>641</v>
      </c>
      <c r="J1098" s="5" t="s">
        <v>1746</v>
      </c>
      <c r="K1098" s="5">
        <v>1.0</v>
      </c>
      <c r="L1098" s="5">
        <v>2715.0</v>
      </c>
      <c r="M1098" s="8"/>
      <c r="AK1098" s="9"/>
      <c r="AO1098" s="5" t="s">
        <v>4011</v>
      </c>
      <c r="AP1098" s="5">
        <v>931.0</v>
      </c>
      <c r="AQ1098" s="5" t="s">
        <v>1716</v>
      </c>
      <c r="AR1098" s="5" t="s">
        <v>1717</v>
      </c>
      <c r="AS1098" s="5" t="s">
        <v>1718</v>
      </c>
      <c r="AT1098" s="5" t="s">
        <v>1835</v>
      </c>
      <c r="AU1098" s="5" t="s">
        <v>1836</v>
      </c>
      <c r="AV1098" s="5" t="s">
        <v>1720</v>
      </c>
      <c r="AX1098" s="5" t="s">
        <v>1706</v>
      </c>
      <c r="AY1098" s="5">
        <v>49.2119</v>
      </c>
      <c r="AZ1098" s="5">
        <v>-124.4106</v>
      </c>
      <c r="BA1098" s="5">
        <v>309.0</v>
      </c>
    </row>
    <row r="1099" ht="14.25" customHeight="1">
      <c r="A1099" s="5" t="s">
        <v>422</v>
      </c>
      <c r="B1099" s="5">
        <v>12.0</v>
      </c>
      <c r="C1099" s="5" t="s">
        <v>7666</v>
      </c>
      <c r="D1099" s="5">
        <v>932.0</v>
      </c>
      <c r="E1099" s="5">
        <v>2313.0</v>
      </c>
      <c r="F1099" s="18" t="s">
        <v>4014</v>
      </c>
      <c r="G1099" s="5" t="s">
        <v>4015</v>
      </c>
      <c r="H1099" s="5" t="s">
        <v>4016</v>
      </c>
      <c r="I1099" s="5" t="s">
        <v>641</v>
      </c>
      <c r="J1099" s="5" t="s">
        <v>1746</v>
      </c>
      <c r="K1099" s="5">
        <v>1.0</v>
      </c>
      <c r="L1099" s="5">
        <v>2716.0</v>
      </c>
      <c r="M1099" s="8"/>
      <c r="AK1099" s="9"/>
      <c r="AO1099" s="5" t="s">
        <v>4014</v>
      </c>
      <c r="AP1099" s="5">
        <v>932.0</v>
      </c>
      <c r="AQ1099" s="5" t="s">
        <v>1716</v>
      </c>
      <c r="AR1099" s="5" t="s">
        <v>1717</v>
      </c>
      <c r="AS1099" s="5" t="s">
        <v>1718</v>
      </c>
      <c r="AT1099" s="5" t="s">
        <v>1835</v>
      </c>
      <c r="AU1099" s="5" t="s">
        <v>1836</v>
      </c>
      <c r="AV1099" s="5" t="s">
        <v>1720</v>
      </c>
      <c r="AX1099" s="5" t="s">
        <v>1706</v>
      </c>
      <c r="AY1099" s="5">
        <v>49.2283</v>
      </c>
      <c r="AZ1099" s="5">
        <v>-124.0147</v>
      </c>
      <c r="BA1099" s="5">
        <v>156.0</v>
      </c>
    </row>
    <row r="1100" ht="14.25" customHeight="1">
      <c r="A1100" s="5" t="s">
        <v>422</v>
      </c>
      <c r="B1100" s="5">
        <v>12.0</v>
      </c>
      <c r="C1100" s="5" t="s">
        <v>7666</v>
      </c>
      <c r="D1100" s="5">
        <v>933.0</v>
      </c>
      <c r="E1100" s="5">
        <v>2314.0</v>
      </c>
      <c r="F1100" s="5" t="s">
        <v>4017</v>
      </c>
      <c r="G1100" s="5" t="s">
        <v>4018</v>
      </c>
      <c r="H1100" s="5" t="s">
        <v>4019</v>
      </c>
      <c r="I1100" s="5" t="s">
        <v>641</v>
      </c>
      <c r="J1100" s="5" t="s">
        <v>1746</v>
      </c>
      <c r="K1100" s="5">
        <v>1.0</v>
      </c>
      <c r="L1100" s="5">
        <v>2717.0</v>
      </c>
      <c r="M1100" s="8"/>
      <c r="AK1100" s="9"/>
      <c r="AO1100" s="5" t="s">
        <v>4020</v>
      </c>
      <c r="AP1100" s="5">
        <v>933.0</v>
      </c>
      <c r="AQ1100" s="5" t="s">
        <v>1716</v>
      </c>
      <c r="AR1100" s="5" t="s">
        <v>1717</v>
      </c>
      <c r="AS1100" s="5" t="s">
        <v>1718</v>
      </c>
      <c r="AT1100" s="5" t="s">
        <v>1719</v>
      </c>
      <c r="AU1100" s="5" t="s">
        <v>1959</v>
      </c>
      <c r="AV1100" s="5" t="s">
        <v>1720</v>
      </c>
      <c r="AW1100" s="5" t="s">
        <v>2698</v>
      </c>
      <c r="AX1100" s="5" t="s">
        <v>2902</v>
      </c>
      <c r="AY1100" s="5">
        <v>49.0317</v>
      </c>
      <c r="AZ1100" s="5">
        <v>-115.2127</v>
      </c>
      <c r="BA1100" s="5">
        <v>794.0</v>
      </c>
    </row>
    <row r="1101" ht="14.25" customHeight="1">
      <c r="A1101" s="5" t="s">
        <v>1908</v>
      </c>
      <c r="B1101" s="5">
        <v>12.0</v>
      </c>
      <c r="C1101" s="5" t="s">
        <v>7666</v>
      </c>
      <c r="D1101" s="5">
        <v>934.0</v>
      </c>
      <c r="E1101" s="5">
        <v>2315.0</v>
      </c>
      <c r="F1101" s="5" t="s">
        <v>4021</v>
      </c>
      <c r="G1101" s="10" t="s">
        <v>4022</v>
      </c>
      <c r="H1101" s="5" t="s">
        <v>4023</v>
      </c>
      <c r="I1101" s="5" t="s">
        <v>641</v>
      </c>
      <c r="J1101" s="5" t="s">
        <v>1891</v>
      </c>
      <c r="K1101" s="5">
        <v>1.0</v>
      </c>
      <c r="L1101" s="5">
        <v>2718.0</v>
      </c>
      <c r="M1101" s="8">
        <v>48.82288</v>
      </c>
      <c r="N1101" s="5">
        <v>-124.13708</v>
      </c>
      <c r="O1101" s="5" t="s">
        <v>183</v>
      </c>
      <c r="P1101" s="5">
        <v>934.0</v>
      </c>
      <c r="Q1101" s="5">
        <v>4.0</v>
      </c>
      <c r="R1101" s="5" t="s">
        <v>4021</v>
      </c>
      <c r="S1101" s="5" t="s">
        <v>1737</v>
      </c>
      <c r="T1101" s="5">
        <v>183.0</v>
      </c>
      <c r="U1101" s="5" t="s">
        <v>645</v>
      </c>
      <c r="W1101" s="5">
        <v>38840.0</v>
      </c>
      <c r="X1101" s="5" t="s">
        <v>1738</v>
      </c>
      <c r="AK1101" s="9"/>
      <c r="AO1101" s="5" t="s">
        <v>4021</v>
      </c>
      <c r="AP1101" s="5">
        <v>934.0</v>
      </c>
      <c r="AQ1101" s="5" t="s">
        <v>1700</v>
      </c>
      <c r="AR1101" s="5" t="s">
        <v>1739</v>
      </c>
      <c r="AS1101" s="5" t="s">
        <v>1740</v>
      </c>
      <c r="AT1101" s="5" t="s">
        <v>1835</v>
      </c>
      <c r="AU1101" s="5" t="s">
        <v>1772</v>
      </c>
      <c r="AV1101" s="5" t="s">
        <v>1720</v>
      </c>
      <c r="AW1101" s="5" t="s">
        <v>1705</v>
      </c>
      <c r="AX1101" s="5" t="s">
        <v>1747</v>
      </c>
      <c r="AY1101" s="5">
        <v>48.8228</v>
      </c>
      <c r="AZ1101" s="5">
        <v>-124.1371</v>
      </c>
      <c r="BA1101" s="5">
        <v>185.0</v>
      </c>
    </row>
    <row r="1102" ht="14.25" customHeight="1">
      <c r="A1102" s="5" t="s">
        <v>422</v>
      </c>
      <c r="B1102" s="5">
        <v>12.0</v>
      </c>
      <c r="C1102" s="5" t="s">
        <v>7666</v>
      </c>
      <c r="D1102" s="5">
        <v>936.0</v>
      </c>
      <c r="E1102" s="5">
        <v>2316.0</v>
      </c>
      <c r="F1102" s="5" t="s">
        <v>4024</v>
      </c>
      <c r="G1102" s="5" t="s">
        <v>4025</v>
      </c>
      <c r="H1102" s="5" t="s">
        <v>4026</v>
      </c>
      <c r="I1102" s="5" t="s">
        <v>641</v>
      </c>
      <c r="J1102" s="5" t="s">
        <v>1746</v>
      </c>
      <c r="K1102" s="5">
        <v>1.0</v>
      </c>
      <c r="L1102" s="5">
        <v>2719.0</v>
      </c>
      <c r="M1102" s="8"/>
      <c r="AK1102" s="9"/>
      <c r="AO1102" s="5" t="s">
        <v>4027</v>
      </c>
      <c r="AP1102" s="5">
        <v>936.0</v>
      </c>
      <c r="AQ1102" s="5" t="s">
        <v>1716</v>
      </c>
      <c r="AR1102" s="5" t="s">
        <v>1717</v>
      </c>
      <c r="AS1102" s="5" t="s">
        <v>1718</v>
      </c>
      <c r="AT1102" s="5" t="s">
        <v>1835</v>
      </c>
      <c r="AU1102" s="5" t="s">
        <v>1836</v>
      </c>
      <c r="AV1102" s="5" t="s">
        <v>1720</v>
      </c>
      <c r="AW1102" s="5" t="s">
        <v>2698</v>
      </c>
      <c r="AX1102" s="5" t="s">
        <v>2797</v>
      </c>
      <c r="AY1102" s="5">
        <v>49.984</v>
      </c>
      <c r="AZ1102" s="5">
        <v>-117.3749</v>
      </c>
      <c r="BA1102" s="5">
        <v>549.0</v>
      </c>
    </row>
    <row r="1103" ht="14.25" customHeight="1">
      <c r="A1103" s="5" t="s">
        <v>1908</v>
      </c>
      <c r="B1103" s="5">
        <v>12.0</v>
      </c>
      <c r="C1103" s="5" t="s">
        <v>7666</v>
      </c>
      <c r="D1103" s="5">
        <v>938.0</v>
      </c>
      <c r="E1103" s="5">
        <v>2317.0</v>
      </c>
      <c r="F1103" s="5" t="s">
        <v>4028</v>
      </c>
      <c r="G1103" s="10" t="s">
        <v>4029</v>
      </c>
      <c r="H1103" s="5" t="s">
        <v>4030</v>
      </c>
      <c r="I1103" s="5" t="s">
        <v>641</v>
      </c>
      <c r="J1103" s="5" t="s">
        <v>1891</v>
      </c>
      <c r="K1103" s="5">
        <v>1.0</v>
      </c>
      <c r="L1103" s="5">
        <v>2720.0</v>
      </c>
      <c r="M1103" s="8">
        <v>54.68377</v>
      </c>
      <c r="N1103" s="5">
        <v>-127.32582</v>
      </c>
      <c r="O1103" s="5" t="s">
        <v>148</v>
      </c>
      <c r="P1103" s="5">
        <v>938.0</v>
      </c>
      <c r="Q1103" s="5">
        <v>7.0</v>
      </c>
      <c r="R1103" s="5" t="s">
        <v>4028</v>
      </c>
      <c r="S1103" s="5" t="s">
        <v>1737</v>
      </c>
      <c r="T1103" s="5">
        <v>1320.0</v>
      </c>
      <c r="W1103" s="5">
        <v>38867.0</v>
      </c>
      <c r="X1103" s="5" t="s">
        <v>1738</v>
      </c>
      <c r="AK1103" s="9"/>
      <c r="AO1103" s="5" t="s">
        <v>4028</v>
      </c>
      <c r="AP1103" s="5">
        <v>938.0</v>
      </c>
      <c r="AQ1103" s="5" t="s">
        <v>1716</v>
      </c>
      <c r="AR1103" s="5" t="s">
        <v>1739</v>
      </c>
      <c r="AS1103" s="5" t="s">
        <v>1740</v>
      </c>
      <c r="AT1103" s="5" t="s">
        <v>1741</v>
      </c>
      <c r="AU1103" s="5" t="s">
        <v>1742</v>
      </c>
      <c r="AV1103" s="5" t="s">
        <v>1720</v>
      </c>
      <c r="AW1103" s="5" t="s">
        <v>1947</v>
      </c>
      <c r="AX1103" s="5" t="s">
        <v>2133</v>
      </c>
      <c r="AY1103" s="5">
        <v>54.683</v>
      </c>
      <c r="AZ1103" s="5">
        <v>-127.3234</v>
      </c>
      <c r="BA1103" s="5">
        <v>1300.0</v>
      </c>
    </row>
    <row r="1104" ht="14.25" customHeight="1">
      <c r="A1104" s="5" t="s">
        <v>422</v>
      </c>
      <c r="B1104" s="5">
        <v>12.0</v>
      </c>
      <c r="C1104" s="5" t="s">
        <v>7666</v>
      </c>
      <c r="D1104" s="5">
        <v>939.0</v>
      </c>
      <c r="E1104" s="5">
        <v>2318.0</v>
      </c>
      <c r="F1104" s="18" t="s">
        <v>4031</v>
      </c>
      <c r="G1104" s="5" t="s">
        <v>4032</v>
      </c>
      <c r="H1104" s="5" t="s">
        <v>4033</v>
      </c>
      <c r="I1104" s="5" t="s">
        <v>641</v>
      </c>
      <c r="J1104" s="5" t="s">
        <v>1746</v>
      </c>
      <c r="K1104" s="5">
        <v>1.0</v>
      </c>
      <c r="L1104" s="5">
        <v>2721.0</v>
      </c>
      <c r="M1104" s="8"/>
      <c r="AK1104" s="9"/>
      <c r="AO1104" s="5" t="s">
        <v>4031</v>
      </c>
      <c r="AP1104" s="5">
        <v>939.0</v>
      </c>
      <c r="AQ1104" s="5" t="s">
        <v>1716</v>
      </c>
      <c r="AR1104" s="5" t="s">
        <v>1717</v>
      </c>
      <c r="AS1104" s="5" t="s">
        <v>1718</v>
      </c>
      <c r="AT1104" s="5" t="s">
        <v>1835</v>
      </c>
      <c r="AU1104" s="5" t="s">
        <v>1836</v>
      </c>
      <c r="AW1104" s="5" t="s">
        <v>2003</v>
      </c>
      <c r="AX1104" s="5" t="s">
        <v>2024</v>
      </c>
      <c r="AY1104" s="5">
        <v>54.6322</v>
      </c>
      <c r="AZ1104" s="5">
        <v>-120.6306</v>
      </c>
      <c r="BA1104" s="5">
        <v>1241.0</v>
      </c>
    </row>
    <row r="1105" ht="14.25" customHeight="1">
      <c r="A1105" s="5" t="s">
        <v>422</v>
      </c>
      <c r="B1105" s="5">
        <v>12.0</v>
      </c>
      <c r="C1105" s="5" t="s">
        <v>7666</v>
      </c>
      <c r="D1105" s="5">
        <v>942.0</v>
      </c>
      <c r="E1105" s="5">
        <v>2319.0</v>
      </c>
      <c r="F1105" s="5" t="s">
        <v>4034</v>
      </c>
      <c r="G1105" s="5" t="s">
        <v>4035</v>
      </c>
      <c r="H1105" s="5" t="s">
        <v>4036</v>
      </c>
      <c r="I1105" s="5" t="s">
        <v>641</v>
      </c>
      <c r="J1105" s="5" t="s">
        <v>1746</v>
      </c>
      <c r="K1105" s="5">
        <v>1.0</v>
      </c>
      <c r="L1105" s="5">
        <v>2722.0</v>
      </c>
      <c r="M1105" s="8"/>
      <c r="AK1105" s="9"/>
      <c r="AO1105" s="5" t="s">
        <v>4037</v>
      </c>
      <c r="AP1105" s="5">
        <v>942.0</v>
      </c>
      <c r="AQ1105" s="5" t="s">
        <v>1716</v>
      </c>
      <c r="AR1105" s="5" t="s">
        <v>1717</v>
      </c>
      <c r="AS1105" s="5" t="s">
        <v>1718</v>
      </c>
      <c r="AT1105" s="5" t="s">
        <v>1835</v>
      </c>
      <c r="AU1105" s="5" t="s">
        <v>1836</v>
      </c>
      <c r="AW1105" s="5" t="s">
        <v>1947</v>
      </c>
      <c r="AX1105" s="5" t="s">
        <v>2091</v>
      </c>
      <c r="AY1105" s="5">
        <v>53.2873</v>
      </c>
      <c r="AZ1105" s="5">
        <v>-123.4456</v>
      </c>
      <c r="BA1105" s="5">
        <v>1039.0</v>
      </c>
    </row>
    <row r="1106" ht="14.25" customHeight="1">
      <c r="A1106" s="5" t="s">
        <v>422</v>
      </c>
      <c r="B1106" s="5">
        <v>12.0</v>
      </c>
      <c r="C1106" s="5" t="s">
        <v>7666</v>
      </c>
      <c r="D1106" s="5">
        <v>943.0</v>
      </c>
      <c r="E1106" s="5">
        <v>2320.0</v>
      </c>
      <c r="F1106" s="5" t="s">
        <v>4038</v>
      </c>
      <c r="G1106" s="5" t="s">
        <v>4039</v>
      </c>
      <c r="H1106" s="5" t="s">
        <v>4040</v>
      </c>
      <c r="I1106" s="5" t="s">
        <v>641</v>
      </c>
      <c r="J1106" s="5" t="s">
        <v>1746</v>
      </c>
      <c r="K1106" s="5">
        <v>1.0</v>
      </c>
      <c r="L1106" s="5">
        <v>2723.0</v>
      </c>
      <c r="M1106" s="8"/>
      <c r="N1106" s="11"/>
      <c r="O1106" s="11"/>
      <c r="P1106" s="11"/>
      <c r="Q1106" s="22"/>
      <c r="R1106" s="11"/>
      <c r="S1106" s="11"/>
      <c r="T1106" s="11"/>
      <c r="U1106" s="11"/>
      <c r="V1106" s="11"/>
      <c r="W1106" s="23"/>
      <c r="X1106" s="11"/>
      <c r="AK1106" s="9"/>
      <c r="AO1106" s="5" t="s">
        <v>4041</v>
      </c>
      <c r="AP1106" s="5">
        <v>943.0</v>
      </c>
      <c r="AQ1106" s="5" t="s">
        <v>1716</v>
      </c>
      <c r="AR1106" s="5" t="s">
        <v>1717</v>
      </c>
      <c r="AS1106" s="5" t="s">
        <v>1718</v>
      </c>
      <c r="AT1106" s="5" t="s">
        <v>1835</v>
      </c>
      <c r="AU1106" s="5" t="s">
        <v>1836</v>
      </c>
      <c r="AV1106" s="5" t="s">
        <v>1720</v>
      </c>
      <c r="AW1106" s="5" t="s">
        <v>2368</v>
      </c>
      <c r="AX1106" s="5" t="s">
        <v>2522</v>
      </c>
      <c r="AY1106" s="5">
        <v>50.4725</v>
      </c>
      <c r="AZ1106" s="5">
        <v>-119.5606</v>
      </c>
      <c r="BA1106" s="5">
        <v>1281.0</v>
      </c>
    </row>
    <row r="1107" ht="14.25" customHeight="1">
      <c r="A1107" s="5" t="s">
        <v>88</v>
      </c>
      <c r="B1107" s="5">
        <v>12.0</v>
      </c>
      <c r="C1107" s="5" t="s">
        <v>7666</v>
      </c>
      <c r="D1107" s="5">
        <v>944.0</v>
      </c>
      <c r="E1107" s="5">
        <v>2321.0</v>
      </c>
      <c r="F1107" s="5" t="s">
        <v>4042</v>
      </c>
      <c r="G1107" s="70" t="s">
        <v>4043</v>
      </c>
      <c r="H1107" s="5" t="s">
        <v>4044</v>
      </c>
      <c r="I1107" s="5" t="s">
        <v>641</v>
      </c>
      <c r="J1107" s="5" t="s">
        <v>1829</v>
      </c>
      <c r="K1107" s="5">
        <v>1.0</v>
      </c>
      <c r="L1107" s="5">
        <v>2724.0</v>
      </c>
      <c r="M1107" s="8">
        <v>48.57111</v>
      </c>
      <c r="N1107" s="11">
        <v>-124.20056</v>
      </c>
      <c r="O1107" s="11" t="s">
        <v>51</v>
      </c>
      <c r="P1107" s="11">
        <v>944.0</v>
      </c>
      <c r="Q1107" s="22">
        <v>2.0</v>
      </c>
      <c r="R1107" s="11" t="s">
        <v>4042</v>
      </c>
      <c r="S1107" s="11" t="s">
        <v>4045</v>
      </c>
      <c r="T1107" s="11">
        <v>296.0</v>
      </c>
      <c r="U1107" s="11"/>
      <c r="V1107" s="11"/>
      <c r="W1107" s="23">
        <v>38923.0</v>
      </c>
      <c r="X1107" s="11" t="s">
        <v>1738</v>
      </c>
      <c r="AK1107" s="9"/>
      <c r="AO1107" s="5" t="s">
        <v>4042</v>
      </c>
      <c r="AP1107" s="5">
        <v>944.0</v>
      </c>
      <c r="AQ1107" s="5" t="s">
        <v>1716</v>
      </c>
      <c r="AR1107" s="5" t="s">
        <v>1739</v>
      </c>
      <c r="AS1107" s="5" t="s">
        <v>1740</v>
      </c>
      <c r="AT1107" s="5" t="s">
        <v>1741</v>
      </c>
      <c r="AU1107" s="5" t="s">
        <v>1742</v>
      </c>
      <c r="AV1107" s="5" t="s">
        <v>1720</v>
      </c>
      <c r="AW1107" s="5" t="s">
        <v>1705</v>
      </c>
      <c r="AX1107" s="5" t="s">
        <v>1747</v>
      </c>
      <c r="AY1107" s="5">
        <v>48.5713</v>
      </c>
      <c r="AZ1107" s="5">
        <v>-124.2</v>
      </c>
      <c r="BA1107" s="5">
        <v>294.0</v>
      </c>
    </row>
    <row r="1108" ht="14.25" customHeight="1">
      <c r="A1108" s="5" t="s">
        <v>88</v>
      </c>
      <c r="B1108" s="5">
        <v>12.0</v>
      </c>
      <c r="C1108" s="5" t="s">
        <v>7666</v>
      </c>
      <c r="D1108" s="5">
        <v>945.0</v>
      </c>
      <c r="E1108" s="5">
        <v>2322.0</v>
      </c>
      <c r="F1108" s="5" t="s">
        <v>4046</v>
      </c>
      <c r="G1108" s="10" t="s">
        <v>4047</v>
      </c>
      <c r="H1108" s="5" t="s">
        <v>4048</v>
      </c>
      <c r="I1108" s="5" t="s">
        <v>641</v>
      </c>
      <c r="J1108" s="5" t="s">
        <v>1829</v>
      </c>
      <c r="K1108" s="5">
        <v>1.0</v>
      </c>
      <c r="L1108" s="5">
        <v>2725.0</v>
      </c>
      <c r="M1108" s="8">
        <v>50.37013</v>
      </c>
      <c r="N1108" s="11">
        <v>-126.43393</v>
      </c>
      <c r="O1108" s="11" t="s">
        <v>51</v>
      </c>
      <c r="P1108" s="11">
        <v>945.0</v>
      </c>
      <c r="Q1108" s="22">
        <v>3.0</v>
      </c>
      <c r="R1108" s="11" t="s">
        <v>4046</v>
      </c>
      <c r="S1108" s="11" t="s">
        <v>4045</v>
      </c>
      <c r="T1108" s="11">
        <v>515.0</v>
      </c>
      <c r="U1108" s="11"/>
      <c r="V1108" s="11"/>
      <c r="W1108" s="23">
        <v>38938.0</v>
      </c>
      <c r="X1108" s="11" t="s">
        <v>1738</v>
      </c>
      <c r="AK1108" s="9"/>
      <c r="AO1108" s="5" t="s">
        <v>4046</v>
      </c>
      <c r="AP1108" s="5">
        <v>945.0</v>
      </c>
      <c r="AQ1108" s="5" t="s">
        <v>1716</v>
      </c>
      <c r="AR1108" s="5" t="s">
        <v>1739</v>
      </c>
      <c r="AS1108" s="5" t="s">
        <v>1740</v>
      </c>
      <c r="AT1108" s="5" t="s">
        <v>1741</v>
      </c>
      <c r="AU1108" s="5" t="s">
        <v>1742</v>
      </c>
      <c r="AV1108" s="5" t="s">
        <v>1720</v>
      </c>
      <c r="AW1108" s="5" t="s">
        <v>1705</v>
      </c>
      <c r="AX1108" s="5" t="s">
        <v>1723</v>
      </c>
      <c r="AY1108" s="5">
        <v>50.3701</v>
      </c>
      <c r="AZ1108" s="5">
        <v>-126.4339</v>
      </c>
      <c r="BA1108" s="5">
        <v>515.0</v>
      </c>
    </row>
    <row r="1109" ht="14.25" customHeight="1">
      <c r="A1109" s="5" t="s">
        <v>422</v>
      </c>
      <c r="B1109" s="5">
        <v>12.0</v>
      </c>
      <c r="C1109" s="5" t="s">
        <v>7666</v>
      </c>
      <c r="D1109" s="5">
        <v>946.0</v>
      </c>
      <c r="E1109" s="5">
        <v>2323.0</v>
      </c>
      <c r="F1109" s="18" t="s">
        <v>4049</v>
      </c>
      <c r="G1109" s="5" t="s">
        <v>4050</v>
      </c>
      <c r="H1109" s="5" t="s">
        <v>4051</v>
      </c>
      <c r="I1109" s="5" t="s">
        <v>641</v>
      </c>
      <c r="J1109" s="5" t="s">
        <v>1746</v>
      </c>
      <c r="K1109" s="5">
        <v>1.0</v>
      </c>
      <c r="L1109" s="5">
        <v>2726.0</v>
      </c>
      <c r="M1109" s="8"/>
      <c r="AK1109" s="9"/>
      <c r="AO1109" s="5" t="s">
        <v>4049</v>
      </c>
      <c r="AP1109" s="5">
        <v>946.0</v>
      </c>
      <c r="AQ1109" s="5" t="s">
        <v>1716</v>
      </c>
      <c r="AR1109" s="5" t="s">
        <v>1717</v>
      </c>
      <c r="AS1109" s="5" t="s">
        <v>1718</v>
      </c>
      <c r="AT1109" s="5" t="s">
        <v>1835</v>
      </c>
      <c r="AU1109" s="5" t="s">
        <v>1836</v>
      </c>
      <c r="AV1109" s="5" t="s">
        <v>1720</v>
      </c>
      <c r="AW1109" s="5" t="s">
        <v>2368</v>
      </c>
      <c r="AX1109" s="5" t="s">
        <v>2492</v>
      </c>
      <c r="AY1109" s="5">
        <v>49.0625</v>
      </c>
      <c r="AZ1109" s="5">
        <v>-120.5569</v>
      </c>
      <c r="BA1109" s="5">
        <v>1103.0</v>
      </c>
    </row>
    <row r="1110" ht="14.25" customHeight="1">
      <c r="A1110" s="5" t="s">
        <v>422</v>
      </c>
      <c r="B1110" s="5">
        <v>12.0</v>
      </c>
      <c r="C1110" s="5" t="s">
        <v>7666</v>
      </c>
      <c r="D1110" s="5">
        <v>952.0</v>
      </c>
      <c r="E1110" s="5">
        <v>2324.0</v>
      </c>
      <c r="F1110" s="18" t="s">
        <v>4052</v>
      </c>
      <c r="G1110" s="5" t="s">
        <v>4053</v>
      </c>
      <c r="H1110" s="5" t="s">
        <v>4054</v>
      </c>
      <c r="I1110" s="5" t="s">
        <v>641</v>
      </c>
      <c r="J1110" s="5" t="s">
        <v>1746</v>
      </c>
      <c r="K1110" s="5">
        <v>1.0</v>
      </c>
      <c r="L1110" s="5">
        <v>2727.0</v>
      </c>
      <c r="M1110" s="8"/>
      <c r="AK1110" s="9"/>
      <c r="AO1110" s="5" t="s">
        <v>4052</v>
      </c>
      <c r="AP1110" s="5">
        <v>952.0</v>
      </c>
      <c r="AQ1110" s="5" t="s">
        <v>1716</v>
      </c>
      <c r="AR1110" s="5" t="s">
        <v>1717</v>
      </c>
      <c r="AS1110" s="5" t="s">
        <v>1718</v>
      </c>
      <c r="AT1110" s="5" t="s">
        <v>1835</v>
      </c>
      <c r="AU1110" s="5" t="s">
        <v>1836</v>
      </c>
      <c r="AV1110" s="5" t="s">
        <v>1720</v>
      </c>
      <c r="AW1110" s="5" t="s">
        <v>2368</v>
      </c>
      <c r="AX1110" s="5" t="s">
        <v>2492</v>
      </c>
      <c r="AY1110" s="5">
        <v>49.1244</v>
      </c>
      <c r="AZ1110" s="5">
        <v>-120.5019</v>
      </c>
      <c r="BA1110" s="5">
        <v>1553.0</v>
      </c>
    </row>
    <row r="1111" ht="14.25" customHeight="1">
      <c r="B1111" s="5">
        <v>12.0</v>
      </c>
      <c r="C1111" s="5" t="s">
        <v>7666</v>
      </c>
      <c r="D1111" s="5">
        <v>956.0</v>
      </c>
      <c r="E1111" s="5">
        <v>2325.0</v>
      </c>
      <c r="F1111" s="5" t="s">
        <v>4055</v>
      </c>
      <c r="G1111" s="5" t="s">
        <v>4056</v>
      </c>
      <c r="H1111" s="5" t="s">
        <v>4057</v>
      </c>
      <c r="I1111" s="5" t="s">
        <v>641</v>
      </c>
      <c r="J1111" s="5" t="s">
        <v>1829</v>
      </c>
      <c r="K1111" s="5">
        <v>1.0</v>
      </c>
      <c r="L1111" s="5">
        <v>2728.0</v>
      </c>
      <c r="M1111" s="8">
        <v>49.17</v>
      </c>
      <c r="N1111" s="11">
        <v>-125.2825</v>
      </c>
      <c r="O1111" s="11" t="s">
        <v>51</v>
      </c>
      <c r="P1111" s="11">
        <v>956.0</v>
      </c>
      <c r="Q1111" s="22">
        <v>4.0</v>
      </c>
      <c r="R1111" s="11" t="s">
        <v>4055</v>
      </c>
      <c r="S1111" s="11" t="s">
        <v>4045</v>
      </c>
      <c r="T1111" s="11">
        <v>632.0</v>
      </c>
      <c r="U1111" s="11"/>
      <c r="V1111" s="11"/>
      <c r="W1111" s="23">
        <v>39020.0</v>
      </c>
      <c r="X1111" s="11" t="s">
        <v>1738</v>
      </c>
      <c r="AK1111" s="9"/>
      <c r="AO1111" s="5" t="s">
        <v>4055</v>
      </c>
      <c r="AP1111" s="5">
        <v>956.0</v>
      </c>
      <c r="AQ1111" s="5" t="s">
        <v>1716</v>
      </c>
      <c r="AR1111" s="5" t="s">
        <v>1739</v>
      </c>
      <c r="AS1111" s="5" t="s">
        <v>1740</v>
      </c>
      <c r="AT1111" s="5" t="s">
        <v>1835</v>
      </c>
      <c r="AU1111" s="5" t="s">
        <v>1742</v>
      </c>
      <c r="AV1111" s="5" t="s">
        <v>1720</v>
      </c>
      <c r="AW1111" s="5" t="s">
        <v>1705</v>
      </c>
      <c r="AX1111" s="5" t="s">
        <v>1706</v>
      </c>
      <c r="AY1111" s="5">
        <v>49.17</v>
      </c>
      <c r="AZ1111" s="5">
        <v>-125.2825</v>
      </c>
      <c r="BA1111" s="5">
        <v>632.0</v>
      </c>
    </row>
    <row r="1112" ht="14.25" customHeight="1">
      <c r="A1112" s="5" t="s">
        <v>422</v>
      </c>
      <c r="B1112" s="5">
        <v>12.0</v>
      </c>
      <c r="C1112" s="5" t="s">
        <v>7666</v>
      </c>
      <c r="D1112" s="5">
        <v>960.0</v>
      </c>
      <c r="E1112" s="5">
        <v>2326.0</v>
      </c>
      <c r="F1112" s="5" t="s">
        <v>4058</v>
      </c>
      <c r="G1112" s="5" t="s">
        <v>4059</v>
      </c>
      <c r="H1112" s="5" t="s">
        <v>4060</v>
      </c>
      <c r="I1112" s="5" t="s">
        <v>641</v>
      </c>
      <c r="J1112" s="5" t="s">
        <v>1746</v>
      </c>
      <c r="K1112" s="5">
        <v>1.0</v>
      </c>
      <c r="L1112" s="5">
        <v>2729.0</v>
      </c>
      <c r="M1112" s="8"/>
      <c r="N1112" s="11"/>
      <c r="O1112" s="11"/>
      <c r="P1112" s="11"/>
      <c r="Q1112" s="22"/>
      <c r="R1112" s="11"/>
      <c r="S1112" s="11"/>
      <c r="T1112" s="11"/>
      <c r="U1112" s="11"/>
      <c r="V1112" s="11"/>
      <c r="W1112" s="23"/>
      <c r="X1112" s="11"/>
      <c r="AK1112" s="9"/>
      <c r="AO1112" s="5" t="s">
        <v>4061</v>
      </c>
      <c r="AP1112" s="5">
        <v>960.0</v>
      </c>
      <c r="AQ1112" s="5" t="s">
        <v>1716</v>
      </c>
      <c r="AR1112" s="5" t="s">
        <v>1717</v>
      </c>
      <c r="AS1112" s="5" t="s">
        <v>1718</v>
      </c>
      <c r="AT1112" s="5" t="s">
        <v>1835</v>
      </c>
      <c r="AU1112" s="5" t="s">
        <v>1836</v>
      </c>
      <c r="AV1112" s="5" t="s">
        <v>1720</v>
      </c>
      <c r="AW1112" s="5" t="s">
        <v>3863</v>
      </c>
      <c r="AX1112" s="5" t="s">
        <v>1723</v>
      </c>
      <c r="AY1112" s="5">
        <v>49.7104</v>
      </c>
      <c r="AZ1112" s="5">
        <v>-124.9971</v>
      </c>
      <c r="BA1112" s="5">
        <v>37.0</v>
      </c>
    </row>
    <row r="1113" ht="14.25" customHeight="1">
      <c r="A1113" s="5" t="s">
        <v>422</v>
      </c>
      <c r="B1113" s="5">
        <v>12.0</v>
      </c>
      <c r="C1113" s="5" t="s">
        <v>7666</v>
      </c>
      <c r="D1113" s="5">
        <v>962.0</v>
      </c>
      <c r="E1113" s="5">
        <v>2327.0</v>
      </c>
      <c r="F1113" s="5" t="s">
        <v>4062</v>
      </c>
      <c r="G1113" s="5" t="s">
        <v>4063</v>
      </c>
      <c r="H1113" s="5" t="s">
        <v>4064</v>
      </c>
      <c r="I1113" s="5" t="s">
        <v>641</v>
      </c>
      <c r="J1113" s="5" t="s">
        <v>1746</v>
      </c>
      <c r="K1113" s="5">
        <v>1.0</v>
      </c>
      <c r="L1113" s="5">
        <v>2730.0</v>
      </c>
      <c r="M1113" s="8"/>
      <c r="N1113" s="11"/>
      <c r="O1113" s="11"/>
      <c r="P1113" s="11"/>
      <c r="Q1113" s="22"/>
      <c r="R1113" s="11"/>
      <c r="S1113" s="11"/>
      <c r="T1113" s="11"/>
      <c r="U1113" s="11"/>
      <c r="V1113" s="11"/>
      <c r="W1113" s="23"/>
      <c r="X1113" s="11"/>
      <c r="AK1113" s="9"/>
      <c r="AO1113" s="5" t="s">
        <v>4065</v>
      </c>
      <c r="AP1113" s="5">
        <v>962.0</v>
      </c>
      <c r="AQ1113" s="5" t="s">
        <v>1716</v>
      </c>
      <c r="AR1113" s="5" t="s">
        <v>1717</v>
      </c>
      <c r="AS1113" s="5" t="s">
        <v>1718</v>
      </c>
      <c r="AT1113" s="5" t="s">
        <v>1835</v>
      </c>
      <c r="AU1113" s="5" t="s">
        <v>1836</v>
      </c>
      <c r="AV1113" s="5" t="s">
        <v>1720</v>
      </c>
      <c r="AW1113" s="5" t="s">
        <v>1705</v>
      </c>
      <c r="AX1113" s="5" t="s">
        <v>1710</v>
      </c>
      <c r="AY1113" s="5">
        <v>50.0926</v>
      </c>
      <c r="AZ1113" s="5">
        <v>-126.5145</v>
      </c>
      <c r="BA1113" s="5">
        <v>455.0</v>
      </c>
    </row>
    <row r="1114" ht="14.25" customHeight="1">
      <c r="A1114" s="5" t="s">
        <v>1908</v>
      </c>
      <c r="B1114" s="5">
        <v>12.0</v>
      </c>
      <c r="C1114" s="5" t="s">
        <v>7666</v>
      </c>
      <c r="D1114" s="5">
        <v>965.0</v>
      </c>
      <c r="E1114" s="5">
        <v>13038.0</v>
      </c>
      <c r="F1114" s="12" t="s">
        <v>4066</v>
      </c>
      <c r="G1114" s="10" t="s">
        <v>4067</v>
      </c>
      <c r="H1114" s="5" t="s">
        <v>4068</v>
      </c>
      <c r="I1114" s="5" t="s">
        <v>49</v>
      </c>
      <c r="J1114" s="5" t="s">
        <v>1746</v>
      </c>
      <c r="K1114" s="5">
        <v>1.0</v>
      </c>
      <c r="L1114" s="5">
        <v>14970.0</v>
      </c>
      <c r="M1114" s="8"/>
      <c r="AK1114" s="9"/>
      <c r="AO1114" s="50" t="s">
        <v>4069</v>
      </c>
      <c r="AP1114" s="50">
        <v>965.0</v>
      </c>
      <c r="AQ1114" s="50" t="s">
        <v>1716</v>
      </c>
      <c r="AR1114" s="50" t="s">
        <v>1701</v>
      </c>
      <c r="AS1114" s="50" t="s">
        <v>1740</v>
      </c>
      <c r="AT1114" s="50" t="s">
        <v>1741</v>
      </c>
      <c r="AU1114" s="50" t="s">
        <v>1742</v>
      </c>
      <c r="AV1114" s="50" t="s">
        <v>4070</v>
      </c>
      <c r="AW1114" s="50" t="s">
        <v>1947</v>
      </c>
      <c r="AX1114" s="50" t="s">
        <v>1986</v>
      </c>
      <c r="AY1114" s="50">
        <v>60.0069</v>
      </c>
      <c r="AZ1114" s="50">
        <v>-127.9276</v>
      </c>
      <c r="BA1114" s="50">
        <v>674.0</v>
      </c>
    </row>
    <row r="1115" ht="14.25" customHeight="1">
      <c r="A1115" s="5" t="s">
        <v>2037</v>
      </c>
      <c r="B1115" s="5">
        <v>12.0</v>
      </c>
      <c r="C1115" s="5" t="s">
        <v>7666</v>
      </c>
      <c r="D1115" s="5">
        <v>969.0</v>
      </c>
      <c r="E1115" s="5">
        <v>2328.0</v>
      </c>
      <c r="F1115" s="5" t="s">
        <v>4071</v>
      </c>
      <c r="G1115" s="5" t="s">
        <v>4072</v>
      </c>
      <c r="H1115" s="5" t="s">
        <v>4073</v>
      </c>
      <c r="I1115" s="5" t="s">
        <v>641</v>
      </c>
      <c r="J1115" s="5" t="s">
        <v>1746</v>
      </c>
      <c r="K1115" s="5">
        <v>1.0</v>
      </c>
      <c r="L1115" s="5">
        <v>2731.0</v>
      </c>
      <c r="M1115" s="8"/>
      <c r="N1115" s="11"/>
      <c r="O1115" s="11"/>
      <c r="P1115" s="11"/>
      <c r="Q1115" s="22"/>
      <c r="R1115" s="11"/>
      <c r="S1115" s="11"/>
      <c r="T1115" s="11"/>
      <c r="U1115" s="11"/>
      <c r="V1115" s="11"/>
      <c r="W1115" s="11"/>
      <c r="X1115" s="11"/>
      <c r="AK1115" s="9"/>
      <c r="AO1115" s="5" t="s">
        <v>4074</v>
      </c>
      <c r="AP1115" s="5">
        <v>969.0</v>
      </c>
      <c r="AQ1115" s="5" t="s">
        <v>1716</v>
      </c>
      <c r="AR1115" s="5" t="s">
        <v>1717</v>
      </c>
      <c r="AS1115" s="5" t="s">
        <v>1718</v>
      </c>
      <c r="AT1115" s="5" t="s">
        <v>1841</v>
      </c>
      <c r="AU1115" s="5" t="s">
        <v>2489</v>
      </c>
      <c r="AV1115" s="5" t="s">
        <v>1720</v>
      </c>
      <c r="AW1115" s="5" t="s">
        <v>2368</v>
      </c>
      <c r="AX1115" s="5" t="s">
        <v>2492</v>
      </c>
      <c r="AY1115" s="5">
        <v>49.6636</v>
      </c>
      <c r="AZ1115" s="5">
        <v>-120.5439</v>
      </c>
      <c r="BA1115" s="5">
        <v>1449.0</v>
      </c>
    </row>
    <row r="1116" ht="14.25" customHeight="1">
      <c r="A1116" s="5" t="s">
        <v>422</v>
      </c>
      <c r="B1116" s="5">
        <v>12.0</v>
      </c>
      <c r="C1116" s="5" t="s">
        <v>7666</v>
      </c>
      <c r="D1116" s="5">
        <v>976.0</v>
      </c>
      <c r="E1116" s="5">
        <v>2329.0</v>
      </c>
      <c r="F1116" s="5" t="s">
        <v>4075</v>
      </c>
      <c r="G1116" s="5" t="s">
        <v>4076</v>
      </c>
      <c r="H1116" s="5" t="s">
        <v>4077</v>
      </c>
      <c r="I1116" s="5" t="s">
        <v>641</v>
      </c>
      <c r="J1116" s="5" t="s">
        <v>1746</v>
      </c>
      <c r="K1116" s="5">
        <v>1.0</v>
      </c>
      <c r="L1116" s="5">
        <v>2732.0</v>
      </c>
      <c r="M1116" s="8"/>
      <c r="N1116" s="11"/>
      <c r="O1116" s="11"/>
      <c r="P1116" s="11"/>
      <c r="Q1116" s="22"/>
      <c r="R1116" s="11"/>
      <c r="S1116" s="11"/>
      <c r="T1116" s="11"/>
      <c r="U1116" s="11"/>
      <c r="V1116" s="11"/>
      <c r="W1116" s="23"/>
      <c r="X1116" s="11"/>
      <c r="AK1116" s="9"/>
      <c r="AO1116" s="5" t="s">
        <v>4078</v>
      </c>
      <c r="AP1116" s="5">
        <v>976.0</v>
      </c>
      <c r="AQ1116" s="5" t="s">
        <v>1716</v>
      </c>
      <c r="AR1116" s="5" t="s">
        <v>1717</v>
      </c>
      <c r="AS1116" s="5" t="s">
        <v>1718</v>
      </c>
      <c r="AT1116" s="5" t="s">
        <v>1841</v>
      </c>
      <c r="AU1116" s="5" t="s">
        <v>1959</v>
      </c>
      <c r="AV1116" s="5" t="s">
        <v>1720</v>
      </c>
      <c r="AW1116" s="5" t="s">
        <v>2368</v>
      </c>
      <c r="AX1116" s="5" t="s">
        <v>2369</v>
      </c>
      <c r="AY1116" s="5">
        <v>51.3725</v>
      </c>
      <c r="AZ1116" s="5">
        <v>-120.4908</v>
      </c>
      <c r="BA1116" s="5">
        <v>1467.0</v>
      </c>
    </row>
    <row r="1117" ht="14.25" customHeight="1">
      <c r="A1117" s="5" t="s">
        <v>88</v>
      </c>
      <c r="B1117" s="5">
        <v>12.0</v>
      </c>
      <c r="C1117" s="5" t="s">
        <v>7666</v>
      </c>
      <c r="D1117" s="5">
        <v>977.0</v>
      </c>
      <c r="E1117" s="5">
        <v>2330.0</v>
      </c>
      <c r="F1117" s="5" t="s">
        <v>4009</v>
      </c>
      <c r="G1117" s="10" t="s">
        <v>4079</v>
      </c>
      <c r="H1117" s="5" t="s">
        <v>4080</v>
      </c>
      <c r="I1117" s="5" t="s">
        <v>641</v>
      </c>
      <c r="J1117" s="5" t="s">
        <v>1829</v>
      </c>
      <c r="K1117" s="5">
        <v>1.0</v>
      </c>
      <c r="L1117" s="5">
        <v>2733.0</v>
      </c>
      <c r="M1117" s="8">
        <v>49.6551</v>
      </c>
      <c r="N1117" s="11">
        <v>-121.35807</v>
      </c>
      <c r="O1117" s="11" t="s">
        <v>51</v>
      </c>
      <c r="P1117" s="16">
        <v>977.0</v>
      </c>
      <c r="Q1117" s="22">
        <v>4.0</v>
      </c>
      <c r="R1117" s="11" t="s">
        <v>4009</v>
      </c>
      <c r="S1117" s="11" t="s">
        <v>1737</v>
      </c>
      <c r="T1117" s="11">
        <v>630.0</v>
      </c>
      <c r="U1117" s="11"/>
      <c r="V1117" s="11"/>
      <c r="W1117" s="23">
        <v>39219.0</v>
      </c>
      <c r="X1117" s="11" t="s">
        <v>1738</v>
      </c>
      <c r="AK1117" s="9"/>
      <c r="AO1117" s="5" t="s">
        <v>4009</v>
      </c>
      <c r="AP1117" s="5">
        <v>977.0</v>
      </c>
      <c r="AQ1117" s="5" t="s">
        <v>1716</v>
      </c>
      <c r="AR1117" s="5" t="s">
        <v>1739</v>
      </c>
      <c r="AS1117" s="5" t="s">
        <v>1740</v>
      </c>
      <c r="AT1117" s="5" t="s">
        <v>1741</v>
      </c>
      <c r="AU1117" s="5" t="s">
        <v>1742</v>
      </c>
      <c r="AV1117" s="5" t="s">
        <v>1720</v>
      </c>
      <c r="AW1117" s="5" t="s">
        <v>1705</v>
      </c>
      <c r="AX1117" s="5" t="s">
        <v>1883</v>
      </c>
      <c r="AY1117" s="5">
        <v>49.6551</v>
      </c>
      <c r="AZ1117" s="5">
        <v>-121.3576</v>
      </c>
      <c r="BA1117" s="5">
        <v>655.0</v>
      </c>
    </row>
    <row r="1118" ht="14.25" customHeight="1">
      <c r="A1118" s="5" t="s">
        <v>422</v>
      </c>
      <c r="B1118" s="5">
        <v>12.0</v>
      </c>
      <c r="C1118" s="5" t="s">
        <v>7666</v>
      </c>
      <c r="D1118" s="5">
        <v>979.0</v>
      </c>
      <c r="E1118" s="5">
        <v>2331.0</v>
      </c>
      <c r="F1118" s="5" t="s">
        <v>4081</v>
      </c>
      <c r="G1118" s="5" t="s">
        <v>4082</v>
      </c>
      <c r="H1118" s="5" t="s">
        <v>4083</v>
      </c>
      <c r="I1118" s="5" t="s">
        <v>641</v>
      </c>
      <c r="J1118" s="5" t="s">
        <v>1746</v>
      </c>
      <c r="K1118" s="5">
        <v>1.0</v>
      </c>
      <c r="L1118" s="5">
        <v>2734.0</v>
      </c>
      <c r="M1118" s="8"/>
      <c r="AK1118" s="9"/>
      <c r="AO1118" s="5" t="s">
        <v>4084</v>
      </c>
      <c r="AP1118" s="5">
        <v>979.0</v>
      </c>
      <c r="AQ1118" s="5" t="s">
        <v>1716</v>
      </c>
      <c r="AR1118" s="5" t="s">
        <v>1717</v>
      </c>
      <c r="AS1118" s="5" t="s">
        <v>1718</v>
      </c>
      <c r="AT1118" s="5" t="s">
        <v>1841</v>
      </c>
      <c r="AU1118" s="5" t="s">
        <v>1959</v>
      </c>
      <c r="AV1118" s="5" t="s">
        <v>1720</v>
      </c>
      <c r="AW1118" s="5" t="s">
        <v>2368</v>
      </c>
      <c r="AX1118" s="5" t="s">
        <v>2492</v>
      </c>
      <c r="AY1118" s="5">
        <v>49.1789</v>
      </c>
      <c r="AZ1118" s="5">
        <v>-120.4558</v>
      </c>
      <c r="BA1118" s="5">
        <v>1674.0</v>
      </c>
    </row>
    <row r="1119" ht="14.25" customHeight="1">
      <c r="A1119" s="5" t="s">
        <v>2037</v>
      </c>
      <c r="B1119" s="5">
        <v>12.0</v>
      </c>
      <c r="C1119" s="5" t="s">
        <v>7666</v>
      </c>
      <c r="D1119" s="5">
        <v>980.0</v>
      </c>
      <c r="E1119" s="5">
        <v>2332.0</v>
      </c>
      <c r="F1119" s="5" t="s">
        <v>4085</v>
      </c>
      <c r="G1119" s="5" t="s">
        <v>4086</v>
      </c>
      <c r="H1119" s="5" t="s">
        <v>4087</v>
      </c>
      <c r="I1119" s="5" t="s">
        <v>641</v>
      </c>
      <c r="J1119" s="5" t="s">
        <v>1746</v>
      </c>
      <c r="K1119" s="5">
        <v>1.0</v>
      </c>
      <c r="L1119" s="5">
        <v>2735.0</v>
      </c>
      <c r="M1119" s="8"/>
      <c r="N1119" s="11"/>
      <c r="O1119" s="11"/>
      <c r="P1119" s="11"/>
      <c r="Q1119" s="22"/>
      <c r="R1119" s="11"/>
      <c r="S1119" s="11"/>
      <c r="T1119" s="11"/>
      <c r="U1119" s="11"/>
      <c r="V1119" s="11"/>
      <c r="W1119" s="23"/>
      <c r="X1119" s="11"/>
      <c r="AK1119" s="9"/>
      <c r="AO1119" s="5" t="s">
        <v>4088</v>
      </c>
      <c r="AP1119" s="5">
        <v>980.0</v>
      </c>
      <c r="AQ1119" s="5" t="s">
        <v>1716</v>
      </c>
      <c r="AR1119" s="5" t="s">
        <v>1717</v>
      </c>
      <c r="AS1119" s="5" t="s">
        <v>1718</v>
      </c>
      <c r="AT1119" s="5" t="s">
        <v>1835</v>
      </c>
      <c r="AU1119" s="5" t="s">
        <v>1959</v>
      </c>
      <c r="AV1119" s="5" t="s">
        <v>1720</v>
      </c>
      <c r="AW1119" s="5" t="s">
        <v>2368</v>
      </c>
      <c r="AX1119" s="5" t="s">
        <v>2369</v>
      </c>
      <c r="AY1119" s="5">
        <v>51.4367</v>
      </c>
      <c r="AZ1119" s="5">
        <v>-119.6908</v>
      </c>
      <c r="BA1119" s="5">
        <v>1369.0</v>
      </c>
    </row>
    <row r="1120" ht="14.25" customHeight="1">
      <c r="A1120" s="5" t="s">
        <v>422</v>
      </c>
      <c r="B1120" s="5">
        <v>12.0</v>
      </c>
      <c r="C1120" s="5" t="s">
        <v>7666</v>
      </c>
      <c r="D1120" s="5">
        <v>981.0</v>
      </c>
      <c r="E1120" s="5">
        <v>2333.0</v>
      </c>
      <c r="F1120" s="18" t="s">
        <v>4089</v>
      </c>
      <c r="G1120" s="5" t="s">
        <v>4090</v>
      </c>
      <c r="H1120" s="5" t="s">
        <v>4091</v>
      </c>
      <c r="I1120" s="5" t="s">
        <v>641</v>
      </c>
      <c r="J1120" s="5" t="s">
        <v>1746</v>
      </c>
      <c r="K1120" s="5">
        <v>1.0</v>
      </c>
      <c r="L1120" s="5">
        <v>2736.0</v>
      </c>
      <c r="M1120" s="8"/>
      <c r="AK1120" s="9"/>
      <c r="AO1120" s="5" t="s">
        <v>4089</v>
      </c>
      <c r="AP1120" s="5">
        <v>981.0</v>
      </c>
      <c r="AQ1120" s="5" t="s">
        <v>1716</v>
      </c>
      <c r="AR1120" s="5" t="s">
        <v>1717</v>
      </c>
      <c r="AS1120" s="5" t="s">
        <v>1718</v>
      </c>
      <c r="AT1120" s="5" t="s">
        <v>1835</v>
      </c>
      <c r="AU1120" s="5" t="s">
        <v>1836</v>
      </c>
      <c r="AV1120" s="5" t="s">
        <v>1720</v>
      </c>
      <c r="AW1120" s="5" t="s">
        <v>1705</v>
      </c>
      <c r="AX1120" s="5" t="s">
        <v>1883</v>
      </c>
      <c r="AY1120" s="5">
        <v>49.2955</v>
      </c>
      <c r="AZ1120" s="5">
        <v>-123.122</v>
      </c>
      <c r="BA1120" s="5">
        <v>10.0</v>
      </c>
    </row>
    <row r="1121" ht="14.25" customHeight="1">
      <c r="A1121" s="5" t="s">
        <v>422</v>
      </c>
      <c r="B1121" s="5">
        <v>12.0</v>
      </c>
      <c r="C1121" s="5" t="s">
        <v>7666</v>
      </c>
      <c r="D1121" s="5">
        <v>982.0</v>
      </c>
      <c r="E1121" s="5">
        <v>2334.0</v>
      </c>
      <c r="F1121" s="18" t="s">
        <v>4092</v>
      </c>
      <c r="G1121" s="5" t="s">
        <v>4093</v>
      </c>
      <c r="H1121" s="5" t="s">
        <v>4094</v>
      </c>
      <c r="I1121" s="5" t="s">
        <v>641</v>
      </c>
      <c r="J1121" s="5" t="s">
        <v>1746</v>
      </c>
      <c r="K1121" s="5">
        <v>1.0</v>
      </c>
      <c r="L1121" s="5">
        <v>2737.0</v>
      </c>
      <c r="M1121" s="8"/>
      <c r="AK1121" s="9"/>
      <c r="AO1121" s="5" t="s">
        <v>4092</v>
      </c>
      <c r="AP1121" s="5">
        <v>982.0</v>
      </c>
      <c r="AQ1121" s="5" t="s">
        <v>1716</v>
      </c>
      <c r="AR1121" s="5" t="s">
        <v>1717</v>
      </c>
      <c r="AS1121" s="5" t="s">
        <v>1718</v>
      </c>
      <c r="AT1121" s="5" t="s">
        <v>1835</v>
      </c>
      <c r="AU1121" s="5" t="s">
        <v>1836</v>
      </c>
      <c r="AW1121" s="5" t="s">
        <v>2698</v>
      </c>
      <c r="AX1121" s="5" t="s">
        <v>2797</v>
      </c>
      <c r="AY1121" s="5">
        <v>49.7586</v>
      </c>
      <c r="AZ1121" s="5">
        <v>-117.4178</v>
      </c>
      <c r="BA1121" s="5">
        <v>1790.0</v>
      </c>
    </row>
    <row r="1122" ht="14.25" customHeight="1">
      <c r="A1122" s="5" t="s">
        <v>422</v>
      </c>
      <c r="B1122" s="5">
        <v>12.0</v>
      </c>
      <c r="C1122" s="5" t="s">
        <v>7666</v>
      </c>
      <c r="D1122" s="5">
        <v>989.0</v>
      </c>
      <c r="E1122" s="5">
        <v>2335.0</v>
      </c>
      <c r="F1122" s="18" t="s">
        <v>4095</v>
      </c>
      <c r="G1122" s="5" t="s">
        <v>4096</v>
      </c>
      <c r="H1122" s="5" t="s">
        <v>4097</v>
      </c>
      <c r="I1122" s="5" t="s">
        <v>641</v>
      </c>
      <c r="J1122" s="5" t="s">
        <v>1746</v>
      </c>
      <c r="K1122" s="5">
        <v>1.0</v>
      </c>
      <c r="L1122" s="5">
        <v>2738.0</v>
      </c>
      <c r="M1122" s="8"/>
      <c r="AK1122" s="9"/>
      <c r="AO1122" s="5" t="s">
        <v>4095</v>
      </c>
      <c r="AP1122" s="5">
        <v>989.0</v>
      </c>
      <c r="AQ1122" s="5" t="s">
        <v>1716</v>
      </c>
      <c r="AR1122" s="5" t="s">
        <v>1717</v>
      </c>
      <c r="AS1122" s="5" t="s">
        <v>1718</v>
      </c>
      <c r="AT1122" s="5" t="s">
        <v>1835</v>
      </c>
      <c r="AU1122" s="5" t="s">
        <v>1836</v>
      </c>
      <c r="AV1122" s="5" t="s">
        <v>1720</v>
      </c>
      <c r="AW1122" s="5" t="s">
        <v>2698</v>
      </c>
      <c r="AX1122" s="5" t="s">
        <v>2797</v>
      </c>
      <c r="AY1122" s="5">
        <v>49.9429</v>
      </c>
      <c r="AZ1122" s="5">
        <v>-118.0505</v>
      </c>
      <c r="BA1122" s="5">
        <v>746.0</v>
      </c>
    </row>
    <row r="1123" ht="14.25" customHeight="1">
      <c r="A1123" s="5" t="s">
        <v>422</v>
      </c>
      <c r="B1123" s="5">
        <v>12.0</v>
      </c>
      <c r="C1123" s="5" t="s">
        <v>7666</v>
      </c>
      <c r="D1123" s="5">
        <v>990.0</v>
      </c>
      <c r="E1123" s="5">
        <v>2336.0</v>
      </c>
      <c r="F1123" s="18" t="s">
        <v>4098</v>
      </c>
      <c r="G1123" s="5" t="s">
        <v>4099</v>
      </c>
      <c r="H1123" s="5" t="s">
        <v>4100</v>
      </c>
      <c r="I1123" s="5" t="s">
        <v>641</v>
      </c>
      <c r="J1123" s="5" t="s">
        <v>1746</v>
      </c>
      <c r="K1123" s="5">
        <v>1.0</v>
      </c>
      <c r="L1123" s="5">
        <v>2739.0</v>
      </c>
      <c r="M1123" s="8"/>
      <c r="AK1123" s="9"/>
      <c r="AO1123" s="5" t="s">
        <v>4098</v>
      </c>
      <c r="AP1123" s="5">
        <v>990.0</v>
      </c>
      <c r="AQ1123" s="5" t="s">
        <v>1716</v>
      </c>
      <c r="AR1123" s="5" t="s">
        <v>1717</v>
      </c>
      <c r="AS1123" s="5" t="s">
        <v>2257</v>
      </c>
      <c r="AT1123" s="5" t="s">
        <v>1719</v>
      </c>
      <c r="AU1123" s="5" t="s">
        <v>3668</v>
      </c>
      <c r="AW1123" s="5" t="s">
        <v>2698</v>
      </c>
      <c r="AX1123" s="5" t="s">
        <v>2902</v>
      </c>
      <c r="AY1123" s="5">
        <v>49.415</v>
      </c>
      <c r="AZ1123" s="5">
        <v>-115.615</v>
      </c>
      <c r="BA1123" s="5">
        <v>1335.0</v>
      </c>
    </row>
    <row r="1124" ht="14.25" customHeight="1">
      <c r="A1124" s="5" t="s">
        <v>88</v>
      </c>
      <c r="B1124" s="5">
        <v>12.0</v>
      </c>
      <c r="C1124" s="5" t="s">
        <v>7666</v>
      </c>
      <c r="D1124" s="5">
        <v>994.0</v>
      </c>
      <c r="E1124" s="5">
        <v>2337.0</v>
      </c>
      <c r="F1124" s="18" t="s">
        <v>4101</v>
      </c>
      <c r="G1124" s="10" t="s">
        <v>4102</v>
      </c>
      <c r="H1124" s="5" t="s">
        <v>4103</v>
      </c>
      <c r="I1124" s="5" t="s">
        <v>641</v>
      </c>
      <c r="J1124" s="5" t="s">
        <v>1746</v>
      </c>
      <c r="K1124" s="5">
        <v>1.0</v>
      </c>
      <c r="L1124" s="5">
        <v>2740.0</v>
      </c>
      <c r="M1124" s="8"/>
      <c r="AK1124" s="9"/>
      <c r="AO1124" s="5" t="s">
        <v>4101</v>
      </c>
      <c r="AP1124" s="5">
        <v>994.0</v>
      </c>
      <c r="AQ1124" s="5" t="s">
        <v>1716</v>
      </c>
      <c r="AR1124" s="5" t="s">
        <v>1717</v>
      </c>
      <c r="AS1124" s="5" t="s">
        <v>1718</v>
      </c>
      <c r="AT1124" s="5" t="s">
        <v>1835</v>
      </c>
      <c r="AU1124" s="5" t="s">
        <v>1836</v>
      </c>
      <c r="AV1124" s="5" t="s">
        <v>1720</v>
      </c>
      <c r="AW1124" s="5" t="s">
        <v>2698</v>
      </c>
      <c r="AX1124" s="5" t="s">
        <v>2797</v>
      </c>
      <c r="AY1124" s="5">
        <v>50.5454</v>
      </c>
      <c r="AZ1124" s="5">
        <v>-117.854</v>
      </c>
      <c r="BA1124" s="5">
        <v>1619.0</v>
      </c>
    </row>
    <row r="1125" ht="14.25" customHeight="1">
      <c r="A1125" s="5" t="s">
        <v>88</v>
      </c>
      <c r="B1125" s="5">
        <v>12.0</v>
      </c>
      <c r="C1125" s="5" t="s">
        <v>7666</v>
      </c>
      <c r="D1125" s="5">
        <v>995.0</v>
      </c>
      <c r="E1125" s="5">
        <v>2338.0</v>
      </c>
      <c r="F1125" s="5" t="s">
        <v>4104</v>
      </c>
      <c r="G1125" s="10" t="s">
        <v>4105</v>
      </c>
      <c r="H1125" s="5" t="s">
        <v>4106</v>
      </c>
      <c r="I1125" s="5" t="s">
        <v>641</v>
      </c>
      <c r="J1125" s="5" t="s">
        <v>1829</v>
      </c>
      <c r="K1125" s="5">
        <v>1.0</v>
      </c>
      <c r="L1125" s="5">
        <v>2741.0</v>
      </c>
      <c r="M1125" s="8">
        <v>50.13242</v>
      </c>
      <c r="N1125" s="11">
        <v>-126.92823</v>
      </c>
      <c r="O1125" s="11" t="s">
        <v>51</v>
      </c>
      <c r="P1125" s="11">
        <v>995.0</v>
      </c>
      <c r="Q1125" s="22">
        <v>2.0</v>
      </c>
      <c r="R1125" s="11" t="s">
        <v>4104</v>
      </c>
      <c r="S1125" s="11" t="s">
        <v>4045</v>
      </c>
      <c r="T1125" s="11">
        <v>130.0</v>
      </c>
      <c r="U1125" s="11" t="s">
        <v>645</v>
      </c>
      <c r="V1125" s="11" t="s">
        <v>1771</v>
      </c>
      <c r="W1125" s="23">
        <v>39316.0</v>
      </c>
      <c r="X1125" s="11" t="s">
        <v>1738</v>
      </c>
      <c r="AK1125" s="9"/>
      <c r="AO1125" s="5" t="s">
        <v>4104</v>
      </c>
      <c r="AP1125" s="5">
        <v>995.0</v>
      </c>
      <c r="AQ1125" s="5" t="s">
        <v>1716</v>
      </c>
      <c r="AR1125" s="5" t="s">
        <v>1739</v>
      </c>
      <c r="AS1125" s="5" t="s">
        <v>1740</v>
      </c>
      <c r="AT1125" s="5" t="s">
        <v>1741</v>
      </c>
      <c r="AU1125" s="5" t="s">
        <v>1742</v>
      </c>
      <c r="AV1125" s="5" t="s">
        <v>1720</v>
      </c>
      <c r="AW1125" s="5" t="s">
        <v>1705</v>
      </c>
      <c r="AX1125" s="5" t="s">
        <v>1723</v>
      </c>
      <c r="AY1125" s="5">
        <v>50.1324</v>
      </c>
      <c r="AZ1125" s="5">
        <v>-126.9282</v>
      </c>
      <c r="BA1125" s="5">
        <v>120.0</v>
      </c>
    </row>
    <row r="1126" ht="14.25" customHeight="1">
      <c r="A1126" s="5" t="s">
        <v>88</v>
      </c>
      <c r="B1126" s="5">
        <v>12.0</v>
      </c>
      <c r="C1126" s="5" t="s">
        <v>7666</v>
      </c>
      <c r="D1126" s="5">
        <v>1002.0</v>
      </c>
      <c r="E1126" s="5">
        <v>2339.0</v>
      </c>
      <c r="F1126" s="5" t="s">
        <v>4107</v>
      </c>
      <c r="G1126" s="10" t="s">
        <v>4108</v>
      </c>
      <c r="H1126" s="5" t="s">
        <v>4109</v>
      </c>
      <c r="I1126" s="5" t="s">
        <v>641</v>
      </c>
      <c r="J1126" s="5" t="s">
        <v>1829</v>
      </c>
      <c r="K1126" s="5">
        <v>1.0</v>
      </c>
      <c r="L1126" s="5">
        <v>2742.0</v>
      </c>
      <c r="M1126" s="8">
        <v>49.42805</v>
      </c>
      <c r="N1126" s="11">
        <v>-123.56484</v>
      </c>
      <c r="O1126" s="11" t="s">
        <v>183</v>
      </c>
      <c r="P1126" s="11">
        <v>1002.0</v>
      </c>
      <c r="Q1126" s="22">
        <v>6.0</v>
      </c>
      <c r="R1126" s="11" t="s">
        <v>4107</v>
      </c>
      <c r="S1126" s="11" t="s">
        <v>4045</v>
      </c>
      <c r="T1126" s="11">
        <v>593.0</v>
      </c>
      <c r="U1126" s="11" t="s">
        <v>645</v>
      </c>
      <c r="V1126" s="11"/>
      <c r="W1126" s="23">
        <v>39359.0</v>
      </c>
      <c r="X1126" s="11" t="s">
        <v>1738</v>
      </c>
      <c r="AK1126" s="9"/>
      <c r="AO1126" s="5" t="s">
        <v>4107</v>
      </c>
      <c r="AP1126" s="5">
        <v>1002.0</v>
      </c>
      <c r="AQ1126" s="5" t="s">
        <v>1716</v>
      </c>
      <c r="AR1126" s="5" t="s">
        <v>1739</v>
      </c>
      <c r="AS1126" s="5" t="s">
        <v>1740</v>
      </c>
      <c r="AT1126" s="5" t="s">
        <v>1741</v>
      </c>
      <c r="AU1126" s="5" t="s">
        <v>1742</v>
      </c>
      <c r="AV1126" s="5" t="s">
        <v>1720</v>
      </c>
      <c r="AW1126" s="5" t="s">
        <v>1705</v>
      </c>
      <c r="AX1126" s="5" t="s">
        <v>1837</v>
      </c>
      <c r="AY1126" s="5">
        <v>49.428</v>
      </c>
      <c r="AZ1126" s="5">
        <v>-123.5649</v>
      </c>
      <c r="BA1126" s="5">
        <v>615.0</v>
      </c>
    </row>
    <row r="1127" ht="14.25" customHeight="1">
      <c r="B1127" s="5">
        <v>12.0</v>
      </c>
      <c r="C1127" s="5" t="s">
        <v>7666</v>
      </c>
      <c r="D1127" s="5">
        <v>1003.0</v>
      </c>
      <c r="E1127" s="5">
        <v>10992.0</v>
      </c>
      <c r="F1127" s="18" t="s">
        <v>4110</v>
      </c>
      <c r="G1127" s="10" t="s">
        <v>4111</v>
      </c>
      <c r="H1127" s="5" t="s">
        <v>4112</v>
      </c>
      <c r="I1127" s="5" t="s">
        <v>49</v>
      </c>
      <c r="J1127" s="5" t="s">
        <v>1746</v>
      </c>
      <c r="K1127" s="5">
        <v>1.0</v>
      </c>
      <c r="L1127" s="5">
        <v>13157.0</v>
      </c>
      <c r="M1127" s="73"/>
      <c r="N1127" s="74"/>
      <c r="O1127" s="74"/>
      <c r="P1127" s="74"/>
      <c r="Q1127" s="75"/>
      <c r="R1127" s="74"/>
      <c r="S1127" s="74"/>
      <c r="T1127" s="74"/>
      <c r="U1127" s="74"/>
      <c r="V1127" s="74"/>
      <c r="W1127" s="76"/>
      <c r="X1127" s="74"/>
      <c r="AK1127" s="9"/>
      <c r="AO1127" s="67" t="s">
        <v>4110</v>
      </c>
      <c r="AP1127" s="5">
        <v>1003.0</v>
      </c>
      <c r="AQ1127" s="5" t="s">
        <v>1716</v>
      </c>
      <c r="AR1127" s="5" t="s">
        <v>1717</v>
      </c>
      <c r="AS1127" s="5" t="s">
        <v>1718</v>
      </c>
      <c r="AT1127" s="5" t="s">
        <v>1835</v>
      </c>
      <c r="AU1127" s="5" t="s">
        <v>1836</v>
      </c>
      <c r="AV1127" s="5" t="s">
        <v>1720</v>
      </c>
      <c r="AW1127" s="5" t="s">
        <v>3863</v>
      </c>
      <c r="AY1127" s="5">
        <v>48.4348</v>
      </c>
      <c r="AZ1127" s="5">
        <v>-123.3749</v>
      </c>
      <c r="BA1127" s="5">
        <v>50.0</v>
      </c>
    </row>
    <row r="1128" ht="14.25" customHeight="1">
      <c r="A1128" s="5" t="s">
        <v>422</v>
      </c>
      <c r="B1128" s="5">
        <v>12.0</v>
      </c>
      <c r="C1128" s="5" t="s">
        <v>7666</v>
      </c>
      <c r="D1128" s="5">
        <v>1004.0</v>
      </c>
      <c r="E1128" s="5">
        <v>2340.0</v>
      </c>
      <c r="F1128" s="18" t="s">
        <v>4113</v>
      </c>
      <c r="G1128" s="5" t="s">
        <v>4114</v>
      </c>
      <c r="H1128" s="5" t="s">
        <v>4115</v>
      </c>
      <c r="I1128" s="5" t="s">
        <v>641</v>
      </c>
      <c r="J1128" s="5" t="s">
        <v>1746</v>
      </c>
      <c r="K1128" s="5">
        <v>1.0</v>
      </c>
      <c r="L1128" s="5">
        <v>2743.0</v>
      </c>
      <c r="M1128" s="8"/>
      <c r="AK1128" s="9"/>
      <c r="AO1128" s="5" t="s">
        <v>4113</v>
      </c>
      <c r="AP1128" s="5">
        <v>1004.0</v>
      </c>
      <c r="AQ1128" s="5" t="s">
        <v>1716</v>
      </c>
      <c r="AR1128" s="5" t="s">
        <v>1717</v>
      </c>
      <c r="AS1128" s="5" t="s">
        <v>1718</v>
      </c>
      <c r="AT1128" s="5" t="s">
        <v>1835</v>
      </c>
      <c r="AU1128" s="5" t="s">
        <v>1836</v>
      </c>
      <c r="AV1128" s="5" t="s">
        <v>1720</v>
      </c>
      <c r="AW1128" s="5" t="s">
        <v>1705</v>
      </c>
      <c r="AX1128" s="5" t="s">
        <v>1747</v>
      </c>
      <c r="AY1128" s="5">
        <v>48.9637</v>
      </c>
      <c r="AZ1128" s="5">
        <v>-123.772</v>
      </c>
      <c r="BA1128" s="5">
        <v>18.0</v>
      </c>
    </row>
    <row r="1129" ht="14.25" customHeight="1">
      <c r="A1129" s="5" t="s">
        <v>422</v>
      </c>
      <c r="B1129" s="5">
        <v>12.0</v>
      </c>
      <c r="C1129" s="5" t="s">
        <v>7666</v>
      </c>
      <c r="D1129" s="5">
        <v>1005.0</v>
      </c>
      <c r="E1129" s="5">
        <v>2341.0</v>
      </c>
      <c r="F1129" s="18" t="s">
        <v>4116</v>
      </c>
      <c r="G1129" s="5" t="s">
        <v>4117</v>
      </c>
      <c r="H1129" s="5" t="s">
        <v>4118</v>
      </c>
      <c r="I1129" s="5" t="s">
        <v>641</v>
      </c>
      <c r="J1129" s="5" t="s">
        <v>1746</v>
      </c>
      <c r="K1129" s="5">
        <v>1.0</v>
      </c>
      <c r="L1129" s="5">
        <v>2744.0</v>
      </c>
      <c r="M1129" s="8"/>
      <c r="AK1129" s="9"/>
      <c r="AO1129" s="5" t="s">
        <v>4116</v>
      </c>
      <c r="AP1129" s="5">
        <v>1005.0</v>
      </c>
      <c r="AQ1129" s="5" t="s">
        <v>1716</v>
      </c>
      <c r="AR1129" s="5" t="s">
        <v>1717</v>
      </c>
      <c r="AS1129" s="5" t="s">
        <v>1718</v>
      </c>
      <c r="AT1129" s="5" t="s">
        <v>1835</v>
      </c>
      <c r="AU1129" s="5" t="s">
        <v>1836</v>
      </c>
      <c r="AV1129" s="5" t="s">
        <v>1720</v>
      </c>
      <c r="AW1129" s="5" t="s">
        <v>1705</v>
      </c>
      <c r="AY1129" s="5">
        <v>49.0003</v>
      </c>
      <c r="AZ1129" s="5">
        <v>-122.0309</v>
      </c>
      <c r="BA1129" s="5">
        <v>235.0</v>
      </c>
    </row>
    <row r="1130" ht="14.25" customHeight="1">
      <c r="A1130" s="5" t="s">
        <v>422</v>
      </c>
      <c r="B1130" s="5">
        <v>12.0</v>
      </c>
      <c r="C1130" s="5" t="s">
        <v>7666</v>
      </c>
      <c r="D1130" s="5">
        <v>1008.0</v>
      </c>
      <c r="E1130" s="5">
        <v>2342.0</v>
      </c>
      <c r="F1130" s="18" t="s">
        <v>4119</v>
      </c>
      <c r="G1130" s="5" t="s">
        <v>4120</v>
      </c>
      <c r="H1130" s="5" t="s">
        <v>4121</v>
      </c>
      <c r="I1130" s="5" t="s">
        <v>641</v>
      </c>
      <c r="J1130" s="5" t="s">
        <v>1746</v>
      </c>
      <c r="K1130" s="5">
        <v>1.0</v>
      </c>
      <c r="L1130" s="5">
        <v>2745.0</v>
      </c>
      <c r="M1130" s="8"/>
      <c r="AK1130" s="9"/>
      <c r="AO1130" s="5" t="s">
        <v>4119</v>
      </c>
      <c r="AP1130" s="5">
        <v>1008.0</v>
      </c>
      <c r="AQ1130" s="5" t="s">
        <v>1716</v>
      </c>
      <c r="AR1130" s="5" t="s">
        <v>1717</v>
      </c>
      <c r="AS1130" s="5" t="s">
        <v>1718</v>
      </c>
      <c r="AT1130" s="5" t="s">
        <v>1835</v>
      </c>
      <c r="AU1130" s="5" t="s">
        <v>1836</v>
      </c>
      <c r="AV1130" s="5" t="s">
        <v>1720</v>
      </c>
      <c r="AW1130" s="5" t="s">
        <v>2368</v>
      </c>
      <c r="AX1130" s="5" t="s">
        <v>2369</v>
      </c>
      <c r="AY1130" s="5">
        <v>50.501</v>
      </c>
      <c r="AZ1130" s="5">
        <v>-120.8111</v>
      </c>
      <c r="BA1130" s="5">
        <v>1163.0</v>
      </c>
    </row>
    <row r="1131" ht="14.25" customHeight="1">
      <c r="A1131" s="5" t="s">
        <v>422</v>
      </c>
      <c r="B1131" s="5">
        <v>12.0</v>
      </c>
      <c r="C1131" s="5" t="s">
        <v>7665</v>
      </c>
      <c r="D1131" s="5">
        <v>1013.0</v>
      </c>
      <c r="E1131" s="5">
        <v>12978.0</v>
      </c>
      <c r="G1131" s="5" t="s">
        <v>127</v>
      </c>
      <c r="H1131" s="5" t="s">
        <v>1697</v>
      </c>
      <c r="I1131" s="5" t="s">
        <v>49</v>
      </c>
      <c r="J1131" s="5" t="s">
        <v>1746</v>
      </c>
      <c r="K1131" s="5">
        <v>1.0</v>
      </c>
      <c r="L1131" s="5">
        <v>14910.0</v>
      </c>
      <c r="M1131" s="8"/>
      <c r="AK1131" s="9"/>
      <c r="AO1131" s="50" t="s">
        <v>4122</v>
      </c>
      <c r="AP1131" s="50">
        <v>1013.0</v>
      </c>
      <c r="AQ1131" s="50" t="s">
        <v>1700</v>
      </c>
      <c r="AR1131" s="50" t="s">
        <v>1739</v>
      </c>
      <c r="AS1131" s="50" t="s">
        <v>1702</v>
      </c>
      <c r="AT1131" s="50" t="s">
        <v>1703</v>
      </c>
      <c r="AU1131" s="50" t="s">
        <v>1704</v>
      </c>
      <c r="AV1131" s="50" t="s">
        <v>1702</v>
      </c>
      <c r="AW1131" s="50" t="s">
        <v>1705</v>
      </c>
      <c r="AX1131" s="50" t="s">
        <v>1747</v>
      </c>
      <c r="AY1131" s="50">
        <v>48.8242</v>
      </c>
      <c r="AZ1131" s="50">
        <v>-123.7189</v>
      </c>
      <c r="BA1131" s="50">
        <v>60.0</v>
      </c>
    </row>
    <row r="1132" ht="14.25" customHeight="1">
      <c r="A1132" s="5" t="s">
        <v>422</v>
      </c>
      <c r="B1132" s="5">
        <v>12.0</v>
      </c>
      <c r="C1132" s="5" t="s">
        <v>7665</v>
      </c>
      <c r="D1132" s="5">
        <v>1015.0</v>
      </c>
      <c r="E1132" s="5">
        <v>12979.0</v>
      </c>
      <c r="G1132" s="5" t="s">
        <v>127</v>
      </c>
      <c r="H1132" s="5" t="s">
        <v>1697</v>
      </c>
      <c r="I1132" s="5" t="s">
        <v>49</v>
      </c>
      <c r="J1132" s="5" t="s">
        <v>1746</v>
      </c>
      <c r="K1132" s="5">
        <v>1.0</v>
      </c>
      <c r="L1132" s="5">
        <v>14911.0</v>
      </c>
      <c r="M1132" s="8"/>
      <c r="AK1132" s="9"/>
      <c r="AO1132" s="50" t="s">
        <v>4123</v>
      </c>
      <c r="AP1132" s="50">
        <v>1015.0</v>
      </c>
      <c r="AQ1132" s="50" t="s">
        <v>1700</v>
      </c>
      <c r="AR1132" s="50" t="s">
        <v>1701</v>
      </c>
      <c r="AS1132" s="50" t="s">
        <v>1702</v>
      </c>
      <c r="AT1132" s="50" t="s">
        <v>1703</v>
      </c>
      <c r="AU1132" s="50" t="s">
        <v>1704</v>
      </c>
      <c r="AV1132" s="50" t="s">
        <v>1702</v>
      </c>
      <c r="AW1132" s="50" t="s">
        <v>1705</v>
      </c>
      <c r="AX1132" s="50" t="s">
        <v>1706</v>
      </c>
      <c r="AY1132" s="50">
        <v>49.3333</v>
      </c>
      <c r="AZ1132" s="50">
        <v>-124.3833</v>
      </c>
      <c r="BA1132" s="50">
        <v>58.0</v>
      </c>
    </row>
    <row r="1133" ht="14.25" customHeight="1">
      <c r="A1133" s="5" t="s">
        <v>422</v>
      </c>
      <c r="B1133" s="5">
        <v>12.0</v>
      </c>
      <c r="C1133" s="5" t="s">
        <v>7665</v>
      </c>
      <c r="D1133" s="5">
        <v>1016.0</v>
      </c>
      <c r="E1133" s="5">
        <v>12980.0</v>
      </c>
      <c r="G1133" s="5" t="s">
        <v>127</v>
      </c>
      <c r="H1133" s="5" t="s">
        <v>1697</v>
      </c>
      <c r="I1133" s="5" t="s">
        <v>49</v>
      </c>
      <c r="J1133" s="5" t="s">
        <v>1746</v>
      </c>
      <c r="K1133" s="5">
        <v>1.0</v>
      </c>
      <c r="L1133" s="5">
        <v>14912.0</v>
      </c>
      <c r="M1133" s="8"/>
      <c r="AK1133" s="9"/>
      <c r="AO1133" s="50" t="s">
        <v>4124</v>
      </c>
      <c r="AP1133" s="50">
        <v>1016.0</v>
      </c>
      <c r="AQ1133" s="50" t="s">
        <v>1700</v>
      </c>
      <c r="AR1133" s="50" t="s">
        <v>1739</v>
      </c>
      <c r="AS1133" s="50" t="s">
        <v>1702</v>
      </c>
      <c r="AT1133" s="50" t="s">
        <v>1703</v>
      </c>
      <c r="AU1133" s="50" t="s">
        <v>1704</v>
      </c>
      <c r="AV1133" s="50" t="s">
        <v>1702</v>
      </c>
      <c r="AW1133" s="50" t="s">
        <v>1705</v>
      </c>
      <c r="AX1133" s="50" t="s">
        <v>1837</v>
      </c>
      <c r="AY1133" s="50">
        <v>49.4605</v>
      </c>
      <c r="AZ1133" s="50">
        <v>-123.7</v>
      </c>
      <c r="BA1133" s="50">
        <v>86.0</v>
      </c>
    </row>
    <row r="1134" ht="14.25" customHeight="1">
      <c r="A1134" s="5" t="s">
        <v>422</v>
      </c>
      <c r="B1134" s="5">
        <v>12.0</v>
      </c>
      <c r="C1134" s="5" t="s">
        <v>7666</v>
      </c>
      <c r="D1134" s="5">
        <v>1017.0</v>
      </c>
      <c r="E1134" s="5">
        <v>2343.0</v>
      </c>
      <c r="F1134" s="18" t="s">
        <v>4125</v>
      </c>
      <c r="G1134" s="5" t="s">
        <v>4126</v>
      </c>
      <c r="H1134" s="5" t="s">
        <v>4127</v>
      </c>
      <c r="I1134" s="5" t="s">
        <v>641</v>
      </c>
      <c r="J1134" s="5" t="s">
        <v>1746</v>
      </c>
      <c r="K1134" s="5">
        <v>1.0</v>
      </c>
      <c r="L1134" s="5">
        <v>2746.0</v>
      </c>
      <c r="M1134" s="8"/>
      <c r="AK1134" s="9"/>
      <c r="AO1134" s="5" t="s">
        <v>4125</v>
      </c>
      <c r="AP1134" s="5">
        <v>1017.0</v>
      </c>
      <c r="AQ1134" s="5" t="s">
        <v>1716</v>
      </c>
      <c r="AR1134" s="5" t="s">
        <v>1717</v>
      </c>
      <c r="AS1134" s="5" t="s">
        <v>1718</v>
      </c>
      <c r="AT1134" s="5" t="s">
        <v>1835</v>
      </c>
      <c r="AU1134" s="5" t="s">
        <v>1836</v>
      </c>
      <c r="AV1134" s="5" t="s">
        <v>1720</v>
      </c>
      <c r="AW1134" s="5" t="s">
        <v>1947</v>
      </c>
      <c r="AX1134" s="5" t="s">
        <v>1986</v>
      </c>
      <c r="AY1134" s="5">
        <v>57.6467</v>
      </c>
      <c r="AZ1134" s="5">
        <v>-128.1669</v>
      </c>
      <c r="BA1134" s="5">
        <v>1077.0</v>
      </c>
    </row>
    <row r="1135" ht="14.25" customHeight="1">
      <c r="A1135" s="5" t="s">
        <v>422</v>
      </c>
      <c r="B1135" s="5">
        <v>12.0</v>
      </c>
      <c r="C1135" s="5" t="s">
        <v>7666</v>
      </c>
      <c r="D1135" s="5">
        <v>1018.0</v>
      </c>
      <c r="E1135" s="5">
        <v>2344.0</v>
      </c>
      <c r="F1135" s="18" t="s">
        <v>4128</v>
      </c>
      <c r="G1135" s="5" t="s">
        <v>4129</v>
      </c>
      <c r="H1135" s="5" t="s">
        <v>4130</v>
      </c>
      <c r="I1135" s="5" t="s">
        <v>641</v>
      </c>
      <c r="J1135" s="5" t="s">
        <v>1746</v>
      </c>
      <c r="K1135" s="5">
        <v>1.0</v>
      </c>
      <c r="L1135" s="5">
        <v>2747.0</v>
      </c>
      <c r="M1135" s="8"/>
      <c r="AK1135" s="9"/>
      <c r="AO1135" s="5" t="s">
        <v>4128</v>
      </c>
      <c r="AP1135" s="5">
        <v>1018.0</v>
      </c>
      <c r="AQ1135" s="5" t="s">
        <v>1716</v>
      </c>
      <c r="AR1135" s="5" t="s">
        <v>1717</v>
      </c>
      <c r="AS1135" s="5" t="s">
        <v>1718</v>
      </c>
      <c r="AT1135" s="5" t="s">
        <v>1841</v>
      </c>
      <c r="AU1135" s="5" t="s">
        <v>1959</v>
      </c>
      <c r="AV1135" s="5" t="s">
        <v>1720</v>
      </c>
      <c r="AW1135" s="5" t="s">
        <v>2368</v>
      </c>
      <c r="AX1135" s="5" t="s">
        <v>2492</v>
      </c>
      <c r="AY1135" s="5">
        <v>49.1816</v>
      </c>
      <c r="AZ1135" s="5">
        <v>-120.4757</v>
      </c>
      <c r="BA1135" s="5">
        <v>1722.0</v>
      </c>
    </row>
    <row r="1136" ht="14.25" customHeight="1">
      <c r="A1136" s="5" t="s">
        <v>422</v>
      </c>
      <c r="B1136" s="5">
        <v>12.0</v>
      </c>
      <c r="C1136" s="5" t="s">
        <v>7666</v>
      </c>
      <c r="D1136" s="5">
        <v>1019.0</v>
      </c>
      <c r="E1136" s="5">
        <v>2345.0</v>
      </c>
      <c r="F1136" s="18" t="s">
        <v>4131</v>
      </c>
      <c r="G1136" s="5" t="s">
        <v>4132</v>
      </c>
      <c r="H1136" s="5" t="s">
        <v>4133</v>
      </c>
      <c r="I1136" s="5" t="s">
        <v>641</v>
      </c>
      <c r="J1136" s="5" t="s">
        <v>1746</v>
      </c>
      <c r="K1136" s="5">
        <v>1.0</v>
      </c>
      <c r="L1136" s="5">
        <v>2748.0</v>
      </c>
      <c r="M1136" s="8"/>
      <c r="AK1136" s="9"/>
      <c r="AO1136" s="5" t="s">
        <v>4131</v>
      </c>
      <c r="AP1136" s="5">
        <v>1019.0</v>
      </c>
      <c r="AQ1136" s="5" t="s">
        <v>1716</v>
      </c>
      <c r="AR1136" s="5" t="s">
        <v>1717</v>
      </c>
      <c r="AS1136" s="5" t="s">
        <v>1718</v>
      </c>
      <c r="AT1136" s="5" t="s">
        <v>1841</v>
      </c>
      <c r="AU1136" s="5" t="s">
        <v>1959</v>
      </c>
      <c r="AV1136" s="5" t="s">
        <v>1720</v>
      </c>
      <c r="AW1136" s="5" t="s">
        <v>2368</v>
      </c>
      <c r="AX1136" s="5" t="s">
        <v>2492</v>
      </c>
      <c r="AY1136" s="5">
        <v>49.7759</v>
      </c>
      <c r="AZ1136" s="5">
        <v>-120.4213</v>
      </c>
      <c r="BA1136" s="5">
        <v>1483.0</v>
      </c>
    </row>
    <row r="1137" ht="14.25" customHeight="1">
      <c r="A1137" s="5" t="s">
        <v>422</v>
      </c>
      <c r="B1137" s="5">
        <v>12.0</v>
      </c>
      <c r="C1137" s="5" t="s">
        <v>7666</v>
      </c>
      <c r="D1137" s="5">
        <v>1020.0</v>
      </c>
      <c r="E1137" s="5">
        <v>2346.0</v>
      </c>
      <c r="F1137" s="18" t="s">
        <v>4134</v>
      </c>
      <c r="G1137" s="5" t="s">
        <v>4135</v>
      </c>
      <c r="H1137" s="5" t="s">
        <v>4136</v>
      </c>
      <c r="I1137" s="5" t="s">
        <v>641</v>
      </c>
      <c r="J1137" s="5" t="s">
        <v>1746</v>
      </c>
      <c r="K1137" s="5">
        <v>1.0</v>
      </c>
      <c r="L1137" s="5">
        <v>2749.0</v>
      </c>
      <c r="M1137" s="8"/>
      <c r="AK1137" s="9"/>
      <c r="AO1137" s="5" t="s">
        <v>4134</v>
      </c>
      <c r="AP1137" s="5">
        <v>1020.0</v>
      </c>
      <c r="AQ1137" s="5" t="s">
        <v>1716</v>
      </c>
      <c r="AR1137" s="5" t="s">
        <v>1717</v>
      </c>
      <c r="AS1137" s="5" t="s">
        <v>1718</v>
      </c>
      <c r="AT1137" s="5" t="s">
        <v>1841</v>
      </c>
      <c r="AU1137" s="5" t="s">
        <v>1959</v>
      </c>
      <c r="AV1137" s="5" t="s">
        <v>1720</v>
      </c>
      <c r="AW1137" s="5" t="s">
        <v>2368</v>
      </c>
      <c r="AX1137" s="5" t="s">
        <v>2516</v>
      </c>
      <c r="AY1137" s="5">
        <v>50.1797</v>
      </c>
      <c r="AZ1137" s="5">
        <v>-119.6605</v>
      </c>
      <c r="BA1137" s="5">
        <v>1601.0</v>
      </c>
    </row>
    <row r="1138" ht="14.25" customHeight="1">
      <c r="A1138" s="5" t="s">
        <v>422</v>
      </c>
      <c r="B1138" s="5">
        <v>12.0</v>
      </c>
      <c r="C1138" s="5" t="s">
        <v>7666</v>
      </c>
      <c r="D1138" s="5">
        <v>1022.0</v>
      </c>
      <c r="E1138" s="5">
        <v>2347.0</v>
      </c>
      <c r="F1138" s="5" t="s">
        <v>4137</v>
      </c>
      <c r="G1138" s="5" t="s">
        <v>4138</v>
      </c>
      <c r="H1138" s="5" t="s">
        <v>4139</v>
      </c>
      <c r="I1138" s="5" t="s">
        <v>641</v>
      </c>
      <c r="J1138" s="5" t="s">
        <v>1746</v>
      </c>
      <c r="K1138" s="5">
        <v>1.0</v>
      </c>
      <c r="L1138" s="5">
        <v>2750.0</v>
      </c>
      <c r="M1138" s="8"/>
      <c r="AK1138" s="9"/>
      <c r="AO1138" s="5" t="s">
        <v>4140</v>
      </c>
      <c r="AP1138" s="5">
        <v>1022.0</v>
      </c>
      <c r="AQ1138" s="5" t="s">
        <v>1716</v>
      </c>
      <c r="AR1138" s="5" t="s">
        <v>1717</v>
      </c>
      <c r="AS1138" s="5" t="s">
        <v>1740</v>
      </c>
      <c r="AT1138" s="5" t="s">
        <v>1835</v>
      </c>
      <c r="AU1138" s="5" t="s">
        <v>1742</v>
      </c>
      <c r="AV1138" s="5" t="s">
        <v>1720</v>
      </c>
      <c r="AW1138" s="5" t="s">
        <v>2003</v>
      </c>
      <c r="AX1138" s="5" t="s">
        <v>2258</v>
      </c>
      <c r="AY1138" s="5">
        <v>53.0323</v>
      </c>
      <c r="AZ1138" s="5">
        <v>-119.2113</v>
      </c>
      <c r="BA1138" s="5">
        <v>872.0</v>
      </c>
    </row>
    <row r="1139" ht="14.25" customHeight="1">
      <c r="A1139" s="5" t="s">
        <v>422</v>
      </c>
      <c r="B1139" s="5">
        <v>12.0</v>
      </c>
      <c r="C1139" s="5" t="s">
        <v>7666</v>
      </c>
      <c r="D1139" s="5">
        <v>1023.0</v>
      </c>
      <c r="E1139" s="5">
        <v>2348.0</v>
      </c>
      <c r="F1139" s="18" t="s">
        <v>4141</v>
      </c>
      <c r="G1139" s="5" t="s">
        <v>4142</v>
      </c>
      <c r="H1139" s="5" t="s">
        <v>4143</v>
      </c>
      <c r="I1139" s="5" t="s">
        <v>641</v>
      </c>
      <c r="J1139" s="5" t="s">
        <v>1746</v>
      </c>
      <c r="K1139" s="5">
        <v>1.0</v>
      </c>
      <c r="L1139" s="5">
        <v>2751.0</v>
      </c>
      <c r="M1139" s="8"/>
      <c r="AK1139" s="9"/>
      <c r="AO1139" s="29" t="s">
        <v>4141</v>
      </c>
      <c r="AP1139" s="5">
        <v>1023.0</v>
      </c>
      <c r="AQ1139" s="5" t="s">
        <v>1716</v>
      </c>
      <c r="AR1139" s="5" t="s">
        <v>1717</v>
      </c>
      <c r="AS1139" s="5" t="s">
        <v>1740</v>
      </c>
      <c r="AT1139" s="5" t="s">
        <v>1835</v>
      </c>
      <c r="AU1139" s="5" t="s">
        <v>1742</v>
      </c>
      <c r="AV1139" s="5" t="s">
        <v>1720</v>
      </c>
      <c r="AW1139" s="5" t="s">
        <v>2003</v>
      </c>
      <c r="AX1139" s="5" t="s">
        <v>2258</v>
      </c>
      <c r="AY1139" s="5">
        <v>52.9075</v>
      </c>
      <c r="AZ1139" s="5">
        <v>-118.7789</v>
      </c>
      <c r="BA1139" s="5">
        <v>1080.0</v>
      </c>
    </row>
    <row r="1140" ht="14.25" customHeight="1">
      <c r="A1140" s="5" t="s">
        <v>88</v>
      </c>
      <c r="B1140" s="5">
        <v>12.0</v>
      </c>
      <c r="C1140" s="5" t="s">
        <v>7666</v>
      </c>
      <c r="D1140" s="5">
        <v>1024.0</v>
      </c>
      <c r="E1140" s="5">
        <v>2349.0</v>
      </c>
      <c r="F1140" s="5" t="s">
        <v>4144</v>
      </c>
      <c r="G1140" s="10" t="s">
        <v>4145</v>
      </c>
      <c r="H1140" s="5" t="s">
        <v>4146</v>
      </c>
      <c r="I1140" s="5" t="s">
        <v>641</v>
      </c>
      <c r="J1140" s="5" t="s">
        <v>1891</v>
      </c>
      <c r="K1140" s="5">
        <v>1.0</v>
      </c>
      <c r="L1140" s="5">
        <v>2752.0</v>
      </c>
      <c r="M1140" s="8">
        <v>50.43869</v>
      </c>
      <c r="N1140" s="5">
        <v>-121.5515</v>
      </c>
      <c r="O1140" s="5" t="s">
        <v>142</v>
      </c>
      <c r="P1140" s="5">
        <v>1024.0</v>
      </c>
      <c r="Q1140" s="5">
        <v>6.0</v>
      </c>
      <c r="R1140" s="5" t="s">
        <v>4144</v>
      </c>
      <c r="S1140" s="5" t="s">
        <v>1737</v>
      </c>
      <c r="T1140" s="5">
        <v>1557.0</v>
      </c>
      <c r="W1140" s="5">
        <v>39640.0</v>
      </c>
      <c r="X1140" s="5" t="s">
        <v>1738</v>
      </c>
      <c r="AK1140" s="9"/>
      <c r="AO1140" s="5" t="s">
        <v>4144</v>
      </c>
      <c r="AP1140" s="5">
        <v>1024.0</v>
      </c>
      <c r="AQ1140" s="5" t="s">
        <v>1716</v>
      </c>
      <c r="AR1140" s="5" t="s">
        <v>1739</v>
      </c>
      <c r="AS1140" s="5" t="s">
        <v>1740</v>
      </c>
      <c r="AT1140" s="5" t="s">
        <v>1741</v>
      </c>
      <c r="AU1140" s="5" t="s">
        <v>1742</v>
      </c>
      <c r="AV1140" s="5" t="s">
        <v>1720</v>
      </c>
      <c r="AW1140" s="5" t="s">
        <v>2368</v>
      </c>
      <c r="AX1140" s="5" t="s">
        <v>2505</v>
      </c>
      <c r="AY1140" s="5">
        <v>50.4387</v>
      </c>
      <c r="AZ1140" s="5">
        <v>-121.5515</v>
      </c>
      <c r="BA1140" s="5">
        <v>1557.0</v>
      </c>
    </row>
    <row r="1141" ht="14.25" customHeight="1">
      <c r="A1141" s="5" t="s">
        <v>88</v>
      </c>
      <c r="B1141" s="5">
        <v>12.0</v>
      </c>
      <c r="C1141" s="5" t="s">
        <v>7666</v>
      </c>
      <c r="D1141" s="5">
        <v>1025.0</v>
      </c>
      <c r="E1141" s="5">
        <v>2350.0</v>
      </c>
      <c r="F1141" s="5" t="s">
        <v>4147</v>
      </c>
      <c r="G1141" s="10" t="s">
        <v>4148</v>
      </c>
      <c r="H1141" s="5" t="s">
        <v>4149</v>
      </c>
      <c r="I1141" s="5" t="s">
        <v>641</v>
      </c>
      <c r="J1141" s="5" t="s">
        <v>1829</v>
      </c>
      <c r="K1141" s="5">
        <v>1.0</v>
      </c>
      <c r="L1141" s="5">
        <v>2753.0</v>
      </c>
      <c r="M1141" s="8">
        <v>50.10348</v>
      </c>
      <c r="N1141" s="5">
        <v>-124.61373</v>
      </c>
      <c r="O1141" s="5" t="s">
        <v>51</v>
      </c>
      <c r="P1141" s="5">
        <v>1025.0</v>
      </c>
      <c r="Q1141" s="5">
        <v>1.0</v>
      </c>
      <c r="R1141" s="5" t="s">
        <v>4147</v>
      </c>
      <c r="S1141" s="5" t="s">
        <v>4045</v>
      </c>
      <c r="T1141" s="5">
        <v>91.0</v>
      </c>
      <c r="W1141" s="5">
        <v>39646.0</v>
      </c>
      <c r="X1141" s="5" t="s">
        <v>1738</v>
      </c>
      <c r="AK1141" s="9"/>
      <c r="AO1141" s="5" t="s">
        <v>4147</v>
      </c>
      <c r="AP1141" s="5">
        <v>1025.0</v>
      </c>
      <c r="AQ1141" s="5" t="s">
        <v>1716</v>
      </c>
      <c r="AR1141" s="5" t="s">
        <v>1739</v>
      </c>
      <c r="AS1141" s="5" t="s">
        <v>1740</v>
      </c>
      <c r="AT1141" s="5" t="s">
        <v>1741</v>
      </c>
      <c r="AU1141" s="5" t="s">
        <v>1742</v>
      </c>
      <c r="AV1141" s="5" t="s">
        <v>1720</v>
      </c>
      <c r="AW1141" s="5" t="s">
        <v>1705</v>
      </c>
      <c r="AX1141" s="5" t="s">
        <v>1837</v>
      </c>
      <c r="AY1141" s="5">
        <v>50.1035</v>
      </c>
      <c r="AZ1141" s="5">
        <v>-124.6146</v>
      </c>
      <c r="BA1141" s="5">
        <v>103.0</v>
      </c>
    </row>
    <row r="1142" ht="14.25" customHeight="1">
      <c r="A1142" s="5" t="s">
        <v>88</v>
      </c>
      <c r="B1142" s="5">
        <v>12.0</v>
      </c>
      <c r="C1142" s="5" t="s">
        <v>7666</v>
      </c>
      <c r="D1142" s="5">
        <v>1027.0</v>
      </c>
      <c r="E1142" s="5">
        <v>2351.0</v>
      </c>
      <c r="F1142" s="18" t="s">
        <v>4150</v>
      </c>
      <c r="G1142" s="10" t="s">
        <v>4151</v>
      </c>
      <c r="H1142" s="5" t="s">
        <v>4152</v>
      </c>
      <c r="I1142" s="5" t="s">
        <v>641</v>
      </c>
      <c r="J1142" s="5" t="s">
        <v>1746</v>
      </c>
      <c r="K1142" s="5">
        <v>1.0</v>
      </c>
      <c r="L1142" s="5">
        <v>2754.0</v>
      </c>
      <c r="M1142" s="8"/>
      <c r="AK1142" s="9"/>
      <c r="AO1142" s="5" t="s">
        <v>4150</v>
      </c>
      <c r="AP1142" s="5">
        <v>1027.0</v>
      </c>
      <c r="AQ1142" s="5" t="s">
        <v>1716</v>
      </c>
      <c r="AR1142" s="5" t="s">
        <v>1717</v>
      </c>
      <c r="AS1142" s="5" t="s">
        <v>1718</v>
      </c>
      <c r="AT1142" s="5" t="s">
        <v>2161</v>
      </c>
      <c r="AU1142" s="5" t="s">
        <v>2162</v>
      </c>
      <c r="AV1142" s="5" t="s">
        <v>1720</v>
      </c>
      <c r="AW1142" s="5" t="s">
        <v>1705</v>
      </c>
      <c r="AX1142" s="5" t="s">
        <v>1837</v>
      </c>
      <c r="AY1142" s="5">
        <v>50.4026</v>
      </c>
      <c r="AZ1142" s="5">
        <v>-124.4122</v>
      </c>
      <c r="BA1142" s="5">
        <v>856.0</v>
      </c>
    </row>
    <row r="1143" ht="14.25" customHeight="1">
      <c r="A1143" s="5" t="s">
        <v>88</v>
      </c>
      <c r="B1143" s="5">
        <v>12.0</v>
      </c>
      <c r="C1143" s="5" t="s">
        <v>7666</v>
      </c>
      <c r="D1143" s="5">
        <v>1028.0</v>
      </c>
      <c r="E1143" s="5">
        <v>2352.0</v>
      </c>
      <c r="F1143" s="18" t="s">
        <v>4153</v>
      </c>
      <c r="G1143" s="10" t="s">
        <v>4154</v>
      </c>
      <c r="H1143" s="5" t="s">
        <v>4155</v>
      </c>
      <c r="I1143" s="5" t="s">
        <v>641</v>
      </c>
      <c r="J1143" s="5" t="s">
        <v>1746</v>
      </c>
      <c r="K1143" s="5">
        <v>1.0</v>
      </c>
      <c r="L1143" s="5">
        <v>2755.0</v>
      </c>
      <c r="M1143" s="8"/>
      <c r="AK1143" s="9"/>
      <c r="AO1143" s="5" t="s">
        <v>4153</v>
      </c>
      <c r="AP1143" s="5">
        <v>1028.0</v>
      </c>
      <c r="AQ1143" s="5" t="s">
        <v>1716</v>
      </c>
      <c r="AR1143" s="5" t="s">
        <v>1717</v>
      </c>
      <c r="AS1143" s="5" t="s">
        <v>1718</v>
      </c>
      <c r="AT1143" s="5" t="s">
        <v>2161</v>
      </c>
      <c r="AU1143" s="5" t="s">
        <v>2162</v>
      </c>
      <c r="AV1143" s="5" t="s">
        <v>1720</v>
      </c>
      <c r="AW1143" s="5" t="s">
        <v>1705</v>
      </c>
      <c r="AX1143" s="5" t="s">
        <v>1837</v>
      </c>
      <c r="AY1143" s="5">
        <v>50.6572</v>
      </c>
      <c r="AZ1143" s="5">
        <v>-124.1143</v>
      </c>
      <c r="BA1143" s="5">
        <v>644.0</v>
      </c>
    </row>
    <row r="1144" ht="14.25" customHeight="1">
      <c r="A1144" s="5" t="s">
        <v>88</v>
      </c>
      <c r="B1144" s="5">
        <v>12.0</v>
      </c>
      <c r="C1144" s="5" t="s">
        <v>7666</v>
      </c>
      <c r="D1144" s="5">
        <v>1029.0</v>
      </c>
      <c r="E1144" s="5">
        <v>2353.0</v>
      </c>
      <c r="F1144" s="5" t="s">
        <v>4156</v>
      </c>
      <c r="G1144" s="70" t="s">
        <v>4157</v>
      </c>
      <c r="H1144" s="5" t="s">
        <v>4158</v>
      </c>
      <c r="I1144" s="5" t="s">
        <v>641</v>
      </c>
      <c r="J1144" s="5" t="s">
        <v>1891</v>
      </c>
      <c r="K1144" s="5">
        <v>1.0</v>
      </c>
      <c r="L1144" s="5">
        <v>2756.0</v>
      </c>
      <c r="M1144" s="8">
        <v>50.91089</v>
      </c>
      <c r="N1144" s="5">
        <v>-122.68889</v>
      </c>
      <c r="O1144" s="5" t="s">
        <v>142</v>
      </c>
      <c r="P1144" s="5">
        <v>1029.0</v>
      </c>
      <c r="Q1144" s="5">
        <v>2.0</v>
      </c>
      <c r="R1144" s="5" t="s">
        <v>4156</v>
      </c>
      <c r="S1144" s="5" t="s">
        <v>1737</v>
      </c>
      <c r="T1144" s="5">
        <v>865.0</v>
      </c>
      <c r="U1144" s="5" t="s">
        <v>645</v>
      </c>
      <c r="W1144" s="5">
        <v>39667.0</v>
      </c>
      <c r="X1144" s="5" t="s">
        <v>1738</v>
      </c>
      <c r="AK1144" s="9"/>
      <c r="AO1144" s="5" t="s">
        <v>4156</v>
      </c>
      <c r="AP1144" s="5">
        <v>1029.0</v>
      </c>
      <c r="AQ1144" s="5" t="s">
        <v>1716</v>
      </c>
      <c r="AR1144" s="5" t="s">
        <v>1739</v>
      </c>
      <c r="AS1144" s="5" t="s">
        <v>1740</v>
      </c>
      <c r="AT1144" s="5" t="s">
        <v>1741</v>
      </c>
      <c r="AU1144" s="5" t="s">
        <v>1742</v>
      </c>
      <c r="AV1144" s="5" t="s">
        <v>1720</v>
      </c>
      <c r="AW1144" s="5" t="s">
        <v>2368</v>
      </c>
      <c r="AX1144" s="5" t="s">
        <v>2505</v>
      </c>
      <c r="AY1144" s="5">
        <v>50.9109</v>
      </c>
      <c r="AZ1144" s="5">
        <v>-122.6889</v>
      </c>
      <c r="BA1144" s="5">
        <v>875.0</v>
      </c>
    </row>
    <row r="1145" ht="14.25" customHeight="1">
      <c r="A1145" s="5" t="s">
        <v>422</v>
      </c>
      <c r="B1145" s="5">
        <v>12.0</v>
      </c>
      <c r="C1145" s="5" t="s">
        <v>7666</v>
      </c>
      <c r="D1145" s="5">
        <v>1030.0</v>
      </c>
      <c r="E1145" s="5">
        <v>2354.0</v>
      </c>
      <c r="F1145" s="5" t="s">
        <v>4159</v>
      </c>
      <c r="G1145" s="5" t="s">
        <v>4160</v>
      </c>
      <c r="H1145" s="5" t="s">
        <v>4161</v>
      </c>
      <c r="I1145" s="5" t="s">
        <v>641</v>
      </c>
      <c r="J1145" s="5" t="s">
        <v>1746</v>
      </c>
      <c r="K1145" s="5">
        <v>1.0</v>
      </c>
      <c r="L1145" s="5">
        <v>2757.0</v>
      </c>
      <c r="M1145" s="8"/>
      <c r="AK1145" s="9"/>
      <c r="AO1145" s="5" t="s">
        <v>4162</v>
      </c>
      <c r="AP1145" s="5">
        <v>1030.0</v>
      </c>
      <c r="AQ1145" s="5" t="s">
        <v>1716</v>
      </c>
      <c r="AR1145" s="5" t="s">
        <v>1717</v>
      </c>
      <c r="AS1145" s="5" t="s">
        <v>1740</v>
      </c>
      <c r="AT1145" s="5" t="s">
        <v>1835</v>
      </c>
      <c r="AU1145" s="5" t="s">
        <v>1742</v>
      </c>
      <c r="AV1145" s="5" t="s">
        <v>1720</v>
      </c>
      <c r="AW1145" s="5" t="s">
        <v>2003</v>
      </c>
      <c r="AX1145" s="5" t="s">
        <v>2024</v>
      </c>
      <c r="AY1145" s="5">
        <v>55.2955</v>
      </c>
      <c r="AZ1145" s="5">
        <v>-121.5639</v>
      </c>
      <c r="BA1145" s="5">
        <v>1100.0</v>
      </c>
    </row>
    <row r="1146" ht="14.25" customHeight="1">
      <c r="A1146" s="5" t="s">
        <v>88</v>
      </c>
      <c r="B1146" s="5">
        <v>12.0</v>
      </c>
      <c r="C1146" s="5" t="s">
        <v>7666</v>
      </c>
      <c r="D1146" s="5">
        <v>1032.0</v>
      </c>
      <c r="E1146" s="5">
        <v>2355.0</v>
      </c>
      <c r="F1146" s="18" t="s">
        <v>4163</v>
      </c>
      <c r="G1146" s="10" t="s">
        <v>4164</v>
      </c>
      <c r="H1146" s="5" t="s">
        <v>4165</v>
      </c>
      <c r="I1146" s="5" t="s">
        <v>641</v>
      </c>
      <c r="J1146" s="5" t="s">
        <v>1746</v>
      </c>
      <c r="K1146" s="5">
        <v>1.0</v>
      </c>
      <c r="L1146" s="5">
        <v>2758.0</v>
      </c>
      <c r="M1146" s="8"/>
      <c r="AK1146" s="9"/>
      <c r="AO1146" s="5" t="s">
        <v>4163</v>
      </c>
      <c r="AP1146" s="5">
        <v>1032.0</v>
      </c>
      <c r="AQ1146" s="5" t="s">
        <v>1716</v>
      </c>
      <c r="AR1146" s="5" t="s">
        <v>1717</v>
      </c>
      <c r="AS1146" s="5" t="s">
        <v>1740</v>
      </c>
      <c r="AT1146" s="5" t="s">
        <v>1835</v>
      </c>
      <c r="AU1146" s="5" t="s">
        <v>1742</v>
      </c>
      <c r="AV1146" s="5" t="s">
        <v>1720</v>
      </c>
      <c r="AW1146" s="5" t="s">
        <v>1705</v>
      </c>
      <c r="AX1146" s="5" t="s">
        <v>1837</v>
      </c>
      <c r="AY1146" s="5">
        <v>50.6479</v>
      </c>
      <c r="AZ1146" s="5">
        <v>-123.8832</v>
      </c>
      <c r="BA1146" s="5">
        <v>731.0</v>
      </c>
    </row>
    <row r="1147" ht="14.25" customHeight="1">
      <c r="A1147" s="5" t="s">
        <v>88</v>
      </c>
      <c r="B1147" s="5">
        <v>12.0</v>
      </c>
      <c r="C1147" s="5" t="s">
        <v>7666</v>
      </c>
      <c r="D1147" s="5">
        <v>1037.0</v>
      </c>
      <c r="E1147" s="5">
        <v>2356.0</v>
      </c>
      <c r="F1147" s="18" t="s">
        <v>4166</v>
      </c>
      <c r="G1147" s="10" t="s">
        <v>4167</v>
      </c>
      <c r="H1147" s="5" t="s">
        <v>4168</v>
      </c>
      <c r="I1147" s="5" t="s">
        <v>641</v>
      </c>
      <c r="J1147" s="5" t="s">
        <v>1746</v>
      </c>
      <c r="K1147" s="5">
        <v>1.0</v>
      </c>
      <c r="L1147" s="5">
        <v>2759.0</v>
      </c>
      <c r="M1147" s="8"/>
      <c r="AK1147" s="9"/>
      <c r="AO1147" s="5" t="s">
        <v>4166</v>
      </c>
      <c r="AP1147" s="5">
        <v>1037.0</v>
      </c>
      <c r="AQ1147" s="5" t="s">
        <v>1716</v>
      </c>
      <c r="AR1147" s="5" t="s">
        <v>1717</v>
      </c>
      <c r="AS1147" s="5" t="s">
        <v>1718</v>
      </c>
      <c r="AT1147" s="5" t="s">
        <v>1835</v>
      </c>
      <c r="AU1147" s="5" t="s">
        <v>1836</v>
      </c>
      <c r="AV1147" s="5" t="s">
        <v>1720</v>
      </c>
      <c r="AW1147" s="5" t="s">
        <v>1705</v>
      </c>
      <c r="AX1147" s="5" t="s">
        <v>1883</v>
      </c>
      <c r="AY1147" s="5">
        <v>49.2713</v>
      </c>
      <c r="AZ1147" s="5">
        <v>-121.7808</v>
      </c>
      <c r="BA1147" s="5">
        <v>19.0</v>
      </c>
    </row>
    <row r="1148" ht="14.25" customHeight="1">
      <c r="A1148" s="5" t="s">
        <v>422</v>
      </c>
      <c r="B1148" s="5">
        <v>12.0</v>
      </c>
      <c r="C1148" s="5" t="s">
        <v>7666</v>
      </c>
      <c r="D1148" s="5">
        <v>1038.0</v>
      </c>
      <c r="E1148" s="5">
        <v>2357.0</v>
      </c>
      <c r="F1148" s="18" t="s">
        <v>4169</v>
      </c>
      <c r="G1148" s="5" t="s">
        <v>4170</v>
      </c>
      <c r="H1148" s="5" t="s">
        <v>4171</v>
      </c>
      <c r="I1148" s="5" t="s">
        <v>641</v>
      </c>
      <c r="J1148" s="5" t="s">
        <v>1746</v>
      </c>
      <c r="K1148" s="5">
        <v>1.0</v>
      </c>
      <c r="L1148" s="5">
        <v>2760.0</v>
      </c>
      <c r="M1148" s="8"/>
      <c r="AK1148" s="9"/>
      <c r="AO1148" s="5" t="s">
        <v>4169</v>
      </c>
      <c r="AP1148" s="5">
        <v>1038.0</v>
      </c>
      <c r="AQ1148" s="5" t="s">
        <v>1716</v>
      </c>
      <c r="AR1148" s="5" t="s">
        <v>1717</v>
      </c>
      <c r="AS1148" s="5" t="s">
        <v>1718</v>
      </c>
      <c r="AT1148" s="5" t="s">
        <v>1835</v>
      </c>
      <c r="AU1148" s="5" t="s">
        <v>1836</v>
      </c>
      <c r="AV1148" s="5" t="s">
        <v>1720</v>
      </c>
      <c r="AW1148" s="5" t="s">
        <v>2193</v>
      </c>
      <c r="AX1148" s="5" t="s">
        <v>2283</v>
      </c>
      <c r="AY1148" s="5">
        <v>52.0715</v>
      </c>
      <c r="AZ1148" s="5">
        <v>-123.5284</v>
      </c>
      <c r="BA1148" s="5">
        <v>798.0</v>
      </c>
    </row>
    <row r="1149" ht="14.25" customHeight="1">
      <c r="A1149" s="5" t="s">
        <v>422</v>
      </c>
      <c r="B1149" s="5">
        <v>12.0</v>
      </c>
      <c r="C1149" s="5" t="s">
        <v>7666</v>
      </c>
      <c r="D1149" s="5">
        <v>1039.0</v>
      </c>
      <c r="E1149" s="5">
        <v>2358.0</v>
      </c>
      <c r="F1149" s="18" t="s">
        <v>4172</v>
      </c>
      <c r="G1149" s="5" t="s">
        <v>4173</v>
      </c>
      <c r="H1149" s="5" t="s">
        <v>4174</v>
      </c>
      <c r="I1149" s="5" t="s">
        <v>641</v>
      </c>
      <c r="J1149" s="5" t="s">
        <v>1746</v>
      </c>
      <c r="K1149" s="5">
        <v>1.0</v>
      </c>
      <c r="L1149" s="5">
        <v>2761.0</v>
      </c>
      <c r="M1149" s="8"/>
      <c r="AK1149" s="9"/>
      <c r="AO1149" s="5" t="s">
        <v>4172</v>
      </c>
      <c r="AP1149" s="5">
        <v>1039.0</v>
      </c>
      <c r="AQ1149" s="5" t="s">
        <v>1716</v>
      </c>
      <c r="AR1149" s="5" t="s">
        <v>1717</v>
      </c>
      <c r="AS1149" s="5" t="s">
        <v>1718</v>
      </c>
      <c r="AT1149" s="5" t="s">
        <v>1835</v>
      </c>
      <c r="AU1149" s="5" t="s">
        <v>1836</v>
      </c>
      <c r="AV1149" s="5" t="s">
        <v>1720</v>
      </c>
      <c r="AW1149" s="5" t="s">
        <v>1705</v>
      </c>
      <c r="AX1149" s="5" t="s">
        <v>1883</v>
      </c>
      <c r="AY1149" s="5">
        <v>49.2327</v>
      </c>
      <c r="AZ1149" s="5">
        <v>-121.6503</v>
      </c>
      <c r="BA1149" s="5">
        <v>657.0</v>
      </c>
    </row>
    <row r="1150" ht="14.25" customHeight="1">
      <c r="A1150" s="5" t="s">
        <v>88</v>
      </c>
      <c r="B1150" s="5">
        <v>12.0</v>
      </c>
      <c r="C1150" s="5" t="s">
        <v>7666</v>
      </c>
      <c r="D1150" s="5">
        <v>1040.0</v>
      </c>
      <c r="E1150" s="5">
        <v>2359.0</v>
      </c>
      <c r="F1150" s="5" t="s">
        <v>4175</v>
      </c>
      <c r="G1150" s="10" t="s">
        <v>4176</v>
      </c>
      <c r="H1150" s="5" t="s">
        <v>4177</v>
      </c>
      <c r="I1150" s="5" t="s">
        <v>641</v>
      </c>
      <c r="J1150" s="5" t="s">
        <v>1829</v>
      </c>
      <c r="K1150" s="5">
        <v>1.0</v>
      </c>
      <c r="L1150" s="5">
        <v>2762.0</v>
      </c>
      <c r="M1150" s="8">
        <v>49.691</v>
      </c>
      <c r="N1150" s="5">
        <v>-121.85962</v>
      </c>
      <c r="O1150" s="5" t="s">
        <v>51</v>
      </c>
      <c r="P1150" s="5">
        <v>1040.0</v>
      </c>
      <c r="Q1150" s="5">
        <v>4.0</v>
      </c>
      <c r="R1150" s="5" t="s">
        <v>4175</v>
      </c>
      <c r="S1150" s="5" t="s">
        <v>1737</v>
      </c>
      <c r="T1150" s="5">
        <v>561.0</v>
      </c>
      <c r="U1150" s="5" t="s">
        <v>645</v>
      </c>
      <c r="W1150" s="5">
        <v>39959.0</v>
      </c>
      <c r="X1150" s="5" t="s">
        <v>1738</v>
      </c>
      <c r="AK1150" s="9"/>
      <c r="AO1150" s="5" t="s">
        <v>4175</v>
      </c>
      <c r="AP1150" s="5">
        <v>1040.0</v>
      </c>
      <c r="AQ1150" s="5" t="s">
        <v>1716</v>
      </c>
      <c r="AR1150" s="5" t="s">
        <v>1739</v>
      </c>
      <c r="AS1150" s="5" t="s">
        <v>1740</v>
      </c>
      <c r="AT1150" s="5" t="s">
        <v>1741</v>
      </c>
      <c r="AU1150" s="5" t="s">
        <v>1742</v>
      </c>
      <c r="AV1150" s="5" t="s">
        <v>1720</v>
      </c>
      <c r="AW1150" s="5" t="s">
        <v>1705</v>
      </c>
      <c r="AX1150" s="5" t="s">
        <v>1883</v>
      </c>
      <c r="AY1150" s="5">
        <v>49.7234</v>
      </c>
      <c r="AZ1150" s="5">
        <v>-121.8366</v>
      </c>
      <c r="BA1150" s="5">
        <v>570.0</v>
      </c>
    </row>
    <row r="1151" ht="14.25" customHeight="1">
      <c r="A1151" s="5" t="s">
        <v>422</v>
      </c>
      <c r="B1151" s="5">
        <v>12.0</v>
      </c>
      <c r="C1151" s="5" t="s">
        <v>7666</v>
      </c>
      <c r="D1151" s="5">
        <v>1041.0</v>
      </c>
      <c r="E1151" s="5">
        <v>2360.0</v>
      </c>
      <c r="F1151" s="18" t="s">
        <v>4178</v>
      </c>
      <c r="G1151" s="5" t="s">
        <v>4179</v>
      </c>
      <c r="H1151" s="5" t="s">
        <v>4180</v>
      </c>
      <c r="I1151" s="5" t="s">
        <v>641</v>
      </c>
      <c r="J1151" s="5" t="s">
        <v>1746</v>
      </c>
      <c r="K1151" s="5">
        <v>1.0</v>
      </c>
      <c r="L1151" s="5">
        <v>2763.0</v>
      </c>
      <c r="M1151" s="8"/>
      <c r="AK1151" s="9"/>
      <c r="AO1151" s="5" t="s">
        <v>4178</v>
      </c>
      <c r="AP1151" s="5">
        <v>1041.0</v>
      </c>
      <c r="AQ1151" s="5" t="s">
        <v>1716</v>
      </c>
      <c r="AR1151" s="5" t="s">
        <v>1717</v>
      </c>
      <c r="AS1151" s="5" t="s">
        <v>1718</v>
      </c>
      <c r="AT1151" s="5" t="s">
        <v>1835</v>
      </c>
      <c r="AU1151" s="5" t="s">
        <v>1836</v>
      </c>
      <c r="AV1151" s="5" t="s">
        <v>1720</v>
      </c>
      <c r="AW1151" s="5" t="s">
        <v>2368</v>
      </c>
      <c r="AX1151" s="5" t="s">
        <v>2505</v>
      </c>
      <c r="AY1151" s="5">
        <v>50.8946</v>
      </c>
      <c r="AZ1151" s="5">
        <v>-122.7668</v>
      </c>
      <c r="BA1151" s="5">
        <v>657.0</v>
      </c>
    </row>
    <row r="1152" ht="14.25" customHeight="1">
      <c r="A1152" s="5" t="s">
        <v>422</v>
      </c>
      <c r="B1152" s="5">
        <v>12.0</v>
      </c>
      <c r="C1152" s="5" t="s">
        <v>7666</v>
      </c>
      <c r="D1152" s="5">
        <v>1043.0</v>
      </c>
      <c r="E1152" s="5">
        <v>2361.0</v>
      </c>
      <c r="F1152" s="18" t="s">
        <v>4181</v>
      </c>
      <c r="G1152" s="5" t="s">
        <v>4182</v>
      </c>
      <c r="H1152" s="5" t="s">
        <v>4183</v>
      </c>
      <c r="I1152" s="5" t="s">
        <v>641</v>
      </c>
      <c r="J1152" s="5" t="s">
        <v>1746</v>
      </c>
      <c r="K1152" s="5">
        <v>1.0</v>
      </c>
      <c r="L1152" s="5">
        <v>2764.0</v>
      </c>
      <c r="M1152" s="8"/>
      <c r="AK1152" s="9"/>
      <c r="AO1152" s="5" t="s">
        <v>4181</v>
      </c>
      <c r="AP1152" s="5">
        <v>1043.0</v>
      </c>
      <c r="AQ1152" s="5" t="s">
        <v>1716</v>
      </c>
      <c r="AR1152" s="5" t="s">
        <v>1717</v>
      </c>
      <c r="AS1152" s="5" t="s">
        <v>1740</v>
      </c>
      <c r="AT1152" s="5" t="s">
        <v>1835</v>
      </c>
      <c r="AU1152" s="5" t="s">
        <v>1742</v>
      </c>
      <c r="AV1152" s="5" t="s">
        <v>1720</v>
      </c>
      <c r="AX1152" s="5" t="s">
        <v>2009</v>
      </c>
      <c r="AY1152" s="5">
        <v>59.65</v>
      </c>
      <c r="AZ1152" s="5">
        <v>-126.9167</v>
      </c>
      <c r="BA1152" s="5">
        <v>500.0</v>
      </c>
    </row>
    <row r="1153" ht="14.25" customHeight="1">
      <c r="A1153" s="5" t="s">
        <v>88</v>
      </c>
      <c r="B1153" s="5">
        <v>12.0</v>
      </c>
      <c r="C1153" s="5" t="s">
        <v>7666</v>
      </c>
      <c r="D1153" s="5">
        <v>1045.0</v>
      </c>
      <c r="E1153" s="5">
        <v>2362.0</v>
      </c>
      <c r="F1153" s="5" t="s">
        <v>4184</v>
      </c>
      <c r="G1153" s="70" t="s">
        <v>4185</v>
      </c>
      <c r="H1153" s="5" t="s">
        <v>4186</v>
      </c>
      <c r="I1153" s="5" t="s">
        <v>641</v>
      </c>
      <c r="J1153" s="5" t="s">
        <v>1891</v>
      </c>
      <c r="K1153" s="5">
        <v>1.0</v>
      </c>
      <c r="L1153" s="5">
        <v>2765.0</v>
      </c>
      <c r="M1153" s="8">
        <v>56.55833</v>
      </c>
      <c r="N1153" s="5">
        <v>-120.38194</v>
      </c>
      <c r="O1153" s="5" t="s">
        <v>153</v>
      </c>
      <c r="P1153" s="5">
        <v>1045.0</v>
      </c>
      <c r="Q1153" s="5">
        <v>2.0</v>
      </c>
      <c r="R1153" s="5" t="s">
        <v>4184</v>
      </c>
      <c r="S1153" s="5" t="s">
        <v>1737</v>
      </c>
      <c r="T1153" s="5">
        <v>700.0</v>
      </c>
      <c r="W1153" s="5">
        <v>39993.0</v>
      </c>
      <c r="X1153" s="5" t="s">
        <v>1738</v>
      </c>
      <c r="AK1153" s="9"/>
      <c r="AO1153" s="5" t="s">
        <v>4184</v>
      </c>
      <c r="AP1153" s="5">
        <v>1045.0</v>
      </c>
      <c r="AQ1153" s="5" t="s">
        <v>1716</v>
      </c>
      <c r="AR1153" s="5" t="s">
        <v>1739</v>
      </c>
      <c r="AS1153" s="5" t="s">
        <v>1740</v>
      </c>
      <c r="AT1153" s="5" t="s">
        <v>1741</v>
      </c>
      <c r="AU1153" s="5" t="s">
        <v>1742</v>
      </c>
      <c r="AV1153" s="5" t="s">
        <v>1720</v>
      </c>
      <c r="AW1153" s="5" t="s">
        <v>2003</v>
      </c>
      <c r="AX1153" s="5" t="s">
        <v>2004</v>
      </c>
      <c r="AY1153" s="5">
        <v>56.5553</v>
      </c>
      <c r="AZ1153" s="5">
        <v>-120.3952</v>
      </c>
      <c r="BA1153" s="5">
        <v>700.0</v>
      </c>
    </row>
    <row r="1154" ht="14.25" customHeight="1">
      <c r="A1154" s="5" t="s">
        <v>422</v>
      </c>
      <c r="B1154" s="5">
        <v>12.0</v>
      </c>
      <c r="C1154" s="5" t="s">
        <v>7666</v>
      </c>
      <c r="D1154" s="5">
        <v>1046.0</v>
      </c>
      <c r="E1154" s="5">
        <v>2363.0</v>
      </c>
      <c r="F1154" s="18" t="s">
        <v>4187</v>
      </c>
      <c r="G1154" s="5" t="s">
        <v>4188</v>
      </c>
      <c r="H1154" s="5" t="s">
        <v>4189</v>
      </c>
      <c r="I1154" s="5" t="s">
        <v>641</v>
      </c>
      <c r="J1154" s="5" t="s">
        <v>1746</v>
      </c>
      <c r="K1154" s="5">
        <v>1.0</v>
      </c>
      <c r="L1154" s="5">
        <v>2766.0</v>
      </c>
      <c r="M1154" s="8"/>
      <c r="AK1154" s="9"/>
      <c r="AO1154" s="5" t="s">
        <v>4187</v>
      </c>
      <c r="AP1154" s="5">
        <v>1046.0</v>
      </c>
      <c r="AQ1154" s="5" t="s">
        <v>1716</v>
      </c>
      <c r="AR1154" s="5" t="s">
        <v>1717</v>
      </c>
      <c r="AS1154" s="5" t="s">
        <v>1718</v>
      </c>
      <c r="AT1154" s="5" t="s">
        <v>1835</v>
      </c>
      <c r="AU1154" s="5" t="s">
        <v>1836</v>
      </c>
      <c r="AV1154" s="5" t="s">
        <v>1720</v>
      </c>
      <c r="AW1154" s="5" t="s">
        <v>2003</v>
      </c>
      <c r="AX1154" s="5" t="s">
        <v>2516</v>
      </c>
      <c r="AY1154" s="5">
        <v>50.1979</v>
      </c>
      <c r="AZ1154" s="5">
        <v>-119.7957</v>
      </c>
      <c r="BA1154" s="5">
        <v>1814.0</v>
      </c>
    </row>
    <row r="1155" ht="14.25" customHeight="1">
      <c r="A1155" s="5" t="s">
        <v>422</v>
      </c>
      <c r="B1155" s="5">
        <v>12.0</v>
      </c>
      <c r="C1155" s="5" t="s">
        <v>7666</v>
      </c>
      <c r="D1155" s="5">
        <v>1048.0</v>
      </c>
      <c r="E1155" s="5">
        <v>2364.0</v>
      </c>
      <c r="F1155" s="18" t="s">
        <v>4190</v>
      </c>
      <c r="G1155" s="5" t="s">
        <v>4191</v>
      </c>
      <c r="H1155" s="5" t="s">
        <v>4192</v>
      </c>
      <c r="I1155" s="5" t="s">
        <v>641</v>
      </c>
      <c r="J1155" s="5" t="s">
        <v>1746</v>
      </c>
      <c r="K1155" s="5">
        <v>1.0</v>
      </c>
      <c r="L1155" s="5">
        <v>2767.0</v>
      </c>
      <c r="M1155" s="8"/>
      <c r="AK1155" s="9"/>
      <c r="AO1155" s="5" t="s">
        <v>4190</v>
      </c>
      <c r="AP1155" s="5">
        <v>1048.0</v>
      </c>
      <c r="AQ1155" s="5" t="s">
        <v>1716</v>
      </c>
      <c r="AR1155" s="5" t="s">
        <v>1717</v>
      </c>
      <c r="AS1155" s="5" t="s">
        <v>1718</v>
      </c>
      <c r="AT1155" s="5" t="s">
        <v>1835</v>
      </c>
      <c r="AU1155" s="5" t="s">
        <v>1836</v>
      </c>
      <c r="AV1155" s="5" t="s">
        <v>1720</v>
      </c>
      <c r="AW1155" s="5" t="s">
        <v>2368</v>
      </c>
      <c r="AX1155" s="5" t="s">
        <v>2505</v>
      </c>
      <c r="AY1155" s="5">
        <v>50.6856</v>
      </c>
      <c r="AZ1155" s="5">
        <v>-122.1742</v>
      </c>
      <c r="BA1155" s="5">
        <v>1523.0</v>
      </c>
    </row>
    <row r="1156" ht="14.25" customHeight="1">
      <c r="A1156" s="5" t="s">
        <v>422</v>
      </c>
      <c r="B1156" s="5">
        <v>12.0</v>
      </c>
      <c r="C1156" s="5" t="s">
        <v>7666</v>
      </c>
      <c r="D1156" s="5">
        <v>1049.0</v>
      </c>
      <c r="E1156" s="5">
        <v>2365.0</v>
      </c>
      <c r="F1156" s="18" t="s">
        <v>4193</v>
      </c>
      <c r="G1156" s="5" t="s">
        <v>4194</v>
      </c>
      <c r="H1156" s="5" t="s">
        <v>4195</v>
      </c>
      <c r="I1156" s="5" t="s">
        <v>641</v>
      </c>
      <c r="J1156" s="5" t="s">
        <v>1746</v>
      </c>
      <c r="K1156" s="5">
        <v>1.0</v>
      </c>
      <c r="L1156" s="5">
        <v>2768.0</v>
      </c>
      <c r="M1156" s="8"/>
      <c r="AK1156" s="9"/>
      <c r="AO1156" s="67" t="s">
        <v>4193</v>
      </c>
      <c r="AP1156" s="5">
        <v>1049.0</v>
      </c>
      <c r="AQ1156" s="5" t="s">
        <v>1716</v>
      </c>
      <c r="AR1156" s="5" t="s">
        <v>1717</v>
      </c>
      <c r="AS1156" s="5" t="s">
        <v>1718</v>
      </c>
      <c r="AT1156" s="5" t="s">
        <v>1835</v>
      </c>
      <c r="AU1156" s="5" t="s">
        <v>1836</v>
      </c>
      <c r="AV1156" s="5" t="s">
        <v>1720</v>
      </c>
      <c r="AW1156" s="5" t="s">
        <v>2368</v>
      </c>
      <c r="AX1156" s="5" t="s">
        <v>2505</v>
      </c>
      <c r="AY1156" s="5">
        <v>50.9631</v>
      </c>
      <c r="AZ1156" s="5">
        <v>-122.3007</v>
      </c>
      <c r="BA1156" s="5">
        <v>938.0</v>
      </c>
    </row>
    <row r="1157" ht="14.25" customHeight="1">
      <c r="A1157" s="5" t="s">
        <v>422</v>
      </c>
      <c r="B1157" s="5">
        <v>12.0</v>
      </c>
      <c r="C1157" s="5" t="s">
        <v>7666</v>
      </c>
      <c r="D1157" s="5">
        <v>1050.0</v>
      </c>
      <c r="E1157" s="5">
        <v>2366.0</v>
      </c>
      <c r="F1157" s="18" t="s">
        <v>4196</v>
      </c>
      <c r="G1157" s="5" t="s">
        <v>4197</v>
      </c>
      <c r="H1157" s="5" t="s">
        <v>4198</v>
      </c>
      <c r="I1157" s="5" t="s">
        <v>641</v>
      </c>
      <c r="J1157" s="5" t="s">
        <v>1746</v>
      </c>
      <c r="K1157" s="5">
        <v>1.0</v>
      </c>
      <c r="L1157" s="5">
        <v>2769.0</v>
      </c>
      <c r="M1157" s="8"/>
      <c r="AK1157" s="9"/>
      <c r="AO1157" s="5" t="s">
        <v>4196</v>
      </c>
      <c r="AP1157" s="5">
        <v>1050.0</v>
      </c>
      <c r="AQ1157" s="5" t="s">
        <v>1716</v>
      </c>
      <c r="AR1157" s="5" t="s">
        <v>1717</v>
      </c>
      <c r="AS1157" s="5" t="s">
        <v>1718</v>
      </c>
      <c r="AT1157" s="5" t="s">
        <v>1835</v>
      </c>
      <c r="AU1157" s="5" t="s">
        <v>1836</v>
      </c>
      <c r="AV1157" s="5" t="s">
        <v>1720</v>
      </c>
      <c r="AW1157" s="5" t="s">
        <v>2368</v>
      </c>
      <c r="AX1157" s="5" t="s">
        <v>2401</v>
      </c>
      <c r="AY1157" s="5">
        <v>51.2955</v>
      </c>
      <c r="AZ1157" s="5">
        <v>-119.3226</v>
      </c>
      <c r="BA1157" s="5">
        <v>1409.0</v>
      </c>
    </row>
    <row r="1158" ht="14.25" customHeight="1">
      <c r="A1158" s="5" t="s">
        <v>422</v>
      </c>
      <c r="B1158" s="5">
        <v>12.0</v>
      </c>
      <c r="C1158" s="5" t="s">
        <v>7666</v>
      </c>
      <c r="D1158" s="5">
        <v>1051.0</v>
      </c>
      <c r="E1158" s="5">
        <v>2367.0</v>
      </c>
      <c r="F1158" s="18" t="s">
        <v>4199</v>
      </c>
      <c r="G1158" s="5" t="s">
        <v>4200</v>
      </c>
      <c r="H1158" s="5" t="s">
        <v>4201</v>
      </c>
      <c r="I1158" s="5" t="s">
        <v>641</v>
      </c>
      <c r="J1158" s="5" t="s">
        <v>1746</v>
      </c>
      <c r="K1158" s="5">
        <v>1.0</v>
      </c>
      <c r="L1158" s="5">
        <v>2770.0</v>
      </c>
      <c r="M1158" s="8"/>
      <c r="AK1158" s="9"/>
      <c r="AO1158" s="67" t="s">
        <v>4199</v>
      </c>
      <c r="AP1158" s="5">
        <v>1051.0</v>
      </c>
      <c r="AQ1158" s="5" t="s">
        <v>1716</v>
      </c>
      <c r="AR1158" s="5" t="s">
        <v>1717</v>
      </c>
      <c r="AS1158" s="5" t="s">
        <v>1718</v>
      </c>
      <c r="AT1158" s="5" t="s">
        <v>1835</v>
      </c>
      <c r="AU1158" s="5" t="s">
        <v>1836</v>
      </c>
      <c r="AV1158" s="5" t="s">
        <v>1720</v>
      </c>
      <c r="AW1158" s="5" t="s">
        <v>2368</v>
      </c>
      <c r="AX1158" s="5" t="s">
        <v>2707</v>
      </c>
      <c r="AY1158" s="5">
        <v>50.7459</v>
      </c>
      <c r="AZ1158" s="5">
        <v>-119.4524</v>
      </c>
      <c r="BA1158" s="5">
        <v>1407.0</v>
      </c>
    </row>
    <row r="1159" ht="14.25" customHeight="1">
      <c r="A1159" s="5" t="s">
        <v>422</v>
      </c>
      <c r="B1159" s="5">
        <v>12.0</v>
      </c>
      <c r="C1159" s="5" t="s">
        <v>7666</v>
      </c>
      <c r="D1159" s="5">
        <v>1053.0</v>
      </c>
      <c r="E1159" s="5">
        <v>2368.0</v>
      </c>
      <c r="F1159" s="18" t="s">
        <v>4202</v>
      </c>
      <c r="G1159" s="5" t="s">
        <v>4203</v>
      </c>
      <c r="H1159" s="5" t="s">
        <v>4204</v>
      </c>
      <c r="I1159" s="5" t="s">
        <v>641</v>
      </c>
      <c r="J1159" s="5" t="s">
        <v>1746</v>
      </c>
      <c r="K1159" s="5">
        <v>1.0</v>
      </c>
      <c r="L1159" s="5">
        <v>2771.0</v>
      </c>
      <c r="M1159" s="8"/>
      <c r="AK1159" s="9"/>
      <c r="AO1159" s="67" t="s">
        <v>4202</v>
      </c>
      <c r="AP1159" s="5">
        <v>1053.0</v>
      </c>
      <c r="AQ1159" s="5" t="s">
        <v>1716</v>
      </c>
      <c r="AR1159" s="5" t="s">
        <v>1717</v>
      </c>
      <c r="AS1159" s="5" t="s">
        <v>1718</v>
      </c>
      <c r="AT1159" s="5" t="s">
        <v>1835</v>
      </c>
      <c r="AU1159" s="5" t="s">
        <v>1836</v>
      </c>
      <c r="AV1159" s="5" t="s">
        <v>1720</v>
      </c>
      <c r="AW1159" s="5" t="s">
        <v>2193</v>
      </c>
      <c r="AX1159" s="5" t="s">
        <v>2283</v>
      </c>
      <c r="AY1159" s="5">
        <v>52.0734</v>
      </c>
      <c r="AZ1159" s="5">
        <v>-123.891</v>
      </c>
      <c r="BA1159" s="5">
        <v>1055.0</v>
      </c>
    </row>
    <row r="1160" ht="14.25" customHeight="1">
      <c r="A1160" s="5" t="s">
        <v>88</v>
      </c>
      <c r="B1160" s="5">
        <v>12.0</v>
      </c>
      <c r="C1160" s="5" t="s">
        <v>7666</v>
      </c>
      <c r="D1160" s="5">
        <v>1055.0</v>
      </c>
      <c r="E1160" s="5">
        <v>2369.0</v>
      </c>
      <c r="F1160" s="5" t="s">
        <v>4205</v>
      </c>
      <c r="G1160" s="10" t="s">
        <v>4206</v>
      </c>
      <c r="H1160" s="5" t="s">
        <v>4207</v>
      </c>
      <c r="I1160" s="5" t="s">
        <v>641</v>
      </c>
      <c r="J1160" s="5" t="s">
        <v>1829</v>
      </c>
      <c r="K1160" s="5">
        <v>1.0</v>
      </c>
      <c r="L1160" s="5">
        <v>2772.0</v>
      </c>
      <c r="M1160" s="8">
        <v>50.3513</v>
      </c>
      <c r="N1160" s="5">
        <v>-121.65495</v>
      </c>
      <c r="O1160" s="5" t="s">
        <v>142</v>
      </c>
      <c r="P1160" s="5">
        <v>1055.0</v>
      </c>
      <c r="Q1160" s="5">
        <v>1.0</v>
      </c>
      <c r="R1160" s="5" t="s">
        <v>4205</v>
      </c>
      <c r="S1160" s="5" t="s">
        <v>1737</v>
      </c>
      <c r="T1160" s="5">
        <v>424.0</v>
      </c>
      <c r="W1160" s="5">
        <v>40107.0</v>
      </c>
      <c r="X1160" s="5" t="s">
        <v>1738</v>
      </c>
      <c r="AK1160" s="9"/>
      <c r="AO1160" s="5" t="s">
        <v>4205</v>
      </c>
      <c r="AP1160" s="5">
        <v>1055.0</v>
      </c>
      <c r="AQ1160" s="5" t="s">
        <v>1716</v>
      </c>
      <c r="AR1160" s="5" t="s">
        <v>1739</v>
      </c>
      <c r="AS1160" s="5" t="s">
        <v>1740</v>
      </c>
      <c r="AT1160" s="5" t="s">
        <v>1741</v>
      </c>
      <c r="AU1160" s="5" t="s">
        <v>1742</v>
      </c>
      <c r="AV1160" s="5" t="s">
        <v>1720</v>
      </c>
      <c r="AW1160" s="5" t="s">
        <v>2368</v>
      </c>
      <c r="AX1160" s="5" t="s">
        <v>2505</v>
      </c>
      <c r="AY1160" s="5">
        <v>50.3511</v>
      </c>
      <c r="AZ1160" s="5">
        <v>-121.6549</v>
      </c>
      <c r="BA1160" s="5">
        <v>424.0</v>
      </c>
    </row>
    <row r="1161" ht="14.25" customHeight="1">
      <c r="A1161" s="5" t="s">
        <v>88</v>
      </c>
      <c r="B1161" s="5">
        <v>12.0</v>
      </c>
      <c r="C1161" s="5" t="s">
        <v>7666</v>
      </c>
      <c r="D1161" s="5">
        <v>1056.0</v>
      </c>
      <c r="E1161" s="5">
        <v>3300.0</v>
      </c>
      <c r="F1161" s="5" t="s">
        <v>4208</v>
      </c>
      <c r="G1161" s="10" t="s">
        <v>4209</v>
      </c>
      <c r="H1161" s="5" t="s">
        <v>4210</v>
      </c>
      <c r="I1161" s="5" t="s">
        <v>49</v>
      </c>
      <c r="J1161" s="5" t="s">
        <v>1829</v>
      </c>
      <c r="K1161" s="5">
        <v>1.0</v>
      </c>
      <c r="L1161" s="5">
        <v>4139.0</v>
      </c>
      <c r="M1161" s="8">
        <v>50.27092</v>
      </c>
      <c r="N1161" s="5">
        <v>-125.1309</v>
      </c>
      <c r="O1161" s="5" t="s">
        <v>51</v>
      </c>
      <c r="P1161" s="5">
        <v>1056.0</v>
      </c>
      <c r="Q1161" s="5">
        <v>2.0</v>
      </c>
      <c r="R1161" s="5" t="s">
        <v>4208</v>
      </c>
      <c r="S1161" s="5" t="s">
        <v>4045</v>
      </c>
      <c r="T1161" s="5">
        <v>132.0</v>
      </c>
      <c r="W1161" s="5">
        <v>40247.0</v>
      </c>
      <c r="X1161" s="5" t="s">
        <v>1738</v>
      </c>
      <c r="AK1161" s="9"/>
      <c r="AO1161" s="5" t="s">
        <v>4208</v>
      </c>
      <c r="AP1161" s="5">
        <v>1056.0</v>
      </c>
      <c r="AQ1161" s="5" t="s">
        <v>1716</v>
      </c>
      <c r="AR1161" s="5" t="s">
        <v>1739</v>
      </c>
      <c r="AS1161" s="5" t="s">
        <v>1740</v>
      </c>
      <c r="AT1161" s="5" t="s">
        <v>1741</v>
      </c>
      <c r="AU1161" s="5" t="s">
        <v>1742</v>
      </c>
      <c r="AV1161" s="5" t="s">
        <v>1720</v>
      </c>
      <c r="AW1161" s="5" t="s">
        <v>1705</v>
      </c>
      <c r="AX1161" s="5" t="s">
        <v>1837</v>
      </c>
      <c r="AY1161" s="5">
        <v>50.2709</v>
      </c>
      <c r="AZ1161" s="5">
        <v>-125.1309</v>
      </c>
      <c r="BA1161" s="5">
        <v>140.0</v>
      </c>
    </row>
    <row r="1162" ht="14.25" customHeight="1">
      <c r="A1162" s="5" t="s">
        <v>88</v>
      </c>
      <c r="B1162" s="5">
        <v>12.0</v>
      </c>
      <c r="C1162" s="5" t="s">
        <v>7666</v>
      </c>
      <c r="D1162" s="5">
        <v>1066.0</v>
      </c>
      <c r="E1162" s="5">
        <v>3301.0</v>
      </c>
      <c r="F1162" s="5" t="s">
        <v>4211</v>
      </c>
      <c r="G1162" s="10" t="s">
        <v>4212</v>
      </c>
      <c r="H1162" s="5" t="s">
        <v>4213</v>
      </c>
      <c r="I1162" s="5" t="s">
        <v>49</v>
      </c>
      <c r="J1162" s="5" t="s">
        <v>1829</v>
      </c>
      <c r="K1162" s="5">
        <v>1.0</v>
      </c>
      <c r="L1162" s="5">
        <v>4140.0</v>
      </c>
      <c r="M1162" s="8">
        <v>49.5855</v>
      </c>
      <c r="N1162" s="5">
        <v>-123.38722</v>
      </c>
      <c r="O1162" s="5" t="s">
        <v>51</v>
      </c>
      <c r="P1162" s="5">
        <v>1066.0</v>
      </c>
      <c r="Q1162" s="5">
        <v>2.0</v>
      </c>
      <c r="R1162" s="5" t="s">
        <v>4211</v>
      </c>
      <c r="S1162" s="5" t="s">
        <v>4045</v>
      </c>
      <c r="T1162" s="5">
        <v>154.0</v>
      </c>
      <c r="W1162" s="5">
        <v>40284.0</v>
      </c>
      <c r="X1162" s="5" t="s">
        <v>1738</v>
      </c>
      <c r="AK1162" s="9"/>
      <c r="AO1162" s="5" t="s">
        <v>4211</v>
      </c>
      <c r="AP1162" s="5">
        <v>1066.0</v>
      </c>
      <c r="AQ1162" s="5" t="s">
        <v>1716</v>
      </c>
      <c r="AR1162" s="5" t="s">
        <v>1739</v>
      </c>
      <c r="AS1162" s="5" t="s">
        <v>1740</v>
      </c>
      <c r="AT1162" s="5" t="s">
        <v>1741</v>
      </c>
      <c r="AU1162" s="5" t="s">
        <v>1742</v>
      </c>
      <c r="AV1162" s="5" t="s">
        <v>1720</v>
      </c>
      <c r="AW1162" s="5" t="s">
        <v>1705</v>
      </c>
      <c r="AX1162" s="5" t="s">
        <v>1837</v>
      </c>
      <c r="AY1162" s="5">
        <v>49.5855</v>
      </c>
      <c r="AZ1162" s="5">
        <v>-123.3873</v>
      </c>
      <c r="BA1162" s="5">
        <v>140.0</v>
      </c>
    </row>
    <row r="1163" ht="14.25" customHeight="1">
      <c r="A1163" s="5" t="s">
        <v>88</v>
      </c>
      <c r="B1163" s="5">
        <v>12.0</v>
      </c>
      <c r="C1163" s="5" t="s">
        <v>7666</v>
      </c>
      <c r="D1163" s="5">
        <v>1075.0</v>
      </c>
      <c r="E1163" s="5">
        <v>10983.0</v>
      </c>
      <c r="F1163" s="5" t="s">
        <v>4214</v>
      </c>
      <c r="G1163" s="10" t="s">
        <v>4215</v>
      </c>
      <c r="H1163" s="5" t="s">
        <v>4216</v>
      </c>
      <c r="I1163" s="5" t="s">
        <v>49</v>
      </c>
      <c r="J1163" s="5" t="s">
        <v>1891</v>
      </c>
      <c r="K1163" s="5">
        <v>1.0</v>
      </c>
      <c r="L1163" s="5">
        <v>13141.0</v>
      </c>
      <c r="M1163" s="8">
        <v>49.04694</v>
      </c>
      <c r="N1163" s="5">
        <v>-115.22528</v>
      </c>
      <c r="O1163" s="5" t="s">
        <v>170</v>
      </c>
      <c r="P1163" s="5">
        <v>1075.0</v>
      </c>
      <c r="Q1163" s="5">
        <v>1.0</v>
      </c>
      <c r="R1163" s="5" t="s">
        <v>4214</v>
      </c>
      <c r="S1163" s="5" t="s">
        <v>1737</v>
      </c>
      <c r="T1163" s="5">
        <v>804.0</v>
      </c>
      <c r="W1163" s="5">
        <v>40339.0</v>
      </c>
      <c r="X1163" s="5" t="s">
        <v>1738</v>
      </c>
      <c r="AK1163" s="9"/>
      <c r="AO1163" s="5" t="s">
        <v>4214</v>
      </c>
      <c r="AP1163" s="5">
        <v>1075.0</v>
      </c>
      <c r="AQ1163" s="5" t="s">
        <v>1700</v>
      </c>
      <c r="AR1163" s="5" t="s">
        <v>1739</v>
      </c>
      <c r="AS1163" s="5" t="s">
        <v>1740</v>
      </c>
      <c r="AT1163" s="5" t="s">
        <v>1741</v>
      </c>
      <c r="AU1163" s="5" t="s">
        <v>1959</v>
      </c>
      <c r="AV1163" s="5" t="s">
        <v>1720</v>
      </c>
      <c r="AW1163" s="5" t="s">
        <v>2698</v>
      </c>
      <c r="AX1163" s="5" t="s">
        <v>2902</v>
      </c>
      <c r="AY1163" s="5">
        <v>49.0469</v>
      </c>
      <c r="AZ1163" s="5">
        <v>-115.2253</v>
      </c>
      <c r="BA1163" s="5">
        <v>804.0</v>
      </c>
    </row>
    <row r="1164" ht="14.25" customHeight="1">
      <c r="A1164" s="5" t="s">
        <v>88</v>
      </c>
      <c r="B1164" s="5">
        <v>12.0</v>
      </c>
      <c r="C1164" s="5" t="s">
        <v>7666</v>
      </c>
      <c r="D1164" s="5">
        <v>1082.0</v>
      </c>
      <c r="E1164" s="5">
        <v>10978.0</v>
      </c>
      <c r="F1164" s="5" t="s">
        <v>4217</v>
      </c>
      <c r="G1164" s="10" t="s">
        <v>4218</v>
      </c>
      <c r="H1164" s="5" t="s">
        <v>4219</v>
      </c>
      <c r="I1164" s="5" t="s">
        <v>49</v>
      </c>
      <c r="J1164" s="5" t="s">
        <v>1829</v>
      </c>
      <c r="K1164" s="5">
        <v>1.0</v>
      </c>
      <c r="L1164" s="5">
        <v>13142.0</v>
      </c>
      <c r="M1164" s="8">
        <v>51.21111</v>
      </c>
      <c r="N1164" s="5">
        <v>-120.41197</v>
      </c>
      <c r="O1164" s="5" t="s">
        <v>142</v>
      </c>
      <c r="P1164" s="5">
        <v>1082.0</v>
      </c>
      <c r="Q1164" s="5">
        <v>5.0</v>
      </c>
      <c r="R1164" s="5" t="s">
        <v>4217</v>
      </c>
      <c r="S1164" s="5" t="s">
        <v>1737</v>
      </c>
      <c r="T1164" s="5">
        <v>1315.0</v>
      </c>
      <c r="W1164" s="5">
        <v>40367.0</v>
      </c>
      <c r="X1164" s="5" t="s">
        <v>1738</v>
      </c>
      <c r="AK1164" s="9"/>
      <c r="AO1164" s="5" t="s">
        <v>4217</v>
      </c>
      <c r="AP1164" s="5">
        <v>1082.0</v>
      </c>
      <c r="AQ1164" s="5" t="s">
        <v>1700</v>
      </c>
      <c r="AR1164" s="5" t="s">
        <v>1739</v>
      </c>
      <c r="AS1164" s="5" t="s">
        <v>1740</v>
      </c>
      <c r="AT1164" s="5" t="s">
        <v>1835</v>
      </c>
      <c r="AU1164" s="5" t="s">
        <v>1959</v>
      </c>
      <c r="AV1164" s="5" t="s">
        <v>1720</v>
      </c>
      <c r="AW1164" s="5" t="s">
        <v>2368</v>
      </c>
      <c r="AX1164" s="5" t="s">
        <v>2369</v>
      </c>
      <c r="AY1164" s="5">
        <v>51.2112</v>
      </c>
      <c r="AZ1164" s="5">
        <v>-120.412</v>
      </c>
      <c r="BA1164" s="5">
        <v>1311.0</v>
      </c>
    </row>
    <row r="1165" ht="14.25" customHeight="1">
      <c r="A1165" s="5" t="s">
        <v>88</v>
      </c>
      <c r="B1165" s="5">
        <v>12.0</v>
      </c>
      <c r="C1165" s="5" t="s">
        <v>7666</v>
      </c>
      <c r="D1165" s="5">
        <v>1083.0</v>
      </c>
      <c r="E1165" s="5">
        <v>3302.0</v>
      </c>
      <c r="F1165" s="5" t="s">
        <v>4220</v>
      </c>
      <c r="G1165" s="10" t="s">
        <v>4221</v>
      </c>
      <c r="H1165" s="5" t="s">
        <v>4222</v>
      </c>
      <c r="I1165" s="5" t="s">
        <v>49</v>
      </c>
      <c r="J1165" s="5" t="s">
        <v>1891</v>
      </c>
      <c r="K1165" s="5">
        <v>1.0</v>
      </c>
      <c r="L1165" s="5">
        <v>4141.0</v>
      </c>
      <c r="M1165" s="8">
        <v>50.61972</v>
      </c>
      <c r="N1165" s="5">
        <v>-123.41</v>
      </c>
      <c r="O1165" s="5" t="s">
        <v>51</v>
      </c>
      <c r="P1165" s="5">
        <v>1083.0</v>
      </c>
      <c r="Q1165" s="5">
        <v>4.0</v>
      </c>
      <c r="R1165" s="5" t="s">
        <v>4220</v>
      </c>
      <c r="S1165" s="5" t="s">
        <v>1737</v>
      </c>
      <c r="T1165" s="5">
        <v>545.0</v>
      </c>
      <c r="U1165" s="5" t="s">
        <v>645</v>
      </c>
      <c r="W1165" s="5">
        <v>40373.0</v>
      </c>
      <c r="X1165" s="5" t="s">
        <v>1738</v>
      </c>
      <c r="AK1165" s="9"/>
      <c r="AO1165" s="5" t="s">
        <v>4220</v>
      </c>
      <c r="AP1165" s="5">
        <v>1083.0</v>
      </c>
      <c r="AQ1165" s="5" t="s">
        <v>1716</v>
      </c>
      <c r="AR1165" s="5" t="s">
        <v>1739</v>
      </c>
      <c r="AS1165" s="5" t="s">
        <v>1740</v>
      </c>
      <c r="AT1165" s="5" t="s">
        <v>1741</v>
      </c>
      <c r="AU1165" s="5" t="s">
        <v>1742</v>
      </c>
      <c r="AV1165" s="5" t="s">
        <v>1720</v>
      </c>
      <c r="AW1165" s="5" t="s">
        <v>1705</v>
      </c>
      <c r="AX1165" s="5" t="s">
        <v>1879</v>
      </c>
      <c r="AY1165" s="5">
        <v>50.62</v>
      </c>
      <c r="AZ1165" s="5">
        <v>-123.4101</v>
      </c>
      <c r="BA1165" s="5">
        <v>549.0</v>
      </c>
    </row>
    <row r="1166" ht="14.25" customHeight="1">
      <c r="B1166" s="5">
        <v>12.0</v>
      </c>
      <c r="C1166" s="5" t="s">
        <v>7666</v>
      </c>
      <c r="D1166" s="5">
        <v>1092.0</v>
      </c>
      <c r="E1166" s="5">
        <v>10979.0</v>
      </c>
      <c r="F1166" s="5" t="s">
        <v>4223</v>
      </c>
      <c r="G1166" s="5" t="s">
        <v>4224</v>
      </c>
      <c r="H1166" s="5" t="s">
        <v>4225</v>
      </c>
      <c r="I1166" s="5" t="s">
        <v>49</v>
      </c>
      <c r="J1166" s="5" t="s">
        <v>1829</v>
      </c>
      <c r="K1166" s="5">
        <v>1.0</v>
      </c>
      <c r="L1166" s="5">
        <v>13143.0</v>
      </c>
      <c r="M1166" s="8">
        <v>50.61262</v>
      </c>
      <c r="N1166" s="5">
        <v>-116.79332</v>
      </c>
      <c r="O1166" s="5" t="s">
        <v>170</v>
      </c>
      <c r="P1166" s="5">
        <v>1092.0</v>
      </c>
      <c r="Q1166" s="5">
        <v>5.0</v>
      </c>
      <c r="R1166" s="5" t="s">
        <v>4223</v>
      </c>
      <c r="S1166" s="5" t="s">
        <v>1737</v>
      </c>
      <c r="T1166" s="5">
        <v>1580.0</v>
      </c>
      <c r="W1166" s="5">
        <v>40458.0</v>
      </c>
      <c r="X1166" s="5" t="s">
        <v>1738</v>
      </c>
      <c r="AK1166" s="9"/>
      <c r="AO1166" s="5" t="s">
        <v>4223</v>
      </c>
      <c r="AP1166" s="5">
        <v>1092.0</v>
      </c>
      <c r="AQ1166" s="5" t="s">
        <v>1716</v>
      </c>
      <c r="AR1166" s="5" t="s">
        <v>1739</v>
      </c>
      <c r="AS1166" s="5" t="s">
        <v>1740</v>
      </c>
      <c r="AT1166" s="5" t="s">
        <v>1741</v>
      </c>
      <c r="AU1166" s="5" t="s">
        <v>1742</v>
      </c>
      <c r="AV1166" s="5" t="s">
        <v>1720</v>
      </c>
      <c r="AW1166" s="5" t="s">
        <v>2698</v>
      </c>
      <c r="AX1166" s="5" t="s">
        <v>2801</v>
      </c>
      <c r="AY1166" s="5">
        <v>50.6126</v>
      </c>
      <c r="AZ1166" s="5">
        <v>-116.7933</v>
      </c>
      <c r="BA1166" s="5">
        <v>1580.0</v>
      </c>
    </row>
    <row r="1167" ht="14.25" customHeight="1">
      <c r="A1167" s="5" t="s">
        <v>88</v>
      </c>
      <c r="B1167" s="5">
        <v>12.0</v>
      </c>
      <c r="C1167" s="5" t="s">
        <v>7666</v>
      </c>
      <c r="D1167" s="5">
        <v>1093.0</v>
      </c>
      <c r="E1167" s="5">
        <v>10980.0</v>
      </c>
      <c r="F1167" s="5" t="s">
        <v>4226</v>
      </c>
      <c r="G1167" s="10" t="s">
        <v>4227</v>
      </c>
      <c r="H1167" s="5" t="s">
        <v>4228</v>
      </c>
      <c r="I1167" s="5" t="s">
        <v>49</v>
      </c>
      <c r="J1167" s="5" t="s">
        <v>1891</v>
      </c>
      <c r="K1167" s="5">
        <v>1.0</v>
      </c>
      <c r="L1167" s="5">
        <v>13144.0</v>
      </c>
      <c r="M1167" s="8">
        <v>50.02723</v>
      </c>
      <c r="N1167" s="5">
        <v>-125.29401</v>
      </c>
      <c r="O1167" s="5" t="s">
        <v>183</v>
      </c>
      <c r="P1167" s="5">
        <v>1093.0</v>
      </c>
      <c r="Q1167" s="5">
        <v>3.0</v>
      </c>
      <c r="R1167" s="5" t="s">
        <v>4226</v>
      </c>
      <c r="S1167" s="5" t="s">
        <v>1737</v>
      </c>
      <c r="T1167" s="5">
        <v>100.0</v>
      </c>
      <c r="W1167" s="5">
        <v>40457.0</v>
      </c>
      <c r="X1167" s="5" t="s">
        <v>1738</v>
      </c>
      <c r="AK1167" s="9"/>
      <c r="AO1167" s="5" t="s">
        <v>4229</v>
      </c>
      <c r="AP1167" s="5">
        <v>1093.0</v>
      </c>
      <c r="AQ1167" s="5" t="s">
        <v>1700</v>
      </c>
      <c r="AR1167" s="5" t="s">
        <v>1739</v>
      </c>
      <c r="AS1167" s="5" t="s">
        <v>1740</v>
      </c>
      <c r="AT1167" s="5" t="s">
        <v>1741</v>
      </c>
      <c r="AU1167" s="5" t="s">
        <v>1772</v>
      </c>
      <c r="AV1167" s="5" t="s">
        <v>1720</v>
      </c>
      <c r="AW1167" s="5" t="s">
        <v>1705</v>
      </c>
      <c r="AX1167" s="5" t="s">
        <v>1723</v>
      </c>
      <c r="AY1167" s="5">
        <v>50.0267</v>
      </c>
      <c r="AZ1167" s="5">
        <v>-125.2929</v>
      </c>
      <c r="BA1167" s="5">
        <v>68.0</v>
      </c>
    </row>
    <row r="1168" ht="14.25" customHeight="1">
      <c r="B1168" s="5">
        <v>12.0</v>
      </c>
      <c r="C1168" s="5" t="s">
        <v>7666</v>
      </c>
      <c r="D1168" s="5">
        <v>1099.0</v>
      </c>
      <c r="E1168" s="5">
        <v>11408.0</v>
      </c>
      <c r="F1168" s="5" t="s">
        <v>4230</v>
      </c>
      <c r="G1168" s="5" t="s">
        <v>4231</v>
      </c>
      <c r="H1168" s="5" t="s">
        <v>4232</v>
      </c>
      <c r="I1168" s="5" t="s">
        <v>49</v>
      </c>
      <c r="J1168" s="5" t="s">
        <v>1746</v>
      </c>
      <c r="K1168" s="5">
        <v>1.0</v>
      </c>
      <c r="L1168" s="5">
        <v>13469.0</v>
      </c>
      <c r="M1168" s="8"/>
      <c r="AK1168" s="9"/>
      <c r="AO1168" s="5" t="s">
        <v>4230</v>
      </c>
      <c r="AP1168" s="5">
        <v>1099.0</v>
      </c>
      <c r="AQ1168" s="5" t="s">
        <v>1716</v>
      </c>
      <c r="AR1168" s="5" t="s">
        <v>1717</v>
      </c>
      <c r="AS1168" s="5" t="s">
        <v>2257</v>
      </c>
      <c r="AT1168" s="5" t="s">
        <v>1835</v>
      </c>
      <c r="AU1168" s="5" t="s">
        <v>2443</v>
      </c>
      <c r="AW1168" s="5" t="s">
        <v>1705</v>
      </c>
      <c r="AX1168" s="5" t="s">
        <v>1747</v>
      </c>
      <c r="AY1168" s="5">
        <v>48.6447</v>
      </c>
      <c r="AZ1168" s="5">
        <v>-123.4365</v>
      </c>
      <c r="BA1168" s="5">
        <v>32.0</v>
      </c>
    </row>
    <row r="1169" ht="14.25" customHeight="1">
      <c r="A1169" s="5" t="s">
        <v>422</v>
      </c>
      <c r="B1169" s="5">
        <v>12.0</v>
      </c>
      <c r="C1169" s="5" t="s">
        <v>7666</v>
      </c>
      <c r="D1169" s="5">
        <v>1100.0</v>
      </c>
      <c r="E1169" s="5">
        <v>12019.0</v>
      </c>
      <c r="F1169" s="18" t="s">
        <v>4233</v>
      </c>
      <c r="G1169" s="5" t="s">
        <v>4234</v>
      </c>
      <c r="H1169" s="5" t="s">
        <v>4235</v>
      </c>
      <c r="I1169" s="5" t="s">
        <v>49</v>
      </c>
      <c r="J1169" s="5" t="s">
        <v>1746</v>
      </c>
      <c r="K1169" s="5">
        <v>1.0</v>
      </c>
      <c r="L1169" s="5">
        <v>14076.0</v>
      </c>
      <c r="M1169" s="8"/>
      <c r="AK1169" s="9"/>
      <c r="AO1169" s="5" t="s">
        <v>4233</v>
      </c>
      <c r="AP1169" s="5">
        <v>1100.0</v>
      </c>
      <c r="AQ1169" s="5" t="s">
        <v>1716</v>
      </c>
      <c r="AR1169" s="5" t="s">
        <v>1717</v>
      </c>
      <c r="AS1169" s="5" t="s">
        <v>1718</v>
      </c>
      <c r="AT1169" s="5" t="s">
        <v>1841</v>
      </c>
      <c r="AU1169" s="5" t="s">
        <v>1959</v>
      </c>
      <c r="AW1169" s="5" t="s">
        <v>2368</v>
      </c>
      <c r="AX1169" s="5" t="s">
        <v>2707</v>
      </c>
      <c r="AY1169" s="5">
        <v>50.5699</v>
      </c>
      <c r="AZ1169" s="5">
        <v>-119.283</v>
      </c>
      <c r="BA1169" s="5">
        <v>1118.0</v>
      </c>
    </row>
    <row r="1170" ht="14.25" customHeight="1">
      <c r="A1170" s="5" t="s">
        <v>88</v>
      </c>
      <c r="B1170" s="5">
        <v>12.0</v>
      </c>
      <c r="C1170" s="5" t="s">
        <v>7666</v>
      </c>
      <c r="D1170" s="5">
        <v>1108.0</v>
      </c>
      <c r="E1170" s="5">
        <v>10986.0</v>
      </c>
      <c r="F1170" s="5" t="s">
        <v>4236</v>
      </c>
      <c r="G1170" s="70" t="s">
        <v>4237</v>
      </c>
      <c r="H1170" s="5" t="s">
        <v>4238</v>
      </c>
      <c r="I1170" s="5" t="s">
        <v>49</v>
      </c>
      <c r="J1170" s="5" t="s">
        <v>1891</v>
      </c>
      <c r="K1170" s="5">
        <v>1.0</v>
      </c>
      <c r="L1170" s="5">
        <v>13145.0</v>
      </c>
      <c r="M1170" s="8">
        <v>52.12225</v>
      </c>
      <c r="N1170" s="5">
        <v>-119.2935</v>
      </c>
      <c r="O1170" s="5" t="s">
        <v>170</v>
      </c>
      <c r="P1170" s="5">
        <v>1108.0</v>
      </c>
      <c r="Q1170" s="5">
        <v>1.0</v>
      </c>
      <c r="R1170" s="5" t="s">
        <v>4236</v>
      </c>
      <c r="S1170" s="5" t="s">
        <v>1737</v>
      </c>
      <c r="T1170" s="5">
        <v>695.0</v>
      </c>
      <c r="U1170" s="5" t="s">
        <v>645</v>
      </c>
      <c r="W1170" s="5">
        <v>33970.0</v>
      </c>
      <c r="X1170" s="5" t="s">
        <v>1738</v>
      </c>
      <c r="AK1170" s="9"/>
      <c r="AO1170" s="5" t="s">
        <v>4236</v>
      </c>
      <c r="AP1170" s="5">
        <v>1108.0</v>
      </c>
      <c r="AQ1170" s="5" t="s">
        <v>1700</v>
      </c>
      <c r="AR1170" s="5" t="s">
        <v>1739</v>
      </c>
      <c r="AS1170" s="5" t="s">
        <v>1740</v>
      </c>
      <c r="AT1170" s="5" t="s">
        <v>1741</v>
      </c>
      <c r="AU1170" s="5" t="s">
        <v>1959</v>
      </c>
      <c r="AV1170" s="5" t="s">
        <v>1720</v>
      </c>
      <c r="AW1170" s="5" t="s">
        <v>2003</v>
      </c>
      <c r="AX1170" s="5" t="s">
        <v>2258</v>
      </c>
      <c r="AY1170" s="5">
        <v>52.1223</v>
      </c>
      <c r="AZ1170" s="5">
        <v>-119.2936</v>
      </c>
      <c r="BA1170" s="5">
        <v>684.0</v>
      </c>
    </row>
    <row r="1171" ht="14.25" customHeight="1">
      <c r="A1171" s="5" t="s">
        <v>422</v>
      </c>
      <c r="B1171" s="5">
        <v>12.0</v>
      </c>
      <c r="C1171" s="5" t="s">
        <v>7665</v>
      </c>
      <c r="D1171" s="5">
        <v>1109.0</v>
      </c>
      <c r="E1171" s="5">
        <v>12981.0</v>
      </c>
      <c r="G1171" s="5" t="s">
        <v>127</v>
      </c>
      <c r="H1171" s="5" t="s">
        <v>1697</v>
      </c>
      <c r="I1171" s="5" t="s">
        <v>49</v>
      </c>
      <c r="J1171" s="5" t="s">
        <v>1746</v>
      </c>
      <c r="K1171" s="5">
        <v>1.0</v>
      </c>
      <c r="L1171" s="5">
        <v>14913.0</v>
      </c>
      <c r="M1171" s="8"/>
      <c r="AK1171" s="9"/>
      <c r="AO1171" s="50" t="s">
        <v>4239</v>
      </c>
      <c r="AP1171" s="50">
        <v>1109.0</v>
      </c>
      <c r="AQ1171" s="50" t="s">
        <v>1716</v>
      </c>
      <c r="AR1171" s="50" t="s">
        <v>2441</v>
      </c>
      <c r="AS1171" s="50" t="s">
        <v>1702</v>
      </c>
      <c r="AT1171" s="50" t="s">
        <v>1703</v>
      </c>
      <c r="AU1171" s="50" t="s">
        <v>1704</v>
      </c>
      <c r="AV1171" s="50" t="s">
        <v>1702</v>
      </c>
      <c r="AW1171" s="50" t="s">
        <v>2193</v>
      </c>
      <c r="AX1171" s="50" t="s">
        <v>2283</v>
      </c>
      <c r="AY1171" s="50">
        <v>51.6746</v>
      </c>
      <c r="AZ1171" s="50">
        <v>-124.4031</v>
      </c>
      <c r="BA1171" s="50">
        <v>875.0</v>
      </c>
    </row>
    <row r="1172" ht="14.25" customHeight="1">
      <c r="A1172" s="5" t="s">
        <v>422</v>
      </c>
      <c r="B1172" s="5">
        <v>12.0</v>
      </c>
      <c r="C1172" s="5" t="s">
        <v>7665</v>
      </c>
      <c r="D1172" s="5">
        <v>1110.0</v>
      </c>
      <c r="E1172" s="5">
        <v>12982.0</v>
      </c>
      <c r="G1172" s="5" t="s">
        <v>127</v>
      </c>
      <c r="H1172" s="5" t="s">
        <v>1697</v>
      </c>
      <c r="I1172" s="5" t="s">
        <v>49</v>
      </c>
      <c r="J1172" s="5" t="s">
        <v>1746</v>
      </c>
      <c r="K1172" s="5">
        <v>1.0</v>
      </c>
      <c r="L1172" s="5">
        <v>14914.0</v>
      </c>
      <c r="M1172" s="8"/>
      <c r="AK1172" s="9"/>
      <c r="AO1172" s="50" t="s">
        <v>4240</v>
      </c>
      <c r="AP1172" s="50">
        <v>1110.0</v>
      </c>
      <c r="AQ1172" s="50" t="s">
        <v>1716</v>
      </c>
      <c r="AR1172" s="50" t="s">
        <v>2441</v>
      </c>
      <c r="AS1172" s="50" t="s">
        <v>1702</v>
      </c>
      <c r="AT1172" s="50" t="s">
        <v>1703</v>
      </c>
      <c r="AU1172" s="50" t="s">
        <v>1704</v>
      </c>
      <c r="AV1172" s="50" t="s">
        <v>1702</v>
      </c>
      <c r="AW1172" s="50" t="s">
        <v>2698</v>
      </c>
      <c r="AX1172" s="50" t="s">
        <v>2797</v>
      </c>
      <c r="AY1172" s="50">
        <v>49.1119</v>
      </c>
      <c r="AZ1172" s="50">
        <v>-117.7389</v>
      </c>
      <c r="BA1172" s="50">
        <v>567.0</v>
      </c>
    </row>
    <row r="1173" ht="14.25" customHeight="1">
      <c r="A1173" s="5" t="s">
        <v>1908</v>
      </c>
      <c r="B1173" s="5">
        <v>12.0</v>
      </c>
      <c r="C1173" s="5" t="s">
        <v>7666</v>
      </c>
      <c r="D1173" s="5">
        <v>1132.0</v>
      </c>
      <c r="E1173" s="5">
        <v>10982.0</v>
      </c>
      <c r="F1173" s="5" t="s">
        <v>4241</v>
      </c>
      <c r="G1173" s="70" t="s">
        <v>4242</v>
      </c>
      <c r="H1173" s="5" t="s">
        <v>4243</v>
      </c>
      <c r="I1173" s="5" t="s">
        <v>49</v>
      </c>
      <c r="J1173" s="5" t="s">
        <v>1746</v>
      </c>
      <c r="K1173" s="5">
        <v>1.0</v>
      </c>
      <c r="L1173" s="5">
        <v>13146.0</v>
      </c>
      <c r="M1173" s="8"/>
      <c r="AK1173" s="9"/>
      <c r="AO1173" s="5" t="s">
        <v>4244</v>
      </c>
      <c r="AP1173" s="5">
        <v>1132.0</v>
      </c>
      <c r="AQ1173" s="5" t="s">
        <v>1716</v>
      </c>
      <c r="AR1173" s="5" t="s">
        <v>1717</v>
      </c>
      <c r="AS1173" s="5" t="s">
        <v>1740</v>
      </c>
      <c r="AT1173" s="5" t="s">
        <v>1835</v>
      </c>
      <c r="AU1173" s="5" t="s">
        <v>1742</v>
      </c>
      <c r="AV1173" s="5" t="s">
        <v>1720</v>
      </c>
      <c r="AW1173" s="5" t="s">
        <v>2368</v>
      </c>
      <c r="AX1173" s="5" t="s">
        <v>2522</v>
      </c>
      <c r="AY1173" s="5">
        <v>50.5</v>
      </c>
      <c r="AZ1173" s="5">
        <v>-119.7008</v>
      </c>
      <c r="BA1173" s="5">
        <v>1089.0</v>
      </c>
    </row>
    <row r="1174" ht="14.25" customHeight="1">
      <c r="B1174" s="5">
        <v>12.0</v>
      </c>
      <c r="C1174" s="5" t="s">
        <v>7666</v>
      </c>
      <c r="D1174" s="5">
        <v>1133.0</v>
      </c>
      <c r="E1174" s="5">
        <v>10981.0</v>
      </c>
      <c r="F1174" s="18" t="s">
        <v>4245</v>
      </c>
      <c r="G1174" s="5" t="s">
        <v>4246</v>
      </c>
      <c r="H1174" s="5" t="s">
        <v>4247</v>
      </c>
      <c r="I1174" s="5" t="s">
        <v>49</v>
      </c>
      <c r="J1174" s="5" t="s">
        <v>1746</v>
      </c>
      <c r="K1174" s="5">
        <v>1.0</v>
      </c>
      <c r="L1174" s="5">
        <v>13147.0</v>
      </c>
      <c r="M1174" s="8"/>
      <c r="AK1174" s="9"/>
      <c r="AO1174" s="5" t="s">
        <v>4245</v>
      </c>
      <c r="AP1174" s="5">
        <v>1133.0</v>
      </c>
      <c r="AQ1174" s="5" t="s">
        <v>1716</v>
      </c>
      <c r="AR1174" s="5" t="s">
        <v>1717</v>
      </c>
      <c r="AS1174" s="5" t="s">
        <v>1740</v>
      </c>
      <c r="AT1174" s="5" t="s">
        <v>1835</v>
      </c>
      <c r="AU1174" s="5" t="s">
        <v>1742</v>
      </c>
      <c r="AV1174" s="5" t="s">
        <v>1720</v>
      </c>
      <c r="AW1174" s="5" t="s">
        <v>2368</v>
      </c>
      <c r="AX1174" s="5" t="s">
        <v>2401</v>
      </c>
      <c r="AY1174" s="5">
        <v>51.2028</v>
      </c>
      <c r="AZ1174" s="5">
        <v>-119.5136</v>
      </c>
      <c r="BA1174" s="5">
        <v>591.0</v>
      </c>
    </row>
    <row r="1175" ht="14.25" customHeight="1">
      <c r="A1175" s="5" t="s">
        <v>422</v>
      </c>
      <c r="B1175" s="5">
        <v>12.0</v>
      </c>
      <c r="C1175" s="5" t="s">
        <v>7666</v>
      </c>
      <c r="D1175" s="5">
        <v>1135.0</v>
      </c>
      <c r="E1175" s="5">
        <v>12068.0</v>
      </c>
      <c r="F1175" s="18" t="s">
        <v>4248</v>
      </c>
      <c r="G1175" s="5" t="s">
        <v>4249</v>
      </c>
      <c r="H1175" s="5" t="s">
        <v>4250</v>
      </c>
      <c r="I1175" s="5" t="s">
        <v>49</v>
      </c>
      <c r="J1175" s="5" t="s">
        <v>1746</v>
      </c>
      <c r="K1175" s="5">
        <v>1.0</v>
      </c>
      <c r="L1175" s="5">
        <v>14124.0</v>
      </c>
      <c r="M1175" s="8"/>
      <c r="AK1175" s="9"/>
      <c r="AO1175" s="5" t="s">
        <v>4248</v>
      </c>
      <c r="AP1175" s="5">
        <v>1135.0</v>
      </c>
      <c r="AQ1175" s="5" t="s">
        <v>1716</v>
      </c>
      <c r="AR1175" s="5" t="s">
        <v>1717</v>
      </c>
      <c r="AS1175" s="5" t="s">
        <v>1740</v>
      </c>
      <c r="AT1175" s="5" t="s">
        <v>1835</v>
      </c>
      <c r="AU1175" s="5" t="s">
        <v>1742</v>
      </c>
      <c r="AV1175" s="5" t="s">
        <v>1720</v>
      </c>
      <c r="AW1175" s="5" t="s">
        <v>2368</v>
      </c>
      <c r="AX1175" s="5" t="s">
        <v>2516</v>
      </c>
      <c r="AY1175" s="5">
        <v>49.2345</v>
      </c>
      <c r="AZ1175" s="5">
        <v>-119.8142</v>
      </c>
      <c r="BA1175" s="5">
        <v>557.0</v>
      </c>
    </row>
    <row r="1176" ht="14.25" customHeight="1">
      <c r="A1176" s="5" t="s">
        <v>422</v>
      </c>
      <c r="B1176" s="5">
        <v>12.0</v>
      </c>
      <c r="C1176" s="5" t="s">
        <v>7672</v>
      </c>
      <c r="D1176" s="5">
        <v>1141.0</v>
      </c>
      <c r="E1176" s="5">
        <v>10977.0</v>
      </c>
      <c r="F1176" s="5" t="s">
        <v>4251</v>
      </c>
      <c r="G1176" s="5" t="s">
        <v>4252</v>
      </c>
      <c r="H1176" s="5" t="s">
        <v>4253</v>
      </c>
      <c r="I1176" s="5" t="s">
        <v>49</v>
      </c>
      <c r="J1176" s="5" t="s">
        <v>1891</v>
      </c>
      <c r="K1176" s="5">
        <v>1.0</v>
      </c>
      <c r="L1176" s="5">
        <v>13148.0</v>
      </c>
      <c r="M1176" s="8">
        <v>48.51616</v>
      </c>
      <c r="N1176" s="5">
        <v>-123.764438</v>
      </c>
      <c r="O1176" s="5" t="s">
        <v>51</v>
      </c>
      <c r="P1176" s="5" t="s">
        <v>89</v>
      </c>
      <c r="Q1176" s="5">
        <v>3.0</v>
      </c>
      <c r="R1176" s="5" t="s">
        <v>90</v>
      </c>
      <c r="S1176" s="5" t="s">
        <v>44</v>
      </c>
      <c r="T1176" s="5">
        <v>512.0</v>
      </c>
      <c r="V1176" s="5" t="s">
        <v>93</v>
      </c>
      <c r="W1176" s="5">
        <v>43048.0</v>
      </c>
      <c r="X1176" s="5" t="s">
        <v>53</v>
      </c>
      <c r="AK1176" s="9"/>
      <c r="AO1176" s="50" t="s">
        <v>4254</v>
      </c>
      <c r="AP1176" s="50">
        <v>1141.0</v>
      </c>
      <c r="AQ1176" s="50" t="s">
        <v>1700</v>
      </c>
      <c r="AR1176" s="50" t="s">
        <v>1739</v>
      </c>
      <c r="AS1176" s="50" t="s">
        <v>3077</v>
      </c>
      <c r="AT1176" s="50" t="s">
        <v>1835</v>
      </c>
      <c r="AU1176" s="50" t="s">
        <v>1704</v>
      </c>
      <c r="AV1176" s="50" t="s">
        <v>3077</v>
      </c>
      <c r="AW1176" s="50" t="s">
        <v>1705</v>
      </c>
      <c r="AX1176" s="50" t="s">
        <v>1747</v>
      </c>
      <c r="AY1176" s="50">
        <v>48.5161</v>
      </c>
      <c r="AZ1176" s="50">
        <v>-123.7644</v>
      </c>
      <c r="BA1176" s="50">
        <v>512.0</v>
      </c>
    </row>
    <row r="1177" ht="14.25" customHeight="1">
      <c r="A1177" s="5" t="s">
        <v>422</v>
      </c>
      <c r="B1177" s="5">
        <v>12.0</v>
      </c>
      <c r="C1177" s="5" t="s">
        <v>7672</v>
      </c>
      <c r="D1177" s="5">
        <v>1142.0</v>
      </c>
      <c r="E1177" s="5">
        <v>12445.0</v>
      </c>
      <c r="F1177" s="5" t="s">
        <v>4255</v>
      </c>
      <c r="G1177" s="5" t="s">
        <v>4256</v>
      </c>
      <c r="H1177" s="5" t="s">
        <v>3075</v>
      </c>
      <c r="I1177" s="5" t="s">
        <v>49</v>
      </c>
      <c r="J1177" s="5" t="s">
        <v>1746</v>
      </c>
      <c r="K1177" s="5">
        <v>1.0</v>
      </c>
      <c r="L1177" s="5">
        <v>14467.0</v>
      </c>
      <c r="M1177" s="8">
        <v>48.494167</v>
      </c>
      <c r="N1177" s="5">
        <v>-123.614722</v>
      </c>
      <c r="O1177" s="5" t="s">
        <v>51</v>
      </c>
      <c r="P1177" s="5" t="s">
        <v>45</v>
      </c>
      <c r="Q1177" s="5">
        <v>3.0</v>
      </c>
      <c r="R1177" s="5" t="s">
        <v>46</v>
      </c>
      <c r="S1177" s="5" t="s">
        <v>44</v>
      </c>
      <c r="T1177" s="5">
        <v>493.0</v>
      </c>
      <c r="V1177" s="5" t="s">
        <v>52</v>
      </c>
      <c r="W1177" s="5">
        <v>35886.0</v>
      </c>
      <c r="AK1177" s="9"/>
      <c r="AO1177" s="50" t="s">
        <v>4257</v>
      </c>
      <c r="AP1177" s="50">
        <v>1142.0</v>
      </c>
      <c r="AQ1177" s="50" t="s">
        <v>1700</v>
      </c>
      <c r="AR1177" s="50" t="s">
        <v>1739</v>
      </c>
      <c r="AS1177" s="50" t="s">
        <v>3077</v>
      </c>
      <c r="AT1177" s="50" t="s">
        <v>1835</v>
      </c>
      <c r="AU1177" s="50" t="s">
        <v>1704</v>
      </c>
      <c r="AV1177" s="50" t="s">
        <v>3077</v>
      </c>
      <c r="AW1177" s="50" t="s">
        <v>1705</v>
      </c>
      <c r="AX1177" s="50" t="s">
        <v>1747</v>
      </c>
      <c r="AY1177" s="50">
        <v>48.4944</v>
      </c>
      <c r="AZ1177" s="50">
        <v>-123.6139</v>
      </c>
      <c r="BA1177" s="50">
        <v>485.0</v>
      </c>
    </row>
    <row r="1178" ht="14.25" customHeight="1">
      <c r="A1178" s="5" t="s">
        <v>422</v>
      </c>
      <c r="B1178" s="5">
        <v>12.0</v>
      </c>
      <c r="C1178" s="5" t="s">
        <v>7672</v>
      </c>
      <c r="D1178" s="5">
        <v>1143.0</v>
      </c>
      <c r="E1178" s="5">
        <v>12446.0</v>
      </c>
      <c r="F1178" s="5" t="s">
        <v>4258</v>
      </c>
      <c r="G1178" s="5" t="s">
        <v>4259</v>
      </c>
      <c r="H1178" s="5" t="s">
        <v>3075</v>
      </c>
      <c r="I1178" s="5" t="s">
        <v>49</v>
      </c>
      <c r="J1178" s="5" t="s">
        <v>1746</v>
      </c>
      <c r="K1178" s="5">
        <v>1.0</v>
      </c>
      <c r="L1178" s="5">
        <v>14468.0</v>
      </c>
      <c r="M1178" s="8">
        <v>48.585833</v>
      </c>
      <c r="N1178" s="5">
        <v>-123.751111</v>
      </c>
      <c r="O1178" s="5" t="s">
        <v>51</v>
      </c>
      <c r="P1178" s="5" t="s">
        <v>67</v>
      </c>
      <c r="Q1178" s="5">
        <v>4.0</v>
      </c>
      <c r="R1178" s="5" t="s">
        <v>68</v>
      </c>
      <c r="S1178" s="5" t="s">
        <v>44</v>
      </c>
      <c r="T1178" s="5">
        <v>675.0</v>
      </c>
      <c r="V1178" s="5" t="s">
        <v>72</v>
      </c>
      <c r="W1178" s="5">
        <v>35125.0</v>
      </c>
      <c r="AK1178" s="9"/>
      <c r="AO1178" s="50" t="s">
        <v>4260</v>
      </c>
      <c r="AP1178" s="50">
        <v>1143.0</v>
      </c>
      <c r="AQ1178" s="50" t="s">
        <v>1700</v>
      </c>
      <c r="AR1178" s="50" t="s">
        <v>1739</v>
      </c>
      <c r="AS1178" s="50" t="s">
        <v>3077</v>
      </c>
      <c r="AT1178" s="50" t="s">
        <v>1835</v>
      </c>
      <c r="AU1178" s="50" t="s">
        <v>1704</v>
      </c>
      <c r="AV1178" s="50" t="s">
        <v>3077</v>
      </c>
      <c r="AW1178" s="50" t="s">
        <v>1705</v>
      </c>
      <c r="AX1178" s="50" t="s">
        <v>1747</v>
      </c>
      <c r="AY1178" s="50">
        <v>48.5861</v>
      </c>
      <c r="AZ1178" s="50">
        <v>-123.7494</v>
      </c>
      <c r="BA1178" s="50">
        <v>665.0</v>
      </c>
    </row>
    <row r="1179" ht="14.25" customHeight="1">
      <c r="A1179" s="5" t="s">
        <v>88</v>
      </c>
      <c r="B1179" s="5">
        <v>12.0</v>
      </c>
      <c r="C1179" s="5" t="s">
        <v>7666</v>
      </c>
      <c r="D1179" s="5">
        <v>1144.0</v>
      </c>
      <c r="E1179" s="5">
        <v>10985.0</v>
      </c>
      <c r="F1179" s="5" t="s">
        <v>4261</v>
      </c>
      <c r="G1179" s="10" t="s">
        <v>4262</v>
      </c>
      <c r="H1179" s="5" t="s">
        <v>4263</v>
      </c>
      <c r="I1179" s="5" t="s">
        <v>49</v>
      </c>
      <c r="J1179" s="5" t="s">
        <v>1829</v>
      </c>
      <c r="K1179" s="5">
        <v>1.0</v>
      </c>
      <c r="L1179" s="5">
        <v>13149.0</v>
      </c>
      <c r="M1179" s="8">
        <v>49.1040278</v>
      </c>
      <c r="N1179" s="5">
        <v>-121.6375278</v>
      </c>
      <c r="O1179" s="5" t="s">
        <v>51</v>
      </c>
      <c r="P1179" s="5">
        <v>1144.0</v>
      </c>
      <c r="Q1179" s="5">
        <v>2.0</v>
      </c>
      <c r="R1179" s="5" t="s">
        <v>4261</v>
      </c>
      <c r="S1179" s="5" t="s">
        <v>1737</v>
      </c>
      <c r="T1179" s="5">
        <v>247.0</v>
      </c>
      <c r="U1179" s="5" t="s">
        <v>645</v>
      </c>
      <c r="V1179" s="5" t="s">
        <v>1830</v>
      </c>
      <c r="W1179" s="5">
        <v>41143.0</v>
      </c>
      <c r="X1179" s="5" t="s">
        <v>1738</v>
      </c>
      <c r="AK1179" s="9"/>
      <c r="AO1179" s="5" t="s">
        <v>4261</v>
      </c>
      <c r="AP1179" s="5">
        <v>1144.0</v>
      </c>
      <c r="AQ1179" s="5" t="s">
        <v>1716</v>
      </c>
      <c r="AR1179" s="5" t="s">
        <v>1739</v>
      </c>
      <c r="AS1179" s="5" t="s">
        <v>1740</v>
      </c>
      <c r="AT1179" s="5" t="s">
        <v>1741</v>
      </c>
      <c r="AU1179" s="5" t="s">
        <v>1742</v>
      </c>
      <c r="AV1179" s="5" t="s">
        <v>1720</v>
      </c>
      <c r="AW1179" s="5" t="s">
        <v>1705</v>
      </c>
      <c r="AX1179" s="5" t="s">
        <v>1883</v>
      </c>
      <c r="AY1179" s="5">
        <v>49.1039</v>
      </c>
      <c r="AZ1179" s="5">
        <v>-121.6376</v>
      </c>
      <c r="BA1179" s="5">
        <v>372.0</v>
      </c>
    </row>
    <row r="1180" ht="14.25" customHeight="1">
      <c r="B1180" s="5">
        <v>12.0</v>
      </c>
      <c r="C1180" s="5" t="s">
        <v>7666</v>
      </c>
      <c r="D1180" s="5">
        <v>1148.0</v>
      </c>
      <c r="E1180" s="5">
        <v>11010.0</v>
      </c>
      <c r="F1180" s="18" t="s">
        <v>4264</v>
      </c>
      <c r="G1180" s="5" t="s">
        <v>4265</v>
      </c>
      <c r="H1180" s="5" t="s">
        <v>4266</v>
      </c>
      <c r="I1180" s="5" t="s">
        <v>49</v>
      </c>
      <c r="J1180" s="5" t="s">
        <v>1746</v>
      </c>
      <c r="K1180" s="5">
        <v>1.0</v>
      </c>
      <c r="L1180" s="5">
        <v>13178.0</v>
      </c>
      <c r="M1180" s="8"/>
      <c r="AK1180" s="9"/>
      <c r="AO1180" s="67" t="s">
        <v>4264</v>
      </c>
      <c r="AP1180" s="5">
        <v>1148.0</v>
      </c>
      <c r="AQ1180" s="5" t="s">
        <v>1716</v>
      </c>
      <c r="AR1180" s="5" t="s">
        <v>1717</v>
      </c>
      <c r="AS1180" s="5" t="s">
        <v>1718</v>
      </c>
      <c r="AT1180" s="5" t="s">
        <v>1835</v>
      </c>
      <c r="AU1180" s="5" t="s">
        <v>1836</v>
      </c>
      <c r="AV1180" s="5" t="s">
        <v>1720</v>
      </c>
      <c r="AW1180" s="5" t="s">
        <v>2698</v>
      </c>
      <c r="AX1180" s="5" t="s">
        <v>2797</v>
      </c>
      <c r="AY1180" s="5">
        <v>49.2942</v>
      </c>
      <c r="AZ1180" s="5">
        <v>-117.2593</v>
      </c>
      <c r="BA1180" s="5">
        <v>1250.0</v>
      </c>
    </row>
    <row r="1181" ht="14.25" customHeight="1">
      <c r="B1181" s="5">
        <v>12.0</v>
      </c>
      <c r="C1181" s="5" t="s">
        <v>7666</v>
      </c>
      <c r="D1181" s="5">
        <v>1149.0</v>
      </c>
      <c r="E1181" s="5">
        <v>10993.0</v>
      </c>
      <c r="F1181" s="18" t="s">
        <v>4267</v>
      </c>
      <c r="G1181" s="5" t="s">
        <v>4268</v>
      </c>
      <c r="H1181" s="5" t="s">
        <v>4269</v>
      </c>
      <c r="I1181" s="5" t="s">
        <v>49</v>
      </c>
      <c r="J1181" s="5" t="s">
        <v>1746</v>
      </c>
      <c r="K1181" s="5">
        <v>1.0</v>
      </c>
      <c r="L1181" s="5">
        <v>13159.0</v>
      </c>
      <c r="M1181" s="8"/>
      <c r="AK1181" s="9"/>
      <c r="AO1181" s="5" t="s">
        <v>4267</v>
      </c>
      <c r="AP1181" s="5">
        <v>1149.0</v>
      </c>
      <c r="AQ1181" s="5" t="s">
        <v>1716</v>
      </c>
      <c r="AR1181" s="5" t="s">
        <v>2441</v>
      </c>
      <c r="AS1181" s="5" t="s">
        <v>1718</v>
      </c>
      <c r="AT1181" s="5" t="s">
        <v>1835</v>
      </c>
      <c r="AU1181" s="5" t="s">
        <v>1836</v>
      </c>
      <c r="AV1181" s="5" t="s">
        <v>1720</v>
      </c>
      <c r="AW1181" s="5" t="s">
        <v>1705</v>
      </c>
      <c r="AX1181" s="5" t="s">
        <v>1879</v>
      </c>
      <c r="AY1181" s="5">
        <v>49.7154</v>
      </c>
      <c r="AZ1181" s="5">
        <v>-122.3652</v>
      </c>
      <c r="BA1181" s="5">
        <v>330.0</v>
      </c>
    </row>
    <row r="1182" ht="14.25" customHeight="1">
      <c r="B1182" s="5">
        <v>12.0</v>
      </c>
      <c r="C1182" s="5" t="s">
        <v>7666</v>
      </c>
      <c r="D1182" s="5">
        <v>1151.0</v>
      </c>
      <c r="E1182" s="5">
        <v>10996.0</v>
      </c>
      <c r="F1182" s="18" t="s">
        <v>4270</v>
      </c>
      <c r="G1182" s="5" t="s">
        <v>4271</v>
      </c>
      <c r="H1182" s="5" t="s">
        <v>4272</v>
      </c>
      <c r="I1182" s="5" t="s">
        <v>49</v>
      </c>
      <c r="J1182" s="5" t="s">
        <v>1746</v>
      </c>
      <c r="K1182" s="5">
        <v>1.0</v>
      </c>
      <c r="L1182" s="5">
        <v>13162.0</v>
      </c>
      <c r="M1182" s="8"/>
      <c r="AK1182" s="9"/>
      <c r="AO1182" s="5" t="s">
        <v>4270</v>
      </c>
      <c r="AP1182" s="5">
        <v>1151.0</v>
      </c>
      <c r="AQ1182" s="5" t="s">
        <v>1716</v>
      </c>
      <c r="AR1182" s="5" t="s">
        <v>1717</v>
      </c>
      <c r="AS1182" s="5" t="s">
        <v>1718</v>
      </c>
      <c r="AT1182" s="5" t="s">
        <v>1841</v>
      </c>
      <c r="AU1182" s="5" t="s">
        <v>1959</v>
      </c>
      <c r="AW1182" s="5" t="s">
        <v>2368</v>
      </c>
      <c r="AX1182" s="5" t="s">
        <v>2516</v>
      </c>
      <c r="AY1182" s="5">
        <v>49.5947</v>
      </c>
      <c r="AZ1182" s="5">
        <v>-119.9747</v>
      </c>
      <c r="BA1182" s="5">
        <v>1407.0</v>
      </c>
    </row>
    <row r="1183" ht="14.25" customHeight="1">
      <c r="A1183" s="5" t="s">
        <v>88</v>
      </c>
      <c r="B1183" s="5">
        <v>12.0</v>
      </c>
      <c r="C1183" s="5" t="s">
        <v>7666</v>
      </c>
      <c r="D1183" s="5">
        <v>1165.0</v>
      </c>
      <c r="E1183" s="5">
        <v>10989.0</v>
      </c>
      <c r="F1183" s="5" t="s">
        <v>4273</v>
      </c>
      <c r="G1183" s="10" t="s">
        <v>4274</v>
      </c>
      <c r="H1183" s="5" t="s">
        <v>4275</v>
      </c>
      <c r="I1183" s="5" t="s">
        <v>49</v>
      </c>
      <c r="J1183" s="5" t="s">
        <v>1829</v>
      </c>
      <c r="K1183" s="5">
        <v>1.0</v>
      </c>
      <c r="L1183" s="5">
        <v>13154.0</v>
      </c>
      <c r="M1183" s="8">
        <v>54.16957</v>
      </c>
      <c r="N1183" s="5">
        <v>-121.65168</v>
      </c>
      <c r="O1183" s="5" t="s">
        <v>1290</v>
      </c>
      <c r="P1183" s="5">
        <v>1165.0</v>
      </c>
      <c r="Q1183" s="5">
        <v>2.0</v>
      </c>
      <c r="R1183" s="5" t="s">
        <v>4273</v>
      </c>
      <c r="S1183" s="5" t="s">
        <v>1737</v>
      </c>
      <c r="T1183" s="5">
        <v>798.0</v>
      </c>
      <c r="W1183" s="5">
        <v>41582.0</v>
      </c>
      <c r="X1183" s="5" t="s">
        <v>1738</v>
      </c>
      <c r="AK1183" s="9"/>
      <c r="AO1183" s="5" t="s">
        <v>4273</v>
      </c>
      <c r="AP1183" s="5">
        <v>1165.0</v>
      </c>
      <c r="AQ1183" s="5" t="s">
        <v>1700</v>
      </c>
      <c r="AR1183" s="5" t="s">
        <v>1739</v>
      </c>
      <c r="AS1183" s="5" t="s">
        <v>1740</v>
      </c>
      <c r="AT1183" s="5" t="s">
        <v>1741</v>
      </c>
      <c r="AU1183" s="5" t="s">
        <v>1959</v>
      </c>
      <c r="AV1183" s="5" t="s">
        <v>1720</v>
      </c>
      <c r="AW1183" s="5" t="s">
        <v>2003</v>
      </c>
      <c r="AX1183" s="5" t="s">
        <v>2091</v>
      </c>
      <c r="AY1183" s="5">
        <v>54.1693</v>
      </c>
      <c r="AZ1183" s="5">
        <v>-121.6519</v>
      </c>
      <c r="BA1183" s="5">
        <v>799.0</v>
      </c>
    </row>
    <row r="1184" ht="14.25" customHeight="1">
      <c r="A1184" s="5" t="s">
        <v>422</v>
      </c>
      <c r="B1184" s="5">
        <v>12.0</v>
      </c>
      <c r="C1184" s="5" t="s">
        <v>7672</v>
      </c>
      <c r="D1184" s="5">
        <v>1166.0</v>
      </c>
      <c r="E1184" s="5">
        <v>12447.0</v>
      </c>
      <c r="F1184" s="5" t="s">
        <v>4276</v>
      </c>
      <c r="G1184" s="5" t="s">
        <v>4277</v>
      </c>
      <c r="H1184" s="5" t="s">
        <v>3075</v>
      </c>
      <c r="I1184" s="5" t="s">
        <v>49</v>
      </c>
      <c r="J1184" s="5" t="s">
        <v>1746</v>
      </c>
      <c r="K1184" s="5">
        <v>1.0</v>
      </c>
      <c r="L1184" s="5">
        <v>14469.0</v>
      </c>
      <c r="M1184" s="8"/>
      <c r="AK1184" s="9"/>
      <c r="AO1184" s="50" t="s">
        <v>4278</v>
      </c>
      <c r="AP1184" s="50">
        <v>1166.0</v>
      </c>
      <c r="AQ1184" s="50" t="s">
        <v>1700</v>
      </c>
      <c r="AR1184" s="50" t="s">
        <v>1739</v>
      </c>
      <c r="AS1184" s="50" t="s">
        <v>3077</v>
      </c>
      <c r="AT1184" s="50" t="s">
        <v>1703</v>
      </c>
      <c r="AU1184" s="50" t="s">
        <v>1704</v>
      </c>
      <c r="AV1184" s="50" t="s">
        <v>3077</v>
      </c>
      <c r="AW1184" s="50" t="s">
        <v>1705</v>
      </c>
      <c r="AX1184" s="50" t="s">
        <v>1747</v>
      </c>
      <c r="AY1184" s="50">
        <v>48.5722</v>
      </c>
      <c r="AZ1184" s="50">
        <v>-123.7068</v>
      </c>
      <c r="BA1184" s="50">
        <v>180.0</v>
      </c>
    </row>
    <row r="1185" ht="14.25" customHeight="1">
      <c r="A1185" s="5" t="s">
        <v>422</v>
      </c>
      <c r="B1185" s="5">
        <v>12.0</v>
      </c>
      <c r="C1185" s="5" t="s">
        <v>7666</v>
      </c>
      <c r="D1185" s="5">
        <v>1168.0</v>
      </c>
      <c r="E1185" s="5">
        <v>10984.0</v>
      </c>
      <c r="F1185" s="18" t="s">
        <v>4279</v>
      </c>
      <c r="G1185" s="5" t="s">
        <v>4280</v>
      </c>
      <c r="H1185" s="5" t="s">
        <v>4281</v>
      </c>
      <c r="I1185" s="5" t="s">
        <v>49</v>
      </c>
      <c r="J1185" s="5" t="s">
        <v>1746</v>
      </c>
      <c r="K1185" s="5">
        <v>1.0</v>
      </c>
      <c r="L1185" s="5">
        <v>13150.0</v>
      </c>
      <c r="M1185" s="8"/>
      <c r="AK1185" s="9"/>
      <c r="AO1185" s="67" t="s">
        <v>4279</v>
      </c>
      <c r="AP1185" s="5">
        <v>1168.0</v>
      </c>
      <c r="AQ1185" s="5" t="s">
        <v>1716</v>
      </c>
      <c r="AR1185" s="5" t="s">
        <v>2441</v>
      </c>
      <c r="AS1185" s="5" t="s">
        <v>1718</v>
      </c>
      <c r="AT1185" s="5" t="s">
        <v>1835</v>
      </c>
      <c r="AU1185" s="5" t="s">
        <v>1836</v>
      </c>
      <c r="AV1185" s="5" t="s">
        <v>1720</v>
      </c>
      <c r="AX1185" s="5" t="s">
        <v>1879</v>
      </c>
      <c r="AY1185" s="5">
        <v>50.5291</v>
      </c>
      <c r="AZ1185" s="5">
        <v>-122.4458</v>
      </c>
      <c r="BA1185" s="5">
        <v>765.0</v>
      </c>
    </row>
    <row r="1186" ht="14.25" customHeight="1">
      <c r="B1186" s="5">
        <v>12.0</v>
      </c>
      <c r="C1186" s="5" t="s">
        <v>7666</v>
      </c>
      <c r="D1186" s="5">
        <v>1171.0</v>
      </c>
      <c r="E1186" s="5">
        <v>10976.0</v>
      </c>
      <c r="F1186" s="18" t="s">
        <v>4282</v>
      </c>
      <c r="G1186" s="5" t="s">
        <v>4283</v>
      </c>
      <c r="H1186" s="5" t="s">
        <v>4284</v>
      </c>
      <c r="I1186" s="5" t="s">
        <v>49</v>
      </c>
      <c r="J1186" s="5" t="s">
        <v>1746</v>
      </c>
      <c r="K1186" s="5">
        <v>1.0</v>
      </c>
      <c r="L1186" s="5">
        <v>13151.0</v>
      </c>
      <c r="M1186" s="8"/>
      <c r="AK1186" s="9"/>
      <c r="AO1186" s="67" t="s">
        <v>4282</v>
      </c>
      <c r="AP1186" s="5">
        <v>1171.0</v>
      </c>
      <c r="AQ1186" s="5" t="s">
        <v>1716</v>
      </c>
      <c r="AR1186" s="5" t="s">
        <v>1717</v>
      </c>
      <c r="AS1186" s="5" t="s">
        <v>1718</v>
      </c>
      <c r="AT1186" s="5" t="s">
        <v>1835</v>
      </c>
      <c r="AU1186" s="5" t="s">
        <v>1836</v>
      </c>
      <c r="AV1186" s="5" t="s">
        <v>1720</v>
      </c>
      <c r="AX1186" s="5" t="s">
        <v>2827</v>
      </c>
      <c r="AY1186" s="5">
        <v>49.0505</v>
      </c>
      <c r="AZ1186" s="5">
        <v>-119.061</v>
      </c>
      <c r="BA1186" s="5">
        <v>930.0</v>
      </c>
    </row>
    <row r="1187" ht="14.25" customHeight="1">
      <c r="A1187" s="5" t="s">
        <v>422</v>
      </c>
      <c r="B1187" s="5">
        <v>12.0</v>
      </c>
      <c r="C1187" s="5" t="s">
        <v>7666</v>
      </c>
      <c r="D1187" s="5">
        <v>1172.0</v>
      </c>
      <c r="E1187" s="5">
        <v>10991.0</v>
      </c>
      <c r="F1187" s="18" t="s">
        <v>4285</v>
      </c>
      <c r="G1187" s="5" t="s">
        <v>4286</v>
      </c>
      <c r="H1187" s="5" t="s">
        <v>4287</v>
      </c>
      <c r="I1187" s="5" t="s">
        <v>49</v>
      </c>
      <c r="J1187" s="5" t="s">
        <v>1746</v>
      </c>
      <c r="K1187" s="5">
        <v>1.0</v>
      </c>
      <c r="L1187" s="5">
        <v>13156.0</v>
      </c>
      <c r="M1187" s="8"/>
      <c r="AK1187" s="9"/>
      <c r="AO1187" s="67" t="s">
        <v>4285</v>
      </c>
      <c r="AP1187" s="5">
        <v>1172.0</v>
      </c>
      <c r="AQ1187" s="5" t="s">
        <v>1716</v>
      </c>
      <c r="AR1187" s="5" t="s">
        <v>1717</v>
      </c>
      <c r="AS1187" s="5" t="s">
        <v>1718</v>
      </c>
      <c r="AT1187" s="5" t="s">
        <v>1835</v>
      </c>
      <c r="AU1187" s="5" t="s">
        <v>1836</v>
      </c>
      <c r="AV1187" s="5" t="s">
        <v>1720</v>
      </c>
      <c r="AW1187" s="5" t="s">
        <v>2698</v>
      </c>
      <c r="AX1187" s="5" t="s">
        <v>2801</v>
      </c>
      <c r="AY1187" s="5">
        <v>50.11</v>
      </c>
      <c r="AZ1187" s="5">
        <v>-117.05</v>
      </c>
      <c r="BA1187" s="5">
        <v>1020.0</v>
      </c>
    </row>
    <row r="1188" ht="14.25" customHeight="1">
      <c r="A1188" s="5" t="s">
        <v>422</v>
      </c>
      <c r="B1188" s="5">
        <v>12.0</v>
      </c>
      <c r="C1188" s="5" t="s">
        <v>7665</v>
      </c>
      <c r="D1188" s="5">
        <v>1173.0</v>
      </c>
      <c r="E1188" s="5">
        <v>12983.0</v>
      </c>
      <c r="G1188" s="5" t="s">
        <v>127</v>
      </c>
      <c r="H1188" s="5" t="s">
        <v>1697</v>
      </c>
      <c r="I1188" s="5" t="s">
        <v>49</v>
      </c>
      <c r="J1188" s="5" t="s">
        <v>1746</v>
      </c>
      <c r="K1188" s="5">
        <v>1.0</v>
      </c>
      <c r="L1188" s="5">
        <v>14915.0</v>
      </c>
      <c r="M1188" s="8"/>
      <c r="AK1188" s="9"/>
      <c r="AO1188" s="50" t="s">
        <v>4288</v>
      </c>
      <c r="AP1188" s="50">
        <v>1173.0</v>
      </c>
      <c r="AQ1188" s="50" t="s">
        <v>1700</v>
      </c>
      <c r="AR1188" s="50" t="s">
        <v>1701</v>
      </c>
      <c r="AS1188" s="50" t="s">
        <v>1702</v>
      </c>
      <c r="AT1188" s="50" t="s">
        <v>1703</v>
      </c>
      <c r="AU1188" s="50" t="s">
        <v>1704</v>
      </c>
      <c r="AV1188" s="50" t="s">
        <v>1702</v>
      </c>
      <c r="AW1188" s="50" t="s">
        <v>2368</v>
      </c>
      <c r="AX1188" s="50" t="s">
        <v>2369</v>
      </c>
      <c r="AY1188" s="50">
        <v>50.7084</v>
      </c>
      <c r="AZ1188" s="50">
        <v>-121.2812</v>
      </c>
      <c r="BA1188" s="50">
        <v>327.0</v>
      </c>
    </row>
    <row r="1189" ht="14.25" customHeight="1">
      <c r="B1189" s="5">
        <v>12.0</v>
      </c>
      <c r="C1189" s="5" t="s">
        <v>7666</v>
      </c>
      <c r="D1189" s="5">
        <v>1174.0</v>
      </c>
      <c r="E1189" s="5">
        <v>10994.0</v>
      </c>
      <c r="F1189" s="18" t="s">
        <v>4289</v>
      </c>
      <c r="G1189" s="5" t="s">
        <v>4290</v>
      </c>
      <c r="H1189" s="5" t="s">
        <v>4291</v>
      </c>
      <c r="I1189" s="5" t="s">
        <v>49</v>
      </c>
      <c r="J1189" s="5" t="s">
        <v>1746</v>
      </c>
      <c r="K1189" s="5">
        <v>1.0</v>
      </c>
      <c r="L1189" s="5">
        <v>13160.0</v>
      </c>
      <c r="M1189" s="8"/>
      <c r="AK1189" s="9"/>
      <c r="AO1189" s="5" t="s">
        <v>4289</v>
      </c>
      <c r="AP1189" s="5">
        <v>1174.0</v>
      </c>
      <c r="AQ1189" s="5" t="s">
        <v>1716</v>
      </c>
      <c r="AR1189" s="5" t="s">
        <v>1717</v>
      </c>
      <c r="AS1189" s="5" t="s">
        <v>1718</v>
      </c>
      <c r="AT1189" s="5" t="s">
        <v>1841</v>
      </c>
      <c r="AU1189" s="5" t="s">
        <v>1959</v>
      </c>
      <c r="AW1189" s="5" t="s">
        <v>2368</v>
      </c>
      <c r="AX1189" s="5" t="s">
        <v>2707</v>
      </c>
      <c r="AY1189" s="5">
        <v>50.6828</v>
      </c>
      <c r="AZ1189" s="5">
        <v>-118.7758</v>
      </c>
      <c r="BA1189" s="5">
        <v>751.0</v>
      </c>
    </row>
    <row r="1190" ht="14.25" customHeight="1">
      <c r="A1190" s="5" t="s">
        <v>422</v>
      </c>
      <c r="B1190" s="5">
        <v>12.0</v>
      </c>
      <c r="C1190" s="5" t="s">
        <v>7666</v>
      </c>
      <c r="D1190" s="5">
        <v>1175.0</v>
      </c>
      <c r="E1190" s="5">
        <v>10995.0</v>
      </c>
      <c r="F1190" s="18" t="s">
        <v>4292</v>
      </c>
      <c r="G1190" s="5" t="s">
        <v>4293</v>
      </c>
      <c r="H1190" s="5" t="s">
        <v>4294</v>
      </c>
      <c r="I1190" s="5" t="s">
        <v>49</v>
      </c>
      <c r="J1190" s="5" t="s">
        <v>1746</v>
      </c>
      <c r="K1190" s="5">
        <v>1.0</v>
      </c>
      <c r="L1190" s="5">
        <v>13161.0</v>
      </c>
      <c r="M1190" s="8"/>
      <c r="AK1190" s="9"/>
      <c r="AO1190" s="67" t="s">
        <v>4292</v>
      </c>
      <c r="AP1190" s="5">
        <v>1175.0</v>
      </c>
      <c r="AQ1190" s="5" t="s">
        <v>1716</v>
      </c>
      <c r="AR1190" s="5" t="s">
        <v>1717</v>
      </c>
      <c r="AS1190" s="5" t="s">
        <v>1718</v>
      </c>
      <c r="AT1190" s="5" t="s">
        <v>1835</v>
      </c>
      <c r="AU1190" s="5" t="s">
        <v>1836</v>
      </c>
      <c r="AV1190" s="5" t="s">
        <v>1720</v>
      </c>
      <c r="AW1190" s="5" t="s">
        <v>2698</v>
      </c>
      <c r="AX1190" s="5" t="s">
        <v>2801</v>
      </c>
      <c r="AY1190" s="5">
        <v>49.4</v>
      </c>
      <c r="AZ1190" s="5">
        <v>-117.11</v>
      </c>
      <c r="BA1190" s="5">
        <v>1455.0</v>
      </c>
    </row>
    <row r="1191" ht="14.25" customHeight="1">
      <c r="A1191" s="5" t="s">
        <v>88</v>
      </c>
      <c r="B1191" s="5">
        <v>12.0</v>
      </c>
      <c r="C1191" s="5" t="s">
        <v>7666</v>
      </c>
      <c r="D1191" s="5">
        <v>1176.0</v>
      </c>
      <c r="E1191" s="5">
        <v>10997.0</v>
      </c>
      <c r="F1191" s="5" t="s">
        <v>4295</v>
      </c>
      <c r="G1191" s="10" t="s">
        <v>4296</v>
      </c>
      <c r="H1191" s="5" t="s">
        <v>4297</v>
      </c>
      <c r="I1191" s="5" t="s">
        <v>49</v>
      </c>
      <c r="J1191" s="5" t="s">
        <v>1891</v>
      </c>
      <c r="K1191" s="5">
        <v>1.0</v>
      </c>
      <c r="L1191" s="5">
        <v>13163.0</v>
      </c>
      <c r="M1191" s="8">
        <v>51.31308</v>
      </c>
      <c r="N1191" s="5">
        <v>-119.3925</v>
      </c>
      <c r="O1191" s="5" t="s">
        <v>142</v>
      </c>
      <c r="P1191" s="5">
        <v>1176.0</v>
      </c>
      <c r="Q1191" s="5">
        <v>2.0</v>
      </c>
      <c r="R1191" s="5" t="s">
        <v>4295</v>
      </c>
      <c r="S1191" s="5" t="s">
        <v>1737</v>
      </c>
      <c r="T1191" s="5">
        <v>884.0</v>
      </c>
      <c r="X1191" s="5" t="s">
        <v>1738</v>
      </c>
      <c r="AK1191" s="9"/>
      <c r="AO1191" s="5" t="s">
        <v>4295</v>
      </c>
      <c r="AP1191" s="5">
        <v>1176.0</v>
      </c>
      <c r="AQ1191" s="5" t="s">
        <v>1716</v>
      </c>
      <c r="AR1191" s="5" t="s">
        <v>1739</v>
      </c>
      <c r="AS1191" s="5" t="s">
        <v>1740</v>
      </c>
      <c r="AT1191" s="5" t="s">
        <v>1741</v>
      </c>
      <c r="AU1191" s="5" t="s">
        <v>1742</v>
      </c>
      <c r="AV1191" s="5" t="s">
        <v>1720</v>
      </c>
      <c r="AW1191" s="5" t="s">
        <v>2368</v>
      </c>
      <c r="AX1191" s="5" t="s">
        <v>2369</v>
      </c>
      <c r="AY1191" s="5">
        <v>51.3127</v>
      </c>
      <c r="AZ1191" s="5">
        <v>-119.3926</v>
      </c>
      <c r="BA1191" s="5">
        <v>884.0</v>
      </c>
    </row>
    <row r="1192" ht="14.25" customHeight="1">
      <c r="A1192" s="5" t="s">
        <v>422</v>
      </c>
      <c r="B1192" s="5">
        <v>12.0</v>
      </c>
      <c r="C1192" s="5" t="s">
        <v>7666</v>
      </c>
      <c r="D1192" s="5">
        <v>1178.0</v>
      </c>
      <c r="E1192" s="5">
        <v>10998.0</v>
      </c>
      <c r="F1192" s="18" t="s">
        <v>4298</v>
      </c>
      <c r="G1192" s="5" t="s">
        <v>4299</v>
      </c>
      <c r="H1192" s="5" t="s">
        <v>4300</v>
      </c>
      <c r="I1192" s="5" t="s">
        <v>49</v>
      </c>
      <c r="J1192" s="5" t="s">
        <v>1746</v>
      </c>
      <c r="K1192" s="5">
        <v>1.0</v>
      </c>
      <c r="L1192" s="5">
        <v>13164.0</v>
      </c>
      <c r="M1192" s="8"/>
      <c r="AK1192" s="9"/>
      <c r="AO1192" s="5" t="s">
        <v>4298</v>
      </c>
      <c r="AP1192" s="5">
        <v>1178.0</v>
      </c>
      <c r="AQ1192" s="5" t="s">
        <v>1716</v>
      </c>
      <c r="AR1192" s="5" t="s">
        <v>1717</v>
      </c>
      <c r="AS1192" s="5" t="s">
        <v>1718</v>
      </c>
      <c r="AT1192" s="5" t="s">
        <v>1841</v>
      </c>
      <c r="AU1192" s="5" t="s">
        <v>1959</v>
      </c>
      <c r="AV1192" s="5" t="s">
        <v>1720</v>
      </c>
      <c r="AW1192" s="5" t="s">
        <v>2368</v>
      </c>
      <c r="AX1192" s="5" t="s">
        <v>2827</v>
      </c>
      <c r="AY1192" s="5">
        <v>49.7139</v>
      </c>
      <c r="AZ1192" s="5">
        <v>-118.74</v>
      </c>
      <c r="BA1192" s="5">
        <v>1393.0</v>
      </c>
    </row>
    <row r="1193" ht="14.25" customHeight="1">
      <c r="B1193" s="5">
        <v>12.0</v>
      </c>
      <c r="C1193" s="5" t="s">
        <v>7666</v>
      </c>
      <c r="D1193" s="5">
        <v>1179.0</v>
      </c>
      <c r="E1193" s="5">
        <v>10999.0</v>
      </c>
      <c r="F1193" s="18" t="s">
        <v>4301</v>
      </c>
      <c r="G1193" s="5" t="s">
        <v>4302</v>
      </c>
      <c r="H1193" s="5" t="s">
        <v>4303</v>
      </c>
      <c r="I1193" s="5" t="s">
        <v>49</v>
      </c>
      <c r="J1193" s="5" t="s">
        <v>1746</v>
      </c>
      <c r="K1193" s="5">
        <v>1.0</v>
      </c>
      <c r="L1193" s="5">
        <v>13165.0</v>
      </c>
      <c r="M1193" s="8"/>
      <c r="AK1193" s="9"/>
      <c r="AO1193" s="5" t="s">
        <v>4301</v>
      </c>
      <c r="AP1193" s="5">
        <v>1179.0</v>
      </c>
      <c r="AQ1193" s="5" t="s">
        <v>1716</v>
      </c>
      <c r="AR1193" s="5" t="s">
        <v>1717</v>
      </c>
      <c r="AS1193" s="5" t="s">
        <v>1718</v>
      </c>
      <c r="AT1193" s="5" t="s">
        <v>1835</v>
      </c>
      <c r="AU1193" s="5" t="s">
        <v>1836</v>
      </c>
      <c r="AV1193" s="5" t="s">
        <v>1720</v>
      </c>
      <c r="AW1193" s="5" t="s">
        <v>1705</v>
      </c>
      <c r="AX1193" s="5" t="s">
        <v>1879</v>
      </c>
      <c r="AY1193" s="5">
        <v>49.7544</v>
      </c>
      <c r="AZ1193" s="5">
        <v>-122.2288</v>
      </c>
      <c r="BA1193" s="5">
        <v>111.0</v>
      </c>
    </row>
    <row r="1194" ht="14.25" customHeight="1">
      <c r="B1194" s="5">
        <v>12.0</v>
      </c>
      <c r="C1194" s="5" t="s">
        <v>7666</v>
      </c>
      <c r="D1194" s="5">
        <v>1180.0</v>
      </c>
      <c r="E1194" s="5">
        <v>11000.0</v>
      </c>
      <c r="F1194" s="18" t="s">
        <v>4304</v>
      </c>
      <c r="G1194" s="5" t="s">
        <v>4305</v>
      </c>
      <c r="H1194" s="5" t="s">
        <v>4306</v>
      </c>
      <c r="I1194" s="5" t="s">
        <v>49</v>
      </c>
      <c r="J1194" s="5" t="s">
        <v>1746</v>
      </c>
      <c r="K1194" s="5">
        <v>1.0</v>
      </c>
      <c r="L1194" s="5">
        <v>13168.0</v>
      </c>
      <c r="M1194" s="8"/>
      <c r="AK1194" s="9"/>
      <c r="AO1194" s="5" t="s">
        <v>4304</v>
      </c>
      <c r="AP1194" s="5">
        <v>1180.0</v>
      </c>
      <c r="AQ1194" s="5" t="s">
        <v>1716</v>
      </c>
      <c r="AR1194" s="5" t="s">
        <v>1717</v>
      </c>
      <c r="AS1194" s="5" t="s">
        <v>1718</v>
      </c>
      <c r="AT1194" s="5" t="s">
        <v>1835</v>
      </c>
      <c r="AU1194" s="5" t="s">
        <v>1959</v>
      </c>
      <c r="AV1194" s="5" t="s">
        <v>1720</v>
      </c>
      <c r="AW1194" s="5" t="s">
        <v>2368</v>
      </c>
      <c r="AX1194" s="5" t="s">
        <v>2492</v>
      </c>
      <c r="AY1194" s="5">
        <v>49.5292</v>
      </c>
      <c r="AZ1194" s="5">
        <v>-120.2208</v>
      </c>
      <c r="BA1194" s="5">
        <v>1400.0</v>
      </c>
    </row>
    <row r="1195" ht="14.25" customHeight="1">
      <c r="A1195" s="5" t="s">
        <v>2037</v>
      </c>
      <c r="B1195" s="5">
        <v>12.0</v>
      </c>
      <c r="C1195" s="5" t="s">
        <v>7666</v>
      </c>
      <c r="D1195" s="5">
        <v>1181.0</v>
      </c>
      <c r="E1195" s="5">
        <v>11001.0</v>
      </c>
      <c r="F1195" s="5" t="s">
        <v>4307</v>
      </c>
      <c r="G1195" s="5" t="s">
        <v>4308</v>
      </c>
      <c r="H1195" s="5" t="s">
        <v>4309</v>
      </c>
      <c r="I1195" s="5" t="s">
        <v>49</v>
      </c>
      <c r="J1195" s="5" t="s">
        <v>1746</v>
      </c>
      <c r="K1195" s="5">
        <v>1.0</v>
      </c>
      <c r="L1195" s="5">
        <v>13169.0</v>
      </c>
      <c r="M1195" s="8"/>
      <c r="AK1195" s="9"/>
      <c r="AO1195" s="5" t="s">
        <v>4310</v>
      </c>
      <c r="AP1195" s="5">
        <v>1181.0</v>
      </c>
      <c r="AQ1195" s="5" t="s">
        <v>1716</v>
      </c>
      <c r="AR1195" s="5" t="s">
        <v>1717</v>
      </c>
      <c r="AS1195" s="5" t="s">
        <v>1718</v>
      </c>
      <c r="AT1195" s="5" t="s">
        <v>1835</v>
      </c>
      <c r="AU1195" s="5" t="s">
        <v>1836</v>
      </c>
      <c r="AV1195" s="5" t="s">
        <v>1720</v>
      </c>
      <c r="AW1195" s="5" t="s">
        <v>1705</v>
      </c>
      <c r="AX1195" s="5" t="s">
        <v>1879</v>
      </c>
      <c r="AY1195" s="5">
        <v>49.7483</v>
      </c>
      <c r="AZ1195" s="5">
        <v>-122.2864</v>
      </c>
      <c r="BA1195" s="5">
        <v>223.0</v>
      </c>
    </row>
    <row r="1196" ht="14.25" customHeight="1">
      <c r="A1196" s="5" t="s">
        <v>422</v>
      </c>
      <c r="B1196" s="5">
        <v>12.0</v>
      </c>
      <c r="C1196" s="5" t="s">
        <v>7666</v>
      </c>
      <c r="D1196" s="5">
        <v>1183.0</v>
      </c>
      <c r="E1196" s="5">
        <v>11003.0</v>
      </c>
      <c r="F1196" s="18" t="s">
        <v>4311</v>
      </c>
      <c r="G1196" s="5" t="s">
        <v>4312</v>
      </c>
      <c r="H1196" s="5" t="s">
        <v>4313</v>
      </c>
      <c r="I1196" s="5" t="s">
        <v>49</v>
      </c>
      <c r="J1196" s="5" t="s">
        <v>1746</v>
      </c>
      <c r="K1196" s="5">
        <v>1.0</v>
      </c>
      <c r="L1196" s="5">
        <v>13171.0</v>
      </c>
      <c r="M1196" s="8"/>
      <c r="AK1196" s="9"/>
      <c r="AO1196" s="67" t="s">
        <v>4311</v>
      </c>
      <c r="AP1196" s="5">
        <v>1183.0</v>
      </c>
      <c r="AQ1196" s="5" t="s">
        <v>1716</v>
      </c>
      <c r="AR1196" s="5" t="s">
        <v>1717</v>
      </c>
      <c r="AS1196" s="5" t="s">
        <v>1718</v>
      </c>
      <c r="AT1196" s="5" t="s">
        <v>1835</v>
      </c>
      <c r="AU1196" s="5" t="s">
        <v>1836</v>
      </c>
      <c r="AV1196" s="5" t="s">
        <v>1720</v>
      </c>
      <c r="AW1196" s="5" t="s">
        <v>2698</v>
      </c>
      <c r="AX1196" s="5" t="s">
        <v>2797</v>
      </c>
      <c r="AY1196" s="5">
        <v>49.7971</v>
      </c>
      <c r="AZ1196" s="5">
        <v>-117.3969</v>
      </c>
      <c r="BA1196" s="5">
        <v>1826.0</v>
      </c>
    </row>
    <row r="1197" ht="14.25" customHeight="1">
      <c r="A1197" s="5" t="s">
        <v>422</v>
      </c>
      <c r="B1197" s="5">
        <v>12.0</v>
      </c>
      <c r="C1197" s="5" t="s">
        <v>7666</v>
      </c>
      <c r="D1197" s="5">
        <v>1184.0</v>
      </c>
      <c r="E1197" s="5">
        <v>11004.0</v>
      </c>
      <c r="F1197" s="18" t="s">
        <v>4314</v>
      </c>
      <c r="G1197" s="5" t="s">
        <v>4315</v>
      </c>
      <c r="H1197" s="5" t="s">
        <v>4316</v>
      </c>
      <c r="I1197" s="5" t="s">
        <v>49</v>
      </c>
      <c r="J1197" s="5" t="s">
        <v>1746</v>
      </c>
      <c r="K1197" s="5">
        <v>1.0</v>
      </c>
      <c r="L1197" s="5">
        <v>13172.0</v>
      </c>
      <c r="M1197" s="8"/>
      <c r="AK1197" s="9"/>
      <c r="AO1197" s="67" t="s">
        <v>4314</v>
      </c>
      <c r="AP1197" s="5">
        <v>1184.0</v>
      </c>
      <c r="AQ1197" s="5" t="s">
        <v>1716</v>
      </c>
      <c r="AR1197" s="5" t="s">
        <v>1717</v>
      </c>
      <c r="AS1197" s="5" t="s">
        <v>2257</v>
      </c>
      <c r="AT1197" s="5" t="s">
        <v>1835</v>
      </c>
      <c r="AU1197" s="5" t="s">
        <v>1836</v>
      </c>
      <c r="AW1197" s="5" t="s">
        <v>1705</v>
      </c>
      <c r="AX1197" s="5" t="s">
        <v>1879</v>
      </c>
      <c r="AY1197" s="5">
        <v>50.3168</v>
      </c>
      <c r="AZ1197" s="5">
        <v>-123.5495</v>
      </c>
      <c r="BA1197" s="5">
        <v>800.0</v>
      </c>
    </row>
    <row r="1198" ht="14.25" customHeight="1">
      <c r="A1198" s="5" t="s">
        <v>422</v>
      </c>
      <c r="B1198" s="5">
        <v>12.0</v>
      </c>
      <c r="C1198" s="5" t="s">
        <v>7666</v>
      </c>
      <c r="D1198" s="5">
        <v>1185.0</v>
      </c>
      <c r="E1198" s="5">
        <v>11005.0</v>
      </c>
      <c r="F1198" s="18" t="s">
        <v>4317</v>
      </c>
      <c r="G1198" s="5" t="s">
        <v>4318</v>
      </c>
      <c r="H1198" s="5" t="s">
        <v>4319</v>
      </c>
      <c r="I1198" s="5" t="s">
        <v>49</v>
      </c>
      <c r="J1198" s="5" t="s">
        <v>1746</v>
      </c>
      <c r="K1198" s="5">
        <v>1.0</v>
      </c>
      <c r="L1198" s="5">
        <v>13173.0</v>
      </c>
      <c r="M1198" s="8"/>
      <c r="AK1198" s="9"/>
      <c r="AO1198" s="67" t="s">
        <v>4317</v>
      </c>
      <c r="AP1198" s="5">
        <v>1185.0</v>
      </c>
      <c r="AQ1198" s="5" t="s">
        <v>1716</v>
      </c>
      <c r="AR1198" s="5" t="s">
        <v>1717</v>
      </c>
      <c r="AS1198" s="5" t="s">
        <v>1718</v>
      </c>
      <c r="AT1198" s="5" t="s">
        <v>1835</v>
      </c>
      <c r="AU1198" s="5" t="s">
        <v>1836</v>
      </c>
      <c r="AV1198" s="5" t="s">
        <v>1720</v>
      </c>
      <c r="AW1198" s="5" t="s">
        <v>2003</v>
      </c>
      <c r="AX1198" s="5" t="s">
        <v>2024</v>
      </c>
      <c r="AY1198" s="5">
        <v>55.9126</v>
      </c>
      <c r="AZ1198" s="5">
        <v>-122.2514</v>
      </c>
      <c r="BA1198" s="5">
        <v>986.0</v>
      </c>
    </row>
    <row r="1199" ht="14.25" customHeight="1">
      <c r="A1199" s="5" t="s">
        <v>422</v>
      </c>
      <c r="B1199" s="5">
        <v>12.0</v>
      </c>
      <c r="C1199" s="5" t="s">
        <v>7666</v>
      </c>
      <c r="D1199" s="5">
        <v>1188.0</v>
      </c>
      <c r="E1199" s="5">
        <v>11006.0</v>
      </c>
      <c r="F1199" s="18" t="s">
        <v>4320</v>
      </c>
      <c r="G1199" s="5" t="s">
        <v>4321</v>
      </c>
      <c r="H1199" s="5" t="s">
        <v>4322</v>
      </c>
      <c r="I1199" s="5" t="s">
        <v>49</v>
      </c>
      <c r="J1199" s="5" t="s">
        <v>1746</v>
      </c>
      <c r="K1199" s="5">
        <v>1.0</v>
      </c>
      <c r="L1199" s="5">
        <v>13174.0</v>
      </c>
      <c r="M1199" s="8"/>
      <c r="AK1199" s="9"/>
      <c r="AO1199" s="5" t="s">
        <v>4320</v>
      </c>
      <c r="AP1199" s="5">
        <v>1188.0</v>
      </c>
      <c r="AQ1199" s="5" t="s">
        <v>1716</v>
      </c>
      <c r="AR1199" s="5" t="s">
        <v>1717</v>
      </c>
      <c r="AS1199" s="5" t="s">
        <v>1718</v>
      </c>
      <c r="AT1199" s="5" t="s">
        <v>1841</v>
      </c>
      <c r="AU1199" s="5" t="s">
        <v>1959</v>
      </c>
      <c r="AV1199" s="5" t="s">
        <v>1720</v>
      </c>
      <c r="AW1199" s="5" t="s">
        <v>2368</v>
      </c>
      <c r="AX1199" s="5" t="s">
        <v>2522</v>
      </c>
      <c r="AY1199" s="5">
        <v>50.555</v>
      </c>
      <c r="AZ1199" s="5">
        <v>-119.5419</v>
      </c>
      <c r="BA1199" s="5">
        <v>1598.0</v>
      </c>
    </row>
    <row r="1200" ht="14.25" customHeight="1">
      <c r="A1200" s="5" t="s">
        <v>422</v>
      </c>
      <c r="B1200" s="5">
        <v>12.0</v>
      </c>
      <c r="C1200" s="5" t="s">
        <v>7666</v>
      </c>
      <c r="D1200" s="5">
        <v>1189.0</v>
      </c>
      <c r="E1200" s="5">
        <v>11007.0</v>
      </c>
      <c r="F1200" s="18" t="s">
        <v>4323</v>
      </c>
      <c r="G1200" s="5" t="s">
        <v>4324</v>
      </c>
      <c r="H1200" s="5" t="s">
        <v>4325</v>
      </c>
      <c r="I1200" s="5" t="s">
        <v>49</v>
      </c>
      <c r="J1200" s="5" t="s">
        <v>1746</v>
      </c>
      <c r="K1200" s="5">
        <v>1.0</v>
      </c>
      <c r="L1200" s="5">
        <v>13175.0</v>
      </c>
      <c r="M1200" s="8"/>
      <c r="AK1200" s="9"/>
      <c r="AO1200" s="67" t="s">
        <v>4323</v>
      </c>
      <c r="AP1200" s="5">
        <v>1189.0</v>
      </c>
      <c r="AQ1200" s="5" t="s">
        <v>1716</v>
      </c>
      <c r="AR1200" s="5" t="s">
        <v>1717</v>
      </c>
      <c r="AS1200" s="5" t="s">
        <v>1718</v>
      </c>
      <c r="AT1200" s="5" t="s">
        <v>1835</v>
      </c>
      <c r="AU1200" s="5" t="s">
        <v>1836</v>
      </c>
      <c r="AV1200" s="5" t="s">
        <v>1720</v>
      </c>
      <c r="AW1200" s="5" t="s">
        <v>2193</v>
      </c>
      <c r="AX1200" s="5" t="s">
        <v>2139</v>
      </c>
      <c r="AY1200" s="5">
        <v>53.2936</v>
      </c>
      <c r="AZ1200" s="5">
        <v>-124.9092</v>
      </c>
      <c r="BA1200" s="5">
        <v>1171.0</v>
      </c>
    </row>
    <row r="1201" ht="14.25" customHeight="1">
      <c r="A1201" s="5" t="s">
        <v>422</v>
      </c>
      <c r="B1201" s="5">
        <v>12.0</v>
      </c>
      <c r="C1201" s="5" t="s">
        <v>7666</v>
      </c>
      <c r="D1201" s="5">
        <v>1190.0</v>
      </c>
      <c r="E1201" s="5">
        <v>11008.0</v>
      </c>
      <c r="F1201" s="18" t="s">
        <v>4326</v>
      </c>
      <c r="G1201" s="5" t="s">
        <v>4327</v>
      </c>
      <c r="H1201" s="5" t="s">
        <v>4328</v>
      </c>
      <c r="I1201" s="5" t="s">
        <v>49</v>
      </c>
      <c r="J1201" s="5" t="s">
        <v>1746</v>
      </c>
      <c r="K1201" s="5">
        <v>1.0</v>
      </c>
      <c r="L1201" s="5">
        <v>13176.0</v>
      </c>
      <c r="M1201" s="8"/>
      <c r="AK1201" s="9"/>
      <c r="AO1201" s="67" t="s">
        <v>4326</v>
      </c>
      <c r="AP1201" s="5">
        <v>1190.0</v>
      </c>
      <c r="AQ1201" s="5" t="s">
        <v>1716</v>
      </c>
      <c r="AR1201" s="5" t="s">
        <v>1717</v>
      </c>
      <c r="AS1201" s="5" t="s">
        <v>1718</v>
      </c>
      <c r="AT1201" s="5" t="s">
        <v>1835</v>
      </c>
      <c r="AU1201" s="5" t="s">
        <v>1836</v>
      </c>
      <c r="AW1201" s="5" t="s">
        <v>2003</v>
      </c>
      <c r="AX1201" s="5" t="s">
        <v>2087</v>
      </c>
      <c r="AY1201" s="5">
        <v>56.2563</v>
      </c>
      <c r="AZ1201" s="5">
        <v>-125.0624</v>
      </c>
      <c r="BA1201" s="5">
        <v>1707.0</v>
      </c>
    </row>
    <row r="1202" ht="14.25" customHeight="1">
      <c r="A1202" s="5" t="s">
        <v>422</v>
      </c>
      <c r="B1202" s="5">
        <v>12.0</v>
      </c>
      <c r="C1202" s="5" t="s">
        <v>7666</v>
      </c>
      <c r="D1202" s="5">
        <v>1191.0</v>
      </c>
      <c r="E1202" s="5">
        <v>11011.0</v>
      </c>
      <c r="F1202" s="18" t="s">
        <v>4329</v>
      </c>
      <c r="G1202" s="5" t="s">
        <v>4330</v>
      </c>
      <c r="H1202" s="5" t="s">
        <v>4331</v>
      </c>
      <c r="I1202" s="5" t="s">
        <v>49</v>
      </c>
      <c r="J1202" s="5" t="s">
        <v>1746</v>
      </c>
      <c r="K1202" s="5">
        <v>1.0</v>
      </c>
      <c r="L1202" s="5">
        <v>13179.0</v>
      </c>
      <c r="M1202" s="8"/>
      <c r="AK1202" s="9"/>
      <c r="AO1202" s="67" t="s">
        <v>4329</v>
      </c>
      <c r="AP1202" s="5">
        <v>1191.0</v>
      </c>
      <c r="AQ1202" s="5" t="s">
        <v>1716</v>
      </c>
      <c r="AR1202" s="5" t="s">
        <v>1717</v>
      </c>
      <c r="AS1202" s="5" t="s">
        <v>1718</v>
      </c>
      <c r="AT1202" s="5" t="s">
        <v>1835</v>
      </c>
      <c r="AU1202" s="5" t="s">
        <v>1836</v>
      </c>
      <c r="AV1202" s="5" t="s">
        <v>1720</v>
      </c>
      <c r="AW1202" s="5" t="s">
        <v>2698</v>
      </c>
      <c r="AX1202" s="5" t="s">
        <v>2768</v>
      </c>
      <c r="AY1202" s="5">
        <v>50.2339</v>
      </c>
      <c r="AZ1202" s="5">
        <v>-115.4353</v>
      </c>
      <c r="BA1202" s="5">
        <v>1596.0</v>
      </c>
    </row>
    <row r="1203" ht="14.25" customHeight="1">
      <c r="A1203" s="5" t="s">
        <v>422</v>
      </c>
      <c r="B1203" s="5">
        <v>12.0</v>
      </c>
      <c r="C1203" s="5" t="s">
        <v>7666</v>
      </c>
      <c r="D1203" s="5">
        <v>1192.0</v>
      </c>
      <c r="E1203" s="5">
        <v>11013.0</v>
      </c>
      <c r="F1203" s="18" t="s">
        <v>4332</v>
      </c>
      <c r="G1203" s="5" t="s">
        <v>4333</v>
      </c>
      <c r="H1203" s="5" t="s">
        <v>4334</v>
      </c>
      <c r="I1203" s="5" t="s">
        <v>49</v>
      </c>
      <c r="J1203" s="5" t="s">
        <v>1746</v>
      </c>
      <c r="K1203" s="5">
        <v>1.0</v>
      </c>
      <c r="L1203" s="5">
        <v>13181.0</v>
      </c>
      <c r="M1203" s="8"/>
      <c r="AK1203" s="9"/>
      <c r="AO1203" s="67" t="s">
        <v>4332</v>
      </c>
      <c r="AP1203" s="5">
        <v>1192.0</v>
      </c>
      <c r="AQ1203" s="5" t="s">
        <v>1716</v>
      </c>
      <c r="AR1203" s="5" t="s">
        <v>1717</v>
      </c>
      <c r="AS1203" s="5" t="s">
        <v>1718</v>
      </c>
      <c r="AT1203" s="5" t="s">
        <v>1835</v>
      </c>
      <c r="AU1203" s="5" t="s">
        <v>1836</v>
      </c>
      <c r="AW1203" s="5" t="s">
        <v>2698</v>
      </c>
      <c r="AX1203" s="5" t="s">
        <v>2797</v>
      </c>
      <c r="AY1203" s="5">
        <v>49.4867</v>
      </c>
      <c r="AZ1203" s="5">
        <v>-117.5465</v>
      </c>
      <c r="BA1203" s="5">
        <v>1550.0</v>
      </c>
    </row>
    <row r="1204" ht="14.25" customHeight="1">
      <c r="A1204" s="5" t="s">
        <v>422</v>
      </c>
      <c r="B1204" s="5">
        <v>12.0</v>
      </c>
      <c r="C1204" s="5" t="s">
        <v>7666</v>
      </c>
      <c r="D1204" s="5">
        <v>1193.0</v>
      </c>
      <c r="E1204" s="5">
        <v>11014.0</v>
      </c>
      <c r="F1204" s="18" t="s">
        <v>4335</v>
      </c>
      <c r="G1204" s="5" t="s">
        <v>4336</v>
      </c>
      <c r="H1204" s="5" t="s">
        <v>4337</v>
      </c>
      <c r="I1204" s="5" t="s">
        <v>49</v>
      </c>
      <c r="J1204" s="5" t="s">
        <v>1746</v>
      </c>
      <c r="K1204" s="5">
        <v>1.0</v>
      </c>
      <c r="L1204" s="5">
        <v>13182.0</v>
      </c>
      <c r="M1204" s="8"/>
      <c r="AK1204" s="9"/>
      <c r="AO1204" s="67" t="s">
        <v>4335</v>
      </c>
      <c r="AP1204" s="5">
        <v>1193.0</v>
      </c>
      <c r="AQ1204" s="5" t="s">
        <v>1716</v>
      </c>
      <c r="AR1204" s="5" t="s">
        <v>1717</v>
      </c>
      <c r="AS1204" s="5" t="s">
        <v>1718</v>
      </c>
      <c r="AT1204" s="5" t="s">
        <v>1835</v>
      </c>
      <c r="AU1204" s="5" t="s">
        <v>1836</v>
      </c>
      <c r="AV1204" s="5" t="s">
        <v>1720</v>
      </c>
      <c r="AW1204" s="5" t="s">
        <v>2193</v>
      </c>
      <c r="AX1204" s="5" t="s">
        <v>2194</v>
      </c>
      <c r="AY1204" s="5">
        <v>52.905</v>
      </c>
      <c r="AZ1204" s="5">
        <v>-124.1899</v>
      </c>
      <c r="BA1204" s="5">
        <v>1215.0</v>
      </c>
    </row>
    <row r="1205" ht="14.25" customHeight="1">
      <c r="A1205" s="10" t="s">
        <v>4338</v>
      </c>
      <c r="B1205" s="5">
        <v>12.0</v>
      </c>
      <c r="C1205" s="10" t="s">
        <v>7674</v>
      </c>
      <c r="D1205" s="5">
        <v>1199.0</v>
      </c>
      <c r="E1205" s="5">
        <v>11017.0</v>
      </c>
      <c r="F1205" s="5" t="s">
        <v>4340</v>
      </c>
      <c r="G1205" s="10" t="s">
        <v>4341</v>
      </c>
      <c r="H1205" s="10" t="s">
        <v>4342</v>
      </c>
      <c r="I1205" s="5" t="s">
        <v>49</v>
      </c>
      <c r="J1205" s="5" t="s">
        <v>1746</v>
      </c>
      <c r="K1205" s="5">
        <v>1.0</v>
      </c>
      <c r="L1205" s="5">
        <v>13185.0</v>
      </c>
      <c r="M1205" s="8">
        <v>52.279579</v>
      </c>
      <c r="N1205" s="5">
        <v>-126.890543</v>
      </c>
      <c r="O1205" s="5" t="s">
        <v>51</v>
      </c>
      <c r="P1205" s="5" t="s">
        <v>4343</v>
      </c>
      <c r="Q1205" s="5">
        <v>6.0</v>
      </c>
      <c r="R1205" s="5" t="s">
        <v>4340</v>
      </c>
      <c r="S1205" s="5" t="s">
        <v>4344</v>
      </c>
      <c r="T1205" s="5">
        <v>1260.0</v>
      </c>
      <c r="V1205" s="5" t="s">
        <v>4345</v>
      </c>
      <c r="W1205" s="5" t="s">
        <v>4346</v>
      </c>
      <c r="X1205" s="5" t="s">
        <v>4347</v>
      </c>
      <c r="AK1205" s="9"/>
      <c r="AO1205" s="5" t="s">
        <v>4340</v>
      </c>
      <c r="AP1205" s="5">
        <v>1199.0</v>
      </c>
      <c r="AQ1205" s="5" t="s">
        <v>1716</v>
      </c>
      <c r="AR1205" s="5" t="s">
        <v>1701</v>
      </c>
      <c r="AS1205" s="5" t="s">
        <v>1740</v>
      </c>
      <c r="AT1205" s="5" t="s">
        <v>1835</v>
      </c>
      <c r="AU1205" s="5" t="s">
        <v>1742</v>
      </c>
      <c r="AV1205" s="5" t="s">
        <v>1720</v>
      </c>
      <c r="AW1205" s="5" t="s">
        <v>1705</v>
      </c>
      <c r="AX1205" s="5" t="s">
        <v>1965</v>
      </c>
      <c r="AY1205" s="5">
        <v>52.2799</v>
      </c>
      <c r="AZ1205" s="5">
        <v>-126.8902</v>
      </c>
      <c r="BA1205" s="5">
        <v>1275.0</v>
      </c>
    </row>
    <row r="1206" ht="14.25" customHeight="1">
      <c r="A1206" s="5" t="s">
        <v>422</v>
      </c>
      <c r="B1206" s="5">
        <v>12.0</v>
      </c>
      <c r="C1206" s="5" t="s">
        <v>7666</v>
      </c>
      <c r="D1206" s="5">
        <v>1201.0</v>
      </c>
      <c r="E1206" s="5">
        <v>11018.0</v>
      </c>
      <c r="F1206" s="18" t="s">
        <v>4348</v>
      </c>
      <c r="G1206" s="5" t="s">
        <v>4349</v>
      </c>
      <c r="H1206" s="5" t="s">
        <v>4350</v>
      </c>
      <c r="I1206" s="5" t="s">
        <v>49</v>
      </c>
      <c r="J1206" s="5" t="s">
        <v>1746</v>
      </c>
      <c r="K1206" s="5">
        <v>1.0</v>
      </c>
      <c r="L1206" s="5">
        <v>13186.0</v>
      </c>
      <c r="M1206" s="8"/>
      <c r="AK1206" s="9"/>
      <c r="AO1206" s="67" t="s">
        <v>4348</v>
      </c>
      <c r="AP1206" s="5">
        <v>1201.0</v>
      </c>
      <c r="AQ1206" s="5" t="s">
        <v>1716</v>
      </c>
      <c r="AR1206" s="5" t="s">
        <v>1717</v>
      </c>
      <c r="AS1206" s="5" t="s">
        <v>1718</v>
      </c>
      <c r="AT1206" s="5" t="s">
        <v>1835</v>
      </c>
      <c r="AU1206" s="5" t="s">
        <v>1836</v>
      </c>
      <c r="AV1206" s="5" t="s">
        <v>1720</v>
      </c>
      <c r="AW1206" s="5" t="s">
        <v>2698</v>
      </c>
      <c r="AX1206" s="5" t="s">
        <v>2801</v>
      </c>
      <c r="AY1206" s="5">
        <v>49.9761</v>
      </c>
      <c r="AZ1206" s="5">
        <v>-117.0108</v>
      </c>
      <c r="BA1206" s="5">
        <v>877.0</v>
      </c>
    </row>
    <row r="1207" ht="14.25" customHeight="1">
      <c r="B1207" s="5">
        <v>12.0</v>
      </c>
      <c r="C1207" s="5" t="s">
        <v>7666</v>
      </c>
      <c r="D1207" s="5">
        <v>1203.0</v>
      </c>
      <c r="E1207" s="5">
        <v>11019.0</v>
      </c>
      <c r="F1207" s="5" t="s">
        <v>4351</v>
      </c>
      <c r="G1207" s="5" t="s">
        <v>4352</v>
      </c>
      <c r="H1207" s="5" t="s">
        <v>4353</v>
      </c>
      <c r="I1207" s="5" t="s">
        <v>49</v>
      </c>
      <c r="J1207" s="5" t="s">
        <v>1829</v>
      </c>
      <c r="K1207" s="5">
        <v>1.0</v>
      </c>
      <c r="L1207" s="5">
        <v>13187.0</v>
      </c>
      <c r="M1207" s="8">
        <v>49.3576111</v>
      </c>
      <c r="N1207" s="5">
        <v>-116.95025</v>
      </c>
      <c r="O1207" s="5" t="s">
        <v>170</v>
      </c>
      <c r="P1207" s="5">
        <v>1203.0</v>
      </c>
      <c r="Q1207" s="5">
        <v>5.0</v>
      </c>
      <c r="R1207" s="5" t="s">
        <v>4351</v>
      </c>
      <c r="S1207" s="5" t="s">
        <v>1737</v>
      </c>
      <c r="T1207" s="5">
        <v>1657.0</v>
      </c>
      <c r="X1207" s="5" t="s">
        <v>1738</v>
      </c>
      <c r="AK1207" s="9"/>
      <c r="AO1207" s="5" t="s">
        <v>4351</v>
      </c>
      <c r="AP1207" s="5">
        <v>1203.0</v>
      </c>
      <c r="AQ1207" s="5" t="s">
        <v>1716</v>
      </c>
      <c r="AR1207" s="5" t="s">
        <v>1739</v>
      </c>
      <c r="AS1207" s="5" t="s">
        <v>1740</v>
      </c>
      <c r="AT1207" s="5" t="s">
        <v>1741</v>
      </c>
      <c r="AU1207" s="5" t="s">
        <v>1742</v>
      </c>
      <c r="AV1207" s="5" t="s">
        <v>1720</v>
      </c>
      <c r="AW1207" s="5" t="s">
        <v>2698</v>
      </c>
      <c r="AX1207" s="5" t="s">
        <v>2801</v>
      </c>
      <c r="AY1207" s="5">
        <v>49.3576</v>
      </c>
      <c r="AZ1207" s="5">
        <v>-116.9502</v>
      </c>
      <c r="BA1207" s="5">
        <v>1657.0</v>
      </c>
    </row>
    <row r="1208" ht="14.25" customHeight="1">
      <c r="A1208" s="5" t="s">
        <v>422</v>
      </c>
      <c r="B1208" s="5">
        <v>12.0</v>
      </c>
      <c r="C1208" s="5" t="s">
        <v>7666</v>
      </c>
      <c r="D1208" s="5">
        <v>1204.0</v>
      </c>
      <c r="E1208" s="5">
        <v>11033.0</v>
      </c>
      <c r="F1208" s="18" t="s">
        <v>4354</v>
      </c>
      <c r="G1208" s="5" t="s">
        <v>4355</v>
      </c>
      <c r="H1208" s="5" t="s">
        <v>4356</v>
      </c>
      <c r="I1208" s="5" t="s">
        <v>49</v>
      </c>
      <c r="J1208" s="5" t="s">
        <v>1746</v>
      </c>
      <c r="K1208" s="5">
        <v>1.0</v>
      </c>
      <c r="L1208" s="5">
        <v>13201.0</v>
      </c>
      <c r="M1208" s="8"/>
      <c r="AK1208" s="9"/>
      <c r="AO1208" s="5" t="s">
        <v>4354</v>
      </c>
      <c r="AP1208" s="5">
        <v>1204.0</v>
      </c>
      <c r="AQ1208" s="5" t="s">
        <v>1716</v>
      </c>
      <c r="AR1208" s="5" t="s">
        <v>1717</v>
      </c>
      <c r="AS1208" s="5" t="s">
        <v>1718</v>
      </c>
      <c r="AT1208" s="5" t="s">
        <v>1835</v>
      </c>
      <c r="AU1208" s="5" t="s">
        <v>1836</v>
      </c>
      <c r="AV1208" s="5" t="s">
        <v>1720</v>
      </c>
      <c r="AW1208" s="5" t="s">
        <v>1705</v>
      </c>
      <c r="AX1208" s="5" t="s">
        <v>1883</v>
      </c>
      <c r="AY1208" s="5">
        <v>49.1155</v>
      </c>
      <c r="AZ1208" s="5">
        <v>-122.7343</v>
      </c>
      <c r="BA1208" s="5">
        <v>15.0</v>
      </c>
    </row>
    <row r="1209" ht="14.25" customHeight="1">
      <c r="A1209" s="5" t="s">
        <v>422</v>
      </c>
      <c r="B1209" s="5">
        <v>12.0</v>
      </c>
      <c r="C1209" s="5" t="s">
        <v>7666</v>
      </c>
      <c r="D1209" s="5">
        <v>1206.0</v>
      </c>
      <c r="E1209" s="5">
        <v>11409.0</v>
      </c>
      <c r="F1209" s="18" t="s">
        <v>4357</v>
      </c>
      <c r="G1209" s="5" t="s">
        <v>4358</v>
      </c>
      <c r="H1209" s="5" t="s">
        <v>4359</v>
      </c>
      <c r="I1209" s="5" t="s">
        <v>49</v>
      </c>
      <c r="J1209" s="5" t="s">
        <v>1746</v>
      </c>
      <c r="K1209" s="5">
        <v>1.0</v>
      </c>
      <c r="L1209" s="5">
        <v>13470.0</v>
      </c>
      <c r="M1209" s="8"/>
      <c r="AK1209" s="9"/>
      <c r="AO1209" s="67" t="s">
        <v>4357</v>
      </c>
      <c r="AP1209" s="5">
        <v>1206.0</v>
      </c>
      <c r="AQ1209" s="5" t="s">
        <v>1716</v>
      </c>
      <c r="AR1209" s="5" t="s">
        <v>1717</v>
      </c>
      <c r="AS1209" s="5" t="s">
        <v>1718</v>
      </c>
      <c r="AT1209" s="5" t="s">
        <v>1835</v>
      </c>
      <c r="AU1209" s="5" t="s">
        <v>1836</v>
      </c>
      <c r="AV1209" s="5" t="s">
        <v>1720</v>
      </c>
      <c r="AX1209" s="5" t="s">
        <v>2801</v>
      </c>
      <c r="AY1209" s="5">
        <v>49.9846</v>
      </c>
      <c r="AZ1209" s="5">
        <v>-117.0256</v>
      </c>
      <c r="BA1209" s="5">
        <v>911.0</v>
      </c>
    </row>
    <row r="1210" ht="14.25" customHeight="1">
      <c r="A1210" s="5" t="s">
        <v>422</v>
      </c>
      <c r="B1210" s="5">
        <v>12.0</v>
      </c>
      <c r="C1210" s="5" t="s">
        <v>7666</v>
      </c>
      <c r="D1210" s="5">
        <v>1207.0</v>
      </c>
      <c r="E1210" s="5">
        <v>11410.0</v>
      </c>
      <c r="F1210" s="18" t="s">
        <v>4360</v>
      </c>
      <c r="G1210" s="5" t="s">
        <v>4361</v>
      </c>
      <c r="H1210" s="5" t="s">
        <v>4362</v>
      </c>
      <c r="I1210" s="5" t="s">
        <v>49</v>
      </c>
      <c r="J1210" s="5" t="s">
        <v>1746</v>
      </c>
      <c r="K1210" s="5">
        <v>1.0</v>
      </c>
      <c r="L1210" s="5">
        <v>13471.0</v>
      </c>
      <c r="M1210" s="8"/>
      <c r="AK1210" s="9"/>
      <c r="AO1210" s="67" t="s">
        <v>4360</v>
      </c>
      <c r="AP1210" s="5">
        <v>1207.0</v>
      </c>
      <c r="AQ1210" s="5" t="s">
        <v>1716</v>
      </c>
      <c r="AR1210" s="5" t="s">
        <v>1717</v>
      </c>
      <c r="AS1210" s="5" t="s">
        <v>1718</v>
      </c>
      <c r="AT1210" s="5" t="s">
        <v>1835</v>
      </c>
      <c r="AU1210" s="5" t="s">
        <v>1836</v>
      </c>
      <c r="AV1210" s="5" t="s">
        <v>1720</v>
      </c>
      <c r="AW1210" s="5" t="s">
        <v>1947</v>
      </c>
      <c r="AX1210" s="5" t="s">
        <v>2148</v>
      </c>
      <c r="AY1210" s="5">
        <v>53.7752</v>
      </c>
      <c r="AZ1210" s="5">
        <v>-125.4413</v>
      </c>
      <c r="BA1210" s="5">
        <v>903.0</v>
      </c>
    </row>
    <row r="1211" ht="14.25" customHeight="1">
      <c r="A1211" s="5" t="s">
        <v>422</v>
      </c>
      <c r="B1211" s="5">
        <v>12.0</v>
      </c>
      <c r="C1211" s="5" t="s">
        <v>7666</v>
      </c>
      <c r="D1211" s="5">
        <v>1208.0</v>
      </c>
      <c r="E1211" s="5">
        <v>11411.0</v>
      </c>
      <c r="F1211" s="18" t="s">
        <v>4363</v>
      </c>
      <c r="G1211" s="5" t="s">
        <v>4364</v>
      </c>
      <c r="H1211" s="5" t="s">
        <v>4365</v>
      </c>
      <c r="I1211" s="5" t="s">
        <v>49</v>
      </c>
      <c r="J1211" s="5" t="s">
        <v>1746</v>
      </c>
      <c r="K1211" s="5">
        <v>1.0</v>
      </c>
      <c r="L1211" s="5">
        <v>13472.0</v>
      </c>
      <c r="M1211" s="8"/>
      <c r="AK1211" s="9"/>
      <c r="AO1211" s="67" t="s">
        <v>4363</v>
      </c>
      <c r="AP1211" s="5">
        <v>1208.0</v>
      </c>
      <c r="AQ1211" s="5" t="s">
        <v>1716</v>
      </c>
      <c r="AR1211" s="5" t="s">
        <v>1717</v>
      </c>
      <c r="AS1211" s="5" t="s">
        <v>1718</v>
      </c>
      <c r="AT1211" s="5" t="s">
        <v>1835</v>
      </c>
      <c r="AU1211" s="5" t="s">
        <v>1836</v>
      </c>
      <c r="AV1211" s="5" t="s">
        <v>1720</v>
      </c>
      <c r="AW1211" s="5" t="s">
        <v>2003</v>
      </c>
      <c r="AX1211" s="5" t="s">
        <v>2004</v>
      </c>
      <c r="AY1211" s="5">
        <v>58.0443</v>
      </c>
      <c r="AZ1211" s="5">
        <v>-121.6543</v>
      </c>
      <c r="BA1211" s="5">
        <v>853.0</v>
      </c>
    </row>
    <row r="1212" ht="14.25" customHeight="1">
      <c r="A1212" s="5" t="s">
        <v>422</v>
      </c>
      <c r="B1212" s="5">
        <v>12.0</v>
      </c>
      <c r="C1212" s="5" t="s">
        <v>7666</v>
      </c>
      <c r="D1212" s="5">
        <v>1212.0</v>
      </c>
      <c r="E1212" s="5">
        <v>11412.0</v>
      </c>
      <c r="F1212" s="18" t="s">
        <v>4366</v>
      </c>
      <c r="G1212" s="5" t="s">
        <v>4367</v>
      </c>
      <c r="H1212" s="5" t="s">
        <v>4368</v>
      </c>
      <c r="I1212" s="5" t="s">
        <v>49</v>
      </c>
      <c r="J1212" s="5" t="s">
        <v>1746</v>
      </c>
      <c r="K1212" s="5">
        <v>1.0</v>
      </c>
      <c r="L1212" s="5">
        <v>13473.0</v>
      </c>
      <c r="M1212" s="8"/>
      <c r="AK1212" s="9"/>
      <c r="AO1212" s="5" t="s">
        <v>4366</v>
      </c>
      <c r="AP1212" s="5">
        <v>1212.0</v>
      </c>
      <c r="AQ1212" s="5" t="s">
        <v>1716</v>
      </c>
      <c r="AR1212" s="5" t="s">
        <v>1717</v>
      </c>
      <c r="AS1212" s="5" t="s">
        <v>1718</v>
      </c>
      <c r="AT1212" s="5" t="s">
        <v>1841</v>
      </c>
      <c r="AU1212" s="5" t="s">
        <v>1959</v>
      </c>
      <c r="AV1212" s="5" t="s">
        <v>1720</v>
      </c>
      <c r="AW1212" s="5" t="s">
        <v>2368</v>
      </c>
      <c r="AX1212" s="5" t="s">
        <v>2516</v>
      </c>
      <c r="AY1212" s="5">
        <v>49.6378</v>
      </c>
      <c r="AZ1212" s="5">
        <v>-120.0233</v>
      </c>
      <c r="BA1212" s="5">
        <v>1491.0</v>
      </c>
    </row>
    <row r="1213" ht="14.25" customHeight="1">
      <c r="A1213" s="5" t="s">
        <v>422</v>
      </c>
      <c r="B1213" s="5">
        <v>12.0</v>
      </c>
      <c r="C1213" s="5" t="s">
        <v>7666</v>
      </c>
      <c r="D1213" s="5">
        <v>1213.0</v>
      </c>
      <c r="E1213" s="5">
        <v>11414.0</v>
      </c>
      <c r="F1213" s="18" t="s">
        <v>4369</v>
      </c>
      <c r="G1213" s="5" t="s">
        <v>4370</v>
      </c>
      <c r="H1213" s="5" t="s">
        <v>4371</v>
      </c>
      <c r="I1213" s="5" t="s">
        <v>49</v>
      </c>
      <c r="J1213" s="5" t="s">
        <v>1746</v>
      </c>
      <c r="K1213" s="5">
        <v>1.0</v>
      </c>
      <c r="L1213" s="5">
        <v>13475.0</v>
      </c>
      <c r="M1213" s="8"/>
      <c r="AK1213" s="9"/>
      <c r="AO1213" s="5" t="s">
        <v>4369</v>
      </c>
      <c r="AP1213" s="5">
        <v>1213.0</v>
      </c>
      <c r="AQ1213" s="5" t="s">
        <v>1716</v>
      </c>
      <c r="AR1213" s="5" t="s">
        <v>1717</v>
      </c>
      <c r="AS1213" s="5" t="s">
        <v>1718</v>
      </c>
      <c r="AT1213" s="5" t="s">
        <v>1841</v>
      </c>
      <c r="AU1213" s="5" t="s">
        <v>1959</v>
      </c>
      <c r="AW1213" s="5" t="s">
        <v>2368</v>
      </c>
      <c r="AX1213" s="5" t="s">
        <v>2707</v>
      </c>
      <c r="AY1213" s="5">
        <v>50.6344</v>
      </c>
      <c r="AZ1213" s="5">
        <v>-118.7794</v>
      </c>
      <c r="BA1213" s="5">
        <v>912.0</v>
      </c>
    </row>
    <row r="1214" ht="14.25" customHeight="1">
      <c r="A1214" s="5" t="s">
        <v>422</v>
      </c>
      <c r="B1214" s="5">
        <v>12.0</v>
      </c>
      <c r="C1214" s="5" t="s">
        <v>7666</v>
      </c>
      <c r="D1214" s="5">
        <v>1214.0</v>
      </c>
      <c r="E1214" s="5">
        <v>11413.0</v>
      </c>
      <c r="F1214" s="18" t="s">
        <v>4372</v>
      </c>
      <c r="G1214" s="5" t="s">
        <v>4373</v>
      </c>
      <c r="H1214" s="5" t="s">
        <v>4374</v>
      </c>
      <c r="I1214" s="5" t="s">
        <v>49</v>
      </c>
      <c r="J1214" s="5" t="s">
        <v>1746</v>
      </c>
      <c r="K1214" s="5">
        <v>1.0</v>
      </c>
      <c r="L1214" s="5">
        <v>13474.0</v>
      </c>
      <c r="M1214" s="8"/>
      <c r="AK1214" s="9"/>
      <c r="AO1214" s="5" t="s">
        <v>4372</v>
      </c>
      <c r="AP1214" s="5">
        <v>1214.0</v>
      </c>
      <c r="AQ1214" s="5" t="s">
        <v>1716</v>
      </c>
      <c r="AR1214" s="5" t="s">
        <v>1717</v>
      </c>
      <c r="AS1214" s="5" t="s">
        <v>1718</v>
      </c>
      <c r="AT1214" s="5" t="s">
        <v>1841</v>
      </c>
      <c r="AU1214" s="5" t="s">
        <v>1959</v>
      </c>
      <c r="AW1214" s="5" t="s">
        <v>2368</v>
      </c>
      <c r="AX1214" s="5" t="s">
        <v>2522</v>
      </c>
      <c r="AY1214" s="5">
        <v>50.4088</v>
      </c>
      <c r="AZ1214" s="5">
        <v>-118.4453</v>
      </c>
      <c r="BA1214" s="5">
        <v>1223.0</v>
      </c>
    </row>
    <row r="1215" ht="14.25" customHeight="1">
      <c r="B1215" s="5">
        <v>12.0</v>
      </c>
      <c r="C1215" s="5" t="s">
        <v>7666</v>
      </c>
      <c r="D1215" s="5">
        <v>1215.0</v>
      </c>
      <c r="E1215" s="5">
        <v>11416.0</v>
      </c>
      <c r="F1215" s="18" t="s">
        <v>4375</v>
      </c>
      <c r="G1215" s="5" t="s">
        <v>4376</v>
      </c>
      <c r="H1215" s="5" t="s">
        <v>4377</v>
      </c>
      <c r="I1215" s="5" t="s">
        <v>49</v>
      </c>
      <c r="J1215" s="5" t="s">
        <v>1746</v>
      </c>
      <c r="K1215" s="5">
        <v>1.0</v>
      </c>
      <c r="L1215" s="5">
        <v>13477.0</v>
      </c>
      <c r="M1215" s="8"/>
      <c r="AK1215" s="9"/>
      <c r="AO1215" s="5" t="s">
        <v>4375</v>
      </c>
      <c r="AP1215" s="5">
        <v>1215.0</v>
      </c>
      <c r="AQ1215" s="5" t="s">
        <v>1716</v>
      </c>
      <c r="AR1215" s="5" t="s">
        <v>1717</v>
      </c>
      <c r="AS1215" s="5" t="s">
        <v>1718</v>
      </c>
      <c r="AT1215" s="5" t="s">
        <v>1841</v>
      </c>
      <c r="AU1215" s="5" t="s">
        <v>1959</v>
      </c>
      <c r="AW1215" s="5" t="s">
        <v>2368</v>
      </c>
      <c r="AX1215" s="5" t="s">
        <v>2516</v>
      </c>
      <c r="AY1215" s="5">
        <v>49.9853</v>
      </c>
      <c r="AZ1215" s="5">
        <v>-119.2294</v>
      </c>
      <c r="BA1215" s="5">
        <v>1395.0</v>
      </c>
    </row>
    <row r="1216" ht="14.25" customHeight="1">
      <c r="A1216" s="5" t="s">
        <v>422</v>
      </c>
      <c r="B1216" s="5">
        <v>12.0</v>
      </c>
      <c r="C1216" s="5" t="s">
        <v>7666</v>
      </c>
      <c r="D1216" s="5">
        <v>1216.0</v>
      </c>
      <c r="E1216" s="5">
        <v>11415.0</v>
      </c>
      <c r="F1216" s="18" t="s">
        <v>4378</v>
      </c>
      <c r="G1216" s="5" t="s">
        <v>4379</v>
      </c>
      <c r="H1216" s="5" t="s">
        <v>4380</v>
      </c>
      <c r="I1216" s="5" t="s">
        <v>49</v>
      </c>
      <c r="J1216" s="5" t="s">
        <v>1746</v>
      </c>
      <c r="K1216" s="5">
        <v>1.0</v>
      </c>
      <c r="L1216" s="5">
        <v>13476.0</v>
      </c>
      <c r="M1216" s="8"/>
      <c r="AK1216" s="9"/>
      <c r="AO1216" s="5" t="s">
        <v>4378</v>
      </c>
      <c r="AP1216" s="5">
        <v>1216.0</v>
      </c>
      <c r="AQ1216" s="5" t="s">
        <v>1716</v>
      </c>
      <c r="AR1216" s="5" t="s">
        <v>1717</v>
      </c>
      <c r="AS1216" s="5" t="s">
        <v>1718</v>
      </c>
      <c r="AT1216" s="5" t="s">
        <v>1841</v>
      </c>
      <c r="AU1216" s="5" t="s">
        <v>1959</v>
      </c>
      <c r="AW1216" s="5" t="s">
        <v>2368</v>
      </c>
      <c r="AX1216" s="5" t="s">
        <v>2516</v>
      </c>
      <c r="AY1216" s="5">
        <v>50.0706</v>
      </c>
      <c r="AZ1216" s="5">
        <v>-119.6911</v>
      </c>
      <c r="BA1216" s="5">
        <v>1429.0</v>
      </c>
    </row>
    <row r="1217" ht="14.25" customHeight="1">
      <c r="A1217" s="5" t="s">
        <v>422</v>
      </c>
      <c r="B1217" s="5">
        <v>12.0</v>
      </c>
      <c r="C1217" s="5" t="s">
        <v>7666</v>
      </c>
      <c r="D1217" s="5">
        <v>1217.0</v>
      </c>
      <c r="E1217" s="5">
        <v>11417.0</v>
      </c>
      <c r="F1217" s="18" t="s">
        <v>4381</v>
      </c>
      <c r="G1217" s="5" t="s">
        <v>4382</v>
      </c>
      <c r="H1217" s="5" t="s">
        <v>4383</v>
      </c>
      <c r="I1217" s="5" t="s">
        <v>49</v>
      </c>
      <c r="J1217" s="5" t="s">
        <v>1746</v>
      </c>
      <c r="K1217" s="5">
        <v>1.0</v>
      </c>
      <c r="L1217" s="5">
        <v>13478.0</v>
      </c>
      <c r="M1217" s="8"/>
      <c r="AK1217" s="9"/>
      <c r="AO1217" s="67" t="s">
        <v>4381</v>
      </c>
      <c r="AP1217" s="5">
        <v>1217.0</v>
      </c>
      <c r="AQ1217" s="5" t="s">
        <v>1716</v>
      </c>
      <c r="AR1217" s="5" t="s">
        <v>1717</v>
      </c>
      <c r="AS1217" s="5" t="s">
        <v>1718</v>
      </c>
      <c r="AT1217" s="5" t="s">
        <v>1835</v>
      </c>
      <c r="AU1217" s="5" t="s">
        <v>1836</v>
      </c>
      <c r="AV1217" s="5" t="s">
        <v>1720</v>
      </c>
      <c r="AW1217" s="5" t="s">
        <v>1705</v>
      </c>
      <c r="AX1217" s="5" t="s">
        <v>1879</v>
      </c>
      <c r="AY1217" s="5">
        <v>50.1184</v>
      </c>
      <c r="AZ1217" s="5">
        <v>-123.4429</v>
      </c>
      <c r="BA1217" s="5">
        <v>317.0</v>
      </c>
    </row>
    <row r="1218" ht="14.25" customHeight="1">
      <c r="A1218" s="5" t="s">
        <v>88</v>
      </c>
      <c r="B1218" s="5">
        <v>12.0</v>
      </c>
      <c r="C1218" s="5" t="s">
        <v>7666</v>
      </c>
      <c r="D1218" s="5">
        <v>1218.0</v>
      </c>
      <c r="E1218" s="5">
        <v>11419.0</v>
      </c>
      <c r="F1218" s="5" t="s">
        <v>4384</v>
      </c>
      <c r="G1218" s="10" t="s">
        <v>4385</v>
      </c>
      <c r="H1218" s="5" t="s">
        <v>4386</v>
      </c>
      <c r="I1218" s="5" t="s">
        <v>49</v>
      </c>
      <c r="J1218" s="5" t="s">
        <v>1829</v>
      </c>
      <c r="K1218" s="5">
        <v>1.0</v>
      </c>
      <c r="L1218" s="5">
        <v>13480.0</v>
      </c>
      <c r="M1218" s="8">
        <v>49.81806</v>
      </c>
      <c r="N1218" s="5">
        <v>-124.44944</v>
      </c>
      <c r="O1218" s="5" t="s">
        <v>183</v>
      </c>
      <c r="P1218" s="5">
        <v>1218.0</v>
      </c>
      <c r="Q1218" s="5">
        <v>3.0</v>
      </c>
      <c r="R1218" s="5" t="s">
        <v>4384</v>
      </c>
      <c r="S1218" s="5" t="s">
        <v>1737</v>
      </c>
      <c r="T1218" s="5">
        <v>100.0</v>
      </c>
      <c r="W1218" s="5">
        <v>42178.0</v>
      </c>
      <c r="X1218" s="5" t="s">
        <v>1738</v>
      </c>
      <c r="AK1218" s="9"/>
      <c r="AO1218" s="5" t="s">
        <v>4384</v>
      </c>
      <c r="AP1218" s="5">
        <v>1218.0</v>
      </c>
      <c r="AQ1218" s="5" t="s">
        <v>1716</v>
      </c>
      <c r="AR1218" s="5" t="s">
        <v>1739</v>
      </c>
      <c r="AS1218" s="5" t="s">
        <v>1740</v>
      </c>
      <c r="AT1218" s="5" t="s">
        <v>1741</v>
      </c>
      <c r="AU1218" s="5" t="s">
        <v>1742</v>
      </c>
      <c r="AV1218" s="5" t="s">
        <v>1720</v>
      </c>
      <c r="AW1218" s="5" t="s">
        <v>1705</v>
      </c>
      <c r="AX1218" s="5" t="s">
        <v>1837</v>
      </c>
      <c r="AY1218" s="5">
        <v>49.818</v>
      </c>
      <c r="AZ1218" s="5">
        <v>-124.4499</v>
      </c>
      <c r="BA1218" s="5">
        <v>160.0</v>
      </c>
    </row>
    <row r="1219" ht="14.25" customHeight="1">
      <c r="A1219" s="5" t="s">
        <v>422</v>
      </c>
      <c r="B1219" s="5">
        <v>12.0</v>
      </c>
      <c r="C1219" s="5" t="s">
        <v>7666</v>
      </c>
      <c r="D1219" s="5">
        <v>1219.0</v>
      </c>
      <c r="E1219" s="5">
        <v>11418.0</v>
      </c>
      <c r="F1219" s="18" t="s">
        <v>4387</v>
      </c>
      <c r="G1219" s="5" t="s">
        <v>4388</v>
      </c>
      <c r="H1219" s="5" t="s">
        <v>4389</v>
      </c>
      <c r="I1219" s="5" t="s">
        <v>49</v>
      </c>
      <c r="J1219" s="5" t="s">
        <v>1746</v>
      </c>
      <c r="K1219" s="5">
        <v>1.0</v>
      </c>
      <c r="L1219" s="5">
        <v>13479.0</v>
      </c>
      <c r="M1219" s="8"/>
      <c r="AK1219" s="9"/>
      <c r="AO1219" s="67" t="s">
        <v>4387</v>
      </c>
      <c r="AP1219" s="5">
        <v>1219.0</v>
      </c>
      <c r="AQ1219" s="5" t="s">
        <v>1716</v>
      </c>
      <c r="AR1219" s="5" t="s">
        <v>1717</v>
      </c>
      <c r="AS1219" s="5" t="s">
        <v>1718</v>
      </c>
      <c r="AT1219" s="5" t="s">
        <v>1835</v>
      </c>
      <c r="AU1219" s="5" t="s">
        <v>1836</v>
      </c>
      <c r="AV1219" s="5" t="s">
        <v>1720</v>
      </c>
      <c r="AW1219" s="5" t="s">
        <v>1947</v>
      </c>
      <c r="AX1219" s="5" t="s">
        <v>1986</v>
      </c>
      <c r="AY1219" s="5">
        <v>58.7095</v>
      </c>
      <c r="AZ1219" s="5">
        <v>-132.9635</v>
      </c>
      <c r="BA1219" s="5">
        <v>627.0</v>
      </c>
    </row>
    <row r="1220" ht="14.25" customHeight="1">
      <c r="A1220" s="5" t="s">
        <v>422</v>
      </c>
      <c r="B1220" s="5">
        <v>12.0</v>
      </c>
      <c r="C1220" s="5" t="s">
        <v>7666</v>
      </c>
      <c r="D1220" s="5">
        <v>1220.0</v>
      </c>
      <c r="E1220" s="5">
        <v>11420.0</v>
      </c>
      <c r="F1220" s="18" t="s">
        <v>4390</v>
      </c>
      <c r="G1220" s="5" t="s">
        <v>4391</v>
      </c>
      <c r="H1220" s="5" t="s">
        <v>4392</v>
      </c>
      <c r="I1220" s="5" t="s">
        <v>49</v>
      </c>
      <c r="J1220" s="5" t="s">
        <v>1746</v>
      </c>
      <c r="K1220" s="5">
        <v>1.0</v>
      </c>
      <c r="L1220" s="5">
        <v>13481.0</v>
      </c>
      <c r="M1220" s="8"/>
      <c r="AK1220" s="9"/>
      <c r="AO1220" s="67" t="s">
        <v>4390</v>
      </c>
      <c r="AP1220" s="5">
        <v>1220.0</v>
      </c>
      <c r="AQ1220" s="5" t="s">
        <v>1716</v>
      </c>
      <c r="AR1220" s="5" t="s">
        <v>1717</v>
      </c>
      <c r="AS1220" s="5" t="s">
        <v>1718</v>
      </c>
      <c r="AT1220" s="5" t="s">
        <v>1835</v>
      </c>
      <c r="AU1220" s="5" t="s">
        <v>1836</v>
      </c>
      <c r="AV1220" s="5" t="s">
        <v>1720</v>
      </c>
      <c r="AW1220" s="5" t="s">
        <v>2698</v>
      </c>
      <c r="AX1220" s="5" t="s">
        <v>2801</v>
      </c>
      <c r="AY1220" s="5">
        <v>49.5825</v>
      </c>
      <c r="AZ1220" s="5">
        <v>-117.2529</v>
      </c>
      <c r="BA1220" s="5">
        <v>1204.0</v>
      </c>
    </row>
    <row r="1221" ht="14.25" customHeight="1">
      <c r="B1221" s="5">
        <v>12.0</v>
      </c>
      <c r="C1221" s="5" t="s">
        <v>7666</v>
      </c>
      <c r="D1221" s="5">
        <v>1221.0</v>
      </c>
      <c r="E1221" s="5">
        <v>11421.0</v>
      </c>
      <c r="F1221" s="5" t="s">
        <v>4393</v>
      </c>
      <c r="G1221" s="5" t="s">
        <v>4394</v>
      </c>
      <c r="H1221" s="5" t="s">
        <v>4395</v>
      </c>
      <c r="I1221" s="5" t="s">
        <v>49</v>
      </c>
      <c r="J1221" s="5" t="s">
        <v>1829</v>
      </c>
      <c r="K1221" s="5">
        <v>1.0</v>
      </c>
      <c r="L1221" s="5">
        <v>13482.0</v>
      </c>
      <c r="M1221" s="8"/>
      <c r="AK1221" s="9"/>
      <c r="AO1221" s="5" t="s">
        <v>4393</v>
      </c>
      <c r="AP1221" s="5">
        <v>1221.0</v>
      </c>
      <c r="AQ1221" s="5" t="s">
        <v>1716</v>
      </c>
      <c r="AR1221" s="5" t="s">
        <v>1739</v>
      </c>
      <c r="AS1221" s="5" t="s">
        <v>1740</v>
      </c>
      <c r="AT1221" s="5" t="s">
        <v>1741</v>
      </c>
      <c r="AU1221" s="5" t="s">
        <v>1742</v>
      </c>
      <c r="AV1221" s="5" t="s">
        <v>1720</v>
      </c>
      <c r="AW1221" s="5" t="s">
        <v>1705</v>
      </c>
      <c r="AX1221" s="5" t="s">
        <v>1879</v>
      </c>
      <c r="AY1221" s="5">
        <v>50.0708</v>
      </c>
      <c r="AZ1221" s="5">
        <v>-123.2771</v>
      </c>
      <c r="BA1221" s="5">
        <v>1592.0</v>
      </c>
    </row>
    <row r="1222" ht="14.25" customHeight="1">
      <c r="A1222" s="5" t="s">
        <v>422</v>
      </c>
      <c r="B1222" s="5">
        <v>12.0</v>
      </c>
      <c r="C1222" s="5" t="s">
        <v>7666</v>
      </c>
      <c r="D1222" s="5">
        <v>1224.0</v>
      </c>
      <c r="E1222" s="5">
        <v>11422.0</v>
      </c>
      <c r="F1222" s="18" t="s">
        <v>4396</v>
      </c>
      <c r="G1222" s="5" t="s">
        <v>4397</v>
      </c>
      <c r="H1222" s="5" t="s">
        <v>4398</v>
      </c>
      <c r="I1222" s="5" t="s">
        <v>49</v>
      </c>
      <c r="J1222" s="5" t="s">
        <v>1746</v>
      </c>
      <c r="K1222" s="5">
        <v>1.0</v>
      </c>
      <c r="L1222" s="5">
        <v>13483.0</v>
      </c>
      <c r="M1222" s="8"/>
      <c r="AK1222" s="9"/>
      <c r="AO1222" s="67" t="s">
        <v>4396</v>
      </c>
      <c r="AP1222" s="5">
        <v>1224.0</v>
      </c>
      <c r="AQ1222" s="5" t="s">
        <v>1716</v>
      </c>
      <c r="AR1222" s="5" t="s">
        <v>1717</v>
      </c>
      <c r="AS1222" s="5" t="s">
        <v>1740</v>
      </c>
      <c r="AT1222" s="5" t="s">
        <v>1835</v>
      </c>
      <c r="AU1222" s="5" t="s">
        <v>1742</v>
      </c>
      <c r="AV1222" s="5" t="s">
        <v>1720</v>
      </c>
      <c r="AW1222" s="5" t="s">
        <v>1705</v>
      </c>
      <c r="AX1222" s="5" t="s">
        <v>1879</v>
      </c>
      <c r="AY1222" s="5">
        <v>50.6199</v>
      </c>
      <c r="AZ1222" s="5">
        <v>-123.3967</v>
      </c>
      <c r="BA1222" s="5">
        <v>413.0</v>
      </c>
    </row>
    <row r="1223" ht="14.25" customHeight="1">
      <c r="A1223" s="5" t="s">
        <v>422</v>
      </c>
      <c r="B1223" s="5">
        <v>12.0</v>
      </c>
      <c r="C1223" s="5" t="s">
        <v>7666</v>
      </c>
      <c r="D1223" s="5">
        <v>1230.0</v>
      </c>
      <c r="E1223" s="5">
        <v>11424.0</v>
      </c>
      <c r="F1223" s="18" t="s">
        <v>4399</v>
      </c>
      <c r="G1223" s="5" t="s">
        <v>4400</v>
      </c>
      <c r="H1223" s="5" t="s">
        <v>4401</v>
      </c>
      <c r="I1223" s="5" t="s">
        <v>49</v>
      </c>
      <c r="J1223" s="5" t="s">
        <v>1746</v>
      </c>
      <c r="K1223" s="5">
        <v>1.0</v>
      </c>
      <c r="L1223" s="5">
        <v>13486.0</v>
      </c>
      <c r="M1223" s="8"/>
      <c r="AK1223" s="9"/>
      <c r="AO1223" s="5" t="s">
        <v>4399</v>
      </c>
      <c r="AP1223" s="5">
        <v>1230.0</v>
      </c>
      <c r="AQ1223" s="5" t="s">
        <v>1716</v>
      </c>
      <c r="AR1223" s="5" t="s">
        <v>1717</v>
      </c>
      <c r="AS1223" s="5" t="s">
        <v>1718</v>
      </c>
      <c r="AT1223" s="5" t="s">
        <v>1835</v>
      </c>
      <c r="AU1223" s="5" t="s">
        <v>1959</v>
      </c>
      <c r="AV1223" s="5" t="s">
        <v>1720</v>
      </c>
      <c r="AW1223" s="5" t="s">
        <v>2003</v>
      </c>
      <c r="AX1223" s="5" t="s">
        <v>2087</v>
      </c>
      <c r="AY1223" s="5">
        <v>55.2393</v>
      </c>
      <c r="AZ1223" s="5">
        <v>-123.6303</v>
      </c>
      <c r="BA1223" s="5">
        <v>1000.0</v>
      </c>
    </row>
    <row r="1224" ht="14.25" customHeight="1">
      <c r="A1224" s="5" t="s">
        <v>422</v>
      </c>
      <c r="B1224" s="5">
        <v>12.0</v>
      </c>
      <c r="C1224" s="5" t="s">
        <v>7666</v>
      </c>
      <c r="D1224" s="5">
        <v>1234.0</v>
      </c>
      <c r="E1224" s="5">
        <v>11423.0</v>
      </c>
      <c r="F1224" s="18" t="s">
        <v>4402</v>
      </c>
      <c r="G1224" s="5" t="s">
        <v>4403</v>
      </c>
      <c r="H1224" s="5" t="s">
        <v>4404</v>
      </c>
      <c r="I1224" s="5" t="s">
        <v>49</v>
      </c>
      <c r="J1224" s="5" t="s">
        <v>1746</v>
      </c>
      <c r="K1224" s="5">
        <v>1.0</v>
      </c>
      <c r="L1224" s="5">
        <v>13485.0</v>
      </c>
      <c r="M1224" s="8"/>
      <c r="AK1224" s="9"/>
      <c r="AO1224" s="67" t="s">
        <v>4402</v>
      </c>
      <c r="AP1224" s="5">
        <v>1234.0</v>
      </c>
      <c r="AQ1224" s="5" t="s">
        <v>1716</v>
      </c>
      <c r="AR1224" s="5" t="s">
        <v>1717</v>
      </c>
      <c r="AS1224" s="5" t="s">
        <v>1718</v>
      </c>
      <c r="AT1224" s="5" t="s">
        <v>1835</v>
      </c>
      <c r="AU1224" s="5" t="s">
        <v>1836</v>
      </c>
      <c r="AV1224" s="5" t="s">
        <v>1720</v>
      </c>
      <c r="AW1224" s="5" t="s">
        <v>2698</v>
      </c>
      <c r="AX1224" s="5" t="s">
        <v>2827</v>
      </c>
      <c r="AY1224" s="5">
        <v>49.1547</v>
      </c>
      <c r="AZ1224" s="5">
        <v>-119.0446</v>
      </c>
      <c r="BA1224" s="5">
        <v>1126.0</v>
      </c>
    </row>
    <row r="1225" ht="14.25" customHeight="1">
      <c r="A1225" s="5" t="s">
        <v>422</v>
      </c>
      <c r="B1225" s="5">
        <v>12.0</v>
      </c>
      <c r="C1225" s="5" t="s">
        <v>7666</v>
      </c>
      <c r="D1225" s="5">
        <v>1235.0</v>
      </c>
      <c r="E1225" s="5">
        <v>11425.0</v>
      </c>
      <c r="F1225" s="18" t="s">
        <v>4405</v>
      </c>
      <c r="G1225" s="5" t="s">
        <v>4406</v>
      </c>
      <c r="H1225" s="5" t="s">
        <v>4407</v>
      </c>
      <c r="I1225" s="5" t="s">
        <v>49</v>
      </c>
      <c r="J1225" s="5" t="s">
        <v>1746</v>
      </c>
      <c r="K1225" s="5">
        <v>1.0</v>
      </c>
      <c r="L1225" s="5">
        <v>13487.0</v>
      </c>
      <c r="M1225" s="8"/>
      <c r="AK1225" s="9"/>
      <c r="AO1225" s="67" t="s">
        <v>4405</v>
      </c>
      <c r="AP1225" s="5">
        <v>1235.0</v>
      </c>
      <c r="AQ1225" s="5" t="s">
        <v>1716</v>
      </c>
      <c r="AR1225" s="5" t="s">
        <v>1717</v>
      </c>
      <c r="AS1225" s="5" t="s">
        <v>1718</v>
      </c>
      <c r="AT1225" s="5" t="s">
        <v>1835</v>
      </c>
      <c r="AU1225" s="5" t="s">
        <v>1836</v>
      </c>
      <c r="AV1225" s="5" t="s">
        <v>1720</v>
      </c>
      <c r="AW1225" s="5" t="s">
        <v>1705</v>
      </c>
      <c r="AX1225" s="5" t="s">
        <v>1879</v>
      </c>
      <c r="AY1225" s="5">
        <v>50.0839</v>
      </c>
      <c r="AZ1225" s="5">
        <v>-123.0475</v>
      </c>
      <c r="BA1225" s="5">
        <v>593.0</v>
      </c>
    </row>
    <row r="1226" ht="14.25" customHeight="1">
      <c r="A1226" s="5" t="s">
        <v>422</v>
      </c>
      <c r="B1226" s="5">
        <v>12.0</v>
      </c>
      <c r="C1226" s="5" t="s">
        <v>7666</v>
      </c>
      <c r="D1226" s="5">
        <v>1236.0</v>
      </c>
      <c r="E1226" s="5">
        <v>11426.0</v>
      </c>
      <c r="F1226" s="18" t="s">
        <v>4408</v>
      </c>
      <c r="G1226" s="5" t="s">
        <v>4409</v>
      </c>
      <c r="H1226" s="5" t="s">
        <v>4410</v>
      </c>
      <c r="I1226" s="5" t="s">
        <v>49</v>
      </c>
      <c r="J1226" s="5" t="s">
        <v>1746</v>
      </c>
      <c r="K1226" s="5">
        <v>1.0</v>
      </c>
      <c r="L1226" s="5">
        <v>13488.0</v>
      </c>
      <c r="M1226" s="8"/>
      <c r="AK1226" s="9"/>
      <c r="AO1226" s="67" t="s">
        <v>4408</v>
      </c>
      <c r="AP1226" s="5">
        <v>1236.0</v>
      </c>
      <c r="AQ1226" s="5" t="s">
        <v>1716</v>
      </c>
      <c r="AR1226" s="5" t="s">
        <v>1717</v>
      </c>
      <c r="AS1226" s="5" t="s">
        <v>1740</v>
      </c>
      <c r="AT1226" s="5" t="s">
        <v>1835</v>
      </c>
      <c r="AU1226" s="5" t="s">
        <v>1742</v>
      </c>
      <c r="AV1226" s="5" t="s">
        <v>1720</v>
      </c>
      <c r="AW1226" s="5" t="s">
        <v>2368</v>
      </c>
      <c r="AX1226" s="5" t="s">
        <v>2516</v>
      </c>
      <c r="AY1226" s="5">
        <v>49.1619</v>
      </c>
      <c r="AZ1226" s="5">
        <v>-119.6536</v>
      </c>
      <c r="BA1226" s="5">
        <v>1717.0</v>
      </c>
    </row>
    <row r="1227" ht="14.25" customHeight="1">
      <c r="A1227" s="5" t="s">
        <v>1692</v>
      </c>
      <c r="B1227" s="5">
        <v>12.0</v>
      </c>
      <c r="C1227" s="10" t="s">
        <v>7664</v>
      </c>
      <c r="D1227" s="10" t="s">
        <v>4411</v>
      </c>
      <c r="E1227" s="5">
        <v>11433.0</v>
      </c>
      <c r="F1227" s="5" t="s">
        <v>4412</v>
      </c>
      <c r="G1227" s="10" t="s">
        <v>4413</v>
      </c>
      <c r="H1227" s="5" t="s">
        <v>4414</v>
      </c>
      <c r="I1227" s="5" t="s">
        <v>49</v>
      </c>
      <c r="J1227" s="5" t="s">
        <v>1746</v>
      </c>
      <c r="K1227" s="5">
        <v>1.0</v>
      </c>
      <c r="L1227" s="5">
        <v>13492.0</v>
      </c>
      <c r="M1227" s="8"/>
      <c r="AK1227" s="9"/>
      <c r="AO1227" s="50" t="s">
        <v>4412</v>
      </c>
      <c r="AP1227" s="50">
        <v>1239.0</v>
      </c>
      <c r="AQ1227" s="50" t="s">
        <v>1716</v>
      </c>
      <c r="AR1227" s="50" t="s">
        <v>1701</v>
      </c>
      <c r="AS1227" s="50" t="s">
        <v>1740</v>
      </c>
      <c r="AT1227" s="50" t="s">
        <v>1741</v>
      </c>
      <c r="AU1227" s="50" t="s">
        <v>1742</v>
      </c>
      <c r="AV1227" s="50" t="s">
        <v>4415</v>
      </c>
      <c r="AW1227" s="50" t="s">
        <v>2698</v>
      </c>
      <c r="AX1227" s="50"/>
      <c r="AY1227" s="50">
        <v>51.968</v>
      </c>
      <c r="AZ1227" s="50">
        <v>-116.7148</v>
      </c>
      <c r="BA1227" s="50">
        <v>1442.0</v>
      </c>
    </row>
    <row r="1228" ht="14.25" customHeight="1">
      <c r="A1228" s="5" t="s">
        <v>1692</v>
      </c>
      <c r="B1228" s="5">
        <v>12.0</v>
      </c>
      <c r="C1228" s="10" t="s">
        <v>7664</v>
      </c>
      <c r="D1228" s="10" t="s">
        <v>4416</v>
      </c>
      <c r="E1228" s="5">
        <v>11431.0</v>
      </c>
      <c r="F1228" s="5" t="s">
        <v>4417</v>
      </c>
      <c r="G1228" s="10" t="s">
        <v>4418</v>
      </c>
      <c r="H1228" s="5" t="s">
        <v>4419</v>
      </c>
      <c r="I1228" s="5" t="s">
        <v>49</v>
      </c>
      <c r="J1228" s="5" t="s">
        <v>1746</v>
      </c>
      <c r="K1228" s="5">
        <v>1.0</v>
      </c>
      <c r="L1228" s="5">
        <v>13493.0</v>
      </c>
      <c r="M1228" s="8"/>
      <c r="AK1228" s="9"/>
      <c r="AO1228" s="50" t="s">
        <v>4417</v>
      </c>
      <c r="AP1228" s="50">
        <v>1240.0</v>
      </c>
      <c r="AQ1228" s="50" t="s">
        <v>1716</v>
      </c>
      <c r="AR1228" s="50" t="s">
        <v>1701</v>
      </c>
      <c r="AS1228" s="50" t="s">
        <v>1740</v>
      </c>
      <c r="AT1228" s="50" t="s">
        <v>1741</v>
      </c>
      <c r="AU1228" s="50" t="s">
        <v>1742</v>
      </c>
      <c r="AV1228" s="50" t="s">
        <v>4415</v>
      </c>
      <c r="AW1228" s="50" t="s">
        <v>2698</v>
      </c>
      <c r="AX1228" s="50" t="s">
        <v>2699</v>
      </c>
      <c r="AY1228" s="50">
        <v>51.3664</v>
      </c>
      <c r="AZ1228" s="50">
        <v>-116.5264</v>
      </c>
      <c r="BA1228" s="50">
        <v>1275.0</v>
      </c>
    </row>
    <row r="1229" ht="14.25" customHeight="1">
      <c r="A1229" s="5" t="s">
        <v>1692</v>
      </c>
      <c r="B1229" s="5">
        <v>12.0</v>
      </c>
      <c r="C1229" s="10" t="s">
        <v>7664</v>
      </c>
      <c r="D1229" s="10" t="s">
        <v>4420</v>
      </c>
      <c r="E1229" s="5">
        <v>11430.0</v>
      </c>
      <c r="F1229" s="5" t="s">
        <v>4421</v>
      </c>
      <c r="G1229" s="10" t="s">
        <v>4422</v>
      </c>
      <c r="H1229" s="5" t="s">
        <v>4414</v>
      </c>
      <c r="I1229" s="5" t="s">
        <v>49</v>
      </c>
      <c r="J1229" s="5" t="s">
        <v>1746</v>
      </c>
      <c r="K1229" s="5">
        <v>1.0</v>
      </c>
      <c r="L1229" s="5">
        <v>13494.0</v>
      </c>
      <c r="M1229" s="8"/>
      <c r="AK1229" s="9"/>
      <c r="AO1229" s="50" t="s">
        <v>4421</v>
      </c>
      <c r="AP1229" s="50">
        <v>1241.0</v>
      </c>
      <c r="AQ1229" s="50" t="s">
        <v>1716</v>
      </c>
      <c r="AR1229" s="50" t="s">
        <v>1701</v>
      </c>
      <c r="AS1229" s="50" t="s">
        <v>1740</v>
      </c>
      <c r="AT1229" s="50" t="s">
        <v>1741</v>
      </c>
      <c r="AU1229" s="50" t="s">
        <v>1742</v>
      </c>
      <c r="AV1229" s="50" t="s">
        <v>4415</v>
      </c>
      <c r="AW1229" s="50" t="s">
        <v>2698</v>
      </c>
      <c r="AX1229" s="50" t="s">
        <v>2699</v>
      </c>
      <c r="AY1229" s="50">
        <v>51.0234</v>
      </c>
      <c r="AZ1229" s="50">
        <v>-115.9789</v>
      </c>
      <c r="BA1229" s="50">
        <v>1277.0</v>
      </c>
    </row>
    <row r="1230" ht="14.25" customHeight="1">
      <c r="A1230" s="5" t="s">
        <v>1692</v>
      </c>
      <c r="B1230" s="5">
        <v>12.0</v>
      </c>
      <c r="C1230" s="10" t="s">
        <v>7664</v>
      </c>
      <c r="D1230" s="10" t="s">
        <v>4423</v>
      </c>
      <c r="E1230" s="5">
        <v>11432.0</v>
      </c>
      <c r="F1230" s="5" t="s">
        <v>4424</v>
      </c>
      <c r="G1230" s="10" t="s">
        <v>4425</v>
      </c>
      <c r="H1230" s="5" t="s">
        <v>4419</v>
      </c>
      <c r="I1230" s="5" t="s">
        <v>49</v>
      </c>
      <c r="J1230" s="5" t="s">
        <v>1746</v>
      </c>
      <c r="K1230" s="5">
        <v>1.0</v>
      </c>
      <c r="L1230" s="5">
        <v>13495.0</v>
      </c>
      <c r="M1230" s="8"/>
      <c r="AK1230" s="9"/>
      <c r="AO1230" s="50" t="s">
        <v>4424</v>
      </c>
      <c r="AP1230" s="50">
        <v>1242.0</v>
      </c>
      <c r="AQ1230" s="50" t="s">
        <v>1716</v>
      </c>
      <c r="AR1230" s="50" t="s">
        <v>1701</v>
      </c>
      <c r="AS1230" s="50" t="s">
        <v>1740</v>
      </c>
      <c r="AT1230" s="50" t="s">
        <v>1741</v>
      </c>
      <c r="AU1230" s="50" t="s">
        <v>1742</v>
      </c>
      <c r="AV1230" s="50" t="s">
        <v>4415</v>
      </c>
      <c r="AW1230" s="50" t="s">
        <v>2698</v>
      </c>
      <c r="AX1230" s="50" t="s">
        <v>2768</v>
      </c>
      <c r="AY1230" s="50">
        <v>50.7691</v>
      </c>
      <c r="AZ1230" s="50">
        <v>-115.9508</v>
      </c>
      <c r="BA1230" s="50">
        <v>1132.0</v>
      </c>
    </row>
    <row r="1231" ht="14.25" customHeight="1">
      <c r="A1231" s="5" t="s">
        <v>422</v>
      </c>
      <c r="B1231" s="5">
        <v>12.0</v>
      </c>
      <c r="C1231" s="5" t="s">
        <v>7675</v>
      </c>
      <c r="D1231" s="5">
        <v>1243.0</v>
      </c>
      <c r="E1231" s="5">
        <v>11427.0</v>
      </c>
      <c r="F1231" s="5" t="s">
        <v>4427</v>
      </c>
      <c r="G1231" s="5" t="s">
        <v>4428</v>
      </c>
      <c r="H1231" s="5" t="s">
        <v>4429</v>
      </c>
      <c r="I1231" s="5" t="s">
        <v>49</v>
      </c>
      <c r="J1231" s="5" t="s">
        <v>1746</v>
      </c>
      <c r="K1231" s="5">
        <v>1.0</v>
      </c>
      <c r="L1231" s="5">
        <v>13489.0</v>
      </c>
      <c r="M1231" s="8"/>
      <c r="AK1231" s="9"/>
      <c r="AO1231" s="5" t="s">
        <v>4427</v>
      </c>
      <c r="AP1231" s="5">
        <v>1243.0</v>
      </c>
      <c r="AQ1231" s="5" t="s">
        <v>1716</v>
      </c>
      <c r="AR1231" s="5" t="s">
        <v>2441</v>
      </c>
      <c r="AS1231" s="5" t="s">
        <v>2257</v>
      </c>
      <c r="AT1231" s="5" t="s">
        <v>1703</v>
      </c>
      <c r="AU1231" s="5" t="s">
        <v>1704</v>
      </c>
      <c r="AW1231" s="5" t="s">
        <v>2003</v>
      </c>
      <c r="AX1231" s="5" t="s">
        <v>2004</v>
      </c>
      <c r="AY1231" s="5">
        <v>56.2327</v>
      </c>
      <c r="AZ1231" s="5">
        <v>-121.4664</v>
      </c>
      <c r="BA1231" s="5">
        <v>646.0</v>
      </c>
    </row>
    <row r="1232" ht="14.25" customHeight="1">
      <c r="A1232" s="5" t="s">
        <v>422</v>
      </c>
      <c r="B1232" s="5">
        <v>12.0</v>
      </c>
      <c r="C1232" s="5" t="s">
        <v>7666</v>
      </c>
      <c r="D1232" s="5">
        <v>1244.0</v>
      </c>
      <c r="E1232" s="5">
        <v>11429.0</v>
      </c>
      <c r="F1232" s="5" t="s">
        <v>4430</v>
      </c>
      <c r="G1232" s="5" t="s">
        <v>4431</v>
      </c>
      <c r="H1232" s="5" t="s">
        <v>4432</v>
      </c>
      <c r="I1232" s="5" t="s">
        <v>49</v>
      </c>
      <c r="J1232" s="5" t="s">
        <v>1746</v>
      </c>
      <c r="K1232" s="5">
        <v>1.0</v>
      </c>
      <c r="L1232" s="5">
        <v>13490.0</v>
      </c>
      <c r="M1232" s="8"/>
      <c r="AK1232" s="9"/>
      <c r="AO1232" s="5" t="s">
        <v>4430</v>
      </c>
      <c r="AP1232" s="5">
        <v>1244.0</v>
      </c>
      <c r="AQ1232" s="5" t="s">
        <v>1716</v>
      </c>
      <c r="AR1232" s="5" t="s">
        <v>2441</v>
      </c>
      <c r="AS1232" s="5" t="s">
        <v>2257</v>
      </c>
      <c r="AT1232" s="5" t="s">
        <v>1703</v>
      </c>
      <c r="AU1232" s="5" t="s">
        <v>1704</v>
      </c>
      <c r="AW1232" s="5" t="s">
        <v>2003</v>
      </c>
      <c r="AX1232" s="5" t="s">
        <v>2004</v>
      </c>
      <c r="AY1232" s="5">
        <v>56.2751</v>
      </c>
      <c r="AZ1232" s="5">
        <v>-121.2127</v>
      </c>
      <c r="BA1232" s="5">
        <v>474.0</v>
      </c>
    </row>
    <row r="1233" ht="14.25" customHeight="1">
      <c r="A1233" s="5" t="s">
        <v>422</v>
      </c>
      <c r="B1233" s="5">
        <v>12.0</v>
      </c>
      <c r="C1233" s="5" t="s">
        <v>7676</v>
      </c>
      <c r="D1233" s="5">
        <v>1245.0</v>
      </c>
      <c r="E1233" s="5">
        <v>11428.0</v>
      </c>
      <c r="F1233" s="18" t="s">
        <v>4433</v>
      </c>
      <c r="G1233" s="5" t="s">
        <v>4434</v>
      </c>
      <c r="H1233" s="5" t="s">
        <v>4429</v>
      </c>
      <c r="I1233" s="5" t="s">
        <v>49</v>
      </c>
      <c r="J1233" s="5" t="s">
        <v>1746</v>
      </c>
      <c r="K1233" s="5">
        <v>1.0</v>
      </c>
      <c r="L1233" s="5">
        <v>13491.0</v>
      </c>
      <c r="M1233" s="8"/>
      <c r="AK1233" s="9"/>
      <c r="AO1233" s="5" t="s">
        <v>4433</v>
      </c>
      <c r="AP1233" s="5">
        <v>1245.0</v>
      </c>
      <c r="AQ1233" s="5" t="s">
        <v>1716</v>
      </c>
      <c r="AR1233" s="5" t="s">
        <v>1717</v>
      </c>
      <c r="AS1233" s="5" t="s">
        <v>2257</v>
      </c>
      <c r="AT1233" s="5" t="s">
        <v>1703</v>
      </c>
      <c r="AU1233" s="5" t="s">
        <v>1704</v>
      </c>
      <c r="AW1233" s="5" t="s">
        <v>2003</v>
      </c>
      <c r="AX1233" s="5" t="s">
        <v>2004</v>
      </c>
      <c r="AY1233" s="5">
        <v>56.2052</v>
      </c>
      <c r="AZ1233" s="5">
        <v>-120.9121</v>
      </c>
      <c r="BA1233" s="5">
        <v>606.0</v>
      </c>
    </row>
    <row r="1234" ht="14.25" customHeight="1">
      <c r="A1234" s="5" t="s">
        <v>422</v>
      </c>
      <c r="B1234" s="5">
        <v>12.0</v>
      </c>
      <c r="C1234" s="5" t="s">
        <v>7666</v>
      </c>
      <c r="D1234" s="5">
        <v>1246.0</v>
      </c>
      <c r="E1234" s="5">
        <v>12010.0</v>
      </c>
      <c r="F1234" s="18" t="s">
        <v>4435</v>
      </c>
      <c r="G1234" s="5" t="s">
        <v>4436</v>
      </c>
      <c r="H1234" s="5" t="s">
        <v>4437</v>
      </c>
      <c r="I1234" s="5" t="s">
        <v>49</v>
      </c>
      <c r="J1234" s="5" t="s">
        <v>1746</v>
      </c>
      <c r="K1234" s="5">
        <v>1.0</v>
      </c>
      <c r="L1234" s="5">
        <v>14065.0</v>
      </c>
      <c r="M1234" s="8"/>
      <c r="AK1234" s="9"/>
      <c r="AO1234" s="67" t="s">
        <v>4435</v>
      </c>
      <c r="AP1234" s="5">
        <v>1246.0</v>
      </c>
      <c r="AQ1234" s="5" t="s">
        <v>1716</v>
      </c>
      <c r="AR1234" s="5" t="s">
        <v>1717</v>
      </c>
      <c r="AS1234" s="5" t="s">
        <v>1718</v>
      </c>
      <c r="AT1234" s="5" t="s">
        <v>1835</v>
      </c>
      <c r="AU1234" s="5" t="s">
        <v>1836</v>
      </c>
      <c r="AV1234" s="5" t="s">
        <v>1720</v>
      </c>
      <c r="AW1234" s="5" t="s">
        <v>2698</v>
      </c>
      <c r="AX1234" s="5" t="s">
        <v>2801</v>
      </c>
      <c r="AY1234" s="5">
        <v>49.9173</v>
      </c>
      <c r="AZ1234" s="5">
        <v>-116.9999</v>
      </c>
      <c r="BA1234" s="5">
        <v>1020.0</v>
      </c>
    </row>
    <row r="1235" ht="14.25" customHeight="1">
      <c r="A1235" s="5" t="s">
        <v>422</v>
      </c>
      <c r="B1235" s="5">
        <v>12.0</v>
      </c>
      <c r="C1235" s="5" t="s">
        <v>7666</v>
      </c>
      <c r="D1235" s="5">
        <v>1247.0</v>
      </c>
      <c r="E1235" s="5">
        <v>12011.0</v>
      </c>
      <c r="F1235" s="18" t="s">
        <v>4438</v>
      </c>
      <c r="G1235" s="5" t="s">
        <v>4439</v>
      </c>
      <c r="H1235" s="5" t="s">
        <v>4440</v>
      </c>
      <c r="I1235" s="5" t="s">
        <v>49</v>
      </c>
      <c r="J1235" s="5" t="s">
        <v>1746</v>
      </c>
      <c r="K1235" s="5">
        <v>1.0</v>
      </c>
      <c r="L1235" s="5">
        <v>14067.0</v>
      </c>
      <c r="M1235" s="8"/>
      <c r="AK1235" s="9"/>
      <c r="AO1235" s="5" t="s">
        <v>4438</v>
      </c>
      <c r="AP1235" s="5">
        <v>1247.0</v>
      </c>
      <c r="AQ1235" s="5" t="s">
        <v>1716</v>
      </c>
      <c r="AR1235" s="5" t="s">
        <v>1717</v>
      </c>
      <c r="AS1235" s="5" t="s">
        <v>1718</v>
      </c>
      <c r="AT1235" s="5" t="s">
        <v>1835</v>
      </c>
      <c r="AU1235" s="5" t="s">
        <v>1836</v>
      </c>
      <c r="AV1235" s="5" t="s">
        <v>1720</v>
      </c>
      <c r="AW1235" s="5" t="s">
        <v>1705</v>
      </c>
      <c r="AX1235" s="5" t="s">
        <v>1747</v>
      </c>
      <c r="AY1235" s="5">
        <v>48.7003</v>
      </c>
      <c r="AZ1235" s="5">
        <v>-123.592</v>
      </c>
      <c r="BA1235" s="5">
        <v>375.0</v>
      </c>
    </row>
    <row r="1236" ht="14.25" customHeight="1">
      <c r="A1236" s="5" t="s">
        <v>422</v>
      </c>
      <c r="B1236" s="5">
        <v>12.0</v>
      </c>
      <c r="C1236" s="5" t="s">
        <v>7666</v>
      </c>
      <c r="D1236" s="5">
        <v>1250.0</v>
      </c>
      <c r="E1236" s="5">
        <v>12015.0</v>
      </c>
      <c r="F1236" s="18" t="s">
        <v>4441</v>
      </c>
      <c r="G1236" s="5" t="s">
        <v>4442</v>
      </c>
      <c r="H1236" s="5" t="s">
        <v>4443</v>
      </c>
      <c r="I1236" s="5" t="s">
        <v>49</v>
      </c>
      <c r="J1236" s="5" t="s">
        <v>1746</v>
      </c>
      <c r="K1236" s="5">
        <v>1.0</v>
      </c>
      <c r="L1236" s="5">
        <v>14072.0</v>
      </c>
      <c r="M1236" s="8"/>
      <c r="AK1236" s="9"/>
      <c r="AO1236" s="5" t="s">
        <v>4441</v>
      </c>
      <c r="AP1236" s="5">
        <v>1250.0</v>
      </c>
      <c r="AQ1236" s="5" t="s">
        <v>1716</v>
      </c>
      <c r="AR1236" s="5" t="s">
        <v>1717</v>
      </c>
      <c r="AS1236" s="5" t="s">
        <v>1718</v>
      </c>
      <c r="AT1236" s="5" t="s">
        <v>1835</v>
      </c>
      <c r="AU1236" s="5" t="s">
        <v>1836</v>
      </c>
      <c r="AV1236" s="5" t="s">
        <v>1720</v>
      </c>
      <c r="AW1236" s="5" t="s">
        <v>1705</v>
      </c>
      <c r="AX1236" s="5" t="s">
        <v>1879</v>
      </c>
      <c r="AY1236" s="5">
        <v>50.0825</v>
      </c>
      <c r="AZ1236" s="5">
        <v>-123.0413</v>
      </c>
      <c r="BA1236" s="5">
        <v>595.0</v>
      </c>
    </row>
    <row r="1237" ht="14.25" customHeight="1">
      <c r="A1237" s="5" t="s">
        <v>2037</v>
      </c>
      <c r="B1237" s="5">
        <v>12.0</v>
      </c>
      <c r="C1237" s="5" t="s">
        <v>7666</v>
      </c>
      <c r="D1237" s="5">
        <v>1251.0</v>
      </c>
      <c r="E1237" s="5">
        <v>12018.0</v>
      </c>
      <c r="F1237" s="5" t="s">
        <v>4444</v>
      </c>
      <c r="G1237" s="5" t="s">
        <v>4445</v>
      </c>
      <c r="H1237" s="5" t="s">
        <v>4446</v>
      </c>
      <c r="I1237" s="5" t="s">
        <v>49</v>
      </c>
      <c r="J1237" s="5" t="s">
        <v>4447</v>
      </c>
      <c r="K1237" s="5">
        <v>1.0</v>
      </c>
      <c r="L1237" s="5">
        <v>14075.0</v>
      </c>
      <c r="M1237" s="8"/>
      <c r="AK1237" s="9"/>
      <c r="AO1237" s="5" t="s">
        <v>4448</v>
      </c>
      <c r="AP1237" s="5">
        <v>1251.0</v>
      </c>
      <c r="AQ1237" s="5" t="s">
        <v>1716</v>
      </c>
      <c r="AR1237" s="5" t="s">
        <v>1717</v>
      </c>
      <c r="AS1237" s="5" t="s">
        <v>1740</v>
      </c>
      <c r="AT1237" s="5" t="s">
        <v>1835</v>
      </c>
      <c r="AU1237" s="5" t="s">
        <v>1742</v>
      </c>
      <c r="AV1237" s="5" t="s">
        <v>1720</v>
      </c>
      <c r="AW1237" s="5" t="s">
        <v>1705</v>
      </c>
      <c r="AX1237" s="5" t="s">
        <v>1837</v>
      </c>
      <c r="AY1237" s="5">
        <v>49.7518</v>
      </c>
      <c r="AZ1237" s="5">
        <v>-123.7051</v>
      </c>
      <c r="BA1237" s="5">
        <v>1.0</v>
      </c>
    </row>
    <row r="1238" ht="14.25" customHeight="1">
      <c r="A1238" s="5" t="s">
        <v>422</v>
      </c>
      <c r="B1238" s="5">
        <v>12.0</v>
      </c>
      <c r="C1238" s="5" t="s">
        <v>7666</v>
      </c>
      <c r="D1238" s="5">
        <v>1252.0</v>
      </c>
      <c r="E1238" s="5">
        <v>12016.0</v>
      </c>
      <c r="F1238" s="18" t="s">
        <v>4449</v>
      </c>
      <c r="G1238" s="5" t="s">
        <v>4450</v>
      </c>
      <c r="H1238" s="5" t="s">
        <v>4451</v>
      </c>
      <c r="I1238" s="5" t="s">
        <v>49</v>
      </c>
      <c r="J1238" s="5" t="s">
        <v>1746</v>
      </c>
      <c r="K1238" s="5">
        <v>1.0</v>
      </c>
      <c r="L1238" s="5">
        <v>14073.0</v>
      </c>
      <c r="M1238" s="8"/>
      <c r="AK1238" s="9"/>
      <c r="AO1238" s="67" t="s">
        <v>4452</v>
      </c>
      <c r="AP1238" s="5">
        <v>1252.0</v>
      </c>
      <c r="AQ1238" s="5" t="s">
        <v>1716</v>
      </c>
      <c r="AR1238" s="5" t="s">
        <v>1717</v>
      </c>
      <c r="AS1238" s="5" t="s">
        <v>1718</v>
      </c>
      <c r="AT1238" s="5" t="s">
        <v>1835</v>
      </c>
      <c r="AU1238" s="5" t="s">
        <v>1836</v>
      </c>
      <c r="AV1238" s="5" t="s">
        <v>1720</v>
      </c>
      <c r="AW1238" s="5" t="s">
        <v>2698</v>
      </c>
      <c r="AX1238" s="5" t="s">
        <v>2801</v>
      </c>
      <c r="AY1238" s="5">
        <v>49.7273</v>
      </c>
      <c r="AZ1238" s="5">
        <v>-116.6615</v>
      </c>
      <c r="BA1238" s="5">
        <v>1400.0</v>
      </c>
    </row>
    <row r="1239" ht="14.25" customHeight="1">
      <c r="A1239" s="5" t="s">
        <v>422</v>
      </c>
      <c r="B1239" s="5">
        <v>12.0</v>
      </c>
      <c r="C1239" s="5" t="s">
        <v>7666</v>
      </c>
      <c r="D1239" s="5">
        <v>1254.0</v>
      </c>
      <c r="E1239" s="5">
        <v>12017.0</v>
      </c>
      <c r="F1239" s="18" t="s">
        <v>4453</v>
      </c>
      <c r="G1239" s="5" t="s">
        <v>4454</v>
      </c>
      <c r="H1239" s="5" t="s">
        <v>4455</v>
      </c>
      <c r="I1239" s="5" t="s">
        <v>49</v>
      </c>
      <c r="J1239" s="5" t="s">
        <v>1746</v>
      </c>
      <c r="K1239" s="5">
        <v>1.0</v>
      </c>
      <c r="L1239" s="5">
        <v>14074.0</v>
      </c>
      <c r="M1239" s="8"/>
      <c r="AK1239" s="9"/>
      <c r="AO1239" s="5" t="s">
        <v>4453</v>
      </c>
      <c r="AP1239" s="5">
        <v>1254.0</v>
      </c>
      <c r="AQ1239" s="5" t="s">
        <v>1716</v>
      </c>
      <c r="AR1239" s="5" t="s">
        <v>1717</v>
      </c>
      <c r="AS1239" s="5" t="s">
        <v>1718</v>
      </c>
      <c r="AT1239" s="5" t="s">
        <v>1841</v>
      </c>
      <c r="AU1239" s="5" t="s">
        <v>1959</v>
      </c>
      <c r="AV1239" s="5" t="s">
        <v>1720</v>
      </c>
      <c r="AW1239" s="5" t="s">
        <v>2368</v>
      </c>
      <c r="AX1239" s="5" t="s">
        <v>2516</v>
      </c>
      <c r="AY1239" s="5">
        <v>49.6486</v>
      </c>
      <c r="AZ1239" s="5">
        <v>-120.0667</v>
      </c>
      <c r="BA1239" s="5">
        <v>1633.0</v>
      </c>
    </row>
    <row r="1240" ht="14.25" customHeight="1">
      <c r="A1240" s="5" t="s">
        <v>422</v>
      </c>
      <c r="B1240" s="5">
        <v>12.0</v>
      </c>
      <c r="C1240" s="5" t="s">
        <v>7666</v>
      </c>
      <c r="D1240" s="5">
        <v>1255.0</v>
      </c>
      <c r="E1240" s="5">
        <v>12020.0</v>
      </c>
      <c r="F1240" s="18" t="s">
        <v>4456</v>
      </c>
      <c r="G1240" s="5" t="s">
        <v>4457</v>
      </c>
      <c r="H1240" s="5" t="s">
        <v>4458</v>
      </c>
      <c r="I1240" s="5" t="s">
        <v>49</v>
      </c>
      <c r="J1240" s="5" t="s">
        <v>1746</v>
      </c>
      <c r="K1240" s="5">
        <v>1.0</v>
      </c>
      <c r="L1240" s="5">
        <v>14077.0</v>
      </c>
      <c r="M1240" s="8"/>
      <c r="AK1240" s="9"/>
      <c r="AO1240" s="5" t="s">
        <v>4456</v>
      </c>
      <c r="AP1240" s="5">
        <v>1255.0</v>
      </c>
      <c r="AQ1240" s="5" t="s">
        <v>1716</v>
      </c>
      <c r="AR1240" s="5" t="s">
        <v>1717</v>
      </c>
      <c r="AS1240" s="5" t="s">
        <v>1718</v>
      </c>
      <c r="AT1240" s="5" t="s">
        <v>1841</v>
      </c>
      <c r="AU1240" s="5" t="s">
        <v>1959</v>
      </c>
      <c r="AV1240" s="5" t="s">
        <v>1720</v>
      </c>
      <c r="AW1240" s="5" t="s">
        <v>2368</v>
      </c>
      <c r="AX1240" s="5" t="s">
        <v>2522</v>
      </c>
      <c r="AY1240" s="5">
        <v>50.6919</v>
      </c>
      <c r="AZ1240" s="5">
        <v>-118.6408</v>
      </c>
      <c r="BA1240" s="5">
        <v>756.0</v>
      </c>
    </row>
    <row r="1241" ht="14.25" customHeight="1">
      <c r="A1241" s="5" t="s">
        <v>422</v>
      </c>
      <c r="B1241" s="5">
        <v>12.0</v>
      </c>
      <c r="C1241" s="5" t="s">
        <v>7666</v>
      </c>
      <c r="D1241" s="5">
        <v>1256.0</v>
      </c>
      <c r="E1241" s="5">
        <v>12021.0</v>
      </c>
      <c r="F1241" s="18" t="s">
        <v>4459</v>
      </c>
      <c r="G1241" s="5" t="s">
        <v>4460</v>
      </c>
      <c r="H1241" s="5" t="s">
        <v>4461</v>
      </c>
      <c r="I1241" s="5" t="s">
        <v>49</v>
      </c>
      <c r="J1241" s="5" t="s">
        <v>1746</v>
      </c>
      <c r="K1241" s="5">
        <v>1.0</v>
      </c>
      <c r="L1241" s="5">
        <v>14078.0</v>
      </c>
      <c r="M1241" s="8"/>
      <c r="AK1241" s="9"/>
      <c r="AO1241" s="5" t="s">
        <v>4459</v>
      </c>
      <c r="AP1241" s="5">
        <v>1256.0</v>
      </c>
      <c r="AQ1241" s="5" t="s">
        <v>1716</v>
      </c>
      <c r="AR1241" s="5" t="s">
        <v>1717</v>
      </c>
      <c r="AS1241" s="5" t="s">
        <v>1718</v>
      </c>
      <c r="AT1241" s="5" t="s">
        <v>1841</v>
      </c>
      <c r="AU1241" s="5" t="s">
        <v>1959</v>
      </c>
      <c r="AV1241" s="5" t="s">
        <v>1720</v>
      </c>
      <c r="AW1241" s="5" t="s">
        <v>2368</v>
      </c>
      <c r="AX1241" s="5" t="s">
        <v>2516</v>
      </c>
      <c r="AY1241" s="5">
        <v>49.8947</v>
      </c>
      <c r="AZ1241" s="5">
        <v>-119.1239</v>
      </c>
      <c r="BA1241" s="5">
        <v>1250.0</v>
      </c>
    </row>
    <row r="1242" ht="14.25" customHeight="1">
      <c r="A1242" s="5" t="s">
        <v>422</v>
      </c>
      <c r="B1242" s="5">
        <v>12.0</v>
      </c>
      <c r="C1242" s="5" t="s">
        <v>7666</v>
      </c>
      <c r="D1242" s="5">
        <v>1257.0</v>
      </c>
      <c r="E1242" s="5">
        <v>12022.0</v>
      </c>
      <c r="F1242" s="18" t="s">
        <v>4462</v>
      </c>
      <c r="G1242" s="5" t="s">
        <v>4463</v>
      </c>
      <c r="H1242" s="5" t="s">
        <v>4464</v>
      </c>
      <c r="I1242" s="5" t="s">
        <v>49</v>
      </c>
      <c r="J1242" s="5" t="s">
        <v>1746</v>
      </c>
      <c r="K1242" s="5">
        <v>1.0</v>
      </c>
      <c r="L1242" s="5">
        <v>14079.0</v>
      </c>
      <c r="M1242" s="8"/>
      <c r="AK1242" s="9"/>
      <c r="AO1242" s="67" t="s">
        <v>4462</v>
      </c>
      <c r="AP1242" s="5">
        <v>1257.0</v>
      </c>
      <c r="AQ1242" s="5" t="s">
        <v>1716</v>
      </c>
      <c r="AR1242" s="5" t="s">
        <v>1717</v>
      </c>
      <c r="AS1242" s="5" t="s">
        <v>1718</v>
      </c>
      <c r="AT1242" s="5" t="s">
        <v>1835</v>
      </c>
      <c r="AU1242" s="5" t="s">
        <v>1836</v>
      </c>
      <c r="AV1242" s="5" t="s">
        <v>1720</v>
      </c>
      <c r="AW1242" s="5" t="s">
        <v>2698</v>
      </c>
      <c r="AX1242" s="5" t="s">
        <v>2801</v>
      </c>
      <c r="AY1242" s="5">
        <v>50.4777</v>
      </c>
      <c r="AZ1242" s="5">
        <v>-117.2013</v>
      </c>
      <c r="BA1242" s="5">
        <v>820.0</v>
      </c>
    </row>
    <row r="1243" ht="14.25" customHeight="1">
      <c r="A1243" s="5" t="s">
        <v>422</v>
      </c>
      <c r="B1243" s="5">
        <v>12.0</v>
      </c>
      <c r="C1243" s="5" t="s">
        <v>7666</v>
      </c>
      <c r="D1243" s="5">
        <v>1258.0</v>
      </c>
      <c r="E1243" s="5">
        <v>12023.0</v>
      </c>
      <c r="F1243" s="18" t="s">
        <v>4465</v>
      </c>
      <c r="G1243" s="5" t="s">
        <v>4466</v>
      </c>
      <c r="H1243" s="5" t="s">
        <v>4467</v>
      </c>
      <c r="I1243" s="5" t="s">
        <v>49</v>
      </c>
      <c r="J1243" s="5" t="s">
        <v>1746</v>
      </c>
      <c r="K1243" s="5">
        <v>1.0</v>
      </c>
      <c r="L1243" s="5">
        <v>14080.0</v>
      </c>
      <c r="M1243" s="8"/>
      <c r="AK1243" s="9"/>
      <c r="AO1243" s="5" t="s">
        <v>4465</v>
      </c>
      <c r="AP1243" s="5">
        <v>1258.0</v>
      </c>
      <c r="AQ1243" s="5" t="s">
        <v>1716</v>
      </c>
      <c r="AR1243" s="5" t="s">
        <v>1717</v>
      </c>
      <c r="AS1243" s="5" t="s">
        <v>1718</v>
      </c>
      <c r="AT1243" s="5" t="s">
        <v>1835</v>
      </c>
      <c r="AU1243" s="5" t="s">
        <v>1959</v>
      </c>
      <c r="AV1243" s="5" t="s">
        <v>1720</v>
      </c>
      <c r="AW1243" s="5" t="s">
        <v>2368</v>
      </c>
      <c r="AX1243" s="5" t="s">
        <v>2492</v>
      </c>
      <c r="AY1243" s="5">
        <v>50.0833</v>
      </c>
      <c r="AZ1243" s="5">
        <v>-121.1889</v>
      </c>
      <c r="BA1243" s="5">
        <v>1345.0</v>
      </c>
    </row>
    <row r="1244" ht="14.25" customHeight="1">
      <c r="A1244" s="5" t="s">
        <v>422</v>
      </c>
      <c r="B1244" s="5">
        <v>12.0</v>
      </c>
      <c r="C1244" s="5" t="s">
        <v>7666</v>
      </c>
      <c r="D1244" s="5">
        <v>1259.0</v>
      </c>
      <c r="E1244" s="5">
        <v>12024.0</v>
      </c>
      <c r="F1244" s="18" t="s">
        <v>4468</v>
      </c>
      <c r="G1244" s="5" t="s">
        <v>4469</v>
      </c>
      <c r="H1244" s="5" t="s">
        <v>4470</v>
      </c>
      <c r="I1244" s="5" t="s">
        <v>49</v>
      </c>
      <c r="J1244" s="5" t="s">
        <v>1746</v>
      </c>
      <c r="K1244" s="5">
        <v>1.0</v>
      </c>
      <c r="L1244" s="5">
        <v>14081.0</v>
      </c>
      <c r="M1244" s="8"/>
      <c r="AK1244" s="9"/>
      <c r="AO1244" s="67" t="s">
        <v>4468</v>
      </c>
      <c r="AP1244" s="5">
        <v>1259.0</v>
      </c>
      <c r="AQ1244" s="5" t="s">
        <v>1716</v>
      </c>
      <c r="AR1244" s="5" t="s">
        <v>1717</v>
      </c>
      <c r="AS1244" s="5" t="s">
        <v>1718</v>
      </c>
      <c r="AT1244" s="5" t="s">
        <v>1835</v>
      </c>
      <c r="AU1244" s="5" t="s">
        <v>1836</v>
      </c>
      <c r="AV1244" s="5" t="s">
        <v>1720</v>
      </c>
      <c r="AW1244" s="5" t="s">
        <v>2698</v>
      </c>
      <c r="AX1244" s="5" t="s">
        <v>2902</v>
      </c>
      <c r="AY1244" s="5">
        <v>49.1648</v>
      </c>
      <c r="AZ1244" s="5">
        <v>-115.0027</v>
      </c>
      <c r="BA1244" s="5">
        <v>2174.0</v>
      </c>
    </row>
    <row r="1245" ht="14.25" customHeight="1">
      <c r="A1245" s="5" t="s">
        <v>1692</v>
      </c>
      <c r="B1245" s="5">
        <v>12.0</v>
      </c>
      <c r="C1245" s="10" t="s">
        <v>7664</v>
      </c>
      <c r="D1245" s="10" t="s">
        <v>4471</v>
      </c>
      <c r="E1245" s="5">
        <v>12037.0</v>
      </c>
      <c r="F1245" s="5" t="s">
        <v>4472</v>
      </c>
      <c r="G1245" s="5" t="s">
        <v>4473</v>
      </c>
      <c r="H1245" s="5" t="s">
        <v>4474</v>
      </c>
      <c r="I1245" s="5" t="s">
        <v>49</v>
      </c>
      <c r="J1245" s="5" t="s">
        <v>1746</v>
      </c>
      <c r="K1245" s="5">
        <v>1.0</v>
      </c>
      <c r="L1245" s="5">
        <v>14093.0</v>
      </c>
      <c r="M1245" s="8"/>
      <c r="N1245" s="11"/>
      <c r="O1245" s="11"/>
      <c r="P1245" s="11"/>
      <c r="Q1245" s="22"/>
      <c r="R1245" s="11"/>
      <c r="S1245" s="11"/>
      <c r="T1245" s="11"/>
      <c r="U1245" s="11"/>
      <c r="V1245" s="11"/>
      <c r="W1245" s="23"/>
      <c r="X1245" s="11"/>
      <c r="AK1245" s="9"/>
      <c r="AO1245" s="50" t="s">
        <v>4472</v>
      </c>
      <c r="AP1245" s="50">
        <v>1260.0</v>
      </c>
      <c r="AQ1245" s="50" t="s">
        <v>1716</v>
      </c>
      <c r="AR1245" s="50" t="s">
        <v>1701</v>
      </c>
      <c r="AS1245" s="50" t="s">
        <v>1740</v>
      </c>
      <c r="AT1245" s="50" t="s">
        <v>1741</v>
      </c>
      <c r="AU1245" s="50" t="s">
        <v>1742</v>
      </c>
      <c r="AV1245" s="50" t="s">
        <v>4415</v>
      </c>
      <c r="AW1245" s="50" t="s">
        <v>2698</v>
      </c>
      <c r="AX1245" s="50" t="s">
        <v>2768</v>
      </c>
      <c r="AY1245" s="50">
        <v>50.6229</v>
      </c>
      <c r="AZ1245" s="50">
        <v>-116.0628</v>
      </c>
      <c r="BA1245" s="50">
        <v>1009.0</v>
      </c>
    </row>
    <row r="1246" ht="14.25" customHeight="1">
      <c r="A1246" s="5" t="s">
        <v>1692</v>
      </c>
      <c r="B1246" s="5">
        <v>12.0</v>
      </c>
      <c r="C1246" s="10" t="s">
        <v>7664</v>
      </c>
      <c r="D1246" s="10" t="s">
        <v>4475</v>
      </c>
      <c r="E1246" s="5">
        <v>12036.0</v>
      </c>
      <c r="F1246" s="5" t="s">
        <v>4476</v>
      </c>
      <c r="G1246" s="10" t="s">
        <v>4477</v>
      </c>
      <c r="H1246" s="5" t="s">
        <v>4474</v>
      </c>
      <c r="I1246" s="5" t="s">
        <v>49</v>
      </c>
      <c r="J1246" s="5" t="s">
        <v>1746</v>
      </c>
      <c r="K1246" s="5">
        <v>1.0</v>
      </c>
      <c r="L1246" s="5">
        <v>14094.0</v>
      </c>
      <c r="M1246" s="8"/>
      <c r="N1246" s="11"/>
      <c r="O1246" s="11"/>
      <c r="P1246" s="11"/>
      <c r="Q1246" s="22"/>
      <c r="R1246" s="11"/>
      <c r="S1246" s="11"/>
      <c r="T1246" s="11"/>
      <c r="U1246" s="11"/>
      <c r="V1246" s="11"/>
      <c r="W1246" s="23"/>
      <c r="X1246" s="11"/>
      <c r="AK1246" s="9"/>
      <c r="AO1246" s="50" t="s">
        <v>4476</v>
      </c>
      <c r="AP1246" s="50">
        <v>1261.0</v>
      </c>
      <c r="AQ1246" s="50" t="s">
        <v>1716</v>
      </c>
      <c r="AR1246" s="50" t="s">
        <v>1701</v>
      </c>
      <c r="AS1246" s="50" t="s">
        <v>1740</v>
      </c>
      <c r="AT1246" s="50" t="s">
        <v>1741</v>
      </c>
      <c r="AU1246" s="50" t="s">
        <v>1742</v>
      </c>
      <c r="AV1246" s="50" t="s">
        <v>4415</v>
      </c>
      <c r="AW1246" s="50" t="s">
        <v>2698</v>
      </c>
      <c r="AX1246" s="50" t="s">
        <v>2699</v>
      </c>
      <c r="AY1246" s="50">
        <v>51.022</v>
      </c>
      <c r="AZ1246" s="50">
        <v>-118.2072</v>
      </c>
      <c r="BA1246" s="50">
        <v>527.0</v>
      </c>
    </row>
    <row r="1247" ht="14.25" customHeight="1">
      <c r="A1247" s="5" t="s">
        <v>1692</v>
      </c>
      <c r="B1247" s="5">
        <v>12.0</v>
      </c>
      <c r="C1247" s="10" t="s">
        <v>7664</v>
      </c>
      <c r="D1247" s="10" t="s">
        <v>4478</v>
      </c>
      <c r="E1247" s="5">
        <v>12051.0</v>
      </c>
      <c r="F1247" s="5" t="s">
        <v>4479</v>
      </c>
      <c r="G1247" s="5" t="s">
        <v>4480</v>
      </c>
      <c r="H1247" s="5" t="s">
        <v>4481</v>
      </c>
      <c r="I1247" s="5" t="s">
        <v>49</v>
      </c>
      <c r="J1247" s="5" t="s">
        <v>1746</v>
      </c>
      <c r="K1247" s="5">
        <v>1.0</v>
      </c>
      <c r="L1247" s="5">
        <v>14108.0</v>
      </c>
      <c r="M1247" s="8"/>
      <c r="N1247" s="11"/>
      <c r="O1247" s="11"/>
      <c r="P1247" s="11"/>
      <c r="Q1247" s="22"/>
      <c r="R1247" s="11"/>
      <c r="S1247" s="11"/>
      <c r="T1247" s="11"/>
      <c r="U1247" s="11"/>
      <c r="V1247" s="11"/>
      <c r="W1247" s="23"/>
      <c r="X1247" s="11"/>
      <c r="AK1247" s="9"/>
      <c r="AO1247" s="50" t="s">
        <v>4479</v>
      </c>
      <c r="AP1247" s="50">
        <v>1262.0</v>
      </c>
      <c r="AQ1247" s="50" t="s">
        <v>1716</v>
      </c>
      <c r="AR1247" s="50" t="s">
        <v>1701</v>
      </c>
      <c r="AS1247" s="50" t="s">
        <v>1740</v>
      </c>
      <c r="AT1247" s="50" t="s">
        <v>1741</v>
      </c>
      <c r="AU1247" s="50" t="s">
        <v>1742</v>
      </c>
      <c r="AV1247" s="50" t="s">
        <v>4415</v>
      </c>
      <c r="AW1247" s="50" t="s">
        <v>2698</v>
      </c>
      <c r="AX1247" s="50" t="s">
        <v>2699</v>
      </c>
      <c r="AY1247" s="50">
        <v>51.0253</v>
      </c>
      <c r="AZ1247" s="50">
        <v>-118.1514</v>
      </c>
      <c r="BA1247" s="50">
        <v>1561.0</v>
      </c>
    </row>
    <row r="1248" ht="14.25" customHeight="1">
      <c r="A1248" s="5" t="s">
        <v>1692</v>
      </c>
      <c r="B1248" s="5">
        <v>12.0</v>
      </c>
      <c r="C1248" s="10" t="s">
        <v>7664</v>
      </c>
      <c r="D1248" s="10" t="s">
        <v>4482</v>
      </c>
      <c r="E1248" s="5">
        <v>12038.0</v>
      </c>
      <c r="F1248" s="5" t="s">
        <v>4483</v>
      </c>
      <c r="G1248" s="10" t="s">
        <v>4484</v>
      </c>
      <c r="H1248" s="5" t="s">
        <v>4474</v>
      </c>
      <c r="I1248" s="5" t="s">
        <v>49</v>
      </c>
      <c r="J1248" s="5" t="s">
        <v>1746</v>
      </c>
      <c r="K1248" s="5">
        <v>1.0</v>
      </c>
      <c r="L1248" s="5">
        <v>14095.0</v>
      </c>
      <c r="M1248" s="8"/>
      <c r="N1248" s="11"/>
      <c r="O1248" s="11"/>
      <c r="P1248" s="11"/>
      <c r="Q1248" s="22"/>
      <c r="R1248" s="11"/>
      <c r="S1248" s="11"/>
      <c r="T1248" s="11"/>
      <c r="U1248" s="11"/>
      <c r="V1248" s="11"/>
      <c r="W1248" s="23"/>
      <c r="X1248" s="11"/>
      <c r="AK1248" s="9"/>
      <c r="AO1248" s="50" t="s">
        <v>4483</v>
      </c>
      <c r="AP1248" s="50">
        <v>1263.0</v>
      </c>
      <c r="AQ1248" s="50" t="s">
        <v>1716</v>
      </c>
      <c r="AR1248" s="50" t="s">
        <v>1701</v>
      </c>
      <c r="AS1248" s="50" t="s">
        <v>1740</v>
      </c>
      <c r="AT1248" s="50" t="s">
        <v>1741</v>
      </c>
      <c r="AU1248" s="50" t="s">
        <v>1742</v>
      </c>
      <c r="AV1248" s="50" t="s">
        <v>4415</v>
      </c>
      <c r="AW1248" s="50" t="s">
        <v>2698</v>
      </c>
      <c r="AX1248" s="50" t="s">
        <v>2699</v>
      </c>
      <c r="AY1248" s="50">
        <v>51.2344</v>
      </c>
      <c r="AZ1248" s="50">
        <v>-117.681</v>
      </c>
      <c r="BA1248" s="50">
        <v>1308.0</v>
      </c>
    </row>
    <row r="1249" ht="14.25" customHeight="1">
      <c r="A1249" s="5" t="s">
        <v>1692</v>
      </c>
      <c r="B1249" s="5">
        <v>12.0</v>
      </c>
      <c r="C1249" s="10" t="s">
        <v>7664</v>
      </c>
      <c r="D1249" s="10" t="s">
        <v>4485</v>
      </c>
      <c r="E1249" s="5">
        <v>12039.0</v>
      </c>
      <c r="F1249" s="5" t="s">
        <v>4486</v>
      </c>
      <c r="G1249" s="10" t="s">
        <v>4487</v>
      </c>
      <c r="H1249" s="5" t="s">
        <v>4474</v>
      </c>
      <c r="I1249" s="5" t="s">
        <v>49</v>
      </c>
      <c r="J1249" s="5" t="s">
        <v>1746</v>
      </c>
      <c r="K1249" s="5">
        <v>1.0</v>
      </c>
      <c r="L1249" s="5">
        <v>14096.0</v>
      </c>
      <c r="M1249" s="8"/>
      <c r="AK1249" s="9"/>
      <c r="AO1249" s="50" t="s">
        <v>4486</v>
      </c>
      <c r="AP1249" s="50">
        <v>1264.0</v>
      </c>
      <c r="AQ1249" s="50" t="s">
        <v>1716</v>
      </c>
      <c r="AR1249" s="50" t="s">
        <v>1701</v>
      </c>
      <c r="AS1249" s="50" t="s">
        <v>1740</v>
      </c>
      <c r="AT1249" s="50" t="s">
        <v>1741</v>
      </c>
      <c r="AU1249" s="50" t="s">
        <v>1742</v>
      </c>
      <c r="AV1249" s="50" t="s">
        <v>4415</v>
      </c>
      <c r="AW1249" s="50" t="s">
        <v>2698</v>
      </c>
      <c r="AX1249" s="50" t="s">
        <v>2699</v>
      </c>
      <c r="AY1249" s="50">
        <v>51.4149</v>
      </c>
      <c r="AZ1249" s="50">
        <v>-117.4741</v>
      </c>
      <c r="BA1249" s="50">
        <v>835.0</v>
      </c>
    </row>
    <row r="1250" ht="14.25" customHeight="1">
      <c r="A1250" s="5" t="s">
        <v>1692</v>
      </c>
      <c r="B1250" s="5">
        <v>12.0</v>
      </c>
      <c r="C1250" s="10" t="s">
        <v>7664</v>
      </c>
      <c r="D1250" s="10" t="s">
        <v>4488</v>
      </c>
      <c r="E1250" s="5">
        <v>12042.0</v>
      </c>
      <c r="F1250" s="5" t="s">
        <v>4489</v>
      </c>
      <c r="G1250" s="10" t="s">
        <v>4490</v>
      </c>
      <c r="H1250" s="5" t="s">
        <v>4491</v>
      </c>
      <c r="I1250" s="5" t="s">
        <v>49</v>
      </c>
      <c r="J1250" s="5" t="s">
        <v>1746</v>
      </c>
      <c r="K1250" s="5">
        <v>1.0</v>
      </c>
      <c r="L1250" s="5">
        <v>14099.0</v>
      </c>
      <c r="M1250" s="8"/>
      <c r="AK1250" s="9"/>
      <c r="AO1250" s="50" t="s">
        <v>4489</v>
      </c>
      <c r="AP1250" s="50">
        <v>1265.0</v>
      </c>
      <c r="AQ1250" s="50" t="s">
        <v>1716</v>
      </c>
      <c r="AR1250" s="50" t="s">
        <v>1701</v>
      </c>
      <c r="AS1250" s="50" t="s">
        <v>1740</v>
      </c>
      <c r="AT1250" s="50" t="s">
        <v>1741</v>
      </c>
      <c r="AU1250" s="50" t="s">
        <v>1742</v>
      </c>
      <c r="AV1250" s="50" t="s">
        <v>4415</v>
      </c>
      <c r="AW1250" s="50" t="s">
        <v>2698</v>
      </c>
      <c r="AX1250" s="50" t="s">
        <v>2699</v>
      </c>
      <c r="AY1250" s="50">
        <v>51.3145</v>
      </c>
      <c r="AZ1250" s="50">
        <v>-117.3741</v>
      </c>
      <c r="BA1250" s="50">
        <v>1638.0</v>
      </c>
    </row>
    <row r="1251" ht="14.25" customHeight="1">
      <c r="A1251" s="5" t="s">
        <v>422</v>
      </c>
      <c r="B1251" s="5">
        <v>12.0</v>
      </c>
      <c r="C1251" s="5" t="s">
        <v>7666</v>
      </c>
      <c r="D1251" s="5">
        <v>1266.0</v>
      </c>
      <c r="E1251" s="5">
        <v>12025.0</v>
      </c>
      <c r="F1251" s="18" t="s">
        <v>4492</v>
      </c>
      <c r="G1251" s="5" t="s">
        <v>4493</v>
      </c>
      <c r="H1251" s="5" t="s">
        <v>4494</v>
      </c>
      <c r="I1251" s="5" t="s">
        <v>49</v>
      </c>
      <c r="J1251" s="5" t="s">
        <v>1746</v>
      </c>
      <c r="K1251" s="5">
        <v>1.0</v>
      </c>
      <c r="L1251" s="5">
        <v>14082.0</v>
      </c>
      <c r="M1251" s="8"/>
      <c r="AK1251" s="9"/>
      <c r="AO1251" s="5" t="s">
        <v>4492</v>
      </c>
      <c r="AP1251" s="5">
        <v>1266.0</v>
      </c>
      <c r="AQ1251" s="5" t="s">
        <v>1716</v>
      </c>
      <c r="AR1251" s="5" t="s">
        <v>1717</v>
      </c>
      <c r="AS1251" s="5" t="s">
        <v>1740</v>
      </c>
      <c r="AT1251" s="5" t="s">
        <v>1835</v>
      </c>
      <c r="AU1251" s="5" t="s">
        <v>1742</v>
      </c>
      <c r="AV1251" s="5" t="s">
        <v>1720</v>
      </c>
      <c r="AW1251" s="5" t="s">
        <v>2368</v>
      </c>
      <c r="AX1251" s="5" t="s">
        <v>2401</v>
      </c>
      <c r="AY1251" s="5">
        <v>51.5401</v>
      </c>
      <c r="AZ1251" s="5">
        <v>-119.3947</v>
      </c>
      <c r="BA1251" s="5">
        <v>1518.0</v>
      </c>
    </row>
    <row r="1252" ht="14.25" customHeight="1">
      <c r="A1252" s="5" t="s">
        <v>422</v>
      </c>
      <c r="B1252" s="5">
        <v>12.0</v>
      </c>
      <c r="C1252" s="5" t="s">
        <v>7666</v>
      </c>
      <c r="D1252" s="5">
        <v>1267.0</v>
      </c>
      <c r="E1252" s="5">
        <v>12026.0</v>
      </c>
      <c r="F1252" s="18" t="s">
        <v>4495</v>
      </c>
      <c r="G1252" s="5" t="s">
        <v>4496</v>
      </c>
      <c r="H1252" s="5" t="s">
        <v>4497</v>
      </c>
      <c r="I1252" s="5" t="s">
        <v>49</v>
      </c>
      <c r="J1252" s="5" t="s">
        <v>1746</v>
      </c>
      <c r="K1252" s="5">
        <v>1.0</v>
      </c>
      <c r="L1252" s="5">
        <v>14083.0</v>
      </c>
      <c r="M1252" s="8"/>
      <c r="AK1252" s="9"/>
      <c r="AO1252" s="67" t="s">
        <v>4495</v>
      </c>
      <c r="AP1252" s="5">
        <v>1267.0</v>
      </c>
      <c r="AQ1252" s="5" t="s">
        <v>1716</v>
      </c>
      <c r="AR1252" s="5" t="s">
        <v>1717</v>
      </c>
      <c r="AS1252" s="5" t="s">
        <v>1718</v>
      </c>
      <c r="AT1252" s="5" t="s">
        <v>1835</v>
      </c>
      <c r="AU1252" s="5" t="s">
        <v>1836</v>
      </c>
      <c r="AV1252" s="5" t="s">
        <v>1720</v>
      </c>
      <c r="AW1252" s="5" t="s">
        <v>1947</v>
      </c>
      <c r="AX1252" s="5" t="s">
        <v>1986</v>
      </c>
      <c r="AY1252" s="5">
        <v>59.8928</v>
      </c>
      <c r="AZ1252" s="5">
        <v>-129.0939</v>
      </c>
      <c r="BA1252" s="5">
        <v>866.0</v>
      </c>
    </row>
    <row r="1253" ht="14.25" customHeight="1">
      <c r="B1253" s="5">
        <v>12.0</v>
      </c>
      <c r="C1253" s="5" t="s">
        <v>7666</v>
      </c>
      <c r="D1253" s="5">
        <v>1268.0</v>
      </c>
      <c r="E1253" s="5">
        <v>12027.0</v>
      </c>
      <c r="F1253" s="5" t="s">
        <v>4498</v>
      </c>
      <c r="G1253" s="5" t="s">
        <v>4499</v>
      </c>
      <c r="H1253" s="5" t="s">
        <v>4500</v>
      </c>
      <c r="I1253" s="5" t="s">
        <v>49</v>
      </c>
      <c r="J1253" s="5" t="s">
        <v>1829</v>
      </c>
      <c r="K1253" s="5">
        <v>1.0</v>
      </c>
      <c r="L1253" s="5">
        <v>14084.0</v>
      </c>
      <c r="M1253" s="73"/>
      <c r="N1253" s="74"/>
      <c r="O1253" s="74"/>
      <c r="P1253" s="74"/>
      <c r="Q1253" s="75"/>
      <c r="R1253" s="74"/>
      <c r="S1253" s="74"/>
      <c r="T1253" s="74"/>
      <c r="U1253" s="74"/>
      <c r="V1253" s="74"/>
      <c r="W1253" s="76"/>
      <c r="X1253" s="74"/>
      <c r="AK1253" s="9"/>
      <c r="AO1253" s="5" t="s">
        <v>4498</v>
      </c>
      <c r="AP1253" s="5">
        <v>1268.0</v>
      </c>
      <c r="AQ1253" s="5" t="s">
        <v>1700</v>
      </c>
      <c r="AR1253" s="5" t="s">
        <v>1739</v>
      </c>
      <c r="AS1253" s="5" t="s">
        <v>1740</v>
      </c>
      <c r="AT1253" s="5" t="s">
        <v>1741</v>
      </c>
      <c r="AU1253" s="5" t="s">
        <v>1959</v>
      </c>
      <c r="AV1253" s="5" t="s">
        <v>1720</v>
      </c>
      <c r="AW1253" s="5" t="s">
        <v>2003</v>
      </c>
      <c r="AX1253" s="5" t="s">
        <v>2258</v>
      </c>
      <c r="AY1253" s="5">
        <v>52.8597</v>
      </c>
      <c r="AZ1253" s="5">
        <v>-119.3386</v>
      </c>
      <c r="BA1253" s="5">
        <v>788.0</v>
      </c>
    </row>
    <row r="1254" ht="14.25" customHeight="1">
      <c r="A1254" s="5" t="s">
        <v>422</v>
      </c>
      <c r="B1254" s="5">
        <v>12.0</v>
      </c>
      <c r="C1254" s="5" t="s">
        <v>7666</v>
      </c>
      <c r="D1254" s="5">
        <v>1269.0</v>
      </c>
      <c r="E1254" s="5">
        <v>12028.0</v>
      </c>
      <c r="F1254" s="18" t="s">
        <v>4501</v>
      </c>
      <c r="G1254" s="5" t="s">
        <v>4502</v>
      </c>
      <c r="H1254" s="5" t="s">
        <v>4503</v>
      </c>
      <c r="I1254" s="5" t="s">
        <v>49</v>
      </c>
      <c r="J1254" s="5" t="s">
        <v>1746</v>
      </c>
      <c r="K1254" s="5">
        <v>1.0</v>
      </c>
      <c r="L1254" s="5">
        <v>14085.0</v>
      </c>
      <c r="M1254" s="8"/>
      <c r="AK1254" s="9"/>
      <c r="AO1254" s="67" t="s">
        <v>4501</v>
      </c>
      <c r="AP1254" s="5">
        <v>1269.0</v>
      </c>
      <c r="AQ1254" s="5" t="s">
        <v>1716</v>
      </c>
      <c r="AR1254" s="5" t="s">
        <v>1717</v>
      </c>
      <c r="AS1254" s="5" t="s">
        <v>1718</v>
      </c>
      <c r="AT1254" s="5" t="s">
        <v>1835</v>
      </c>
      <c r="AU1254" s="5" t="s">
        <v>1836</v>
      </c>
      <c r="AV1254" s="5" t="s">
        <v>1720</v>
      </c>
      <c r="AW1254" s="5" t="s">
        <v>2368</v>
      </c>
      <c r="AX1254" s="5" t="s">
        <v>2505</v>
      </c>
      <c r="AY1254" s="5">
        <v>50.1889</v>
      </c>
      <c r="AZ1254" s="5">
        <v>-121.6</v>
      </c>
      <c r="BA1254" s="5">
        <v>636.0</v>
      </c>
    </row>
    <row r="1255" ht="14.25" customHeight="1">
      <c r="A1255" s="5" t="s">
        <v>88</v>
      </c>
      <c r="B1255" s="5">
        <v>12.0</v>
      </c>
      <c r="C1255" s="5" t="s">
        <v>7666</v>
      </c>
      <c r="D1255" s="5">
        <v>1270.0</v>
      </c>
      <c r="E1255" s="5">
        <v>12029.0</v>
      </c>
      <c r="F1255" s="5" t="s">
        <v>4504</v>
      </c>
      <c r="G1255" s="10" t="s">
        <v>4505</v>
      </c>
      <c r="H1255" s="5" t="s">
        <v>4506</v>
      </c>
      <c r="I1255" s="5" t="s">
        <v>49</v>
      </c>
      <c r="J1255" s="5" t="s">
        <v>1891</v>
      </c>
      <c r="K1255" s="5">
        <v>1.0</v>
      </c>
      <c r="L1255" s="5">
        <v>14086.0</v>
      </c>
      <c r="M1255" s="8">
        <v>59.8928</v>
      </c>
      <c r="N1255" s="11">
        <v>-129.09333</v>
      </c>
      <c r="O1255" s="11" t="s">
        <v>1577</v>
      </c>
      <c r="P1255" s="11">
        <v>1270.0</v>
      </c>
      <c r="Q1255" s="22">
        <v>2.0</v>
      </c>
      <c r="R1255" s="11" t="s">
        <v>4504</v>
      </c>
      <c r="S1255" s="11" t="s">
        <v>1737</v>
      </c>
      <c r="T1255" s="11">
        <v>866.0</v>
      </c>
      <c r="U1255" s="11"/>
      <c r="V1255" s="11"/>
      <c r="W1255" s="11"/>
      <c r="X1255" s="11" t="s">
        <v>1738</v>
      </c>
      <c r="AK1255" s="9"/>
      <c r="AO1255" s="5" t="s">
        <v>4504</v>
      </c>
      <c r="AP1255" s="5">
        <v>1270.0</v>
      </c>
      <c r="AQ1255" s="5" t="s">
        <v>1716</v>
      </c>
      <c r="AR1255" s="5" t="s">
        <v>1739</v>
      </c>
      <c r="AS1255" s="5" t="s">
        <v>1740</v>
      </c>
      <c r="AT1255" s="5" t="s">
        <v>1741</v>
      </c>
      <c r="AU1255" s="5" t="s">
        <v>1742</v>
      </c>
      <c r="AV1255" s="5" t="s">
        <v>1720</v>
      </c>
      <c r="AW1255" s="5" t="s">
        <v>1947</v>
      </c>
      <c r="AX1255" s="5" t="s">
        <v>1986</v>
      </c>
      <c r="AY1255" s="5">
        <v>59.8929</v>
      </c>
      <c r="AZ1255" s="5">
        <v>-129.0939</v>
      </c>
      <c r="BA1255" s="5">
        <v>866.0</v>
      </c>
    </row>
    <row r="1256" ht="14.25" customHeight="1">
      <c r="A1256" s="5" t="s">
        <v>422</v>
      </c>
      <c r="B1256" s="5">
        <v>12.0</v>
      </c>
      <c r="C1256" s="5" t="s">
        <v>7666</v>
      </c>
      <c r="D1256" s="5">
        <v>1272.0</v>
      </c>
      <c r="E1256" s="5">
        <v>12030.0</v>
      </c>
      <c r="F1256" s="18" t="s">
        <v>4507</v>
      </c>
      <c r="G1256" s="5" t="s">
        <v>4508</v>
      </c>
      <c r="H1256" s="5" t="s">
        <v>4509</v>
      </c>
      <c r="I1256" s="5" t="s">
        <v>49</v>
      </c>
      <c r="J1256" s="5" t="s">
        <v>1746</v>
      </c>
      <c r="K1256" s="5">
        <v>1.0</v>
      </c>
      <c r="L1256" s="5">
        <v>14087.0</v>
      </c>
      <c r="M1256" s="8"/>
      <c r="AK1256" s="9"/>
      <c r="AO1256" s="67" t="s">
        <v>4507</v>
      </c>
      <c r="AP1256" s="5">
        <v>1272.0</v>
      </c>
      <c r="AQ1256" s="5" t="s">
        <v>1716</v>
      </c>
      <c r="AR1256" s="5" t="s">
        <v>1717</v>
      </c>
      <c r="AS1256" s="5" t="s">
        <v>1718</v>
      </c>
      <c r="AT1256" s="5" t="s">
        <v>1835</v>
      </c>
      <c r="AU1256" s="5" t="s">
        <v>1836</v>
      </c>
      <c r="AV1256" s="5" t="s">
        <v>1720</v>
      </c>
      <c r="AW1256" s="5" t="s">
        <v>2368</v>
      </c>
      <c r="AX1256" s="5" t="s">
        <v>2505</v>
      </c>
      <c r="AY1256" s="5">
        <v>50.9616</v>
      </c>
      <c r="AZ1256" s="5">
        <v>-122.2504</v>
      </c>
      <c r="BA1256" s="5">
        <v>1347.0</v>
      </c>
    </row>
    <row r="1257" ht="14.25" customHeight="1">
      <c r="A1257" s="5" t="s">
        <v>422</v>
      </c>
      <c r="B1257" s="5">
        <v>12.0</v>
      </c>
      <c r="C1257" s="5" t="s">
        <v>7666</v>
      </c>
      <c r="D1257" s="5">
        <v>1273.0</v>
      </c>
      <c r="E1257" s="5">
        <v>12031.0</v>
      </c>
      <c r="F1257" s="18" t="s">
        <v>4510</v>
      </c>
      <c r="G1257" s="5" t="s">
        <v>4511</v>
      </c>
      <c r="H1257" s="5" t="s">
        <v>4512</v>
      </c>
      <c r="I1257" s="5" t="s">
        <v>49</v>
      </c>
      <c r="J1257" s="5" t="s">
        <v>1746</v>
      </c>
      <c r="K1257" s="5">
        <v>1.0</v>
      </c>
      <c r="L1257" s="5">
        <v>14088.0</v>
      </c>
      <c r="M1257" s="8"/>
      <c r="AK1257" s="9"/>
      <c r="AO1257" s="67" t="s">
        <v>4510</v>
      </c>
      <c r="AP1257" s="5">
        <v>1273.0</v>
      </c>
      <c r="AQ1257" s="5" t="s">
        <v>1716</v>
      </c>
      <c r="AR1257" s="5" t="s">
        <v>1717</v>
      </c>
      <c r="AS1257" s="5" t="s">
        <v>1718</v>
      </c>
      <c r="AT1257" s="5" t="s">
        <v>1835</v>
      </c>
      <c r="AU1257" s="5" t="s">
        <v>1836</v>
      </c>
      <c r="AV1257" s="5" t="s">
        <v>1720</v>
      </c>
      <c r="AW1257" s="5" t="s">
        <v>2698</v>
      </c>
      <c r="AX1257" s="5" t="s">
        <v>2801</v>
      </c>
      <c r="AY1257" s="5">
        <v>49.898</v>
      </c>
      <c r="AZ1257" s="5">
        <v>-117.0887</v>
      </c>
      <c r="BA1257" s="5">
        <v>1250.0</v>
      </c>
    </row>
    <row r="1258" ht="14.25" customHeight="1">
      <c r="A1258" s="5" t="s">
        <v>422</v>
      </c>
      <c r="B1258" s="5">
        <v>12.0</v>
      </c>
      <c r="C1258" s="5" t="s">
        <v>7666</v>
      </c>
      <c r="D1258" s="5">
        <v>1274.0</v>
      </c>
      <c r="E1258" s="5">
        <v>12032.0</v>
      </c>
      <c r="F1258" s="5" t="s">
        <v>4513</v>
      </c>
      <c r="G1258" s="5" t="s">
        <v>4514</v>
      </c>
      <c r="H1258" s="5" t="s">
        <v>4515</v>
      </c>
      <c r="I1258" s="5" t="s">
        <v>49</v>
      </c>
      <c r="J1258" s="5" t="s">
        <v>1746</v>
      </c>
      <c r="K1258" s="5">
        <v>1.0</v>
      </c>
      <c r="L1258" s="5">
        <v>14089.0</v>
      </c>
      <c r="M1258" s="8"/>
      <c r="N1258" s="11"/>
      <c r="O1258" s="11"/>
      <c r="P1258" s="11"/>
      <c r="Q1258" s="22"/>
      <c r="R1258" s="11"/>
      <c r="S1258" s="11"/>
      <c r="T1258" s="11"/>
      <c r="U1258" s="11"/>
      <c r="V1258" s="11"/>
      <c r="W1258" s="23"/>
      <c r="X1258" s="11"/>
      <c r="AK1258" s="9"/>
      <c r="AO1258" s="5" t="s">
        <v>4513</v>
      </c>
      <c r="AP1258" s="5">
        <v>1274.0</v>
      </c>
      <c r="AQ1258" s="5" t="s">
        <v>1716</v>
      </c>
      <c r="AR1258" s="5" t="s">
        <v>2441</v>
      </c>
      <c r="AS1258" s="5" t="s">
        <v>1740</v>
      </c>
      <c r="AT1258" s="5" t="s">
        <v>1703</v>
      </c>
      <c r="AU1258" s="5" t="s">
        <v>1742</v>
      </c>
      <c r="AV1258" s="5" t="s">
        <v>1720</v>
      </c>
      <c r="AW1258" s="5" t="s">
        <v>1705</v>
      </c>
      <c r="AX1258" s="5" t="s">
        <v>1706</v>
      </c>
      <c r="AY1258" s="5">
        <v>49.207</v>
      </c>
      <c r="AZ1258" s="5">
        <v>-124.5668</v>
      </c>
      <c r="BA1258" s="5">
        <v>1459.0</v>
      </c>
    </row>
    <row r="1259" ht="14.25" customHeight="1">
      <c r="A1259" s="5" t="s">
        <v>422</v>
      </c>
      <c r="B1259" s="5">
        <v>12.0</v>
      </c>
      <c r="C1259" s="5" t="s">
        <v>7674</v>
      </c>
      <c r="D1259" s="5">
        <v>1275.0</v>
      </c>
      <c r="E1259" s="5">
        <v>12033.0</v>
      </c>
      <c r="F1259" s="5" t="s">
        <v>4516</v>
      </c>
      <c r="G1259" s="5" t="s">
        <v>4517</v>
      </c>
      <c r="H1259" s="5" t="s">
        <v>4518</v>
      </c>
      <c r="I1259" s="5" t="s">
        <v>49</v>
      </c>
      <c r="J1259" s="5" t="s">
        <v>1829</v>
      </c>
      <c r="K1259" s="5">
        <v>1.0</v>
      </c>
      <c r="L1259" s="5">
        <v>14090.0</v>
      </c>
      <c r="M1259" s="8">
        <v>52.1345694</v>
      </c>
      <c r="N1259" s="11">
        <v>-126.2626806</v>
      </c>
      <c r="O1259" s="11" t="s">
        <v>51</v>
      </c>
      <c r="P1259" s="16" t="s">
        <v>4519</v>
      </c>
      <c r="Q1259" s="72">
        <v>7.0</v>
      </c>
      <c r="R1259" s="11" t="s">
        <v>4520</v>
      </c>
      <c r="S1259" s="11" t="s">
        <v>4344</v>
      </c>
      <c r="T1259" s="11">
        <v>1423.0</v>
      </c>
      <c r="U1259" s="11"/>
      <c r="V1259" s="11" t="s">
        <v>4345</v>
      </c>
      <c r="W1259" s="60" t="s">
        <v>4521</v>
      </c>
      <c r="X1259" s="11" t="s">
        <v>4347</v>
      </c>
      <c r="AE1259" s="5" t="s">
        <v>4522</v>
      </c>
      <c r="AK1259" s="9"/>
      <c r="AO1259" s="5" t="s">
        <v>4516</v>
      </c>
      <c r="AP1259" s="5">
        <v>1275.0</v>
      </c>
      <c r="AQ1259" s="5" t="s">
        <v>1716</v>
      </c>
      <c r="AR1259" s="5" t="s">
        <v>1739</v>
      </c>
      <c r="AS1259" s="5" t="s">
        <v>1740</v>
      </c>
      <c r="AT1259" s="5" t="s">
        <v>1703</v>
      </c>
      <c r="AU1259" s="5" t="s">
        <v>1742</v>
      </c>
      <c r="AV1259" s="5" t="s">
        <v>1720</v>
      </c>
      <c r="AW1259" s="5" t="s">
        <v>1705</v>
      </c>
      <c r="AX1259" s="5" t="s">
        <v>1965</v>
      </c>
      <c r="AY1259" s="5">
        <v>52.1346</v>
      </c>
      <c r="AZ1259" s="5">
        <v>-126.2627</v>
      </c>
      <c r="BA1259" s="5">
        <v>1414.0</v>
      </c>
    </row>
    <row r="1260" ht="14.25" customHeight="1">
      <c r="B1260" s="5">
        <v>12.0</v>
      </c>
      <c r="C1260" s="5" t="s">
        <v>7666</v>
      </c>
      <c r="D1260" s="5">
        <v>1276.0</v>
      </c>
      <c r="E1260" s="5">
        <v>12034.0</v>
      </c>
      <c r="F1260" s="5" t="s">
        <v>4523</v>
      </c>
      <c r="G1260" s="5" t="s">
        <v>4524</v>
      </c>
      <c r="H1260" s="5" t="s">
        <v>4525</v>
      </c>
      <c r="I1260" s="5" t="s">
        <v>49</v>
      </c>
      <c r="J1260" s="5" t="s">
        <v>1829</v>
      </c>
      <c r="K1260" s="5">
        <v>1.0</v>
      </c>
      <c r="L1260" s="5">
        <v>14091.0</v>
      </c>
      <c r="M1260" s="8"/>
      <c r="AK1260" s="9"/>
      <c r="AO1260" s="5" t="s">
        <v>4523</v>
      </c>
      <c r="AP1260" s="5">
        <v>1276.0</v>
      </c>
      <c r="AQ1260" s="5" t="s">
        <v>1716</v>
      </c>
      <c r="AR1260" s="5" t="s">
        <v>1739</v>
      </c>
      <c r="AS1260" s="5" t="s">
        <v>1740</v>
      </c>
      <c r="AT1260" s="5" t="s">
        <v>1703</v>
      </c>
      <c r="AU1260" s="5" t="s">
        <v>1742</v>
      </c>
      <c r="AV1260" s="5" t="s">
        <v>1720</v>
      </c>
      <c r="AW1260" s="5" t="s">
        <v>1705</v>
      </c>
      <c r="AX1260" s="5" t="s">
        <v>1965</v>
      </c>
      <c r="AY1260" s="5">
        <v>51.6556</v>
      </c>
      <c r="AZ1260" s="5">
        <v>-126.1407</v>
      </c>
      <c r="BA1260" s="5">
        <v>1609.0</v>
      </c>
    </row>
    <row r="1261" ht="14.25" customHeight="1">
      <c r="B1261" s="5">
        <v>12.0</v>
      </c>
      <c r="C1261" s="5" t="s">
        <v>7666</v>
      </c>
      <c r="D1261" s="5">
        <v>1277.0</v>
      </c>
      <c r="E1261" s="5">
        <v>12035.0</v>
      </c>
      <c r="F1261" s="5" t="s">
        <v>4526</v>
      </c>
      <c r="G1261" s="5" t="s">
        <v>4527</v>
      </c>
      <c r="H1261" s="5" t="s">
        <v>4525</v>
      </c>
      <c r="I1261" s="5" t="s">
        <v>49</v>
      </c>
      <c r="J1261" s="5" t="s">
        <v>1891</v>
      </c>
      <c r="K1261" s="5">
        <v>1.0</v>
      </c>
      <c r="L1261" s="5">
        <v>14092.0</v>
      </c>
      <c r="M1261" s="8"/>
      <c r="AK1261" s="9"/>
      <c r="AO1261" s="5" t="s">
        <v>4526</v>
      </c>
      <c r="AP1261" s="5">
        <v>1277.0</v>
      </c>
      <c r="AQ1261" s="5" t="s">
        <v>1716</v>
      </c>
      <c r="AR1261" s="5" t="s">
        <v>1739</v>
      </c>
      <c r="AS1261" s="5" t="s">
        <v>1740</v>
      </c>
      <c r="AT1261" s="5" t="s">
        <v>1835</v>
      </c>
      <c r="AU1261" s="5" t="s">
        <v>1704</v>
      </c>
      <c r="AV1261" s="5" t="s">
        <v>1720</v>
      </c>
      <c r="AW1261" s="5" t="s">
        <v>2368</v>
      </c>
      <c r="AX1261" s="5" t="s">
        <v>2516</v>
      </c>
      <c r="AY1261" s="5">
        <v>49.8832</v>
      </c>
      <c r="AZ1261" s="5">
        <v>-119.5695</v>
      </c>
      <c r="BA1261" s="5">
        <v>650.0</v>
      </c>
    </row>
    <row r="1262" ht="14.25" customHeight="1">
      <c r="A1262" s="5" t="s">
        <v>422</v>
      </c>
      <c r="B1262" s="5">
        <v>12.0</v>
      </c>
      <c r="C1262" s="5" t="s">
        <v>7666</v>
      </c>
      <c r="D1262" s="5">
        <v>1279.0</v>
      </c>
      <c r="E1262" s="5">
        <v>12040.0</v>
      </c>
      <c r="F1262" s="18" t="s">
        <v>4528</v>
      </c>
      <c r="G1262" s="5" t="s">
        <v>4529</v>
      </c>
      <c r="H1262" s="5" t="s">
        <v>4530</v>
      </c>
      <c r="I1262" s="5" t="s">
        <v>49</v>
      </c>
      <c r="J1262" s="5" t="s">
        <v>1746</v>
      </c>
      <c r="K1262" s="5">
        <v>1.0</v>
      </c>
      <c r="L1262" s="5">
        <v>14097.0</v>
      </c>
      <c r="M1262" s="8"/>
      <c r="AK1262" s="9"/>
      <c r="AO1262" s="67" t="s">
        <v>4528</v>
      </c>
      <c r="AP1262" s="5">
        <v>1279.0</v>
      </c>
      <c r="AQ1262" s="5" t="s">
        <v>1716</v>
      </c>
      <c r="AR1262" s="5" t="s">
        <v>1717</v>
      </c>
      <c r="AS1262" s="5" t="s">
        <v>1718</v>
      </c>
      <c r="AT1262" s="5" t="s">
        <v>1835</v>
      </c>
      <c r="AU1262" s="5" t="s">
        <v>1836</v>
      </c>
      <c r="AV1262" s="5" t="s">
        <v>1720</v>
      </c>
      <c r="AW1262" s="5" t="s">
        <v>1947</v>
      </c>
      <c r="AX1262" s="5" t="s">
        <v>2148</v>
      </c>
      <c r="AY1262" s="5">
        <v>54.0417</v>
      </c>
      <c r="AZ1262" s="5">
        <v>-125.6</v>
      </c>
      <c r="BA1262" s="5">
        <v>800.0</v>
      </c>
    </row>
    <row r="1263" ht="14.25" customHeight="1">
      <c r="A1263" s="5" t="s">
        <v>422</v>
      </c>
      <c r="B1263" s="5">
        <v>12.0</v>
      </c>
      <c r="C1263" s="5" t="s">
        <v>7666</v>
      </c>
      <c r="D1263" s="5">
        <v>1280.0</v>
      </c>
      <c r="E1263" s="5">
        <v>12041.0</v>
      </c>
      <c r="F1263" s="18" t="s">
        <v>4531</v>
      </c>
      <c r="G1263" s="5" t="s">
        <v>4532</v>
      </c>
      <c r="H1263" s="5" t="s">
        <v>4533</v>
      </c>
      <c r="I1263" s="5" t="s">
        <v>49</v>
      </c>
      <c r="J1263" s="5" t="s">
        <v>1746</v>
      </c>
      <c r="K1263" s="5">
        <v>1.0</v>
      </c>
      <c r="L1263" s="5">
        <v>14098.0</v>
      </c>
      <c r="M1263" s="8"/>
      <c r="AK1263" s="9"/>
      <c r="AO1263" s="67" t="s">
        <v>4531</v>
      </c>
      <c r="AP1263" s="5">
        <v>1280.0</v>
      </c>
      <c r="AQ1263" s="5" t="s">
        <v>1716</v>
      </c>
      <c r="AR1263" s="5" t="s">
        <v>1717</v>
      </c>
      <c r="AS1263" s="5" t="s">
        <v>1718</v>
      </c>
      <c r="AT1263" s="5" t="s">
        <v>1835</v>
      </c>
      <c r="AU1263" s="5" t="s">
        <v>1836</v>
      </c>
      <c r="AV1263" s="5" t="s">
        <v>1720</v>
      </c>
      <c r="AW1263" s="5" t="s">
        <v>2698</v>
      </c>
      <c r="AX1263" s="5" t="s">
        <v>2801</v>
      </c>
      <c r="AY1263" s="5">
        <v>50.4747</v>
      </c>
      <c r="AZ1263" s="5">
        <v>-117.1998</v>
      </c>
      <c r="BA1263" s="5">
        <v>773.0</v>
      </c>
    </row>
    <row r="1264" ht="14.25" customHeight="1">
      <c r="B1264" s="5">
        <v>12.0</v>
      </c>
      <c r="C1264" s="5" t="s">
        <v>7666</v>
      </c>
      <c r="D1264" s="5">
        <v>1281.0</v>
      </c>
      <c r="E1264" s="5">
        <v>12429.0</v>
      </c>
      <c r="F1264" s="18" t="s">
        <v>4534</v>
      </c>
      <c r="G1264" s="5" t="s">
        <v>4535</v>
      </c>
      <c r="H1264" s="5" t="s">
        <v>4536</v>
      </c>
      <c r="I1264" s="5" t="s">
        <v>49</v>
      </c>
      <c r="J1264" s="5" t="s">
        <v>1746</v>
      </c>
      <c r="K1264" s="5">
        <v>1.0</v>
      </c>
      <c r="L1264" s="5">
        <v>14451.0</v>
      </c>
      <c r="M1264" s="8"/>
      <c r="AK1264" s="9"/>
      <c r="AO1264" s="67" t="s">
        <v>4534</v>
      </c>
      <c r="AP1264" s="5">
        <v>1281.0</v>
      </c>
      <c r="AQ1264" s="5" t="s">
        <v>1716</v>
      </c>
      <c r="AR1264" s="5" t="s">
        <v>1717</v>
      </c>
      <c r="AS1264" s="5" t="s">
        <v>2257</v>
      </c>
      <c r="AT1264" s="5" t="s">
        <v>1835</v>
      </c>
      <c r="AU1264" s="5" t="s">
        <v>1836</v>
      </c>
      <c r="AV1264" s="5" t="s">
        <v>1720</v>
      </c>
      <c r="AW1264" s="5" t="s">
        <v>2698</v>
      </c>
      <c r="AX1264" s="5" t="s">
        <v>2801</v>
      </c>
      <c r="AY1264" s="5">
        <v>50.291</v>
      </c>
      <c r="AZ1264" s="5">
        <v>-116.899</v>
      </c>
      <c r="BA1264" s="5">
        <v>795.0</v>
      </c>
    </row>
    <row r="1265" ht="14.25" customHeight="1">
      <c r="B1265" s="5">
        <v>12.0</v>
      </c>
      <c r="C1265" s="5" t="s">
        <v>7666</v>
      </c>
      <c r="D1265" s="5">
        <v>1282.0</v>
      </c>
      <c r="E1265" s="5">
        <v>12043.0</v>
      </c>
      <c r="F1265" s="18" t="s">
        <v>4537</v>
      </c>
      <c r="G1265" s="5" t="s">
        <v>4538</v>
      </c>
      <c r="H1265" s="5" t="s">
        <v>4539</v>
      </c>
      <c r="I1265" s="5" t="s">
        <v>49</v>
      </c>
      <c r="J1265" s="5" t="s">
        <v>1746</v>
      </c>
      <c r="K1265" s="5">
        <v>1.0</v>
      </c>
      <c r="L1265" s="5">
        <v>14100.0</v>
      </c>
      <c r="M1265" s="8"/>
      <c r="AK1265" s="9"/>
      <c r="AO1265" s="29" t="s">
        <v>4537</v>
      </c>
      <c r="AP1265" s="5">
        <v>1282.0</v>
      </c>
      <c r="AQ1265" s="5" t="s">
        <v>1716</v>
      </c>
      <c r="AR1265" s="5" t="s">
        <v>2441</v>
      </c>
      <c r="AS1265" s="5" t="s">
        <v>1740</v>
      </c>
      <c r="AT1265" s="5" t="s">
        <v>1835</v>
      </c>
      <c r="AU1265" s="5" t="s">
        <v>1742</v>
      </c>
      <c r="AV1265" s="5" t="s">
        <v>1720</v>
      </c>
      <c r="AW1265" s="5" t="s">
        <v>1705</v>
      </c>
      <c r="AX1265" s="5" t="s">
        <v>1747</v>
      </c>
      <c r="AY1265" s="5">
        <v>48.7728</v>
      </c>
      <c r="AZ1265" s="5">
        <v>-123.4747</v>
      </c>
      <c r="BA1265" s="5">
        <v>18.0</v>
      </c>
    </row>
    <row r="1266" ht="14.25" customHeight="1">
      <c r="A1266" s="5" t="s">
        <v>88</v>
      </c>
      <c r="B1266" s="5">
        <v>12.0</v>
      </c>
      <c r="C1266" s="5" t="s">
        <v>7666</v>
      </c>
      <c r="D1266" s="5">
        <v>1283.0</v>
      </c>
      <c r="E1266" s="5">
        <v>12044.0</v>
      </c>
      <c r="F1266" s="5" t="s">
        <v>4540</v>
      </c>
      <c r="G1266" s="10" t="s">
        <v>4541</v>
      </c>
      <c r="H1266" s="5" t="s">
        <v>4542</v>
      </c>
      <c r="I1266" s="5" t="s">
        <v>49</v>
      </c>
      <c r="J1266" s="5" t="s">
        <v>1891</v>
      </c>
      <c r="K1266" s="5">
        <v>1.0</v>
      </c>
      <c r="L1266" s="5">
        <v>14101.0</v>
      </c>
      <c r="M1266" s="8">
        <v>50.0825056</v>
      </c>
      <c r="N1266" s="5">
        <v>-123.0412722</v>
      </c>
      <c r="O1266" s="5" t="s">
        <v>51</v>
      </c>
      <c r="P1266" s="5">
        <v>1283.0</v>
      </c>
      <c r="Q1266" s="5">
        <v>4.0</v>
      </c>
      <c r="R1266" s="5" t="s">
        <v>4540</v>
      </c>
      <c r="S1266" s="5" t="s">
        <v>1737</v>
      </c>
      <c r="T1266" s="5">
        <v>595.0</v>
      </c>
      <c r="X1266" s="5" t="s">
        <v>1738</v>
      </c>
      <c r="AK1266" s="9"/>
      <c r="AO1266" s="5" t="s">
        <v>4540</v>
      </c>
      <c r="AP1266" s="5">
        <v>1283.0</v>
      </c>
      <c r="AQ1266" s="5" t="s">
        <v>1700</v>
      </c>
      <c r="AR1266" s="5" t="s">
        <v>1739</v>
      </c>
      <c r="AS1266" s="5" t="s">
        <v>1740</v>
      </c>
      <c r="AT1266" s="5" t="s">
        <v>1741</v>
      </c>
      <c r="AU1266" s="5" t="s">
        <v>1742</v>
      </c>
      <c r="AV1266" s="5" t="s">
        <v>1720</v>
      </c>
      <c r="AW1266" s="5" t="s">
        <v>1705</v>
      </c>
      <c r="AX1266" s="5" t="s">
        <v>1879</v>
      </c>
      <c r="AY1266" s="5">
        <v>50.0835</v>
      </c>
      <c r="AZ1266" s="5">
        <v>-123.0475</v>
      </c>
      <c r="BA1266" s="5">
        <v>592.0</v>
      </c>
    </row>
    <row r="1267" ht="14.25" customHeight="1">
      <c r="A1267" s="5" t="s">
        <v>422</v>
      </c>
      <c r="B1267" s="5">
        <v>12.0</v>
      </c>
      <c r="C1267" s="5" t="s">
        <v>7666</v>
      </c>
      <c r="D1267" s="5">
        <v>1285.0</v>
      </c>
      <c r="E1267" s="5">
        <v>12046.0</v>
      </c>
      <c r="F1267" s="18" t="s">
        <v>4543</v>
      </c>
      <c r="G1267" s="5" t="s">
        <v>4544</v>
      </c>
      <c r="H1267" s="5" t="s">
        <v>4545</v>
      </c>
      <c r="I1267" s="5" t="s">
        <v>49</v>
      </c>
      <c r="J1267" s="5" t="s">
        <v>1746</v>
      </c>
      <c r="K1267" s="5">
        <v>1.0</v>
      </c>
      <c r="L1267" s="5">
        <v>14103.0</v>
      </c>
      <c r="M1267" s="8"/>
      <c r="AK1267" s="9"/>
      <c r="AO1267" s="5" t="s">
        <v>4543</v>
      </c>
      <c r="AP1267" s="5">
        <v>1285.0</v>
      </c>
      <c r="AQ1267" s="5" t="s">
        <v>1716</v>
      </c>
      <c r="AR1267" s="5" t="s">
        <v>1717</v>
      </c>
      <c r="AS1267" s="5" t="s">
        <v>1718</v>
      </c>
      <c r="AT1267" s="5" t="s">
        <v>1841</v>
      </c>
      <c r="AU1267" s="5" t="s">
        <v>1836</v>
      </c>
      <c r="AW1267" s="5" t="s">
        <v>2368</v>
      </c>
      <c r="AX1267" s="5" t="s">
        <v>2516</v>
      </c>
      <c r="AY1267" s="5">
        <v>49.7383</v>
      </c>
      <c r="AZ1267" s="5">
        <v>-120.0669</v>
      </c>
      <c r="BA1267" s="5">
        <v>1397.0</v>
      </c>
    </row>
    <row r="1268" ht="14.25" customHeight="1">
      <c r="A1268" s="5" t="s">
        <v>422</v>
      </c>
      <c r="B1268" s="5">
        <v>12.0</v>
      </c>
      <c r="C1268" s="5" t="s">
        <v>7666</v>
      </c>
      <c r="D1268" s="5">
        <v>1288.0</v>
      </c>
      <c r="E1268" s="5">
        <v>12045.0</v>
      </c>
      <c r="F1268" s="18" t="s">
        <v>4546</v>
      </c>
      <c r="G1268" s="5" t="s">
        <v>4547</v>
      </c>
      <c r="H1268" s="5" t="s">
        <v>4548</v>
      </c>
      <c r="I1268" s="5" t="s">
        <v>49</v>
      </c>
      <c r="J1268" s="5" t="s">
        <v>1746</v>
      </c>
      <c r="K1268" s="5">
        <v>1.0</v>
      </c>
      <c r="L1268" s="5">
        <v>14102.0</v>
      </c>
      <c r="M1268" s="8"/>
      <c r="AK1268" s="9"/>
      <c r="AO1268" s="67" t="s">
        <v>4546</v>
      </c>
      <c r="AP1268" s="5">
        <v>1288.0</v>
      </c>
      <c r="AQ1268" s="5" t="s">
        <v>1716</v>
      </c>
      <c r="AR1268" s="5" t="s">
        <v>1717</v>
      </c>
      <c r="AS1268" s="5" t="s">
        <v>1718</v>
      </c>
      <c r="AT1268" s="5" t="s">
        <v>1835</v>
      </c>
      <c r="AU1268" s="5" t="s">
        <v>1836</v>
      </c>
      <c r="AV1268" s="5" t="s">
        <v>1720</v>
      </c>
      <c r="AW1268" s="5" t="s">
        <v>2193</v>
      </c>
      <c r="AX1268" s="5" t="s">
        <v>2291</v>
      </c>
      <c r="AY1268" s="5">
        <v>52.0159</v>
      </c>
      <c r="AZ1268" s="5">
        <v>-122.9137</v>
      </c>
      <c r="BA1268" s="5">
        <v>1252.0</v>
      </c>
    </row>
    <row r="1269" ht="14.25" customHeight="1">
      <c r="A1269" s="5" t="s">
        <v>88</v>
      </c>
      <c r="B1269" s="5">
        <v>12.0</v>
      </c>
      <c r="C1269" s="5" t="s">
        <v>7666</v>
      </c>
      <c r="D1269" s="5">
        <v>1289.0</v>
      </c>
      <c r="E1269" s="5">
        <v>12048.0</v>
      </c>
      <c r="F1269" s="18" t="s">
        <v>4549</v>
      </c>
      <c r="G1269" s="10" t="s">
        <v>4550</v>
      </c>
      <c r="H1269" s="5" t="s">
        <v>4551</v>
      </c>
      <c r="I1269" s="5" t="s">
        <v>49</v>
      </c>
      <c r="J1269" s="5" t="s">
        <v>1746</v>
      </c>
      <c r="K1269" s="5">
        <v>1.0</v>
      </c>
      <c r="L1269" s="5">
        <v>14105.0</v>
      </c>
      <c r="M1269" s="8"/>
      <c r="AK1269" s="9"/>
      <c r="AO1269" s="67" t="s">
        <v>4549</v>
      </c>
      <c r="AP1269" s="5">
        <v>1289.0</v>
      </c>
      <c r="AQ1269" s="5" t="s">
        <v>1716</v>
      </c>
      <c r="AR1269" s="5" t="s">
        <v>1717</v>
      </c>
      <c r="AS1269" s="5" t="s">
        <v>1718</v>
      </c>
      <c r="AT1269" s="5" t="s">
        <v>1835</v>
      </c>
      <c r="AU1269" s="5" t="s">
        <v>1836</v>
      </c>
      <c r="AV1269" s="5" t="s">
        <v>1720</v>
      </c>
      <c r="AW1269" s="5" t="s">
        <v>2698</v>
      </c>
      <c r="AX1269" s="5" t="s">
        <v>2801</v>
      </c>
      <c r="AY1269" s="5">
        <v>49.6946</v>
      </c>
      <c r="AZ1269" s="5">
        <v>-116.6974</v>
      </c>
      <c r="BA1269" s="5">
        <v>1170.0</v>
      </c>
    </row>
    <row r="1270" ht="14.25" customHeight="1">
      <c r="A1270" s="5" t="s">
        <v>422</v>
      </c>
      <c r="B1270" s="5">
        <v>12.0</v>
      </c>
      <c r="C1270" s="5" t="s">
        <v>7666</v>
      </c>
      <c r="D1270" s="5">
        <v>1291.0</v>
      </c>
      <c r="E1270" s="5">
        <v>12047.0</v>
      </c>
      <c r="F1270" s="18" t="s">
        <v>4552</v>
      </c>
      <c r="G1270" s="5" t="s">
        <v>4553</v>
      </c>
      <c r="H1270" s="5" t="s">
        <v>4554</v>
      </c>
      <c r="I1270" s="5" t="s">
        <v>49</v>
      </c>
      <c r="J1270" s="5" t="s">
        <v>1746</v>
      </c>
      <c r="K1270" s="5">
        <v>1.0</v>
      </c>
      <c r="L1270" s="5">
        <v>14104.0</v>
      </c>
      <c r="M1270" s="8"/>
      <c r="AK1270" s="9"/>
      <c r="AO1270" s="5" t="s">
        <v>4552</v>
      </c>
      <c r="AP1270" s="5">
        <v>1291.0</v>
      </c>
      <c r="AQ1270" s="5" t="s">
        <v>1716</v>
      </c>
      <c r="AR1270" s="5" t="s">
        <v>1717</v>
      </c>
      <c r="AS1270" s="5" t="s">
        <v>1740</v>
      </c>
      <c r="AT1270" s="5" t="s">
        <v>1835</v>
      </c>
      <c r="AU1270" s="5" t="s">
        <v>1742</v>
      </c>
      <c r="AV1270" s="5" t="s">
        <v>1720</v>
      </c>
      <c r="AW1270" s="5" t="s">
        <v>2368</v>
      </c>
      <c r="AX1270" s="5" t="s">
        <v>2369</v>
      </c>
      <c r="AY1270" s="5">
        <v>51.4128</v>
      </c>
      <c r="AZ1270" s="5">
        <v>-120.2239</v>
      </c>
      <c r="BA1270" s="5">
        <v>680.0</v>
      </c>
    </row>
    <row r="1271" ht="14.25" customHeight="1">
      <c r="B1271" s="5">
        <v>12.0</v>
      </c>
      <c r="C1271" s="5" t="s">
        <v>7666</v>
      </c>
      <c r="D1271" s="5">
        <v>1292.0</v>
      </c>
      <c r="E1271" s="5">
        <v>12049.0</v>
      </c>
      <c r="F1271" s="18" t="s">
        <v>4555</v>
      </c>
      <c r="G1271" s="5" t="s">
        <v>4556</v>
      </c>
      <c r="H1271" s="5" t="s">
        <v>4557</v>
      </c>
      <c r="I1271" s="5" t="s">
        <v>49</v>
      </c>
      <c r="J1271" s="5" t="s">
        <v>1746</v>
      </c>
      <c r="K1271" s="5">
        <v>1.0</v>
      </c>
      <c r="L1271" s="5">
        <v>14106.0</v>
      </c>
      <c r="M1271" s="8"/>
      <c r="AK1271" s="9"/>
      <c r="AO1271" s="5" t="s">
        <v>4555</v>
      </c>
      <c r="AP1271" s="5">
        <v>1292.0</v>
      </c>
      <c r="AQ1271" s="5" t="s">
        <v>1716</v>
      </c>
      <c r="AR1271" s="5" t="s">
        <v>1717</v>
      </c>
      <c r="AS1271" s="5" t="s">
        <v>1718</v>
      </c>
      <c r="AT1271" s="5" t="s">
        <v>1835</v>
      </c>
      <c r="AU1271" s="5" t="s">
        <v>1959</v>
      </c>
      <c r="AV1271" s="5" t="s">
        <v>1720</v>
      </c>
      <c r="AW1271" s="5" t="s">
        <v>2368</v>
      </c>
      <c r="AX1271" s="5" t="s">
        <v>2492</v>
      </c>
      <c r="AY1271" s="5">
        <v>49.5239</v>
      </c>
      <c r="AZ1271" s="5">
        <v>-120.9231</v>
      </c>
      <c r="BA1271" s="5">
        <v>1292.0</v>
      </c>
    </row>
    <row r="1272" ht="14.25" customHeight="1">
      <c r="A1272" s="5" t="s">
        <v>422</v>
      </c>
      <c r="B1272" s="5">
        <v>12.0</v>
      </c>
      <c r="C1272" s="5" t="s">
        <v>7666</v>
      </c>
      <c r="D1272" s="5">
        <v>1293.0</v>
      </c>
      <c r="E1272" s="5">
        <v>12050.0</v>
      </c>
      <c r="F1272" s="18" t="s">
        <v>4558</v>
      </c>
      <c r="G1272" s="5" t="s">
        <v>4559</v>
      </c>
      <c r="H1272" s="5" t="s">
        <v>4560</v>
      </c>
      <c r="I1272" s="5" t="s">
        <v>49</v>
      </c>
      <c r="J1272" s="5" t="s">
        <v>1746</v>
      </c>
      <c r="K1272" s="5">
        <v>1.0</v>
      </c>
      <c r="L1272" s="5">
        <v>14107.0</v>
      </c>
      <c r="M1272" s="8"/>
      <c r="AK1272" s="9"/>
      <c r="AO1272" s="5" t="s">
        <v>4558</v>
      </c>
      <c r="AP1272" s="5">
        <v>1293.0</v>
      </c>
      <c r="AQ1272" s="5" t="s">
        <v>1716</v>
      </c>
      <c r="AR1272" s="5" t="s">
        <v>1717</v>
      </c>
      <c r="AS1272" s="5" t="s">
        <v>1718</v>
      </c>
      <c r="AT1272" s="5" t="s">
        <v>1835</v>
      </c>
      <c r="AU1272" s="5" t="s">
        <v>1836</v>
      </c>
      <c r="AW1272" s="5" t="s">
        <v>2368</v>
      </c>
      <c r="AX1272" s="5" t="s">
        <v>2522</v>
      </c>
      <c r="AY1272" s="5">
        <v>50.5972</v>
      </c>
      <c r="AZ1272" s="5">
        <v>-118.4781</v>
      </c>
      <c r="BA1272" s="5">
        <v>1570.0</v>
      </c>
    </row>
    <row r="1273" ht="14.25" customHeight="1">
      <c r="B1273" s="5">
        <v>12.0</v>
      </c>
      <c r="C1273" s="5" t="s">
        <v>7666</v>
      </c>
      <c r="D1273" s="5">
        <v>1294.0</v>
      </c>
      <c r="E1273" s="5">
        <v>12052.0</v>
      </c>
      <c r="F1273" s="5" t="s">
        <v>4561</v>
      </c>
      <c r="G1273" s="5" t="s">
        <v>4562</v>
      </c>
      <c r="H1273" s="5" t="s">
        <v>4563</v>
      </c>
      <c r="I1273" s="5" t="s">
        <v>49</v>
      </c>
      <c r="J1273" s="5" t="s">
        <v>1746</v>
      </c>
      <c r="K1273" s="5">
        <v>1.0</v>
      </c>
      <c r="L1273" s="5">
        <v>14109.0</v>
      </c>
      <c r="M1273" s="8"/>
      <c r="AK1273" s="9"/>
      <c r="AO1273" s="5" t="s">
        <v>4561</v>
      </c>
      <c r="AP1273" s="5">
        <v>1294.0</v>
      </c>
      <c r="AQ1273" s="5" t="s">
        <v>1716</v>
      </c>
      <c r="AR1273" s="5" t="s">
        <v>1717</v>
      </c>
      <c r="AS1273" s="5" t="s">
        <v>2257</v>
      </c>
      <c r="AT1273" s="5" t="s">
        <v>1835</v>
      </c>
      <c r="AU1273" s="5" t="s">
        <v>2443</v>
      </c>
      <c r="AV1273" s="5" t="s">
        <v>1720</v>
      </c>
      <c r="AW1273" s="5" t="s">
        <v>1705</v>
      </c>
      <c r="AX1273" s="5" t="s">
        <v>1747</v>
      </c>
      <c r="AY1273" s="5">
        <v>48.4347</v>
      </c>
      <c r="AZ1273" s="5">
        <v>-123.3746</v>
      </c>
      <c r="BA1273" s="5">
        <v>10.0</v>
      </c>
    </row>
    <row r="1274" ht="14.25" customHeight="1">
      <c r="A1274" s="5" t="s">
        <v>422</v>
      </c>
      <c r="B1274" s="5">
        <v>12.0</v>
      </c>
      <c r="C1274" s="5" t="s">
        <v>7666</v>
      </c>
      <c r="D1274" s="5">
        <v>1299.0</v>
      </c>
      <c r="E1274" s="5">
        <v>12064.0</v>
      </c>
      <c r="F1274" s="18" t="s">
        <v>4564</v>
      </c>
      <c r="G1274" s="5" t="s">
        <v>4565</v>
      </c>
      <c r="H1274" s="5" t="s">
        <v>4566</v>
      </c>
      <c r="I1274" s="5" t="s">
        <v>49</v>
      </c>
      <c r="J1274" s="5" t="s">
        <v>1746</v>
      </c>
      <c r="K1274" s="5">
        <v>1.0</v>
      </c>
      <c r="L1274" s="5">
        <v>14120.0</v>
      </c>
      <c r="M1274" s="8"/>
      <c r="AK1274" s="9"/>
      <c r="AO1274" s="67" t="s">
        <v>4564</v>
      </c>
      <c r="AP1274" s="5">
        <v>1299.0</v>
      </c>
      <c r="AQ1274" s="5" t="s">
        <v>1716</v>
      </c>
      <c r="AR1274" s="5" t="s">
        <v>1717</v>
      </c>
      <c r="AS1274" s="5" t="s">
        <v>1718</v>
      </c>
      <c r="AT1274" s="5" t="s">
        <v>1835</v>
      </c>
      <c r="AU1274" s="5" t="s">
        <v>1836</v>
      </c>
      <c r="AV1274" s="5" t="s">
        <v>1720</v>
      </c>
      <c r="AW1274" s="5" t="s">
        <v>2368</v>
      </c>
      <c r="AX1274" s="5" t="s">
        <v>2492</v>
      </c>
      <c r="AY1274" s="5">
        <v>50.4699</v>
      </c>
      <c r="AZ1274" s="5">
        <v>-121.1948</v>
      </c>
      <c r="BA1274" s="5">
        <v>632.0</v>
      </c>
    </row>
    <row r="1275" ht="14.25" customHeight="1">
      <c r="A1275" s="5" t="s">
        <v>422</v>
      </c>
      <c r="B1275" s="5">
        <v>12.0</v>
      </c>
      <c r="C1275" s="5" t="s">
        <v>7666</v>
      </c>
      <c r="D1275" s="5">
        <v>1300.0</v>
      </c>
      <c r="E1275" s="5">
        <v>12065.0</v>
      </c>
      <c r="F1275" s="18" t="s">
        <v>4567</v>
      </c>
      <c r="G1275" s="5" t="s">
        <v>4568</v>
      </c>
      <c r="H1275" s="5" t="s">
        <v>4569</v>
      </c>
      <c r="I1275" s="5" t="s">
        <v>49</v>
      </c>
      <c r="J1275" s="5" t="s">
        <v>1746</v>
      </c>
      <c r="K1275" s="5">
        <v>1.0</v>
      </c>
      <c r="L1275" s="5">
        <v>14121.0</v>
      </c>
      <c r="M1275" s="8"/>
      <c r="AK1275" s="9"/>
      <c r="AO1275" s="67" t="s">
        <v>4567</v>
      </c>
      <c r="AP1275" s="5">
        <v>1300.0</v>
      </c>
      <c r="AQ1275" s="5" t="s">
        <v>1716</v>
      </c>
      <c r="AR1275" s="5" t="s">
        <v>1717</v>
      </c>
      <c r="AS1275" s="5" t="s">
        <v>1718</v>
      </c>
      <c r="AT1275" s="5" t="s">
        <v>1835</v>
      </c>
      <c r="AU1275" s="5" t="s">
        <v>1836</v>
      </c>
      <c r="AV1275" s="5" t="s">
        <v>1720</v>
      </c>
      <c r="AW1275" s="5" t="s">
        <v>2368</v>
      </c>
      <c r="AX1275" s="5" t="s">
        <v>2492</v>
      </c>
      <c r="AY1275" s="5">
        <v>50.4753</v>
      </c>
      <c r="AZ1275" s="5">
        <v>-121.2149</v>
      </c>
      <c r="BA1275" s="5">
        <v>1110.0</v>
      </c>
    </row>
    <row r="1276" ht="14.25" customHeight="1">
      <c r="A1276" s="5" t="s">
        <v>422</v>
      </c>
      <c r="B1276" s="5">
        <v>12.0</v>
      </c>
      <c r="C1276" s="5" t="s">
        <v>7666</v>
      </c>
      <c r="D1276" s="5">
        <v>1301.0</v>
      </c>
      <c r="E1276" s="5">
        <v>12067.0</v>
      </c>
      <c r="F1276" s="18" t="s">
        <v>4570</v>
      </c>
      <c r="G1276" s="5" t="s">
        <v>4571</v>
      </c>
      <c r="H1276" s="5" t="s">
        <v>4572</v>
      </c>
      <c r="I1276" s="5" t="s">
        <v>49</v>
      </c>
      <c r="J1276" s="5" t="s">
        <v>1746</v>
      </c>
      <c r="K1276" s="5">
        <v>1.0</v>
      </c>
      <c r="L1276" s="5">
        <v>14123.0</v>
      </c>
      <c r="M1276" s="8"/>
      <c r="AK1276" s="9"/>
      <c r="AO1276" s="67" t="s">
        <v>4570</v>
      </c>
      <c r="AP1276" s="5">
        <v>1301.0</v>
      </c>
      <c r="AQ1276" s="5" t="s">
        <v>1716</v>
      </c>
      <c r="AR1276" s="5" t="s">
        <v>1717</v>
      </c>
      <c r="AS1276" s="5" t="s">
        <v>1718</v>
      </c>
      <c r="AT1276" s="5" t="s">
        <v>1835</v>
      </c>
      <c r="AU1276" s="5" t="s">
        <v>1836</v>
      </c>
      <c r="AW1276" s="5" t="s">
        <v>2193</v>
      </c>
      <c r="AX1276" s="5" t="s">
        <v>2283</v>
      </c>
      <c r="AY1276" s="5">
        <v>51.871</v>
      </c>
      <c r="AZ1276" s="5">
        <v>-124.792</v>
      </c>
      <c r="BA1276" s="5">
        <v>1511.0</v>
      </c>
    </row>
    <row r="1277" ht="14.25" customHeight="1">
      <c r="A1277" s="5" t="s">
        <v>422</v>
      </c>
      <c r="B1277" s="5">
        <v>12.0</v>
      </c>
      <c r="C1277" s="5" t="s">
        <v>7666</v>
      </c>
      <c r="D1277" s="5">
        <v>1302.0</v>
      </c>
      <c r="E1277" s="5">
        <v>12066.0</v>
      </c>
      <c r="F1277" s="18" t="s">
        <v>4573</v>
      </c>
      <c r="G1277" s="5" t="s">
        <v>4574</v>
      </c>
      <c r="H1277" s="5" t="s">
        <v>4575</v>
      </c>
      <c r="I1277" s="5" t="s">
        <v>49</v>
      </c>
      <c r="J1277" s="5" t="s">
        <v>1746</v>
      </c>
      <c r="K1277" s="5">
        <v>1.0</v>
      </c>
      <c r="L1277" s="5">
        <v>14122.0</v>
      </c>
      <c r="M1277" s="8"/>
      <c r="AK1277" s="9"/>
      <c r="AO1277" s="67" t="s">
        <v>4573</v>
      </c>
      <c r="AP1277" s="5">
        <v>1302.0</v>
      </c>
      <c r="AQ1277" s="5" t="s">
        <v>1716</v>
      </c>
      <c r="AR1277" s="5" t="s">
        <v>1717</v>
      </c>
      <c r="AS1277" s="5" t="s">
        <v>1718</v>
      </c>
      <c r="AT1277" s="5" t="s">
        <v>1835</v>
      </c>
      <c r="AU1277" s="5" t="s">
        <v>1836</v>
      </c>
      <c r="AW1277" s="5" t="s">
        <v>2193</v>
      </c>
      <c r="AX1277" s="5" t="s">
        <v>2291</v>
      </c>
      <c r="AY1277" s="5">
        <v>52.1843</v>
      </c>
      <c r="AZ1277" s="5">
        <v>-122.0638</v>
      </c>
      <c r="BA1277" s="5">
        <v>940.0</v>
      </c>
    </row>
    <row r="1278" ht="14.25" customHeight="1">
      <c r="A1278" s="5" t="s">
        <v>422</v>
      </c>
      <c r="B1278" s="5">
        <v>12.0</v>
      </c>
      <c r="C1278" s="5" t="s">
        <v>7666</v>
      </c>
      <c r="D1278" s="5">
        <v>1303.0</v>
      </c>
      <c r="E1278" s="5">
        <v>12069.0</v>
      </c>
      <c r="F1278" s="18" t="s">
        <v>4576</v>
      </c>
      <c r="G1278" s="5" t="s">
        <v>4577</v>
      </c>
      <c r="H1278" s="5" t="s">
        <v>4578</v>
      </c>
      <c r="I1278" s="5" t="s">
        <v>49</v>
      </c>
      <c r="J1278" s="5" t="s">
        <v>1746</v>
      </c>
      <c r="K1278" s="5">
        <v>1.0</v>
      </c>
      <c r="L1278" s="5">
        <v>14125.0</v>
      </c>
      <c r="M1278" s="8"/>
      <c r="AK1278" s="9"/>
      <c r="AO1278" s="67" t="s">
        <v>4576</v>
      </c>
      <c r="AP1278" s="5">
        <v>1303.0</v>
      </c>
      <c r="AQ1278" s="5" t="s">
        <v>1716</v>
      </c>
      <c r="AR1278" s="5" t="s">
        <v>1717</v>
      </c>
      <c r="AS1278" s="5" t="s">
        <v>1718</v>
      </c>
      <c r="AT1278" s="5" t="s">
        <v>1835</v>
      </c>
      <c r="AU1278" s="5" t="s">
        <v>1836</v>
      </c>
      <c r="AV1278" s="5" t="s">
        <v>1720</v>
      </c>
      <c r="AW1278" s="5" t="s">
        <v>2193</v>
      </c>
      <c r="AX1278" s="5" t="s">
        <v>2194</v>
      </c>
      <c r="AY1278" s="5">
        <v>52.918</v>
      </c>
      <c r="AZ1278" s="5">
        <v>-123.918</v>
      </c>
      <c r="BA1278" s="5">
        <v>1114.0</v>
      </c>
    </row>
    <row r="1279" ht="14.25" customHeight="1">
      <c r="A1279" s="5" t="s">
        <v>422</v>
      </c>
      <c r="B1279" s="5">
        <v>12.0</v>
      </c>
      <c r="C1279" s="5" t="s">
        <v>7666</v>
      </c>
      <c r="D1279" s="5">
        <v>1304.0</v>
      </c>
      <c r="E1279" s="5">
        <v>12070.0</v>
      </c>
      <c r="F1279" s="18" t="s">
        <v>4579</v>
      </c>
      <c r="G1279" s="5" t="s">
        <v>4580</v>
      </c>
      <c r="H1279" s="5" t="s">
        <v>4581</v>
      </c>
      <c r="I1279" s="5" t="s">
        <v>49</v>
      </c>
      <c r="J1279" s="5" t="s">
        <v>1746</v>
      </c>
      <c r="K1279" s="5">
        <v>1.0</v>
      </c>
      <c r="L1279" s="5">
        <v>14126.0</v>
      </c>
      <c r="M1279" s="8"/>
      <c r="AK1279" s="9"/>
      <c r="AO1279" s="67" t="s">
        <v>4579</v>
      </c>
      <c r="AP1279" s="5">
        <v>1304.0</v>
      </c>
      <c r="AQ1279" s="5" t="s">
        <v>1716</v>
      </c>
      <c r="AR1279" s="5" t="s">
        <v>1717</v>
      </c>
      <c r="AS1279" s="5" t="s">
        <v>1718</v>
      </c>
      <c r="AT1279" s="5" t="s">
        <v>1835</v>
      </c>
      <c r="AU1279" s="5" t="s">
        <v>1836</v>
      </c>
      <c r="AW1279" s="5" t="s">
        <v>2193</v>
      </c>
      <c r="AX1279" s="5" t="s">
        <v>2194</v>
      </c>
      <c r="AY1279" s="5">
        <v>52.6785</v>
      </c>
      <c r="AZ1279" s="5">
        <v>-122.8884</v>
      </c>
      <c r="BA1279" s="5">
        <v>1200.0</v>
      </c>
    </row>
    <row r="1280" ht="14.25" customHeight="1">
      <c r="A1280" s="5" t="s">
        <v>422</v>
      </c>
      <c r="B1280" s="5">
        <v>12.0</v>
      </c>
      <c r="C1280" s="5" t="s">
        <v>7666</v>
      </c>
      <c r="D1280" s="5">
        <v>1305.0</v>
      </c>
      <c r="E1280" s="5">
        <v>12071.0</v>
      </c>
      <c r="F1280" s="18" t="s">
        <v>4582</v>
      </c>
      <c r="G1280" s="5" t="s">
        <v>4583</v>
      </c>
      <c r="H1280" s="5" t="s">
        <v>4584</v>
      </c>
      <c r="I1280" s="5" t="s">
        <v>49</v>
      </c>
      <c r="J1280" s="5" t="s">
        <v>1746</v>
      </c>
      <c r="K1280" s="5">
        <v>1.0</v>
      </c>
      <c r="L1280" s="5">
        <v>14127.0</v>
      </c>
      <c r="M1280" s="8"/>
      <c r="AK1280" s="9"/>
      <c r="AO1280" s="67" t="s">
        <v>4582</v>
      </c>
      <c r="AP1280" s="5">
        <v>1305.0</v>
      </c>
      <c r="AQ1280" s="5" t="s">
        <v>1716</v>
      </c>
      <c r="AR1280" s="5" t="s">
        <v>2441</v>
      </c>
      <c r="AS1280" s="5" t="s">
        <v>1718</v>
      </c>
      <c r="AT1280" s="5" t="s">
        <v>1835</v>
      </c>
      <c r="AU1280" s="5" t="s">
        <v>1836</v>
      </c>
      <c r="AV1280" s="5" t="s">
        <v>1720</v>
      </c>
      <c r="AW1280" s="5" t="s">
        <v>2698</v>
      </c>
      <c r="AX1280" s="5" t="s">
        <v>2801</v>
      </c>
      <c r="AY1280" s="5">
        <v>49.5691</v>
      </c>
      <c r="AZ1280" s="5">
        <v>-117.0309</v>
      </c>
      <c r="BA1280" s="5">
        <v>1681.0</v>
      </c>
    </row>
    <row r="1281" ht="14.25" customHeight="1">
      <c r="A1281" s="5" t="s">
        <v>422</v>
      </c>
      <c r="B1281" s="5">
        <v>12.0</v>
      </c>
      <c r="C1281" s="5" t="s">
        <v>7666</v>
      </c>
      <c r="D1281" s="5">
        <v>1306.0</v>
      </c>
      <c r="E1281" s="5">
        <v>12072.0</v>
      </c>
      <c r="F1281" s="18" t="s">
        <v>4585</v>
      </c>
      <c r="G1281" s="5" t="s">
        <v>4586</v>
      </c>
      <c r="H1281" s="5" t="s">
        <v>4587</v>
      </c>
      <c r="I1281" s="5" t="s">
        <v>49</v>
      </c>
      <c r="J1281" s="5" t="s">
        <v>1746</v>
      </c>
      <c r="K1281" s="5">
        <v>1.0</v>
      </c>
      <c r="L1281" s="5">
        <v>14128.0</v>
      </c>
      <c r="M1281" s="8"/>
      <c r="AK1281" s="9"/>
      <c r="AO1281" s="67" t="s">
        <v>4585</v>
      </c>
      <c r="AP1281" s="5">
        <v>1306.0</v>
      </c>
      <c r="AQ1281" s="5" t="s">
        <v>1716</v>
      </c>
      <c r="AR1281" s="5" t="s">
        <v>1717</v>
      </c>
      <c r="AS1281" s="5" t="s">
        <v>1718</v>
      </c>
      <c r="AT1281" s="5" t="s">
        <v>1835</v>
      </c>
      <c r="AU1281" s="5" t="s">
        <v>1836</v>
      </c>
      <c r="AV1281" s="5" t="s">
        <v>1720</v>
      </c>
      <c r="AW1281" s="5" t="s">
        <v>2698</v>
      </c>
      <c r="AX1281" s="5" t="s">
        <v>2768</v>
      </c>
      <c r="AY1281" s="5">
        <v>50.1825</v>
      </c>
      <c r="AZ1281" s="5">
        <v>-115.3049</v>
      </c>
      <c r="BA1281" s="5">
        <v>1465.0</v>
      </c>
    </row>
    <row r="1282" ht="14.25" customHeight="1">
      <c r="B1282" s="5">
        <v>12.0</v>
      </c>
      <c r="C1282" s="5" t="s">
        <v>7666</v>
      </c>
      <c r="D1282" s="5">
        <v>1310.0</v>
      </c>
      <c r="E1282" s="5">
        <v>12327.0</v>
      </c>
      <c r="F1282" s="18" t="s">
        <v>4588</v>
      </c>
      <c r="G1282" s="10" t="s">
        <v>4589</v>
      </c>
      <c r="H1282" s="5" t="s">
        <v>4590</v>
      </c>
      <c r="I1282" s="5" t="s">
        <v>49</v>
      </c>
      <c r="J1282" s="5" t="s">
        <v>1746</v>
      </c>
      <c r="K1282" s="5">
        <v>1.0</v>
      </c>
      <c r="L1282" s="5">
        <v>14382.0</v>
      </c>
      <c r="M1282" s="8"/>
      <c r="AK1282" s="9"/>
      <c r="AO1282" s="67" t="s">
        <v>4591</v>
      </c>
      <c r="AP1282" s="18">
        <v>1307.0</v>
      </c>
      <c r="AQ1282" s="18" t="s">
        <v>1716</v>
      </c>
      <c r="AR1282" s="18" t="s">
        <v>1717</v>
      </c>
      <c r="AS1282" s="18" t="s">
        <v>1718</v>
      </c>
      <c r="AT1282" s="18" t="s">
        <v>1835</v>
      </c>
      <c r="AU1282" s="18" t="s">
        <v>1836</v>
      </c>
      <c r="AV1282" s="18" t="s">
        <v>1720</v>
      </c>
      <c r="AW1282" s="18"/>
      <c r="AX1282" s="18" t="s">
        <v>2801</v>
      </c>
      <c r="AY1282" s="18">
        <v>50.0494</v>
      </c>
      <c r="AZ1282" s="18">
        <v>-117.0886</v>
      </c>
      <c r="BA1282" s="18">
        <v>1784.0</v>
      </c>
    </row>
    <row r="1283" ht="14.25" customHeight="1">
      <c r="B1283" s="5">
        <v>12.0</v>
      </c>
      <c r="C1283" s="5" t="s">
        <v>7666</v>
      </c>
      <c r="D1283" s="5">
        <v>1313.0</v>
      </c>
      <c r="E1283" s="5">
        <v>12328.0</v>
      </c>
      <c r="F1283" s="5" t="s">
        <v>4592</v>
      </c>
      <c r="G1283" s="5" t="s">
        <v>4593</v>
      </c>
      <c r="H1283" s="5" t="s">
        <v>4594</v>
      </c>
      <c r="I1283" s="5" t="s">
        <v>49</v>
      </c>
      <c r="J1283" s="5" t="s">
        <v>1746</v>
      </c>
      <c r="K1283" s="5">
        <v>1.0</v>
      </c>
      <c r="L1283" s="5">
        <v>14383.0</v>
      </c>
      <c r="M1283" s="8"/>
      <c r="AK1283" s="9"/>
      <c r="AO1283" s="5" t="s">
        <v>4592</v>
      </c>
      <c r="AP1283" s="5">
        <v>1313.0</v>
      </c>
      <c r="AQ1283" s="5" t="s">
        <v>1716</v>
      </c>
      <c r="AR1283" s="5" t="s">
        <v>1701</v>
      </c>
      <c r="AS1283" s="5" t="s">
        <v>1740</v>
      </c>
      <c r="AT1283" s="5" t="s">
        <v>1703</v>
      </c>
      <c r="AU1283" s="5" t="s">
        <v>1742</v>
      </c>
      <c r="AV1283" s="5" t="s">
        <v>1720</v>
      </c>
      <c r="AW1283" s="5" t="s">
        <v>1705</v>
      </c>
      <c r="AX1283" s="5" t="s">
        <v>1837</v>
      </c>
      <c r="AY1283" s="5">
        <v>49.5979</v>
      </c>
      <c r="AZ1283" s="5">
        <v>-123.6051</v>
      </c>
      <c r="BA1283" s="5">
        <v>1422.0</v>
      </c>
    </row>
    <row r="1284" ht="14.25" customHeight="1">
      <c r="A1284" s="5" t="s">
        <v>422</v>
      </c>
      <c r="B1284" s="5">
        <v>12.0</v>
      </c>
      <c r="C1284" s="5" t="s">
        <v>7666</v>
      </c>
      <c r="D1284" s="5">
        <v>1316.0</v>
      </c>
      <c r="E1284" s="5">
        <v>12329.0</v>
      </c>
      <c r="F1284" s="18" t="s">
        <v>4595</v>
      </c>
      <c r="G1284" s="5" t="s">
        <v>4596</v>
      </c>
      <c r="H1284" s="5" t="s">
        <v>4597</v>
      </c>
      <c r="I1284" s="5" t="s">
        <v>49</v>
      </c>
      <c r="J1284" s="5" t="s">
        <v>1746</v>
      </c>
      <c r="K1284" s="5">
        <v>1.0</v>
      </c>
      <c r="L1284" s="5">
        <v>14384.0</v>
      </c>
      <c r="M1284" s="8"/>
      <c r="AK1284" s="9"/>
      <c r="AO1284" s="67" t="s">
        <v>4595</v>
      </c>
      <c r="AP1284" s="5">
        <v>1316.0</v>
      </c>
      <c r="AQ1284" s="5" t="s">
        <v>1716</v>
      </c>
      <c r="AR1284" s="5" t="s">
        <v>1717</v>
      </c>
      <c r="AS1284" s="5" t="s">
        <v>2257</v>
      </c>
      <c r="AT1284" s="5" t="s">
        <v>1835</v>
      </c>
      <c r="AU1284" s="5" t="s">
        <v>1836</v>
      </c>
      <c r="AV1284" s="5" t="s">
        <v>1720</v>
      </c>
      <c r="AW1284" s="5" t="s">
        <v>2368</v>
      </c>
      <c r="AX1284" s="5" t="s">
        <v>2505</v>
      </c>
      <c r="AY1284" s="5">
        <v>50.4172</v>
      </c>
      <c r="AZ1284" s="5">
        <v>-121.375</v>
      </c>
      <c r="BA1284" s="5">
        <v>383.0</v>
      </c>
    </row>
    <row r="1285" ht="14.25" customHeight="1">
      <c r="A1285" s="5" t="s">
        <v>422</v>
      </c>
      <c r="B1285" s="5">
        <v>12.0</v>
      </c>
      <c r="C1285" s="5" t="s">
        <v>7666</v>
      </c>
      <c r="D1285" s="5">
        <v>1317.0</v>
      </c>
      <c r="E1285" s="5">
        <v>12330.0</v>
      </c>
      <c r="F1285" s="18" t="s">
        <v>4598</v>
      </c>
      <c r="G1285" s="5" t="s">
        <v>4599</v>
      </c>
      <c r="H1285" s="5" t="s">
        <v>4600</v>
      </c>
      <c r="I1285" s="5" t="s">
        <v>49</v>
      </c>
      <c r="J1285" s="5" t="s">
        <v>1746</v>
      </c>
      <c r="K1285" s="5">
        <v>1.0</v>
      </c>
      <c r="L1285" s="5">
        <v>14385.0</v>
      </c>
      <c r="M1285" s="8"/>
      <c r="AK1285" s="9"/>
      <c r="AO1285" s="67" t="s">
        <v>4598</v>
      </c>
      <c r="AP1285" s="5">
        <v>1317.0</v>
      </c>
      <c r="AQ1285" s="5" t="s">
        <v>1716</v>
      </c>
      <c r="AR1285" s="5" t="s">
        <v>1717</v>
      </c>
      <c r="AS1285" s="5" t="s">
        <v>1718</v>
      </c>
      <c r="AT1285" s="5" t="s">
        <v>1835</v>
      </c>
      <c r="AU1285" s="5" t="s">
        <v>1836</v>
      </c>
      <c r="AV1285" s="5" t="s">
        <v>1720</v>
      </c>
      <c r="AW1285" s="5" t="s">
        <v>2698</v>
      </c>
      <c r="AX1285" s="5" t="s">
        <v>2801</v>
      </c>
      <c r="AY1285" s="5">
        <v>50.44</v>
      </c>
      <c r="AZ1285" s="5">
        <v>-117.1422</v>
      </c>
      <c r="BA1285" s="5">
        <v>1068.0</v>
      </c>
    </row>
    <row r="1286" ht="14.25" customHeight="1">
      <c r="B1286" s="5">
        <v>12.0</v>
      </c>
      <c r="C1286" s="5" t="s">
        <v>7666</v>
      </c>
      <c r="D1286" s="5">
        <v>1318.0</v>
      </c>
      <c r="E1286" s="5">
        <v>12331.0</v>
      </c>
      <c r="F1286" s="18" t="s">
        <v>4601</v>
      </c>
      <c r="G1286" s="5" t="s">
        <v>4602</v>
      </c>
      <c r="H1286" s="5" t="s">
        <v>4603</v>
      </c>
      <c r="I1286" s="5" t="s">
        <v>49</v>
      </c>
      <c r="J1286" s="5" t="s">
        <v>1746</v>
      </c>
      <c r="K1286" s="5">
        <v>1.0</v>
      </c>
      <c r="L1286" s="5">
        <v>14387.0</v>
      </c>
      <c r="M1286" s="8"/>
      <c r="AK1286" s="9"/>
      <c r="AO1286" s="67" t="s">
        <v>4601</v>
      </c>
      <c r="AP1286" s="5">
        <v>1318.0</v>
      </c>
      <c r="AQ1286" s="5" t="s">
        <v>1716</v>
      </c>
      <c r="AR1286" s="5" t="s">
        <v>1717</v>
      </c>
      <c r="AS1286" s="5" t="s">
        <v>1718</v>
      </c>
      <c r="AT1286" s="5" t="s">
        <v>1835</v>
      </c>
      <c r="AU1286" s="5" t="s">
        <v>1836</v>
      </c>
      <c r="AV1286" s="5" t="s">
        <v>1720</v>
      </c>
      <c r="AY1286" s="5">
        <v>52.8647</v>
      </c>
      <c r="AZ1286" s="5">
        <v>-118.5186</v>
      </c>
      <c r="BA1286" s="5">
        <v>1120.0</v>
      </c>
    </row>
    <row r="1287" ht="14.25" customHeight="1">
      <c r="A1287" s="5" t="s">
        <v>422</v>
      </c>
      <c r="B1287" s="5">
        <v>12.0</v>
      </c>
      <c r="C1287" s="5" t="s">
        <v>7666</v>
      </c>
      <c r="D1287" s="5">
        <v>1319.0</v>
      </c>
      <c r="E1287" s="5">
        <v>12332.0</v>
      </c>
      <c r="F1287" s="18" t="s">
        <v>4604</v>
      </c>
      <c r="G1287" s="5" t="s">
        <v>4605</v>
      </c>
      <c r="H1287" s="5" t="s">
        <v>4606</v>
      </c>
      <c r="I1287" s="5" t="s">
        <v>49</v>
      </c>
      <c r="J1287" s="5" t="s">
        <v>1746</v>
      </c>
      <c r="K1287" s="5">
        <v>1.0</v>
      </c>
      <c r="L1287" s="5">
        <v>14388.0</v>
      </c>
      <c r="M1287" s="8"/>
      <c r="AK1287" s="9"/>
      <c r="AO1287" s="67" t="s">
        <v>4604</v>
      </c>
      <c r="AP1287" s="5">
        <v>1319.0</v>
      </c>
      <c r="AQ1287" s="5" t="s">
        <v>1716</v>
      </c>
      <c r="AR1287" s="5" t="s">
        <v>1717</v>
      </c>
      <c r="AS1287" s="5" t="s">
        <v>1718</v>
      </c>
      <c r="AT1287" s="5" t="s">
        <v>1835</v>
      </c>
      <c r="AU1287" s="5" t="s">
        <v>1836</v>
      </c>
      <c r="AV1287" s="5" t="s">
        <v>1720</v>
      </c>
      <c r="AW1287" s="5" t="s">
        <v>2368</v>
      </c>
      <c r="AX1287" s="5" t="s">
        <v>2369</v>
      </c>
      <c r="AY1287" s="5">
        <v>51.1508</v>
      </c>
      <c r="AZ1287" s="5">
        <v>-120.8506</v>
      </c>
      <c r="BA1287" s="5">
        <v>1065.0</v>
      </c>
    </row>
    <row r="1288" ht="14.25" customHeight="1">
      <c r="A1288" s="5" t="s">
        <v>422</v>
      </c>
      <c r="B1288" s="5">
        <v>12.0</v>
      </c>
      <c r="C1288" s="5" t="s">
        <v>7666</v>
      </c>
      <c r="D1288" s="5">
        <v>1320.0</v>
      </c>
      <c r="E1288" s="5">
        <v>12333.0</v>
      </c>
      <c r="F1288" s="18" t="s">
        <v>4607</v>
      </c>
      <c r="G1288" s="5" t="s">
        <v>4608</v>
      </c>
      <c r="H1288" s="5" t="s">
        <v>4609</v>
      </c>
      <c r="I1288" s="5" t="s">
        <v>49</v>
      </c>
      <c r="J1288" s="5" t="s">
        <v>1746</v>
      </c>
      <c r="K1288" s="5">
        <v>1.0</v>
      </c>
      <c r="L1288" s="5">
        <v>14389.0</v>
      </c>
      <c r="M1288" s="8"/>
      <c r="AK1288" s="9"/>
      <c r="AO1288" s="67" t="s">
        <v>4607</v>
      </c>
      <c r="AP1288" s="5">
        <v>1320.0</v>
      </c>
      <c r="AQ1288" s="5" t="s">
        <v>1716</v>
      </c>
      <c r="AR1288" s="5" t="s">
        <v>1717</v>
      </c>
      <c r="AS1288" s="5" t="s">
        <v>1718</v>
      </c>
      <c r="AT1288" s="5" t="s">
        <v>1835</v>
      </c>
      <c r="AU1288" s="5" t="s">
        <v>1836</v>
      </c>
      <c r="AV1288" s="5" t="s">
        <v>1720</v>
      </c>
      <c r="AW1288" s="5" t="s">
        <v>2368</v>
      </c>
      <c r="AX1288" s="5" t="s">
        <v>2505</v>
      </c>
      <c r="AY1288" s="5">
        <v>50.6364</v>
      </c>
      <c r="AZ1288" s="5">
        <v>-122.4347</v>
      </c>
      <c r="BA1288" s="5">
        <v>603.0</v>
      </c>
    </row>
    <row r="1289" ht="14.25" customHeight="1">
      <c r="A1289" s="5" t="s">
        <v>422</v>
      </c>
      <c r="B1289" s="5">
        <v>12.0</v>
      </c>
      <c r="C1289" s="5" t="s">
        <v>7666</v>
      </c>
      <c r="D1289" s="5">
        <v>1321.0</v>
      </c>
      <c r="E1289" s="5">
        <v>12334.0</v>
      </c>
      <c r="F1289" s="18" t="s">
        <v>4610</v>
      </c>
      <c r="G1289" s="5" t="s">
        <v>4611</v>
      </c>
      <c r="H1289" s="5" t="s">
        <v>4612</v>
      </c>
      <c r="I1289" s="5" t="s">
        <v>49</v>
      </c>
      <c r="J1289" s="5" t="s">
        <v>1746</v>
      </c>
      <c r="K1289" s="5">
        <v>1.0</v>
      </c>
      <c r="L1289" s="5">
        <v>14390.0</v>
      </c>
      <c r="M1289" s="8"/>
      <c r="AK1289" s="9"/>
      <c r="AO1289" s="67" t="s">
        <v>4610</v>
      </c>
      <c r="AP1289" s="5">
        <v>1321.0</v>
      </c>
      <c r="AQ1289" s="5" t="s">
        <v>1716</v>
      </c>
      <c r="AR1289" s="5" t="s">
        <v>1717</v>
      </c>
      <c r="AS1289" s="5" t="s">
        <v>1718</v>
      </c>
      <c r="AT1289" s="5" t="s">
        <v>1835</v>
      </c>
      <c r="AU1289" s="5" t="s">
        <v>1836</v>
      </c>
      <c r="AV1289" s="5" t="s">
        <v>1720</v>
      </c>
      <c r="AW1289" s="5" t="s">
        <v>2698</v>
      </c>
      <c r="AX1289" s="5" t="s">
        <v>2801</v>
      </c>
      <c r="AY1289" s="5">
        <v>49.8987</v>
      </c>
      <c r="AZ1289" s="5">
        <v>-117.0879</v>
      </c>
      <c r="BA1289" s="5">
        <v>1227.0</v>
      </c>
    </row>
    <row r="1290" ht="14.25" customHeight="1">
      <c r="A1290" s="5" t="s">
        <v>88</v>
      </c>
      <c r="B1290" s="5">
        <v>12.0</v>
      </c>
      <c r="C1290" s="5" t="s">
        <v>7666</v>
      </c>
      <c r="D1290" s="5">
        <v>1323.0</v>
      </c>
      <c r="E1290" s="5">
        <v>12336.0</v>
      </c>
      <c r="F1290" s="5" t="s">
        <v>4613</v>
      </c>
      <c r="G1290" s="10" t="s">
        <v>4614</v>
      </c>
      <c r="H1290" s="5" t="s">
        <v>4615</v>
      </c>
      <c r="I1290" s="5" t="s">
        <v>49</v>
      </c>
      <c r="J1290" s="5" t="s">
        <v>1891</v>
      </c>
      <c r="K1290" s="5">
        <v>1.0</v>
      </c>
      <c r="L1290" s="5">
        <v>14392.0</v>
      </c>
      <c r="M1290" s="8">
        <v>50.6905556</v>
      </c>
      <c r="N1290" s="5">
        <v>-119.1761111</v>
      </c>
      <c r="O1290" s="5" t="s">
        <v>142</v>
      </c>
      <c r="P1290" s="5">
        <v>1323.0</v>
      </c>
      <c r="Q1290" s="5">
        <v>2.0</v>
      </c>
      <c r="R1290" s="5" t="s">
        <v>4613</v>
      </c>
      <c r="S1290" s="5" t="s">
        <v>1737</v>
      </c>
      <c r="T1290" s="5">
        <v>892.0</v>
      </c>
      <c r="W1290" s="5">
        <v>43831.0</v>
      </c>
      <c r="X1290" s="5" t="s">
        <v>1738</v>
      </c>
      <c r="AK1290" s="9"/>
      <c r="AO1290" s="5" t="s">
        <v>4613</v>
      </c>
      <c r="AP1290" s="5">
        <v>1323.0</v>
      </c>
      <c r="AQ1290" s="5" t="s">
        <v>1700</v>
      </c>
      <c r="AR1290" s="5" t="s">
        <v>1739</v>
      </c>
      <c r="AS1290" s="5" t="s">
        <v>1740</v>
      </c>
      <c r="AT1290" s="5" t="s">
        <v>1741</v>
      </c>
      <c r="AU1290" s="5" t="s">
        <v>1959</v>
      </c>
      <c r="AV1290" s="5" t="s">
        <v>1720</v>
      </c>
      <c r="AW1290" s="5" t="s">
        <v>2368</v>
      </c>
      <c r="AX1290" s="5" t="s">
        <v>2522</v>
      </c>
      <c r="AY1290" s="5">
        <v>50.6906</v>
      </c>
      <c r="AZ1290" s="5">
        <v>-119.1761</v>
      </c>
      <c r="BA1290" s="5">
        <v>904.0</v>
      </c>
    </row>
    <row r="1291" ht="14.25" customHeight="1">
      <c r="B1291" s="5">
        <v>12.0</v>
      </c>
      <c r="C1291" s="5" t="s">
        <v>7666</v>
      </c>
      <c r="D1291" s="5">
        <v>1326.0</v>
      </c>
      <c r="E1291" s="5">
        <v>12340.0</v>
      </c>
      <c r="F1291" s="18" t="s">
        <v>4616</v>
      </c>
      <c r="G1291" s="5" t="s">
        <v>4617</v>
      </c>
      <c r="H1291" s="5" t="s">
        <v>4618</v>
      </c>
      <c r="I1291" s="5" t="s">
        <v>49</v>
      </c>
      <c r="J1291" s="5" t="s">
        <v>1746</v>
      </c>
      <c r="K1291" s="5">
        <v>1.0</v>
      </c>
      <c r="L1291" s="5">
        <v>14396.0</v>
      </c>
      <c r="M1291" s="8"/>
      <c r="AK1291" s="9"/>
      <c r="AO1291" s="5" t="s">
        <v>4616</v>
      </c>
      <c r="AP1291" s="5">
        <v>1326.0</v>
      </c>
      <c r="AQ1291" s="5" t="s">
        <v>1716</v>
      </c>
      <c r="AR1291" s="5" t="s">
        <v>1717</v>
      </c>
      <c r="AS1291" s="5" t="s">
        <v>1740</v>
      </c>
      <c r="AT1291" s="5" t="s">
        <v>1703</v>
      </c>
      <c r="AU1291" s="5" t="s">
        <v>1742</v>
      </c>
      <c r="AV1291" s="5" t="s">
        <v>1720</v>
      </c>
      <c r="AW1291" s="5" t="s">
        <v>2368</v>
      </c>
      <c r="AX1291" s="5" t="s">
        <v>2492</v>
      </c>
      <c r="AY1291" s="5">
        <v>49.3393</v>
      </c>
      <c r="AZ1291" s="5">
        <v>-120.4071</v>
      </c>
      <c r="BA1291" s="5">
        <v>1464.0</v>
      </c>
    </row>
    <row r="1292" ht="14.25" customHeight="1">
      <c r="B1292" s="5">
        <v>12.0</v>
      </c>
      <c r="C1292" s="5" t="s">
        <v>7666</v>
      </c>
      <c r="D1292" s="5">
        <v>1330.0</v>
      </c>
      <c r="E1292" s="5">
        <v>12339.0</v>
      </c>
      <c r="F1292" s="5" t="s">
        <v>4619</v>
      </c>
      <c r="G1292" s="5" t="s">
        <v>4620</v>
      </c>
      <c r="H1292" s="5" t="s">
        <v>4621</v>
      </c>
      <c r="I1292" s="5" t="s">
        <v>49</v>
      </c>
      <c r="J1292" s="5" t="s">
        <v>1891</v>
      </c>
      <c r="K1292" s="5">
        <v>1.0</v>
      </c>
      <c r="L1292" s="5">
        <v>14394.0</v>
      </c>
      <c r="M1292" s="8">
        <v>49.4696944</v>
      </c>
      <c r="N1292" s="5">
        <v>-120.7925</v>
      </c>
      <c r="O1292" s="5" t="s">
        <v>142</v>
      </c>
      <c r="P1292" s="5">
        <v>1330.0</v>
      </c>
      <c r="Q1292" s="5">
        <v>6.0</v>
      </c>
      <c r="R1292" s="5" t="s">
        <v>4619</v>
      </c>
      <c r="S1292" s="5" t="s">
        <v>1737</v>
      </c>
      <c r="T1292" s="5">
        <v>1543.0</v>
      </c>
      <c r="W1292" s="5">
        <v>43831.0</v>
      </c>
      <c r="X1292" s="5" t="s">
        <v>1738</v>
      </c>
      <c r="AK1292" s="9"/>
      <c r="AO1292" s="5" t="s">
        <v>4619</v>
      </c>
      <c r="AP1292" s="5">
        <v>1330.0</v>
      </c>
      <c r="AQ1292" s="5" t="s">
        <v>1716</v>
      </c>
      <c r="AR1292" s="5" t="s">
        <v>1739</v>
      </c>
      <c r="AS1292" s="5" t="s">
        <v>1740</v>
      </c>
      <c r="AT1292" s="5" t="s">
        <v>1741</v>
      </c>
      <c r="AU1292" s="5" t="s">
        <v>1704</v>
      </c>
      <c r="AV1292" s="5" t="s">
        <v>1720</v>
      </c>
      <c r="AW1292" s="5" t="s">
        <v>2368</v>
      </c>
      <c r="AX1292" s="5" t="s">
        <v>2492</v>
      </c>
      <c r="AY1292" s="5">
        <v>49.4697</v>
      </c>
      <c r="AZ1292" s="5">
        <v>-120.7925</v>
      </c>
      <c r="BA1292" s="5">
        <v>1543.0</v>
      </c>
    </row>
    <row r="1293" ht="14.25" customHeight="1">
      <c r="A1293" s="5" t="s">
        <v>2037</v>
      </c>
      <c r="B1293" s="5">
        <v>12.0</v>
      </c>
      <c r="C1293" s="5" t="s">
        <v>7666</v>
      </c>
      <c r="D1293" s="5">
        <v>1331.0</v>
      </c>
      <c r="E1293" s="5">
        <v>12337.0</v>
      </c>
      <c r="F1293" s="5" t="s">
        <v>4622</v>
      </c>
      <c r="G1293" s="5" t="s">
        <v>4623</v>
      </c>
      <c r="H1293" s="5" t="s">
        <v>4624</v>
      </c>
      <c r="I1293" s="5" t="s">
        <v>49</v>
      </c>
      <c r="J1293" s="5" t="s">
        <v>1746</v>
      </c>
      <c r="K1293" s="5">
        <v>1.0</v>
      </c>
      <c r="L1293" s="5">
        <v>14393.0</v>
      </c>
      <c r="M1293" s="8">
        <v>49.1167</v>
      </c>
      <c r="N1293" s="5">
        <v>-119.3</v>
      </c>
      <c r="O1293" s="5" t="s">
        <v>142</v>
      </c>
      <c r="P1293" s="5">
        <v>2170.0</v>
      </c>
      <c r="Q1293" s="5">
        <v>3.0</v>
      </c>
      <c r="R1293" s="5" t="s">
        <v>4625</v>
      </c>
      <c r="S1293" s="5" t="s">
        <v>1737</v>
      </c>
      <c r="T1293" s="5">
        <v>1384.0</v>
      </c>
      <c r="W1293" s="5">
        <v>44735.0</v>
      </c>
      <c r="X1293" s="5" t="s">
        <v>1738</v>
      </c>
      <c r="AK1293" s="9"/>
      <c r="AO1293" s="5" t="s">
        <v>4626</v>
      </c>
      <c r="AP1293" s="5">
        <v>1331.0</v>
      </c>
      <c r="AQ1293" s="5" t="s">
        <v>1716</v>
      </c>
      <c r="AR1293" s="5" t="s">
        <v>1717</v>
      </c>
      <c r="AS1293" s="5" t="s">
        <v>1740</v>
      </c>
      <c r="AT1293" s="5" t="s">
        <v>1703</v>
      </c>
      <c r="AU1293" s="5" t="s">
        <v>1742</v>
      </c>
      <c r="AV1293" s="5" t="s">
        <v>1720</v>
      </c>
      <c r="AW1293" s="5" t="s">
        <v>2368</v>
      </c>
      <c r="AX1293" s="5" t="s">
        <v>2516</v>
      </c>
      <c r="AY1293" s="5">
        <v>49.1046</v>
      </c>
      <c r="AZ1293" s="5">
        <v>-119.3914</v>
      </c>
      <c r="BA1293" s="5">
        <v>1127.0</v>
      </c>
    </row>
    <row r="1294" ht="14.25" customHeight="1">
      <c r="A1294" s="5" t="s">
        <v>88</v>
      </c>
      <c r="B1294" s="5">
        <v>12.0</v>
      </c>
      <c r="C1294" s="5" t="s">
        <v>7666</v>
      </c>
      <c r="D1294" s="5">
        <v>1332.0</v>
      </c>
      <c r="E1294" s="5">
        <v>12338.0</v>
      </c>
      <c r="F1294" s="5" t="s">
        <v>4627</v>
      </c>
      <c r="G1294" s="10" t="s">
        <v>4628</v>
      </c>
      <c r="H1294" s="5" t="s">
        <v>4621</v>
      </c>
      <c r="I1294" s="5" t="s">
        <v>49</v>
      </c>
      <c r="J1294" s="5" t="s">
        <v>1891</v>
      </c>
      <c r="K1294" s="5">
        <v>1.0</v>
      </c>
      <c r="L1294" s="5">
        <v>14395.0</v>
      </c>
      <c r="M1294" s="8">
        <v>49.27</v>
      </c>
      <c r="N1294" s="5">
        <v>-119.2202778</v>
      </c>
      <c r="O1294" s="5" t="s">
        <v>142</v>
      </c>
      <c r="P1294" s="5">
        <v>1332.0</v>
      </c>
      <c r="Q1294" s="5">
        <v>6.0</v>
      </c>
      <c r="R1294" s="5" t="s">
        <v>4627</v>
      </c>
      <c r="S1294" s="5" t="s">
        <v>1737</v>
      </c>
      <c r="T1294" s="5">
        <v>1520.0</v>
      </c>
      <c r="W1294" s="5">
        <v>43831.0</v>
      </c>
      <c r="X1294" s="5" t="s">
        <v>1738</v>
      </c>
      <c r="AK1294" s="9"/>
      <c r="AO1294" s="5" t="s">
        <v>4627</v>
      </c>
      <c r="AP1294" s="5">
        <v>1332.0</v>
      </c>
      <c r="AQ1294" s="5" t="s">
        <v>1716</v>
      </c>
      <c r="AR1294" s="5" t="s">
        <v>1739</v>
      </c>
      <c r="AS1294" s="5" t="s">
        <v>1740</v>
      </c>
      <c r="AT1294" s="5" t="s">
        <v>1835</v>
      </c>
      <c r="AU1294" s="5" t="s">
        <v>1704</v>
      </c>
      <c r="AV1294" s="5" t="s">
        <v>1720</v>
      </c>
      <c r="AW1294" s="5" t="s">
        <v>2368</v>
      </c>
      <c r="AX1294" s="5" t="s">
        <v>2516</v>
      </c>
      <c r="AY1294" s="5">
        <v>49.27</v>
      </c>
      <c r="AZ1294" s="5">
        <v>-119.2203</v>
      </c>
      <c r="BA1294" s="5">
        <v>1534.0</v>
      </c>
    </row>
    <row r="1295" ht="14.25" customHeight="1">
      <c r="B1295" s="5">
        <v>12.0</v>
      </c>
      <c r="C1295" s="5" t="s">
        <v>7666</v>
      </c>
      <c r="D1295" s="5">
        <v>1333.0</v>
      </c>
      <c r="E1295" s="5">
        <v>12341.0</v>
      </c>
      <c r="F1295" s="18" t="s">
        <v>4629</v>
      </c>
      <c r="G1295" s="5" t="s">
        <v>4630</v>
      </c>
      <c r="H1295" s="5" t="s">
        <v>4631</v>
      </c>
      <c r="I1295" s="5" t="s">
        <v>49</v>
      </c>
      <c r="J1295" s="5" t="s">
        <v>1746</v>
      </c>
      <c r="K1295" s="5">
        <v>1.0</v>
      </c>
      <c r="L1295" s="5">
        <v>14397.0</v>
      </c>
      <c r="M1295" s="8"/>
      <c r="AK1295" s="9"/>
      <c r="AO1295" s="67" t="s">
        <v>4629</v>
      </c>
      <c r="AP1295" s="5">
        <v>1333.0</v>
      </c>
      <c r="AQ1295" s="5" t="s">
        <v>1716</v>
      </c>
      <c r="AR1295" s="5" t="s">
        <v>2441</v>
      </c>
      <c r="AS1295" s="5" t="s">
        <v>1718</v>
      </c>
      <c r="AT1295" s="5" t="s">
        <v>1835</v>
      </c>
      <c r="AU1295" s="5" t="s">
        <v>1836</v>
      </c>
      <c r="AV1295" s="5" t="s">
        <v>1720</v>
      </c>
      <c r="AW1295" s="5" t="s">
        <v>2698</v>
      </c>
      <c r="AX1295" s="5" t="s">
        <v>2902</v>
      </c>
      <c r="AY1295" s="5">
        <v>49.7187</v>
      </c>
      <c r="AZ1295" s="5">
        <v>-115.0246</v>
      </c>
      <c r="BA1295" s="5">
        <v>1770.0</v>
      </c>
    </row>
    <row r="1296" ht="14.25" customHeight="1">
      <c r="A1296" s="5" t="s">
        <v>422</v>
      </c>
      <c r="B1296" s="5">
        <v>12.0</v>
      </c>
      <c r="C1296" s="5" t="s">
        <v>7666</v>
      </c>
      <c r="D1296" s="5">
        <v>1335.0</v>
      </c>
      <c r="E1296" s="5">
        <v>12417.0</v>
      </c>
      <c r="F1296" s="18" t="s">
        <v>4632</v>
      </c>
      <c r="G1296" s="5" t="s">
        <v>4633</v>
      </c>
      <c r="H1296" s="5" t="s">
        <v>4634</v>
      </c>
      <c r="I1296" s="5" t="s">
        <v>49</v>
      </c>
      <c r="J1296" s="5" t="s">
        <v>1746</v>
      </c>
      <c r="K1296" s="5">
        <v>1.0</v>
      </c>
      <c r="L1296" s="5">
        <v>14439.0</v>
      </c>
      <c r="M1296" s="8"/>
      <c r="AK1296" s="9"/>
      <c r="AO1296" s="67" t="s">
        <v>4632</v>
      </c>
      <c r="AP1296" s="5">
        <v>1335.0</v>
      </c>
      <c r="AQ1296" s="5" t="s">
        <v>1716</v>
      </c>
      <c r="AR1296" s="5" t="s">
        <v>1717</v>
      </c>
      <c r="AS1296" s="5" t="s">
        <v>1718</v>
      </c>
      <c r="AT1296" s="5" t="s">
        <v>1835</v>
      </c>
      <c r="AU1296" s="5" t="s">
        <v>1836</v>
      </c>
      <c r="AV1296" s="5" t="s">
        <v>1720</v>
      </c>
      <c r="AW1296" s="5" t="s">
        <v>1947</v>
      </c>
      <c r="AX1296" s="5" t="s">
        <v>1973</v>
      </c>
      <c r="AY1296" s="5">
        <v>54.6733</v>
      </c>
      <c r="AZ1296" s="5">
        <v>-127.97</v>
      </c>
      <c r="BA1296" s="5">
        <v>500.0</v>
      </c>
    </row>
    <row r="1297" ht="14.25" customHeight="1">
      <c r="A1297" s="5" t="s">
        <v>422</v>
      </c>
      <c r="B1297" s="5">
        <v>12.0</v>
      </c>
      <c r="C1297" s="5" t="s">
        <v>7666</v>
      </c>
      <c r="D1297" s="5">
        <v>1336.0</v>
      </c>
      <c r="E1297" s="5">
        <v>12418.0</v>
      </c>
      <c r="F1297" s="18" t="s">
        <v>4635</v>
      </c>
      <c r="G1297" s="5" t="s">
        <v>4636</v>
      </c>
      <c r="H1297" s="5" t="s">
        <v>4637</v>
      </c>
      <c r="I1297" s="5" t="s">
        <v>49</v>
      </c>
      <c r="J1297" s="5" t="s">
        <v>1746</v>
      </c>
      <c r="K1297" s="5">
        <v>1.0</v>
      </c>
      <c r="L1297" s="5">
        <v>14440.0</v>
      </c>
      <c r="M1297" s="8"/>
      <c r="AK1297" s="9"/>
      <c r="AO1297" s="67" t="s">
        <v>4635</v>
      </c>
      <c r="AP1297" s="5">
        <v>1336.0</v>
      </c>
      <c r="AQ1297" s="5" t="s">
        <v>1716</v>
      </c>
      <c r="AR1297" s="5" t="s">
        <v>1717</v>
      </c>
      <c r="AS1297" s="5" t="s">
        <v>2257</v>
      </c>
      <c r="AT1297" s="5" t="s">
        <v>1835</v>
      </c>
      <c r="AU1297" s="5" t="s">
        <v>1836</v>
      </c>
      <c r="AV1297" s="5" t="s">
        <v>1720</v>
      </c>
      <c r="AW1297" s="5" t="s">
        <v>2368</v>
      </c>
      <c r="AX1297" s="5" t="s">
        <v>2516</v>
      </c>
      <c r="AY1297" s="5">
        <v>49.0822</v>
      </c>
      <c r="AZ1297" s="5">
        <v>-119.7294</v>
      </c>
      <c r="BA1297" s="5">
        <v>392.0</v>
      </c>
    </row>
    <row r="1298" ht="14.25" customHeight="1">
      <c r="A1298" s="5" t="s">
        <v>422</v>
      </c>
      <c r="B1298" s="5">
        <v>12.0</v>
      </c>
      <c r="C1298" s="5" t="s">
        <v>7666</v>
      </c>
      <c r="D1298" s="5">
        <v>1337.0</v>
      </c>
      <c r="E1298" s="5">
        <v>12419.0</v>
      </c>
      <c r="F1298" s="18" t="s">
        <v>4638</v>
      </c>
      <c r="G1298" s="5" t="s">
        <v>4639</v>
      </c>
      <c r="H1298" s="5" t="s">
        <v>4640</v>
      </c>
      <c r="I1298" s="5" t="s">
        <v>49</v>
      </c>
      <c r="J1298" s="5" t="s">
        <v>1746</v>
      </c>
      <c r="K1298" s="5">
        <v>1.0</v>
      </c>
      <c r="L1298" s="5">
        <v>14441.0</v>
      </c>
      <c r="M1298" s="8"/>
      <c r="AK1298" s="9"/>
      <c r="AO1298" s="67" t="s">
        <v>4638</v>
      </c>
      <c r="AP1298" s="5">
        <v>1337.0</v>
      </c>
      <c r="AQ1298" s="5" t="s">
        <v>1716</v>
      </c>
      <c r="AR1298" s="5" t="s">
        <v>1717</v>
      </c>
      <c r="AS1298" s="5" t="s">
        <v>1718</v>
      </c>
      <c r="AT1298" s="5" t="s">
        <v>1835</v>
      </c>
      <c r="AU1298" s="5" t="s">
        <v>1836</v>
      </c>
      <c r="AV1298" s="5" t="s">
        <v>1720</v>
      </c>
      <c r="AW1298" s="5" t="s">
        <v>1947</v>
      </c>
      <c r="AX1298" s="5" t="s">
        <v>1986</v>
      </c>
      <c r="AY1298" s="5">
        <v>57.8613</v>
      </c>
      <c r="AZ1298" s="5">
        <v>-131.3834</v>
      </c>
      <c r="BA1298" s="5">
        <v>855.0</v>
      </c>
    </row>
    <row r="1299" ht="14.25" customHeight="1">
      <c r="A1299" s="5" t="s">
        <v>422</v>
      </c>
      <c r="B1299" s="5">
        <v>12.0</v>
      </c>
      <c r="C1299" s="5" t="s">
        <v>7666</v>
      </c>
      <c r="D1299" s="5">
        <v>1338.0</v>
      </c>
      <c r="E1299" s="5">
        <v>12420.0</v>
      </c>
      <c r="F1299" s="18" t="s">
        <v>4641</v>
      </c>
      <c r="G1299" s="5" t="s">
        <v>4642</v>
      </c>
      <c r="H1299" s="5" t="s">
        <v>4643</v>
      </c>
      <c r="I1299" s="5" t="s">
        <v>49</v>
      </c>
      <c r="J1299" s="5" t="s">
        <v>1746</v>
      </c>
      <c r="K1299" s="5">
        <v>1.0</v>
      </c>
      <c r="L1299" s="5">
        <v>14442.0</v>
      </c>
      <c r="M1299" s="8"/>
      <c r="AK1299" s="9"/>
      <c r="AO1299" s="67" t="s">
        <v>4641</v>
      </c>
      <c r="AP1299" s="5">
        <v>1338.0</v>
      </c>
      <c r="AQ1299" s="5" t="s">
        <v>1716</v>
      </c>
      <c r="AR1299" s="5" t="s">
        <v>1717</v>
      </c>
      <c r="AS1299" s="5" t="s">
        <v>2257</v>
      </c>
      <c r="AT1299" s="5" t="s">
        <v>1835</v>
      </c>
      <c r="AW1299" s="5" t="s">
        <v>2368</v>
      </c>
      <c r="AX1299" s="5" t="s">
        <v>2492</v>
      </c>
      <c r="AY1299" s="5">
        <v>49.7988</v>
      </c>
      <c r="AZ1299" s="5">
        <v>-121.0778</v>
      </c>
      <c r="BA1299" s="5">
        <v>100.0</v>
      </c>
    </row>
    <row r="1300" ht="14.25" customHeight="1">
      <c r="A1300" s="5" t="s">
        <v>1908</v>
      </c>
      <c r="B1300" s="5">
        <v>12.0</v>
      </c>
      <c r="C1300" s="5" t="s">
        <v>7666</v>
      </c>
      <c r="D1300" s="5">
        <v>1339.0</v>
      </c>
      <c r="E1300" s="5">
        <v>12423.0</v>
      </c>
      <c r="F1300" s="10" t="s">
        <v>4644</v>
      </c>
      <c r="G1300" s="10" t="s">
        <v>4645</v>
      </c>
      <c r="H1300" s="5" t="s">
        <v>4646</v>
      </c>
      <c r="I1300" s="5" t="s">
        <v>49</v>
      </c>
      <c r="J1300" s="5" t="s">
        <v>1891</v>
      </c>
      <c r="K1300" s="5">
        <v>1.0</v>
      </c>
      <c r="L1300" s="5">
        <v>14445.0</v>
      </c>
      <c r="M1300" s="8">
        <v>49.9736</v>
      </c>
      <c r="N1300" s="5">
        <v>-121.4902</v>
      </c>
      <c r="O1300" s="5" t="s">
        <v>51</v>
      </c>
      <c r="P1300" s="5">
        <v>1339.0</v>
      </c>
      <c r="Q1300" s="5">
        <v>1.0</v>
      </c>
      <c r="R1300" s="5" t="s">
        <v>4647</v>
      </c>
      <c r="S1300" s="5" t="s">
        <v>1737</v>
      </c>
      <c r="T1300" s="5">
        <v>19.0</v>
      </c>
      <c r="W1300" s="5">
        <v>43331.0</v>
      </c>
      <c r="X1300" s="5" t="s">
        <v>1738</v>
      </c>
      <c r="AK1300" s="9"/>
      <c r="AO1300" s="5" t="s">
        <v>4647</v>
      </c>
      <c r="AP1300" s="5">
        <v>1339.0</v>
      </c>
      <c r="AQ1300" s="5" t="s">
        <v>1716</v>
      </c>
      <c r="AR1300" s="5" t="s">
        <v>1739</v>
      </c>
      <c r="AS1300" s="5" t="s">
        <v>1740</v>
      </c>
      <c r="AT1300" s="5" t="s">
        <v>1741</v>
      </c>
      <c r="AU1300" s="5" t="s">
        <v>1742</v>
      </c>
      <c r="AV1300" s="5" t="s">
        <v>1720</v>
      </c>
      <c r="AW1300" s="5" t="s">
        <v>1705</v>
      </c>
      <c r="AX1300" s="5" t="s">
        <v>1883</v>
      </c>
      <c r="AY1300" s="5">
        <v>49.9754</v>
      </c>
      <c r="AZ1300" s="5">
        <v>-121.4892</v>
      </c>
      <c r="BA1300" s="5">
        <v>361.0</v>
      </c>
    </row>
    <row r="1301" ht="14.25" customHeight="1">
      <c r="A1301" s="5" t="s">
        <v>422</v>
      </c>
      <c r="B1301" s="5">
        <v>12.0</v>
      </c>
      <c r="C1301" s="5" t="s">
        <v>7666</v>
      </c>
      <c r="D1301" s="5">
        <v>1340.0</v>
      </c>
      <c r="E1301" s="5">
        <v>12421.0</v>
      </c>
      <c r="F1301" s="18" t="s">
        <v>4648</v>
      </c>
      <c r="G1301" s="5" t="s">
        <v>4649</v>
      </c>
      <c r="H1301" s="5" t="s">
        <v>4650</v>
      </c>
      <c r="I1301" s="5" t="s">
        <v>49</v>
      </c>
      <c r="J1301" s="5" t="s">
        <v>1746</v>
      </c>
      <c r="K1301" s="5">
        <v>1.0</v>
      </c>
      <c r="L1301" s="5">
        <v>14443.0</v>
      </c>
      <c r="M1301" s="8"/>
      <c r="AK1301" s="9"/>
      <c r="AO1301" s="67" t="s">
        <v>4648</v>
      </c>
      <c r="AP1301" s="5">
        <v>1340.0</v>
      </c>
      <c r="AQ1301" s="5" t="s">
        <v>1716</v>
      </c>
      <c r="AR1301" s="5" t="s">
        <v>1717</v>
      </c>
      <c r="AS1301" s="5" t="s">
        <v>1718</v>
      </c>
      <c r="AT1301" s="5" t="s">
        <v>1835</v>
      </c>
      <c r="AU1301" s="5" t="s">
        <v>1836</v>
      </c>
      <c r="AV1301" s="5" t="s">
        <v>1720</v>
      </c>
      <c r="AW1301" s="5" t="s">
        <v>2698</v>
      </c>
      <c r="AX1301" s="5" t="s">
        <v>2902</v>
      </c>
      <c r="AY1301" s="5">
        <v>49.5985</v>
      </c>
      <c r="AZ1301" s="5">
        <v>-116.2691</v>
      </c>
      <c r="BA1301" s="5">
        <v>1116.0</v>
      </c>
    </row>
    <row r="1302" ht="14.25" customHeight="1">
      <c r="A1302" s="5" t="s">
        <v>422</v>
      </c>
      <c r="B1302" s="5">
        <v>12.0</v>
      </c>
      <c r="C1302" s="5" t="s">
        <v>7666</v>
      </c>
      <c r="D1302" s="5">
        <v>1341.0</v>
      </c>
      <c r="E1302" s="5">
        <v>12422.0</v>
      </c>
      <c r="F1302" s="18" t="s">
        <v>4651</v>
      </c>
      <c r="G1302" s="5" t="s">
        <v>4652</v>
      </c>
      <c r="H1302" s="5" t="s">
        <v>4653</v>
      </c>
      <c r="I1302" s="5" t="s">
        <v>49</v>
      </c>
      <c r="J1302" s="5" t="s">
        <v>1746</v>
      </c>
      <c r="K1302" s="5">
        <v>1.0</v>
      </c>
      <c r="L1302" s="5">
        <v>14444.0</v>
      </c>
      <c r="M1302" s="8"/>
      <c r="AK1302" s="9"/>
      <c r="AO1302" s="67" t="s">
        <v>4651</v>
      </c>
      <c r="AP1302" s="5">
        <v>1341.0</v>
      </c>
      <c r="AQ1302" s="5" t="s">
        <v>1716</v>
      </c>
      <c r="AR1302" s="5" t="s">
        <v>1717</v>
      </c>
      <c r="AS1302" s="5" t="s">
        <v>1718</v>
      </c>
      <c r="AT1302" s="5" t="s">
        <v>1835</v>
      </c>
      <c r="AU1302" s="5" t="s">
        <v>1836</v>
      </c>
      <c r="AV1302" s="5" t="s">
        <v>1720</v>
      </c>
      <c r="AW1302" s="5" t="s">
        <v>2698</v>
      </c>
      <c r="AX1302" s="5" t="s">
        <v>2797</v>
      </c>
      <c r="AY1302" s="5">
        <v>49.4088</v>
      </c>
      <c r="AZ1302" s="5">
        <v>-117.9604</v>
      </c>
      <c r="BA1302" s="5">
        <v>863.0</v>
      </c>
    </row>
    <row r="1303" ht="14.25" customHeight="1">
      <c r="A1303" s="5" t="s">
        <v>422</v>
      </c>
      <c r="B1303" s="5">
        <v>12.0</v>
      </c>
      <c r="C1303" s="5" t="s">
        <v>7666</v>
      </c>
      <c r="D1303" s="5">
        <v>1342.0</v>
      </c>
      <c r="E1303" s="5">
        <v>12424.0</v>
      </c>
      <c r="F1303" s="18" t="s">
        <v>4654</v>
      </c>
      <c r="G1303" s="5" t="s">
        <v>4655</v>
      </c>
      <c r="H1303" s="5" t="s">
        <v>4656</v>
      </c>
      <c r="I1303" s="5" t="s">
        <v>49</v>
      </c>
      <c r="J1303" s="5" t="s">
        <v>1746</v>
      </c>
      <c r="K1303" s="5">
        <v>1.0</v>
      </c>
      <c r="L1303" s="5">
        <v>14446.0</v>
      </c>
      <c r="M1303" s="8"/>
      <c r="AK1303" s="9"/>
      <c r="AO1303" s="67" t="s">
        <v>4654</v>
      </c>
      <c r="AP1303" s="5">
        <v>1342.0</v>
      </c>
      <c r="AQ1303" s="5" t="s">
        <v>1716</v>
      </c>
      <c r="AR1303" s="5" t="s">
        <v>1717</v>
      </c>
      <c r="AS1303" s="5" t="s">
        <v>1718</v>
      </c>
      <c r="AT1303" s="5" t="s">
        <v>1835</v>
      </c>
      <c r="AU1303" s="5" t="s">
        <v>1836</v>
      </c>
      <c r="AV1303" s="5" t="s">
        <v>1720</v>
      </c>
      <c r="AW1303" s="5" t="s">
        <v>2368</v>
      </c>
      <c r="AX1303" s="5" t="s">
        <v>2492</v>
      </c>
      <c r="AY1303" s="5">
        <v>49.1819</v>
      </c>
      <c r="AZ1303" s="5">
        <v>-120.4167</v>
      </c>
      <c r="BA1303" s="5">
        <v>1925.0</v>
      </c>
    </row>
    <row r="1304" ht="14.25" customHeight="1">
      <c r="A1304" s="5" t="s">
        <v>422</v>
      </c>
      <c r="B1304" s="5">
        <v>12.0</v>
      </c>
      <c r="C1304" s="5" t="s">
        <v>7666</v>
      </c>
      <c r="D1304" s="5">
        <v>1343.0</v>
      </c>
      <c r="E1304" s="5">
        <v>12425.0</v>
      </c>
      <c r="F1304" s="18" t="s">
        <v>4657</v>
      </c>
      <c r="G1304" s="5" t="s">
        <v>4658</v>
      </c>
      <c r="H1304" s="5" t="s">
        <v>4659</v>
      </c>
      <c r="I1304" s="5" t="s">
        <v>49</v>
      </c>
      <c r="J1304" s="5" t="s">
        <v>1746</v>
      </c>
      <c r="K1304" s="5">
        <v>1.0</v>
      </c>
      <c r="L1304" s="5">
        <v>14447.0</v>
      </c>
      <c r="M1304" s="8"/>
      <c r="AK1304" s="9"/>
      <c r="AO1304" s="67" t="s">
        <v>4657</v>
      </c>
      <c r="AP1304" s="5">
        <v>1343.0</v>
      </c>
      <c r="AQ1304" s="5" t="s">
        <v>1716</v>
      </c>
      <c r="AR1304" s="5" t="s">
        <v>1717</v>
      </c>
      <c r="AS1304" s="5" t="s">
        <v>1718</v>
      </c>
      <c r="AT1304" s="5" t="s">
        <v>1835</v>
      </c>
      <c r="AU1304" s="5" t="s">
        <v>1836</v>
      </c>
      <c r="AV1304" s="5" t="s">
        <v>1720</v>
      </c>
      <c r="AW1304" s="5" t="s">
        <v>2368</v>
      </c>
      <c r="AX1304" s="5" t="s">
        <v>2516</v>
      </c>
      <c r="AY1304" s="5">
        <v>49.2661</v>
      </c>
      <c r="AZ1304" s="5">
        <v>-119.9158</v>
      </c>
      <c r="BA1304" s="5">
        <v>1929.0</v>
      </c>
    </row>
    <row r="1305" ht="14.25" customHeight="1">
      <c r="A1305" s="5" t="s">
        <v>88</v>
      </c>
      <c r="B1305" s="5">
        <v>12.0</v>
      </c>
      <c r="C1305" s="5" t="s">
        <v>7666</v>
      </c>
      <c r="D1305" s="5">
        <v>1345.0</v>
      </c>
      <c r="E1305" s="5">
        <v>12455.0</v>
      </c>
      <c r="F1305" s="5" t="s">
        <v>4660</v>
      </c>
      <c r="G1305" s="28" t="s">
        <v>4661</v>
      </c>
      <c r="H1305" s="5" t="s">
        <v>4662</v>
      </c>
      <c r="I1305" s="5" t="s">
        <v>49</v>
      </c>
      <c r="J1305" s="5" t="s">
        <v>1829</v>
      </c>
      <c r="K1305" s="5">
        <v>1.0</v>
      </c>
      <c r="L1305" s="5">
        <v>14477.0</v>
      </c>
      <c r="M1305" s="8">
        <v>55.3072222</v>
      </c>
      <c r="N1305" s="5">
        <v>-125.3666667</v>
      </c>
      <c r="O1305" s="5" t="s">
        <v>1290</v>
      </c>
      <c r="P1305" s="5">
        <v>1345.0</v>
      </c>
      <c r="Q1305" s="5">
        <v>1.0</v>
      </c>
      <c r="R1305" s="5" t="s">
        <v>4660</v>
      </c>
      <c r="S1305" s="5" t="s">
        <v>1737</v>
      </c>
      <c r="T1305" s="5">
        <v>600.0</v>
      </c>
      <c r="W1305" s="5">
        <v>43831.0</v>
      </c>
      <c r="X1305" s="5" t="s">
        <v>1738</v>
      </c>
      <c r="AK1305" s="9"/>
      <c r="AO1305" s="5" t="s">
        <v>4660</v>
      </c>
      <c r="AP1305" s="5">
        <v>1345.0</v>
      </c>
      <c r="AQ1305" s="5" t="s">
        <v>1716</v>
      </c>
      <c r="AR1305" s="5" t="s">
        <v>1739</v>
      </c>
      <c r="AS1305" s="5" t="s">
        <v>1740</v>
      </c>
      <c r="AT1305" s="5" t="s">
        <v>1741</v>
      </c>
      <c r="AU1305" s="5" t="s">
        <v>1742</v>
      </c>
      <c r="AV1305" s="5" t="s">
        <v>1720</v>
      </c>
      <c r="AW1305" s="5" t="s">
        <v>2003</v>
      </c>
      <c r="AX1305" s="5" t="s">
        <v>2099</v>
      </c>
      <c r="AY1305" s="5">
        <v>55.3144</v>
      </c>
      <c r="AZ1305" s="5">
        <v>-125.3484</v>
      </c>
      <c r="BA1305" s="5">
        <v>996.0</v>
      </c>
    </row>
    <row r="1306" ht="14.25" customHeight="1">
      <c r="B1306" s="5">
        <v>12.0</v>
      </c>
      <c r="C1306" s="5" t="s">
        <v>7666</v>
      </c>
      <c r="D1306" s="5">
        <v>1347.0</v>
      </c>
      <c r="E1306" s="5">
        <v>12430.0</v>
      </c>
      <c r="F1306" s="5" t="s">
        <v>4663</v>
      </c>
      <c r="G1306" s="5" t="s">
        <v>4664</v>
      </c>
      <c r="H1306" s="5" t="s">
        <v>4665</v>
      </c>
      <c r="I1306" s="5" t="s">
        <v>49</v>
      </c>
      <c r="J1306" s="5" t="s">
        <v>1746</v>
      </c>
      <c r="K1306" s="5">
        <v>1.0</v>
      </c>
      <c r="L1306" s="5">
        <v>14452.0</v>
      </c>
      <c r="M1306" s="8"/>
      <c r="AK1306" s="9"/>
      <c r="AO1306" s="5" t="s">
        <v>4663</v>
      </c>
      <c r="AP1306" s="5">
        <v>1347.0</v>
      </c>
      <c r="AQ1306" s="5" t="s">
        <v>1716</v>
      </c>
      <c r="AR1306" s="5" t="s">
        <v>4666</v>
      </c>
      <c r="AS1306" s="5" t="s">
        <v>1740</v>
      </c>
      <c r="AT1306" s="5" t="s">
        <v>1835</v>
      </c>
      <c r="AU1306" s="5" t="s">
        <v>1742</v>
      </c>
      <c r="AV1306" s="5" t="s">
        <v>1720</v>
      </c>
      <c r="AW1306" s="5" t="s">
        <v>1705</v>
      </c>
      <c r="AX1306" s="5" t="s">
        <v>1723</v>
      </c>
      <c r="AY1306" s="5">
        <v>49.5936</v>
      </c>
      <c r="AZ1306" s="5">
        <v>-125.1313</v>
      </c>
      <c r="BA1306" s="5">
        <v>970.0</v>
      </c>
    </row>
    <row r="1307" ht="14.25" customHeight="1">
      <c r="B1307" s="5">
        <v>12.0</v>
      </c>
      <c r="C1307" s="5" t="s">
        <v>7666</v>
      </c>
      <c r="D1307" s="5">
        <v>1348.0</v>
      </c>
      <c r="E1307" s="5">
        <v>12440.0</v>
      </c>
      <c r="F1307" s="5" t="s">
        <v>4667</v>
      </c>
      <c r="G1307" s="5" t="s">
        <v>4668</v>
      </c>
      <c r="H1307" s="5" t="s">
        <v>4669</v>
      </c>
      <c r="I1307" s="5" t="s">
        <v>49</v>
      </c>
      <c r="J1307" s="5" t="s">
        <v>1829</v>
      </c>
      <c r="K1307" s="5">
        <v>1.0</v>
      </c>
      <c r="L1307" s="5">
        <v>14462.0</v>
      </c>
      <c r="M1307" s="8"/>
      <c r="AK1307" s="9"/>
      <c r="AO1307" s="5" t="s">
        <v>4667</v>
      </c>
      <c r="AP1307" s="5">
        <v>1348.0</v>
      </c>
      <c r="AQ1307" s="5" t="s">
        <v>1716</v>
      </c>
      <c r="AR1307" s="5" t="s">
        <v>1739</v>
      </c>
      <c r="AS1307" s="5" t="s">
        <v>1740</v>
      </c>
      <c r="AT1307" s="5" t="s">
        <v>1835</v>
      </c>
      <c r="AU1307" s="5" t="s">
        <v>1742</v>
      </c>
      <c r="AV1307" s="5" t="s">
        <v>1720</v>
      </c>
      <c r="AW1307" s="5" t="s">
        <v>1705</v>
      </c>
      <c r="AX1307" s="5" t="s">
        <v>1710</v>
      </c>
      <c r="AY1307" s="5">
        <v>51.38</v>
      </c>
      <c r="AZ1307" s="5">
        <v>-125.7695</v>
      </c>
      <c r="BA1307" s="5">
        <v>1532.0</v>
      </c>
    </row>
    <row r="1308" ht="14.25" customHeight="1">
      <c r="B1308" s="5">
        <v>12.0</v>
      </c>
      <c r="C1308" s="5" t="s">
        <v>7666</v>
      </c>
      <c r="D1308" s="5">
        <v>1349.0</v>
      </c>
      <c r="E1308" s="5">
        <v>12431.0</v>
      </c>
      <c r="F1308" s="5" t="s">
        <v>4670</v>
      </c>
      <c r="G1308" s="5" t="s">
        <v>4671</v>
      </c>
      <c r="H1308" s="5" t="s">
        <v>4672</v>
      </c>
      <c r="I1308" s="5" t="s">
        <v>49</v>
      </c>
      <c r="J1308" s="5" t="s">
        <v>1829</v>
      </c>
      <c r="K1308" s="5">
        <v>1.0</v>
      </c>
      <c r="L1308" s="5">
        <v>14453.0</v>
      </c>
      <c r="M1308" s="8"/>
      <c r="AK1308" s="9"/>
      <c r="AO1308" s="5" t="s">
        <v>4670</v>
      </c>
      <c r="AP1308" s="5">
        <v>1349.0</v>
      </c>
      <c r="AQ1308" s="5" t="s">
        <v>1716</v>
      </c>
      <c r="AR1308" s="5" t="s">
        <v>1739</v>
      </c>
      <c r="AS1308" s="5" t="s">
        <v>1740</v>
      </c>
      <c r="AT1308" s="5" t="s">
        <v>1835</v>
      </c>
      <c r="AU1308" s="5" t="s">
        <v>1742</v>
      </c>
      <c r="AV1308" s="5" t="s">
        <v>1720</v>
      </c>
      <c r="AW1308" s="5" t="s">
        <v>1705</v>
      </c>
      <c r="AX1308" s="5" t="s">
        <v>1837</v>
      </c>
      <c r="AY1308" s="5">
        <v>51.1019</v>
      </c>
      <c r="AZ1308" s="5">
        <v>-124.9502</v>
      </c>
      <c r="BA1308" s="5">
        <v>1481.0</v>
      </c>
    </row>
    <row r="1309" ht="14.25" customHeight="1">
      <c r="B1309" s="5">
        <v>12.0</v>
      </c>
      <c r="C1309" s="5" t="s">
        <v>7666</v>
      </c>
      <c r="D1309" s="5">
        <v>1350.0</v>
      </c>
      <c r="E1309" s="5">
        <v>12432.0</v>
      </c>
      <c r="F1309" s="5" t="s">
        <v>4673</v>
      </c>
      <c r="G1309" s="5" t="s">
        <v>4674</v>
      </c>
      <c r="H1309" s="5" t="s">
        <v>4675</v>
      </c>
      <c r="I1309" s="5" t="s">
        <v>49</v>
      </c>
      <c r="J1309" s="5" t="s">
        <v>4676</v>
      </c>
      <c r="K1309" s="5">
        <v>1.0</v>
      </c>
      <c r="L1309" s="5">
        <v>14454.0</v>
      </c>
      <c r="M1309" s="8"/>
      <c r="AK1309" s="9"/>
      <c r="AO1309" s="5" t="s">
        <v>4673</v>
      </c>
      <c r="AP1309" s="5">
        <v>1350.0</v>
      </c>
      <c r="AQ1309" s="5" t="s">
        <v>1716</v>
      </c>
      <c r="AR1309" s="5" t="s">
        <v>1701</v>
      </c>
      <c r="AS1309" s="5" t="s">
        <v>1740</v>
      </c>
      <c r="AT1309" s="5" t="s">
        <v>1835</v>
      </c>
      <c r="AU1309" s="5" t="s">
        <v>1742</v>
      </c>
      <c r="AV1309" s="5" t="s">
        <v>1720</v>
      </c>
      <c r="AW1309" s="5" t="s">
        <v>1705</v>
      </c>
      <c r="AX1309" s="5" t="s">
        <v>1710</v>
      </c>
      <c r="AY1309" s="5">
        <v>50.2258</v>
      </c>
      <c r="AZ1309" s="5">
        <v>-126.3563</v>
      </c>
      <c r="BA1309" s="5">
        <v>1295.0</v>
      </c>
    </row>
    <row r="1310" ht="14.25" customHeight="1">
      <c r="A1310" s="5" t="s">
        <v>422</v>
      </c>
      <c r="B1310" s="5">
        <v>12.0</v>
      </c>
      <c r="C1310" s="5" t="s">
        <v>7666</v>
      </c>
      <c r="D1310" s="5">
        <v>1351.0</v>
      </c>
      <c r="E1310" s="5">
        <v>12443.0</v>
      </c>
      <c r="F1310" s="18" t="s">
        <v>4677</v>
      </c>
      <c r="G1310" s="5" t="s">
        <v>4678</v>
      </c>
      <c r="H1310" s="5" t="s">
        <v>4679</v>
      </c>
      <c r="I1310" s="5" t="s">
        <v>49</v>
      </c>
      <c r="J1310" s="5" t="s">
        <v>1746</v>
      </c>
      <c r="K1310" s="5">
        <v>1.0</v>
      </c>
      <c r="L1310" s="5">
        <v>14465.0</v>
      </c>
      <c r="M1310" s="8"/>
      <c r="AK1310" s="9"/>
      <c r="AO1310" s="67" t="s">
        <v>4677</v>
      </c>
      <c r="AP1310" s="5">
        <v>1351.0</v>
      </c>
      <c r="AQ1310" s="5" t="s">
        <v>1716</v>
      </c>
      <c r="AR1310" s="5" t="s">
        <v>1717</v>
      </c>
      <c r="AS1310" s="5" t="s">
        <v>1718</v>
      </c>
      <c r="AT1310" s="5" t="s">
        <v>1835</v>
      </c>
      <c r="AU1310" s="5" t="s">
        <v>1836</v>
      </c>
      <c r="AV1310" s="5" t="s">
        <v>1720</v>
      </c>
      <c r="AW1310" s="5" t="s">
        <v>2368</v>
      </c>
      <c r="AX1310" s="5" t="s">
        <v>2516</v>
      </c>
      <c r="AY1310" s="5">
        <v>49.19</v>
      </c>
      <c r="AZ1310" s="5">
        <v>-120.0042</v>
      </c>
      <c r="BA1310" s="5">
        <v>570.0</v>
      </c>
    </row>
    <row r="1311" ht="14.25" customHeight="1">
      <c r="B1311" s="5">
        <v>12.0</v>
      </c>
      <c r="C1311" s="5" t="s">
        <v>7666</v>
      </c>
      <c r="D1311" s="5">
        <v>1352.0</v>
      </c>
      <c r="E1311" s="5">
        <v>12448.0</v>
      </c>
      <c r="F1311" s="18" t="s">
        <v>4680</v>
      </c>
      <c r="G1311" s="5" t="s">
        <v>4681</v>
      </c>
      <c r="H1311" s="5" t="s">
        <v>4682</v>
      </c>
      <c r="I1311" s="5" t="s">
        <v>49</v>
      </c>
      <c r="J1311" s="5" t="s">
        <v>1746</v>
      </c>
      <c r="K1311" s="5">
        <v>1.0</v>
      </c>
      <c r="L1311" s="5">
        <v>14470.0</v>
      </c>
      <c r="M1311" s="8"/>
      <c r="AK1311" s="9"/>
      <c r="AO1311" s="67" t="s">
        <v>4680</v>
      </c>
      <c r="AP1311" s="5">
        <v>1352.0</v>
      </c>
      <c r="AQ1311" s="5" t="s">
        <v>1716</v>
      </c>
      <c r="AR1311" s="5" t="s">
        <v>1717</v>
      </c>
      <c r="AS1311" s="5" t="s">
        <v>1718</v>
      </c>
      <c r="AT1311" s="5" t="s">
        <v>1835</v>
      </c>
      <c r="AU1311" s="5" t="s">
        <v>1836</v>
      </c>
      <c r="AV1311" s="5" t="s">
        <v>1720</v>
      </c>
      <c r="AW1311" s="5" t="s">
        <v>2698</v>
      </c>
      <c r="AX1311" s="5" t="s">
        <v>2797</v>
      </c>
      <c r="AY1311" s="5">
        <v>49.6956</v>
      </c>
      <c r="AZ1311" s="5">
        <v>-118.1197</v>
      </c>
      <c r="BA1311" s="5">
        <v>720.0</v>
      </c>
    </row>
    <row r="1312" ht="14.25" customHeight="1">
      <c r="A1312" s="5" t="s">
        <v>422</v>
      </c>
      <c r="B1312" s="5">
        <v>12.0</v>
      </c>
      <c r="C1312" s="5" t="s">
        <v>7666</v>
      </c>
      <c r="D1312" s="5">
        <v>1355.0</v>
      </c>
      <c r="E1312" s="5">
        <v>12449.0</v>
      </c>
      <c r="F1312" s="18" t="s">
        <v>4683</v>
      </c>
      <c r="G1312" s="5" t="s">
        <v>4684</v>
      </c>
      <c r="H1312" s="5" t="s">
        <v>4685</v>
      </c>
      <c r="I1312" s="5" t="s">
        <v>49</v>
      </c>
      <c r="J1312" s="5" t="s">
        <v>1746</v>
      </c>
      <c r="K1312" s="5">
        <v>1.0</v>
      </c>
      <c r="L1312" s="5">
        <v>14471.0</v>
      </c>
      <c r="M1312" s="8"/>
      <c r="AK1312" s="9"/>
      <c r="AO1312" s="67" t="s">
        <v>4683</v>
      </c>
      <c r="AP1312" s="5">
        <v>1355.0</v>
      </c>
      <c r="AQ1312" s="5" t="s">
        <v>1716</v>
      </c>
      <c r="AR1312" s="5" t="s">
        <v>1717</v>
      </c>
      <c r="AS1312" s="5" t="s">
        <v>1718</v>
      </c>
      <c r="AT1312" s="5" t="s">
        <v>1835</v>
      </c>
      <c r="AU1312" s="5" t="s">
        <v>1836</v>
      </c>
      <c r="AV1312" s="5" t="s">
        <v>1720</v>
      </c>
      <c r="AW1312" s="5" t="s">
        <v>2698</v>
      </c>
      <c r="AX1312" s="5" t="s">
        <v>2801</v>
      </c>
      <c r="AY1312" s="5">
        <v>49.2761</v>
      </c>
      <c r="AZ1312" s="5">
        <v>-116.3724</v>
      </c>
      <c r="BA1312" s="5">
        <v>1330.0</v>
      </c>
    </row>
    <row r="1313" ht="14.25" customHeight="1">
      <c r="A1313" s="5" t="s">
        <v>88</v>
      </c>
      <c r="B1313" s="5">
        <v>12.0</v>
      </c>
      <c r="C1313" s="5" t="s">
        <v>7666</v>
      </c>
      <c r="D1313" s="5">
        <v>1358.0</v>
      </c>
      <c r="E1313" s="5">
        <v>12450.0</v>
      </c>
      <c r="F1313" s="18" t="s">
        <v>4686</v>
      </c>
      <c r="G1313" s="10" t="s">
        <v>4687</v>
      </c>
      <c r="H1313" s="5" t="s">
        <v>4688</v>
      </c>
      <c r="I1313" s="5" t="s">
        <v>49</v>
      </c>
      <c r="J1313" s="5" t="s">
        <v>1746</v>
      </c>
      <c r="K1313" s="5">
        <v>1.0</v>
      </c>
      <c r="L1313" s="5">
        <v>14472.0</v>
      </c>
      <c r="M1313" s="8"/>
      <c r="AK1313" s="9"/>
      <c r="AO1313" s="5" t="s">
        <v>4686</v>
      </c>
      <c r="AP1313" s="5">
        <v>1358.0</v>
      </c>
      <c r="AQ1313" s="5" t="s">
        <v>1716</v>
      </c>
      <c r="AR1313" s="5" t="s">
        <v>1717</v>
      </c>
      <c r="AS1313" s="5" t="s">
        <v>1718</v>
      </c>
      <c r="AT1313" s="5" t="s">
        <v>1835</v>
      </c>
      <c r="AU1313" s="5" t="s">
        <v>1836</v>
      </c>
      <c r="AV1313" s="5" t="s">
        <v>1720</v>
      </c>
      <c r="AW1313" s="5" t="s">
        <v>1947</v>
      </c>
      <c r="AX1313" s="5" t="s">
        <v>2948</v>
      </c>
      <c r="AY1313" s="5">
        <v>55.3747</v>
      </c>
      <c r="AZ1313" s="5">
        <v>-127.7889</v>
      </c>
      <c r="BA1313" s="5">
        <v>680.0</v>
      </c>
    </row>
    <row r="1314" ht="14.25" customHeight="1">
      <c r="B1314" s="5">
        <v>12.0</v>
      </c>
      <c r="C1314" s="5" t="s">
        <v>7666</v>
      </c>
      <c r="D1314" s="5">
        <v>1359.0</v>
      </c>
      <c r="E1314" s="5">
        <v>12451.0</v>
      </c>
      <c r="F1314" s="5" t="s">
        <v>2646</v>
      </c>
      <c r="G1314" s="5" t="s">
        <v>4689</v>
      </c>
      <c r="H1314" s="5" t="s">
        <v>4690</v>
      </c>
      <c r="I1314" s="5" t="s">
        <v>49</v>
      </c>
      <c r="J1314" s="5" t="s">
        <v>1891</v>
      </c>
      <c r="K1314" s="5">
        <v>1.0</v>
      </c>
      <c r="L1314" s="5">
        <v>14473.0</v>
      </c>
      <c r="M1314" s="77">
        <v>50.50025</v>
      </c>
      <c r="N1314" s="78">
        <v>-119.7013889</v>
      </c>
      <c r="O1314" s="78" t="s">
        <v>142</v>
      </c>
      <c r="P1314" s="78">
        <v>1132.0</v>
      </c>
      <c r="Q1314" s="79">
        <v>3.0</v>
      </c>
      <c r="R1314" s="78" t="s">
        <v>4241</v>
      </c>
      <c r="S1314" s="78" t="s">
        <v>1737</v>
      </c>
      <c r="T1314" s="78">
        <v>1153.0</v>
      </c>
      <c r="U1314" s="78"/>
      <c r="V1314" s="78"/>
      <c r="W1314" s="78"/>
      <c r="X1314" s="78" t="s">
        <v>1738</v>
      </c>
      <c r="Y1314" s="78"/>
      <c r="AK1314" s="9"/>
      <c r="AO1314" s="5" t="s">
        <v>2646</v>
      </c>
      <c r="AP1314" s="5">
        <v>1359.0</v>
      </c>
      <c r="AQ1314" s="5" t="s">
        <v>1700</v>
      </c>
      <c r="AR1314" s="5" t="s">
        <v>1739</v>
      </c>
      <c r="AS1314" s="5" t="s">
        <v>1740</v>
      </c>
      <c r="AT1314" s="5" t="s">
        <v>1741</v>
      </c>
      <c r="AU1314" s="5" t="s">
        <v>1959</v>
      </c>
      <c r="AV1314" s="5" t="s">
        <v>1720</v>
      </c>
      <c r="AW1314" s="5" t="s">
        <v>2368</v>
      </c>
      <c r="AX1314" s="5" t="s">
        <v>2522</v>
      </c>
      <c r="AY1314" s="5">
        <v>50.4972</v>
      </c>
      <c r="AZ1314" s="5">
        <v>-119.7269</v>
      </c>
      <c r="BA1314" s="5">
        <v>1100.0</v>
      </c>
    </row>
    <row r="1315" ht="14.25" customHeight="1">
      <c r="A1315" s="5" t="s">
        <v>88</v>
      </c>
      <c r="B1315" s="5">
        <v>12.0</v>
      </c>
      <c r="C1315" s="5" t="s">
        <v>7666</v>
      </c>
      <c r="D1315" s="5">
        <v>1362.0</v>
      </c>
      <c r="E1315" s="5">
        <v>12453.0</v>
      </c>
      <c r="F1315" s="5" t="s">
        <v>4691</v>
      </c>
      <c r="G1315" s="10" t="s">
        <v>4692</v>
      </c>
      <c r="H1315" s="5" t="s">
        <v>4693</v>
      </c>
      <c r="I1315" s="5" t="s">
        <v>49</v>
      </c>
      <c r="J1315" s="5" t="s">
        <v>1746</v>
      </c>
      <c r="K1315" s="5">
        <v>1.0</v>
      </c>
      <c r="L1315" s="5">
        <v>14475.0</v>
      </c>
      <c r="M1315" s="8">
        <v>49.6102</v>
      </c>
      <c r="N1315" s="11">
        <v>-126.0327</v>
      </c>
      <c r="O1315" s="11" t="s">
        <v>51</v>
      </c>
      <c r="P1315" s="11">
        <v>1362.0</v>
      </c>
      <c r="Q1315" s="22">
        <v>1.0</v>
      </c>
      <c r="R1315" s="11" t="s">
        <v>4691</v>
      </c>
      <c r="S1315" s="11" t="s">
        <v>4045</v>
      </c>
      <c r="T1315" s="11">
        <v>71.0</v>
      </c>
      <c r="U1315" s="11"/>
      <c r="V1315" s="11"/>
      <c r="W1315" s="23">
        <v>43648.0</v>
      </c>
      <c r="X1315" s="11" t="s">
        <v>1738</v>
      </c>
      <c r="AK1315" s="9"/>
      <c r="AO1315" s="5" t="s">
        <v>4691</v>
      </c>
      <c r="AP1315" s="5">
        <v>1362.0</v>
      </c>
      <c r="AQ1315" s="5" t="s">
        <v>1716</v>
      </c>
      <c r="AR1315" s="5" t="s">
        <v>1739</v>
      </c>
      <c r="AS1315" s="5" t="s">
        <v>1740</v>
      </c>
      <c r="AT1315" s="5" t="s">
        <v>1741</v>
      </c>
      <c r="AU1315" s="5" t="s">
        <v>1742</v>
      </c>
      <c r="AV1315" s="5" t="s">
        <v>1720</v>
      </c>
      <c r="AW1315" s="5" t="s">
        <v>1705</v>
      </c>
      <c r="AX1315" s="5" t="s">
        <v>1723</v>
      </c>
      <c r="AY1315" s="5">
        <v>49.6102</v>
      </c>
      <c r="AZ1315" s="5">
        <v>-126.0327</v>
      </c>
      <c r="BA1315" s="5">
        <v>71.0</v>
      </c>
    </row>
    <row r="1316" ht="14.25" customHeight="1">
      <c r="A1316" s="5" t="s">
        <v>88</v>
      </c>
      <c r="B1316" s="5">
        <v>12.0</v>
      </c>
      <c r="C1316" s="5" t="s">
        <v>7666</v>
      </c>
      <c r="D1316" s="5">
        <v>1375.0</v>
      </c>
      <c r="E1316" s="5">
        <v>12452.0</v>
      </c>
      <c r="F1316" s="5" t="s">
        <v>4694</v>
      </c>
      <c r="G1316" s="10" t="s">
        <v>4695</v>
      </c>
      <c r="H1316" s="5" t="s">
        <v>4696</v>
      </c>
      <c r="I1316" s="5" t="s">
        <v>49</v>
      </c>
      <c r="J1316" s="5" t="s">
        <v>1891</v>
      </c>
      <c r="K1316" s="5">
        <v>1.0</v>
      </c>
      <c r="L1316" s="5">
        <v>14474.0</v>
      </c>
      <c r="M1316" s="8">
        <v>49.8744444</v>
      </c>
      <c r="N1316" s="11">
        <v>-122.2811111</v>
      </c>
      <c r="O1316" s="11" t="s">
        <v>51</v>
      </c>
      <c r="P1316" s="11">
        <v>1375.0</v>
      </c>
      <c r="Q1316" s="22">
        <v>2.0</v>
      </c>
      <c r="R1316" s="11" t="s">
        <v>4694</v>
      </c>
      <c r="S1316" s="11" t="s">
        <v>1737</v>
      </c>
      <c r="T1316" s="11">
        <v>305.0</v>
      </c>
      <c r="U1316" s="11"/>
      <c r="V1316" s="11"/>
      <c r="W1316" s="23">
        <v>43831.0</v>
      </c>
      <c r="X1316" s="11" t="s">
        <v>1738</v>
      </c>
      <c r="AK1316" s="9"/>
      <c r="AO1316" s="5" t="s">
        <v>4694</v>
      </c>
      <c r="AP1316" s="5">
        <v>1375.0</v>
      </c>
      <c r="AQ1316" s="5" t="s">
        <v>1716</v>
      </c>
      <c r="AR1316" s="5" t="s">
        <v>1739</v>
      </c>
      <c r="AS1316" s="5" t="s">
        <v>1740</v>
      </c>
      <c r="AT1316" s="5" t="s">
        <v>1741</v>
      </c>
      <c r="AU1316" s="5" t="s">
        <v>1742</v>
      </c>
      <c r="AV1316" s="5" t="s">
        <v>1720</v>
      </c>
      <c r="AW1316" s="5" t="s">
        <v>1705</v>
      </c>
      <c r="AX1316" s="5" t="s">
        <v>1883</v>
      </c>
      <c r="AY1316" s="5">
        <v>49.8747</v>
      </c>
      <c r="AZ1316" s="5">
        <v>-122.2816</v>
      </c>
      <c r="BA1316" s="5">
        <v>308.0</v>
      </c>
    </row>
    <row r="1317" ht="14.25" customHeight="1">
      <c r="B1317" s="5">
        <v>12.0</v>
      </c>
      <c r="C1317" s="5" t="s">
        <v>7666</v>
      </c>
      <c r="D1317" s="5">
        <v>1377.0</v>
      </c>
      <c r="E1317" s="5">
        <v>12456.0</v>
      </c>
      <c r="F1317" s="5" t="s">
        <v>4697</v>
      </c>
      <c r="G1317" s="5" t="s">
        <v>4698</v>
      </c>
      <c r="H1317" s="5" t="s">
        <v>4699</v>
      </c>
      <c r="I1317" s="5" t="s">
        <v>49</v>
      </c>
      <c r="J1317" s="5" t="s">
        <v>1891</v>
      </c>
      <c r="K1317" s="5">
        <v>1.0</v>
      </c>
      <c r="L1317" s="5">
        <v>14478.0</v>
      </c>
      <c r="M1317" s="8">
        <v>56.7116389</v>
      </c>
      <c r="N1317" s="11">
        <v>-130.6783611</v>
      </c>
      <c r="O1317" s="11" t="s">
        <v>1290</v>
      </c>
      <c r="P1317" s="11">
        <v>1377.0</v>
      </c>
      <c r="Q1317" s="22">
        <v>1.0</v>
      </c>
      <c r="R1317" s="11" t="s">
        <v>4697</v>
      </c>
      <c r="S1317" s="11" t="s">
        <v>1737</v>
      </c>
      <c r="T1317" s="11">
        <v>276.0</v>
      </c>
      <c r="U1317" s="11"/>
      <c r="V1317" s="11"/>
      <c r="W1317" s="23">
        <v>43831.0</v>
      </c>
      <c r="X1317" s="11" t="s">
        <v>1738</v>
      </c>
      <c r="AK1317" s="9"/>
      <c r="AO1317" s="5" t="s">
        <v>4697</v>
      </c>
      <c r="AP1317" s="5">
        <v>1377.0</v>
      </c>
      <c r="AQ1317" s="5" t="s">
        <v>1716</v>
      </c>
      <c r="AR1317" s="5" t="s">
        <v>1739</v>
      </c>
      <c r="AS1317" s="5" t="s">
        <v>1740</v>
      </c>
      <c r="AT1317" s="5" t="s">
        <v>1835</v>
      </c>
      <c r="AU1317" s="5" t="s">
        <v>1742</v>
      </c>
      <c r="AV1317" s="5" t="s">
        <v>1720</v>
      </c>
      <c r="AW1317" s="5" t="s">
        <v>1947</v>
      </c>
      <c r="AX1317" s="5" t="s">
        <v>1986</v>
      </c>
      <c r="AY1317" s="5">
        <v>56.7116</v>
      </c>
      <c r="AZ1317" s="5">
        <v>-130.6784</v>
      </c>
      <c r="BA1317" s="5">
        <v>276.0</v>
      </c>
    </row>
    <row r="1318" ht="14.25" customHeight="1">
      <c r="A1318" s="5" t="s">
        <v>1908</v>
      </c>
      <c r="B1318" s="5">
        <v>12.0</v>
      </c>
      <c r="C1318" s="5" t="s">
        <v>7666</v>
      </c>
      <c r="D1318" s="5">
        <v>1378.0</v>
      </c>
      <c r="E1318" s="5">
        <v>12458.0</v>
      </c>
      <c r="F1318" s="5" t="s">
        <v>4700</v>
      </c>
      <c r="G1318" s="10" t="s">
        <v>4701</v>
      </c>
      <c r="H1318" s="5" t="s">
        <v>4702</v>
      </c>
      <c r="I1318" s="5" t="s">
        <v>49</v>
      </c>
      <c r="J1318" s="5" t="s">
        <v>1891</v>
      </c>
      <c r="K1318" s="5">
        <v>1.0</v>
      </c>
      <c r="L1318" s="5">
        <v>14480.0</v>
      </c>
      <c r="M1318" s="8">
        <v>50.2678056</v>
      </c>
      <c r="N1318" s="11">
        <v>-127.0796111</v>
      </c>
      <c r="O1318" s="11" t="s">
        <v>142</v>
      </c>
      <c r="P1318" s="11">
        <v>1378.0</v>
      </c>
      <c r="Q1318" s="22">
        <v>1.0</v>
      </c>
      <c r="R1318" s="11" t="s">
        <v>4700</v>
      </c>
      <c r="S1318" s="11" t="s">
        <v>4045</v>
      </c>
      <c r="T1318" s="11">
        <v>462.0</v>
      </c>
      <c r="U1318" s="11"/>
      <c r="V1318" s="11"/>
      <c r="W1318" s="23">
        <v>43831.0</v>
      </c>
      <c r="X1318" s="11" t="s">
        <v>1738</v>
      </c>
      <c r="AK1318" s="9"/>
      <c r="AO1318" s="5" t="s">
        <v>4700</v>
      </c>
      <c r="AP1318" s="5">
        <v>1378.0</v>
      </c>
      <c r="AQ1318" s="5" t="s">
        <v>1716</v>
      </c>
      <c r="AR1318" s="5" t="s">
        <v>1739</v>
      </c>
      <c r="AS1318" s="5" t="s">
        <v>1740</v>
      </c>
      <c r="AT1318" s="5" t="s">
        <v>1741</v>
      </c>
      <c r="AU1318" s="5" t="s">
        <v>1742</v>
      </c>
      <c r="AV1318" s="5" t="s">
        <v>1720</v>
      </c>
      <c r="AW1318" s="5" t="s">
        <v>1705</v>
      </c>
      <c r="AX1318" s="5" t="s">
        <v>1723</v>
      </c>
      <c r="AY1318" s="5">
        <v>50.2651</v>
      </c>
      <c r="AZ1318" s="5">
        <v>-127.0835</v>
      </c>
      <c r="BA1318" s="5">
        <v>384.0</v>
      </c>
    </row>
    <row r="1319" ht="14.25" customHeight="1">
      <c r="A1319" s="5" t="s">
        <v>422</v>
      </c>
      <c r="B1319" s="5">
        <v>12.0</v>
      </c>
      <c r="C1319" s="5" t="s">
        <v>7666</v>
      </c>
      <c r="D1319" s="5">
        <v>1382.0</v>
      </c>
      <c r="E1319" s="5">
        <v>12457.0</v>
      </c>
      <c r="F1319" s="18" t="s">
        <v>4703</v>
      </c>
      <c r="G1319" s="5" t="s">
        <v>4704</v>
      </c>
      <c r="H1319" s="5" t="s">
        <v>4705</v>
      </c>
      <c r="I1319" s="5" t="s">
        <v>49</v>
      </c>
      <c r="J1319" s="5" t="s">
        <v>1746</v>
      </c>
      <c r="K1319" s="5">
        <v>1.0</v>
      </c>
      <c r="L1319" s="5">
        <v>14479.0</v>
      </c>
      <c r="M1319" s="8"/>
      <c r="AK1319" s="9"/>
      <c r="AO1319" s="67" t="s">
        <v>4703</v>
      </c>
      <c r="AP1319" s="5">
        <v>1382.0</v>
      </c>
      <c r="AQ1319" s="5" t="s">
        <v>1716</v>
      </c>
      <c r="AR1319" s="5" t="s">
        <v>1717</v>
      </c>
      <c r="AS1319" s="5" t="s">
        <v>1718</v>
      </c>
      <c r="AT1319" s="5" t="s">
        <v>1835</v>
      </c>
      <c r="AU1319" s="5" t="s">
        <v>1836</v>
      </c>
      <c r="AW1319" s="5" t="s">
        <v>2368</v>
      </c>
      <c r="AX1319" s="5" t="s">
        <v>2516</v>
      </c>
      <c r="AY1319" s="5">
        <v>49.1156</v>
      </c>
      <c r="AZ1319" s="5">
        <v>-119.6758</v>
      </c>
      <c r="BA1319" s="5">
        <v>1865.0</v>
      </c>
    </row>
    <row r="1320" ht="14.25" customHeight="1">
      <c r="A1320" s="5" t="s">
        <v>1908</v>
      </c>
      <c r="B1320" s="5">
        <v>12.0</v>
      </c>
      <c r="C1320" s="5" t="s">
        <v>7666</v>
      </c>
      <c r="D1320" s="5">
        <v>1383.0</v>
      </c>
      <c r="E1320" s="5">
        <v>12460.0</v>
      </c>
      <c r="F1320" s="5" t="s">
        <v>4706</v>
      </c>
      <c r="G1320" s="10" t="s">
        <v>4707</v>
      </c>
      <c r="H1320" s="5" t="s">
        <v>4708</v>
      </c>
      <c r="I1320" s="5" t="s">
        <v>49</v>
      </c>
      <c r="J1320" s="5" t="s">
        <v>1891</v>
      </c>
      <c r="K1320" s="5">
        <v>1.0</v>
      </c>
      <c r="L1320" s="5">
        <v>14482.0</v>
      </c>
      <c r="M1320" s="8">
        <v>50.0825</v>
      </c>
      <c r="N1320" s="11">
        <v>-123.0413</v>
      </c>
      <c r="O1320" s="11" t="s">
        <v>183</v>
      </c>
      <c r="P1320" s="11">
        <v>1383.0</v>
      </c>
      <c r="Q1320" s="22">
        <v>6.0</v>
      </c>
      <c r="R1320" s="11" t="s">
        <v>4706</v>
      </c>
      <c r="S1320" s="11" t="s">
        <v>1737</v>
      </c>
      <c r="T1320" s="11">
        <v>456.0</v>
      </c>
      <c r="U1320" s="11"/>
      <c r="V1320" s="11"/>
      <c r="W1320" s="23">
        <v>43691.0</v>
      </c>
      <c r="X1320" s="11" t="s">
        <v>1738</v>
      </c>
      <c r="AK1320" s="9"/>
      <c r="AO1320" s="5" t="s">
        <v>4706</v>
      </c>
      <c r="AP1320" s="5">
        <v>1383.0</v>
      </c>
      <c r="AQ1320" s="5" t="s">
        <v>1716</v>
      </c>
      <c r="AR1320" s="5" t="s">
        <v>1739</v>
      </c>
      <c r="AS1320" s="5" t="s">
        <v>1740</v>
      </c>
      <c r="AT1320" s="5" t="s">
        <v>1741</v>
      </c>
      <c r="AU1320" s="5" t="s">
        <v>1772</v>
      </c>
      <c r="AV1320" s="5" t="s">
        <v>1720</v>
      </c>
      <c r="AW1320" s="5" t="s">
        <v>1705</v>
      </c>
      <c r="AX1320" s="5" t="s">
        <v>1706</v>
      </c>
      <c r="AY1320" s="5">
        <v>49.4041</v>
      </c>
      <c r="AZ1320" s="5">
        <v>-124.7584</v>
      </c>
      <c r="BA1320" s="5">
        <v>669.0</v>
      </c>
    </row>
    <row r="1321" ht="14.25" customHeight="1">
      <c r="A1321" s="5" t="s">
        <v>422</v>
      </c>
      <c r="B1321" s="5">
        <v>12.0</v>
      </c>
      <c r="C1321" s="5" t="s">
        <v>7666</v>
      </c>
      <c r="D1321" s="5">
        <v>1384.0</v>
      </c>
      <c r="E1321" s="5">
        <v>12459.0</v>
      </c>
      <c r="F1321" s="18" t="s">
        <v>4709</v>
      </c>
      <c r="G1321" s="5" t="s">
        <v>4710</v>
      </c>
      <c r="H1321" s="5" t="s">
        <v>4711</v>
      </c>
      <c r="I1321" s="5" t="s">
        <v>49</v>
      </c>
      <c r="J1321" s="5" t="s">
        <v>1746</v>
      </c>
      <c r="K1321" s="5">
        <v>1.0</v>
      </c>
      <c r="L1321" s="5">
        <v>14481.0</v>
      </c>
      <c r="M1321" s="8"/>
      <c r="AK1321" s="9"/>
      <c r="AO1321" s="67" t="s">
        <v>4709</v>
      </c>
      <c r="AP1321" s="5">
        <v>1384.0</v>
      </c>
      <c r="AQ1321" s="5" t="s">
        <v>1716</v>
      </c>
      <c r="AR1321" s="5" t="s">
        <v>1717</v>
      </c>
      <c r="AS1321" s="5" t="s">
        <v>1718</v>
      </c>
      <c r="AT1321" s="5" t="s">
        <v>1835</v>
      </c>
      <c r="AU1321" s="5" t="s">
        <v>1836</v>
      </c>
      <c r="AV1321" s="5" t="s">
        <v>1720</v>
      </c>
      <c r="AW1321" s="5" t="s">
        <v>2368</v>
      </c>
      <c r="AX1321" s="5" t="s">
        <v>2516</v>
      </c>
      <c r="AY1321" s="5">
        <v>49.2381</v>
      </c>
      <c r="AZ1321" s="5">
        <v>-119.4322</v>
      </c>
      <c r="BA1321" s="5">
        <v>1457.0</v>
      </c>
    </row>
    <row r="1322" ht="14.25" customHeight="1">
      <c r="A1322" s="5" t="s">
        <v>422</v>
      </c>
      <c r="B1322" s="5">
        <v>12.0</v>
      </c>
      <c r="C1322" s="5" t="s">
        <v>7666</v>
      </c>
      <c r="D1322" s="5">
        <v>1385.0</v>
      </c>
      <c r="E1322" s="5">
        <v>12461.0</v>
      </c>
      <c r="F1322" s="18" t="s">
        <v>4712</v>
      </c>
      <c r="G1322" s="5" t="s">
        <v>4713</v>
      </c>
      <c r="H1322" s="5" t="s">
        <v>4714</v>
      </c>
      <c r="I1322" s="5" t="s">
        <v>49</v>
      </c>
      <c r="J1322" s="5" t="s">
        <v>1746</v>
      </c>
      <c r="K1322" s="5">
        <v>1.0</v>
      </c>
      <c r="L1322" s="5">
        <v>14483.0</v>
      </c>
      <c r="M1322" s="8"/>
      <c r="AK1322" s="9"/>
      <c r="AO1322" s="67" t="s">
        <v>4712</v>
      </c>
      <c r="AP1322" s="5">
        <v>1385.0</v>
      </c>
      <c r="AQ1322" s="5" t="s">
        <v>1716</v>
      </c>
      <c r="AR1322" s="5" t="s">
        <v>1717</v>
      </c>
      <c r="AS1322" s="5" t="s">
        <v>1718</v>
      </c>
      <c r="AT1322" s="5" t="s">
        <v>1835</v>
      </c>
      <c r="AU1322" s="5" t="s">
        <v>1836</v>
      </c>
      <c r="AW1322" s="5" t="s">
        <v>2368</v>
      </c>
      <c r="AX1322" s="5" t="s">
        <v>2505</v>
      </c>
      <c r="AY1322" s="5">
        <v>51.1781</v>
      </c>
      <c r="AZ1322" s="5">
        <v>-122.0783</v>
      </c>
      <c r="BA1322" s="5">
        <v>500.0</v>
      </c>
    </row>
    <row r="1323" ht="14.25" customHeight="1">
      <c r="B1323" s="5">
        <v>12.0</v>
      </c>
      <c r="C1323" s="5" t="s">
        <v>7666</v>
      </c>
      <c r="D1323" s="5">
        <v>1386.0</v>
      </c>
      <c r="E1323" s="5">
        <v>12463.0</v>
      </c>
      <c r="F1323" s="18" t="s">
        <v>4715</v>
      </c>
      <c r="G1323" s="5" t="s">
        <v>4716</v>
      </c>
      <c r="H1323" s="5" t="s">
        <v>4717</v>
      </c>
      <c r="I1323" s="5" t="s">
        <v>49</v>
      </c>
      <c r="J1323" s="5" t="s">
        <v>1746</v>
      </c>
      <c r="K1323" s="5">
        <v>1.0</v>
      </c>
      <c r="L1323" s="5">
        <v>14485.0</v>
      </c>
      <c r="M1323" s="8"/>
      <c r="AK1323" s="9"/>
      <c r="AO1323" s="67" t="s">
        <v>4715</v>
      </c>
      <c r="AP1323" s="5">
        <v>1386.0</v>
      </c>
      <c r="AQ1323" s="5" t="s">
        <v>1716</v>
      </c>
      <c r="AR1323" s="5" t="s">
        <v>1717</v>
      </c>
      <c r="AS1323" s="5" t="s">
        <v>2257</v>
      </c>
      <c r="AT1323" s="5" t="s">
        <v>1835</v>
      </c>
      <c r="AU1323" s="5" t="s">
        <v>1742</v>
      </c>
      <c r="AW1323" s="5" t="s">
        <v>2368</v>
      </c>
      <c r="AX1323" s="5" t="s">
        <v>2522</v>
      </c>
      <c r="AY1323" s="5">
        <v>50.6022</v>
      </c>
      <c r="AZ1323" s="5">
        <v>-118.4229</v>
      </c>
      <c r="BA1323" s="5">
        <v>1200.0</v>
      </c>
    </row>
    <row r="1324" ht="14.25" customHeight="1">
      <c r="A1324" s="5" t="s">
        <v>4338</v>
      </c>
      <c r="B1324" s="5">
        <v>12.0</v>
      </c>
      <c r="C1324" s="10" t="s">
        <v>7674</v>
      </c>
      <c r="D1324" s="5">
        <v>1387.0</v>
      </c>
      <c r="E1324" s="5">
        <v>12464.0</v>
      </c>
      <c r="F1324" s="5" t="s">
        <v>4718</v>
      </c>
      <c r="G1324" s="10" t="s">
        <v>4719</v>
      </c>
      <c r="H1324" s="5" t="s">
        <v>4720</v>
      </c>
      <c r="I1324" s="5" t="s">
        <v>49</v>
      </c>
      <c r="J1324" s="5" t="s">
        <v>1829</v>
      </c>
      <c r="K1324" s="5">
        <v>1.0</v>
      </c>
      <c r="L1324" s="5">
        <v>14486.0</v>
      </c>
      <c r="M1324" s="8"/>
      <c r="AK1324" s="9"/>
      <c r="AO1324" s="5" t="s">
        <v>4718</v>
      </c>
      <c r="AP1324" s="5">
        <v>1387.0</v>
      </c>
      <c r="AQ1324" s="5" t="s">
        <v>3003</v>
      </c>
      <c r="AR1324" s="5" t="s">
        <v>1739</v>
      </c>
      <c r="AS1324" s="5" t="s">
        <v>1740</v>
      </c>
      <c r="AT1324" s="5" t="s">
        <v>1835</v>
      </c>
      <c r="AU1324" s="5" t="s">
        <v>1742</v>
      </c>
      <c r="AV1324" s="5" t="s">
        <v>1720</v>
      </c>
      <c r="AW1324" s="5" t="s">
        <v>2193</v>
      </c>
      <c r="AX1324" s="5" t="s">
        <v>2283</v>
      </c>
      <c r="AY1324" s="5">
        <v>51.3735</v>
      </c>
      <c r="AZ1324" s="5">
        <v>-125.1645</v>
      </c>
      <c r="BA1324" s="5">
        <v>2712.0</v>
      </c>
    </row>
    <row r="1325" ht="14.25" customHeight="1">
      <c r="A1325" s="5" t="s">
        <v>422</v>
      </c>
      <c r="B1325" s="5">
        <v>12.0</v>
      </c>
      <c r="C1325" s="5" t="s">
        <v>7666</v>
      </c>
      <c r="D1325" s="5">
        <v>1389.0</v>
      </c>
      <c r="E1325" s="5">
        <v>13021.0</v>
      </c>
      <c r="F1325" s="51" t="s">
        <v>4721</v>
      </c>
      <c r="G1325" s="5" t="s">
        <v>127</v>
      </c>
      <c r="H1325" s="5" t="s">
        <v>4722</v>
      </c>
      <c r="I1325" s="5" t="s">
        <v>49</v>
      </c>
      <c r="J1325" s="5" t="s">
        <v>1746</v>
      </c>
      <c r="K1325" s="5">
        <v>1.0</v>
      </c>
      <c r="L1325" s="5">
        <v>14953.0</v>
      </c>
      <c r="M1325" s="8"/>
      <c r="AK1325" s="9"/>
      <c r="AO1325" s="5" t="s">
        <v>4723</v>
      </c>
      <c r="AP1325" s="5">
        <v>1389.0</v>
      </c>
      <c r="AQ1325" s="5" t="s">
        <v>1716</v>
      </c>
      <c r="AR1325" s="5" t="s">
        <v>1717</v>
      </c>
      <c r="AS1325" s="5" t="s">
        <v>1740</v>
      </c>
      <c r="AT1325" s="5" t="s">
        <v>1835</v>
      </c>
      <c r="AU1325" s="5" t="s">
        <v>1742</v>
      </c>
      <c r="AV1325" s="5" t="s">
        <v>1720</v>
      </c>
      <c r="AW1325" s="5" t="s">
        <v>2698</v>
      </c>
      <c r="AX1325" s="5" t="s">
        <v>2902</v>
      </c>
      <c r="AY1325" s="5">
        <v>49.8331</v>
      </c>
      <c r="AZ1325" s="5">
        <v>-114.8823</v>
      </c>
      <c r="BA1325" s="5">
        <v>1172.0</v>
      </c>
    </row>
    <row r="1326" ht="14.25" customHeight="1">
      <c r="B1326" s="5">
        <v>12.0</v>
      </c>
      <c r="C1326" s="5" t="s">
        <v>7666</v>
      </c>
      <c r="D1326" s="5">
        <v>1390.0</v>
      </c>
      <c r="E1326" s="5">
        <v>12522.0</v>
      </c>
      <c r="F1326" s="18" t="s">
        <v>4724</v>
      </c>
      <c r="G1326" s="5" t="s">
        <v>4725</v>
      </c>
      <c r="H1326" s="5" t="s">
        <v>4726</v>
      </c>
      <c r="I1326" s="5" t="s">
        <v>49</v>
      </c>
      <c r="J1326" s="5" t="s">
        <v>1746</v>
      </c>
      <c r="K1326" s="5">
        <v>1.0</v>
      </c>
      <c r="L1326" s="5">
        <v>14544.0</v>
      </c>
      <c r="M1326" s="8"/>
      <c r="AK1326" s="9"/>
      <c r="AO1326" s="67" t="s">
        <v>4724</v>
      </c>
      <c r="AP1326" s="5">
        <v>1390.0</v>
      </c>
      <c r="AQ1326" s="5" t="s">
        <v>1716</v>
      </c>
      <c r="AR1326" s="5" t="s">
        <v>1717</v>
      </c>
      <c r="AS1326" s="5" t="s">
        <v>1718</v>
      </c>
      <c r="AT1326" s="5" t="s">
        <v>1835</v>
      </c>
      <c r="AU1326" s="5" t="s">
        <v>1836</v>
      </c>
      <c r="AW1326" s="5" t="s">
        <v>2698</v>
      </c>
      <c r="AX1326" s="5" t="s">
        <v>2902</v>
      </c>
      <c r="AY1326" s="5">
        <v>49.8331</v>
      </c>
      <c r="AZ1326" s="5">
        <v>-114.8823</v>
      </c>
      <c r="BA1326" s="5">
        <v>1172.0</v>
      </c>
    </row>
    <row r="1327" ht="14.25" customHeight="1">
      <c r="B1327" s="5">
        <v>12.0</v>
      </c>
      <c r="C1327" s="5" t="s">
        <v>7666</v>
      </c>
      <c r="D1327" s="5">
        <v>1392.0</v>
      </c>
      <c r="E1327" s="5">
        <v>12523.0</v>
      </c>
      <c r="F1327" s="5" t="s">
        <v>4727</v>
      </c>
      <c r="G1327" s="5" t="s">
        <v>4728</v>
      </c>
      <c r="H1327" s="5" t="s">
        <v>4729</v>
      </c>
      <c r="I1327" s="5" t="s">
        <v>49</v>
      </c>
      <c r="J1327" s="5" t="s">
        <v>1746</v>
      </c>
      <c r="K1327" s="5">
        <v>1.0</v>
      </c>
      <c r="L1327" s="5">
        <v>14545.0</v>
      </c>
      <c r="M1327" s="8"/>
      <c r="AK1327" s="9"/>
      <c r="AO1327" s="5" t="s">
        <v>4727</v>
      </c>
      <c r="AP1327" s="5">
        <v>1392.0</v>
      </c>
      <c r="AQ1327" s="5" t="s">
        <v>1716</v>
      </c>
      <c r="AR1327" s="5" t="s">
        <v>1739</v>
      </c>
      <c r="AS1327" s="5" t="s">
        <v>1740</v>
      </c>
      <c r="AT1327" s="5" t="s">
        <v>1835</v>
      </c>
      <c r="AU1327" s="5" t="s">
        <v>1742</v>
      </c>
      <c r="AV1327" s="5" t="s">
        <v>1720</v>
      </c>
      <c r="AW1327" s="5" t="s">
        <v>2368</v>
      </c>
      <c r="AX1327" s="5" t="s">
        <v>2492</v>
      </c>
      <c r="AY1327" s="5">
        <v>49.5557</v>
      </c>
      <c r="AZ1327" s="5">
        <v>-120.1732</v>
      </c>
      <c r="BA1327" s="5">
        <v>1595.0</v>
      </c>
    </row>
    <row r="1328" ht="14.25" customHeight="1">
      <c r="A1328" s="5" t="s">
        <v>2037</v>
      </c>
      <c r="B1328" s="5">
        <v>12.0</v>
      </c>
      <c r="C1328" s="5" t="s">
        <v>7666</v>
      </c>
      <c r="D1328" s="5">
        <v>1396.0</v>
      </c>
      <c r="E1328" s="5">
        <v>12524.0</v>
      </c>
      <c r="F1328" s="5" t="s">
        <v>4730</v>
      </c>
      <c r="G1328" s="5" t="s">
        <v>4731</v>
      </c>
      <c r="H1328" s="5" t="s">
        <v>4732</v>
      </c>
      <c r="I1328" s="5" t="s">
        <v>49</v>
      </c>
      <c r="J1328" s="5" t="s">
        <v>1746</v>
      </c>
      <c r="K1328" s="5">
        <v>1.0</v>
      </c>
      <c r="L1328" s="5">
        <v>14546.0</v>
      </c>
      <c r="M1328" s="8"/>
      <c r="AE1328" s="5" t="s">
        <v>4733</v>
      </c>
      <c r="AK1328" s="9"/>
      <c r="AO1328" s="5" t="s">
        <v>4734</v>
      </c>
      <c r="AP1328" s="5">
        <v>1396.0</v>
      </c>
      <c r="AQ1328" s="5" t="s">
        <v>1716</v>
      </c>
      <c r="AR1328" s="5" t="s">
        <v>1717</v>
      </c>
      <c r="AS1328" s="5" t="s">
        <v>1740</v>
      </c>
      <c r="AT1328" s="5" t="s">
        <v>1835</v>
      </c>
      <c r="AU1328" s="5" t="s">
        <v>1742</v>
      </c>
      <c r="AV1328" s="5" t="s">
        <v>1720</v>
      </c>
      <c r="AW1328" s="5" t="s">
        <v>2368</v>
      </c>
      <c r="AX1328" s="5" t="s">
        <v>2516</v>
      </c>
      <c r="AY1328" s="5">
        <v>49.4352</v>
      </c>
      <c r="AZ1328" s="5">
        <v>-119.9976</v>
      </c>
      <c r="BA1328" s="5">
        <v>1716.0</v>
      </c>
    </row>
    <row r="1329" ht="14.25" customHeight="1">
      <c r="A1329" s="5" t="s">
        <v>422</v>
      </c>
      <c r="B1329" s="5">
        <v>12.0</v>
      </c>
      <c r="C1329" s="5" t="s">
        <v>7666</v>
      </c>
      <c r="D1329" s="5">
        <v>1397.0</v>
      </c>
      <c r="E1329" s="5">
        <v>12525.0</v>
      </c>
      <c r="F1329" s="18" t="s">
        <v>4735</v>
      </c>
      <c r="G1329" s="5" t="s">
        <v>4736</v>
      </c>
      <c r="H1329" s="5" t="s">
        <v>4737</v>
      </c>
      <c r="I1329" s="5" t="s">
        <v>49</v>
      </c>
      <c r="J1329" s="5" t="s">
        <v>1746</v>
      </c>
      <c r="K1329" s="5">
        <v>1.0</v>
      </c>
      <c r="L1329" s="5">
        <v>14547.0</v>
      </c>
      <c r="M1329" s="8"/>
      <c r="AK1329" s="9"/>
      <c r="AO1329" s="67" t="s">
        <v>4735</v>
      </c>
      <c r="AP1329" s="5">
        <v>1397.0</v>
      </c>
      <c r="AQ1329" s="5" t="s">
        <v>1716</v>
      </c>
      <c r="AR1329" s="5" t="s">
        <v>1717</v>
      </c>
      <c r="AS1329" s="5" t="s">
        <v>1718</v>
      </c>
      <c r="AT1329" s="5" t="s">
        <v>1835</v>
      </c>
      <c r="AU1329" s="5" t="s">
        <v>1836</v>
      </c>
      <c r="AV1329" s="5" t="s">
        <v>1720</v>
      </c>
      <c r="AW1329" s="5" t="s">
        <v>1947</v>
      </c>
      <c r="AX1329" s="5" t="s">
        <v>1973</v>
      </c>
      <c r="AY1329" s="5">
        <v>54.4738</v>
      </c>
      <c r="AZ1329" s="5">
        <v>-128.5819</v>
      </c>
      <c r="BA1329" s="5">
        <v>220.0</v>
      </c>
    </row>
    <row r="1330" ht="14.25" customHeight="1">
      <c r="A1330" s="5" t="s">
        <v>1908</v>
      </c>
      <c r="B1330" s="5">
        <v>12.0</v>
      </c>
      <c r="C1330" s="5" t="s">
        <v>7666</v>
      </c>
      <c r="D1330" s="5">
        <v>1398.0</v>
      </c>
      <c r="E1330" s="5">
        <v>12526.0</v>
      </c>
      <c r="F1330" s="5" t="s">
        <v>4738</v>
      </c>
      <c r="G1330" s="10" t="s">
        <v>4739</v>
      </c>
      <c r="H1330" s="5" t="s">
        <v>4740</v>
      </c>
      <c r="I1330" s="5" t="s">
        <v>49</v>
      </c>
      <c r="J1330" s="5" t="s">
        <v>1746</v>
      </c>
      <c r="K1330" s="5">
        <v>1.0</v>
      </c>
      <c r="L1330" s="5">
        <v>14548.0</v>
      </c>
      <c r="M1330" s="8">
        <v>49.2075</v>
      </c>
      <c r="N1330" s="5">
        <v>-125.1218</v>
      </c>
      <c r="O1330" s="5" t="s">
        <v>51</v>
      </c>
      <c r="P1330" s="5">
        <v>1398.0</v>
      </c>
      <c r="Q1330" s="5">
        <v>3.0</v>
      </c>
      <c r="R1330" s="5" t="s">
        <v>4738</v>
      </c>
      <c r="S1330" s="5" t="s">
        <v>4045</v>
      </c>
      <c r="T1330" s="5">
        <v>354.0</v>
      </c>
      <c r="W1330" s="5">
        <v>44039.0</v>
      </c>
      <c r="X1330" s="5" t="s">
        <v>1738</v>
      </c>
      <c r="AK1330" s="9"/>
      <c r="AO1330" s="5" t="s">
        <v>4738</v>
      </c>
      <c r="AP1330" s="5">
        <v>1398.0</v>
      </c>
      <c r="AQ1330" s="5" t="s">
        <v>1716</v>
      </c>
      <c r="AR1330" s="5" t="s">
        <v>1739</v>
      </c>
      <c r="AS1330" s="5" t="s">
        <v>1740</v>
      </c>
      <c r="AT1330" s="5" t="s">
        <v>1741</v>
      </c>
      <c r="AU1330" s="5" t="s">
        <v>1742</v>
      </c>
      <c r="AV1330" s="5" t="s">
        <v>1720</v>
      </c>
      <c r="AW1330" s="5" t="s">
        <v>1705</v>
      </c>
      <c r="AX1330" s="5" t="s">
        <v>1706</v>
      </c>
      <c r="AY1330" s="5">
        <v>49.2075</v>
      </c>
      <c r="AZ1330" s="5">
        <v>-125.1218</v>
      </c>
      <c r="BA1330" s="5">
        <v>354.0</v>
      </c>
    </row>
    <row r="1331" ht="14.25" customHeight="1">
      <c r="A1331" s="5" t="s">
        <v>2037</v>
      </c>
      <c r="B1331" s="5">
        <v>12.0</v>
      </c>
      <c r="C1331" s="5" t="s">
        <v>7666</v>
      </c>
      <c r="D1331" s="5">
        <v>1399.0</v>
      </c>
      <c r="E1331" s="5">
        <v>12622.0</v>
      </c>
      <c r="F1331" s="5" t="s">
        <v>4741</v>
      </c>
      <c r="G1331" s="5" t="s">
        <v>4742</v>
      </c>
      <c r="H1331" s="5" t="s">
        <v>4743</v>
      </c>
      <c r="I1331" s="5" t="s">
        <v>49</v>
      </c>
      <c r="J1331" s="5" t="s">
        <v>1746</v>
      </c>
      <c r="K1331" s="5">
        <v>1.0</v>
      </c>
      <c r="L1331" s="5">
        <v>14644.0</v>
      </c>
      <c r="M1331" s="8">
        <v>50.08745</v>
      </c>
      <c r="N1331" s="5">
        <v>-120.74573</v>
      </c>
      <c r="O1331" s="5" t="s">
        <v>142</v>
      </c>
      <c r="P1331" s="5">
        <v>294.0</v>
      </c>
      <c r="Q1331" s="5">
        <v>1.0</v>
      </c>
      <c r="R1331" s="5" t="s">
        <v>4744</v>
      </c>
      <c r="S1331" s="5" t="s">
        <v>1737</v>
      </c>
      <c r="T1331" s="5">
        <v>640.0</v>
      </c>
      <c r="U1331" s="5" t="s">
        <v>645</v>
      </c>
      <c r="W1331" s="5">
        <v>28491.0</v>
      </c>
      <c r="X1331" s="5" t="s">
        <v>1738</v>
      </c>
      <c r="AK1331" s="9"/>
      <c r="AO1331" s="55" t="s">
        <v>4741</v>
      </c>
      <c r="AP1331" s="5">
        <v>1399.0</v>
      </c>
      <c r="AQ1331" s="5" t="s">
        <v>1700</v>
      </c>
      <c r="AR1331" s="5" t="s">
        <v>1739</v>
      </c>
      <c r="AS1331" s="5" t="s">
        <v>1740</v>
      </c>
      <c r="AT1331" s="5" t="s">
        <v>1741</v>
      </c>
      <c r="AU1331" s="5" t="s">
        <v>1772</v>
      </c>
      <c r="AV1331" s="5" t="s">
        <v>1720</v>
      </c>
      <c r="AW1331" s="5" t="s">
        <v>2368</v>
      </c>
      <c r="AX1331" s="5" t="s">
        <v>2492</v>
      </c>
      <c r="AY1331" s="5">
        <v>50.1214</v>
      </c>
      <c r="AZ1331" s="5">
        <v>-120.7442</v>
      </c>
      <c r="BA1331" s="5">
        <v>640.0</v>
      </c>
    </row>
    <row r="1332" ht="14.25" customHeight="1">
      <c r="A1332" s="5" t="s">
        <v>422</v>
      </c>
      <c r="B1332" s="5">
        <v>12.0</v>
      </c>
      <c r="C1332" s="5" t="s">
        <v>7666</v>
      </c>
      <c r="D1332" s="5">
        <v>1400.0</v>
      </c>
      <c r="E1332" s="5">
        <v>12612.0</v>
      </c>
      <c r="F1332" s="18" t="s">
        <v>4745</v>
      </c>
      <c r="G1332" s="5" t="s">
        <v>4746</v>
      </c>
      <c r="H1332" s="5" t="s">
        <v>4747</v>
      </c>
      <c r="I1332" s="5" t="s">
        <v>49</v>
      </c>
      <c r="J1332" s="5" t="s">
        <v>1746</v>
      </c>
      <c r="K1332" s="5">
        <v>1.0</v>
      </c>
      <c r="L1332" s="5">
        <v>14634.0</v>
      </c>
      <c r="M1332" s="8"/>
      <c r="AK1332" s="9"/>
      <c r="AO1332" s="67" t="s">
        <v>4745</v>
      </c>
      <c r="AP1332" s="5">
        <v>1400.0</v>
      </c>
      <c r="AQ1332" s="5" t="s">
        <v>1716</v>
      </c>
      <c r="AR1332" s="5" t="s">
        <v>2441</v>
      </c>
      <c r="AS1332" s="5" t="s">
        <v>1718</v>
      </c>
      <c r="AT1332" s="5" t="s">
        <v>1835</v>
      </c>
      <c r="AU1332" s="5" t="s">
        <v>1836</v>
      </c>
      <c r="AV1332" s="5" t="s">
        <v>1720</v>
      </c>
      <c r="AW1332" s="5" t="s">
        <v>2698</v>
      </c>
      <c r="AX1332" s="5" t="s">
        <v>2801</v>
      </c>
      <c r="AY1332" s="5">
        <v>50.3334</v>
      </c>
      <c r="AZ1332" s="5">
        <v>-116.8502</v>
      </c>
      <c r="BA1332" s="5">
        <v>1100.0</v>
      </c>
    </row>
    <row r="1333" ht="14.25" customHeight="1">
      <c r="A1333" s="5" t="s">
        <v>422</v>
      </c>
      <c r="B1333" s="5">
        <v>12.0</v>
      </c>
      <c r="C1333" s="5" t="s">
        <v>7666</v>
      </c>
      <c r="D1333" s="5">
        <v>1401.0</v>
      </c>
      <c r="E1333" s="5">
        <v>12623.0</v>
      </c>
      <c r="F1333" s="18" t="s">
        <v>4748</v>
      </c>
      <c r="G1333" s="5" t="s">
        <v>4749</v>
      </c>
      <c r="H1333" s="5" t="s">
        <v>4750</v>
      </c>
      <c r="I1333" s="5" t="s">
        <v>49</v>
      </c>
      <c r="J1333" s="5" t="s">
        <v>1746</v>
      </c>
      <c r="K1333" s="5">
        <v>1.0</v>
      </c>
      <c r="L1333" s="5">
        <v>14645.0</v>
      </c>
      <c r="M1333" s="8"/>
      <c r="AK1333" s="9"/>
      <c r="AO1333" s="5" t="s">
        <v>4748</v>
      </c>
      <c r="AP1333" s="5">
        <v>1401.0</v>
      </c>
      <c r="AQ1333" s="5" t="s">
        <v>1716</v>
      </c>
      <c r="AR1333" s="5" t="s">
        <v>1717</v>
      </c>
      <c r="AS1333" s="5" t="s">
        <v>2257</v>
      </c>
      <c r="AT1333" s="5" t="s">
        <v>1835</v>
      </c>
      <c r="AU1333" s="5" t="s">
        <v>1836</v>
      </c>
      <c r="AW1333" s="5" t="s">
        <v>2368</v>
      </c>
      <c r="AX1333" s="5" t="s">
        <v>2369</v>
      </c>
      <c r="AY1333" s="5">
        <v>50.6733</v>
      </c>
      <c r="AZ1333" s="5">
        <v>-120.4817</v>
      </c>
      <c r="BA1333" s="5">
        <v>780.0</v>
      </c>
    </row>
    <row r="1334" ht="14.25" customHeight="1">
      <c r="A1334" s="5" t="s">
        <v>422</v>
      </c>
      <c r="B1334" s="5">
        <v>12.0</v>
      </c>
      <c r="C1334" s="5" t="s">
        <v>7666</v>
      </c>
      <c r="D1334" s="5">
        <v>1402.0</v>
      </c>
      <c r="E1334" s="5">
        <v>12624.0</v>
      </c>
      <c r="F1334" s="18" t="s">
        <v>4751</v>
      </c>
      <c r="G1334" s="5" t="s">
        <v>4752</v>
      </c>
      <c r="H1334" s="5" t="s">
        <v>4753</v>
      </c>
      <c r="I1334" s="5" t="s">
        <v>49</v>
      </c>
      <c r="J1334" s="5" t="s">
        <v>1746</v>
      </c>
      <c r="K1334" s="5">
        <v>1.0</v>
      </c>
      <c r="L1334" s="5">
        <v>14646.0</v>
      </c>
      <c r="M1334" s="8"/>
      <c r="AK1334" s="9"/>
      <c r="AO1334" s="67" t="s">
        <v>4751</v>
      </c>
      <c r="AP1334" s="5">
        <v>1402.0</v>
      </c>
      <c r="AQ1334" s="5" t="s">
        <v>1716</v>
      </c>
      <c r="AR1334" s="5" t="s">
        <v>1717</v>
      </c>
      <c r="AS1334" s="5" t="s">
        <v>1718</v>
      </c>
      <c r="AT1334" s="5" t="s">
        <v>1835</v>
      </c>
      <c r="AU1334" s="5" t="s">
        <v>1836</v>
      </c>
      <c r="AV1334" s="5" t="s">
        <v>1720</v>
      </c>
      <c r="AW1334" s="5" t="s">
        <v>2698</v>
      </c>
      <c r="AX1334" s="5" t="s">
        <v>2801</v>
      </c>
      <c r="AY1334" s="5">
        <v>49.5335</v>
      </c>
      <c r="AZ1334" s="5">
        <v>-117.2423</v>
      </c>
      <c r="BA1334" s="5">
        <v>817.0</v>
      </c>
    </row>
    <row r="1335" ht="14.25" customHeight="1">
      <c r="A1335" s="5" t="s">
        <v>1908</v>
      </c>
      <c r="B1335" s="5">
        <v>12.0</v>
      </c>
      <c r="C1335" s="5" t="s">
        <v>7666</v>
      </c>
      <c r="D1335" s="5">
        <v>1403.0</v>
      </c>
      <c r="E1335" s="5">
        <v>12952.0</v>
      </c>
      <c r="F1335" s="12" t="s">
        <v>4754</v>
      </c>
      <c r="G1335" s="10" t="s">
        <v>4755</v>
      </c>
      <c r="H1335" s="5" t="s">
        <v>4756</v>
      </c>
      <c r="I1335" s="5" t="s">
        <v>49</v>
      </c>
      <c r="J1335" s="5" t="s">
        <v>1746</v>
      </c>
      <c r="K1335" s="5">
        <v>1.0</v>
      </c>
      <c r="L1335" s="5">
        <v>14884.0</v>
      </c>
      <c r="M1335" s="8"/>
      <c r="AK1335" s="9"/>
      <c r="AO1335" s="5" t="s">
        <v>4757</v>
      </c>
      <c r="AP1335" s="5">
        <v>1403.0</v>
      </c>
      <c r="AQ1335" s="5" t="s">
        <v>1716</v>
      </c>
      <c r="AR1335" s="5" t="s">
        <v>1717</v>
      </c>
      <c r="AS1335" s="5" t="s">
        <v>1740</v>
      </c>
      <c r="AT1335" s="5" t="s">
        <v>1835</v>
      </c>
      <c r="AU1335" s="5" t="s">
        <v>1742</v>
      </c>
      <c r="AV1335" s="5" t="s">
        <v>1720</v>
      </c>
      <c r="AW1335" s="5" t="s">
        <v>2368</v>
      </c>
      <c r="AX1335" s="5" t="s">
        <v>2505</v>
      </c>
      <c r="AY1335" s="5">
        <v>51.221</v>
      </c>
      <c r="AZ1335" s="5">
        <v>-122.1574</v>
      </c>
      <c r="BA1335" s="5">
        <v>455.0</v>
      </c>
    </row>
    <row r="1336" ht="14.25" customHeight="1">
      <c r="A1336" s="5" t="s">
        <v>422</v>
      </c>
      <c r="B1336" s="5">
        <v>12.0</v>
      </c>
      <c r="C1336" s="5" t="s">
        <v>7666</v>
      </c>
      <c r="D1336" s="5">
        <v>1404.0</v>
      </c>
      <c r="E1336" s="5">
        <v>12953.0</v>
      </c>
      <c r="G1336" s="5" t="s">
        <v>127</v>
      </c>
      <c r="H1336" s="5" t="s">
        <v>4758</v>
      </c>
      <c r="I1336" s="5" t="s">
        <v>49</v>
      </c>
      <c r="J1336" s="5" t="s">
        <v>1746</v>
      </c>
      <c r="K1336" s="5">
        <v>1.0</v>
      </c>
      <c r="L1336" s="5">
        <v>14885.0</v>
      </c>
      <c r="M1336" s="8"/>
      <c r="AK1336" s="9"/>
      <c r="AO1336" s="5" t="s">
        <v>4759</v>
      </c>
      <c r="AP1336" s="5">
        <v>1404.0</v>
      </c>
      <c r="AQ1336" s="5" t="s">
        <v>1716</v>
      </c>
      <c r="AR1336" s="5" t="s">
        <v>1717</v>
      </c>
      <c r="AS1336" s="5" t="s">
        <v>1718</v>
      </c>
      <c r="AT1336" s="5" t="s">
        <v>1835</v>
      </c>
      <c r="AU1336" s="5" t="s">
        <v>1836</v>
      </c>
      <c r="AV1336" s="5" t="s">
        <v>1720</v>
      </c>
      <c r="AW1336" s="5" t="s">
        <v>2698</v>
      </c>
      <c r="AX1336" s="5" t="s">
        <v>2801</v>
      </c>
      <c r="AY1336" s="5">
        <v>49.1431</v>
      </c>
      <c r="AZ1336" s="5">
        <v>-116.5225</v>
      </c>
      <c r="BA1336" s="5">
        <v>894.0</v>
      </c>
    </row>
    <row r="1337" ht="14.25" customHeight="1">
      <c r="A1337" s="5" t="s">
        <v>422</v>
      </c>
      <c r="B1337" s="5">
        <v>12.0</v>
      </c>
      <c r="C1337" s="5" t="s">
        <v>7666</v>
      </c>
      <c r="D1337" s="5">
        <v>1407.0</v>
      </c>
      <c r="E1337" s="5">
        <v>12955.0</v>
      </c>
      <c r="G1337" s="5" t="s">
        <v>127</v>
      </c>
      <c r="H1337" s="5" t="s">
        <v>4760</v>
      </c>
      <c r="I1337" s="5" t="s">
        <v>49</v>
      </c>
      <c r="J1337" s="5" t="s">
        <v>1746</v>
      </c>
      <c r="K1337" s="5">
        <v>1.0</v>
      </c>
      <c r="L1337" s="5">
        <v>14887.0</v>
      </c>
      <c r="M1337" s="8"/>
      <c r="AK1337" s="9"/>
      <c r="AO1337" s="5" t="s">
        <v>4761</v>
      </c>
      <c r="AP1337" s="5">
        <v>1407.0</v>
      </c>
      <c r="AQ1337" s="5" t="s">
        <v>1716</v>
      </c>
      <c r="AR1337" s="5" t="s">
        <v>1717</v>
      </c>
      <c r="AS1337" s="5" t="s">
        <v>1718</v>
      </c>
      <c r="AT1337" s="5" t="s">
        <v>1835</v>
      </c>
      <c r="AU1337" s="5" t="s">
        <v>1836</v>
      </c>
      <c r="AW1337" s="5" t="s">
        <v>2368</v>
      </c>
      <c r="AX1337" s="5" t="s">
        <v>2516</v>
      </c>
      <c r="AY1337" s="5">
        <v>49.1431</v>
      </c>
      <c r="AZ1337" s="5">
        <v>-120.0294</v>
      </c>
      <c r="BA1337" s="5">
        <v>757.0</v>
      </c>
    </row>
    <row r="1338" ht="14.25" customHeight="1">
      <c r="A1338" s="5" t="s">
        <v>1908</v>
      </c>
      <c r="B1338" s="5">
        <v>12.0</v>
      </c>
      <c r="C1338" s="5" t="s">
        <v>7666</v>
      </c>
      <c r="D1338" s="5">
        <v>1408.0</v>
      </c>
      <c r="E1338" s="5">
        <v>12957.0</v>
      </c>
      <c r="F1338" s="12" t="s">
        <v>4762</v>
      </c>
      <c r="G1338" s="10" t="s">
        <v>4763</v>
      </c>
      <c r="H1338" s="5" t="s">
        <v>4764</v>
      </c>
      <c r="I1338" s="5" t="s">
        <v>49</v>
      </c>
      <c r="J1338" s="5" t="s">
        <v>1746</v>
      </c>
      <c r="K1338" s="5">
        <v>1.0</v>
      </c>
      <c r="L1338" s="5">
        <v>14889.0</v>
      </c>
      <c r="M1338" s="8">
        <v>50.1711</v>
      </c>
      <c r="N1338" s="5">
        <v>-125.5757</v>
      </c>
      <c r="O1338" s="5" t="s">
        <v>51</v>
      </c>
      <c r="P1338" s="5">
        <v>1408.0</v>
      </c>
      <c r="Q1338" s="5">
        <v>2.0</v>
      </c>
      <c r="R1338" s="5" t="s">
        <v>4765</v>
      </c>
      <c r="S1338" s="5" t="s">
        <v>4045</v>
      </c>
      <c r="T1338" s="5">
        <v>289.0</v>
      </c>
      <c r="W1338" s="5">
        <v>44277.0</v>
      </c>
      <c r="X1338" s="5" t="s">
        <v>1738</v>
      </c>
      <c r="AK1338" s="9"/>
      <c r="AO1338" s="5" t="s">
        <v>4765</v>
      </c>
      <c r="AP1338" s="5">
        <v>1408.0</v>
      </c>
      <c r="AQ1338" s="5" t="s">
        <v>1716</v>
      </c>
      <c r="AR1338" s="5" t="s">
        <v>1739</v>
      </c>
      <c r="AS1338" s="5" t="s">
        <v>1740</v>
      </c>
      <c r="AT1338" s="5" t="s">
        <v>1741</v>
      </c>
      <c r="AU1338" s="5" t="s">
        <v>1742</v>
      </c>
      <c r="AV1338" s="5" t="s">
        <v>1720</v>
      </c>
      <c r="AW1338" s="5" t="s">
        <v>1705</v>
      </c>
      <c r="AX1338" s="5" t="s">
        <v>1723</v>
      </c>
      <c r="AY1338" s="5">
        <v>50.1711</v>
      </c>
      <c r="AZ1338" s="5">
        <v>-125.5757</v>
      </c>
      <c r="BA1338" s="5">
        <v>289.0</v>
      </c>
    </row>
    <row r="1339" ht="14.25" customHeight="1">
      <c r="A1339" s="5" t="s">
        <v>422</v>
      </c>
      <c r="B1339" s="5">
        <v>12.0</v>
      </c>
      <c r="C1339" s="5" t="s">
        <v>7666</v>
      </c>
      <c r="D1339" s="5">
        <v>1409.0</v>
      </c>
      <c r="E1339" s="5">
        <v>12958.0</v>
      </c>
      <c r="G1339" s="5" t="s">
        <v>127</v>
      </c>
      <c r="H1339" s="5" t="s">
        <v>4766</v>
      </c>
      <c r="I1339" s="5" t="s">
        <v>49</v>
      </c>
      <c r="J1339" s="5" t="s">
        <v>1746</v>
      </c>
      <c r="K1339" s="5">
        <v>1.0</v>
      </c>
      <c r="L1339" s="5">
        <v>14890.0</v>
      </c>
      <c r="M1339" s="8"/>
      <c r="AK1339" s="9"/>
      <c r="AO1339" s="5" t="s">
        <v>4767</v>
      </c>
      <c r="AP1339" s="5">
        <v>1409.0</v>
      </c>
      <c r="AQ1339" s="5" t="s">
        <v>1716</v>
      </c>
      <c r="AR1339" s="5" t="s">
        <v>1717</v>
      </c>
      <c r="AS1339" s="5" t="s">
        <v>1718</v>
      </c>
      <c r="AT1339" s="5" t="s">
        <v>1835</v>
      </c>
      <c r="AU1339" s="5" t="s">
        <v>1836</v>
      </c>
      <c r="AV1339" s="5" t="s">
        <v>1720</v>
      </c>
      <c r="AY1339" s="5">
        <v>49.8886</v>
      </c>
      <c r="AZ1339" s="5">
        <v>-115.648</v>
      </c>
      <c r="BA1339" s="5">
        <v>1041.0</v>
      </c>
    </row>
    <row r="1340" ht="14.25" customHeight="1">
      <c r="A1340" s="5" t="s">
        <v>422</v>
      </c>
      <c r="B1340" s="5">
        <v>12.0</v>
      </c>
      <c r="C1340" s="5" t="s">
        <v>7666</v>
      </c>
      <c r="D1340" s="5">
        <v>1410.0</v>
      </c>
      <c r="E1340" s="5">
        <v>12959.0</v>
      </c>
      <c r="G1340" s="5" t="s">
        <v>127</v>
      </c>
      <c r="H1340" s="5" t="s">
        <v>4768</v>
      </c>
      <c r="I1340" s="5" t="s">
        <v>49</v>
      </c>
      <c r="J1340" s="5" t="s">
        <v>1746</v>
      </c>
      <c r="K1340" s="5">
        <v>1.0</v>
      </c>
      <c r="L1340" s="5">
        <v>14891.0</v>
      </c>
      <c r="M1340" s="8"/>
      <c r="AK1340" s="9"/>
      <c r="AO1340" s="5" t="s">
        <v>4769</v>
      </c>
      <c r="AP1340" s="5">
        <v>1410.0</v>
      </c>
      <c r="AQ1340" s="5" t="s">
        <v>1716</v>
      </c>
      <c r="AR1340" s="5" t="s">
        <v>1717</v>
      </c>
      <c r="AS1340" s="5" t="s">
        <v>1740</v>
      </c>
      <c r="AT1340" s="5" t="s">
        <v>1835</v>
      </c>
      <c r="AU1340" s="5" t="s">
        <v>1742</v>
      </c>
      <c r="AV1340" s="5" t="s">
        <v>1720</v>
      </c>
      <c r="AW1340" s="5" t="s">
        <v>1705</v>
      </c>
      <c r="AX1340" s="5" t="s">
        <v>1883</v>
      </c>
      <c r="AY1340" s="5">
        <v>49.0149</v>
      </c>
      <c r="AZ1340" s="5">
        <v>-121.0717</v>
      </c>
      <c r="BA1340" s="5">
        <v>0.0</v>
      </c>
    </row>
    <row r="1341" ht="14.25" customHeight="1">
      <c r="A1341" s="5" t="s">
        <v>422</v>
      </c>
      <c r="B1341" s="5">
        <v>12.0</v>
      </c>
      <c r="C1341" s="5" t="s">
        <v>7666</v>
      </c>
      <c r="D1341" s="5">
        <v>1630.0</v>
      </c>
      <c r="E1341" s="5">
        <v>12986.0</v>
      </c>
      <c r="G1341" s="5" t="s">
        <v>127</v>
      </c>
      <c r="H1341" s="5" t="s">
        <v>4770</v>
      </c>
      <c r="I1341" s="5" t="s">
        <v>49</v>
      </c>
      <c r="J1341" s="5" t="s">
        <v>1746</v>
      </c>
      <c r="K1341" s="5">
        <v>1.0</v>
      </c>
      <c r="L1341" s="5">
        <v>14918.0</v>
      </c>
      <c r="M1341" s="8"/>
      <c r="AK1341" s="9"/>
      <c r="AO1341" s="5" t="s">
        <v>4771</v>
      </c>
      <c r="AP1341" s="5">
        <v>1630.0</v>
      </c>
      <c r="AQ1341" s="5" t="s">
        <v>1716</v>
      </c>
      <c r="AR1341" s="5" t="s">
        <v>1717</v>
      </c>
      <c r="AS1341" s="5" t="s">
        <v>1740</v>
      </c>
      <c r="AT1341" s="5" t="s">
        <v>1835</v>
      </c>
      <c r="AU1341" s="5" t="s">
        <v>1742</v>
      </c>
      <c r="AV1341" s="5" t="s">
        <v>1720</v>
      </c>
      <c r="AW1341" s="5" t="s">
        <v>1705</v>
      </c>
      <c r="AX1341" s="5" t="s">
        <v>1883</v>
      </c>
      <c r="AY1341" s="5">
        <v>49.3264</v>
      </c>
      <c r="AZ1341" s="5">
        <v>-121.2819</v>
      </c>
      <c r="BA1341" s="5">
        <v>631.0</v>
      </c>
    </row>
    <row r="1342" ht="14.25" customHeight="1">
      <c r="A1342" s="5" t="s">
        <v>422</v>
      </c>
      <c r="B1342" s="5">
        <v>12.0</v>
      </c>
      <c r="C1342" s="5" t="s">
        <v>7666</v>
      </c>
      <c r="D1342" s="5">
        <v>1670.0</v>
      </c>
      <c r="E1342" s="5">
        <v>12987.0</v>
      </c>
      <c r="G1342" s="5" t="s">
        <v>127</v>
      </c>
      <c r="H1342" s="5" t="s">
        <v>4772</v>
      </c>
      <c r="I1342" s="5" t="s">
        <v>49</v>
      </c>
      <c r="J1342" s="5" t="s">
        <v>1746</v>
      </c>
      <c r="K1342" s="5">
        <v>1.0</v>
      </c>
      <c r="L1342" s="5">
        <v>14919.0</v>
      </c>
      <c r="M1342" s="64"/>
      <c r="N1342" s="36"/>
      <c r="P1342" s="36"/>
      <c r="R1342" s="36"/>
      <c r="T1342" s="37"/>
      <c r="W1342" s="36"/>
      <c r="AK1342" s="9"/>
      <c r="AO1342" s="5" t="s">
        <v>4773</v>
      </c>
      <c r="AP1342" s="5">
        <v>1670.0</v>
      </c>
      <c r="AQ1342" s="5" t="s">
        <v>1716</v>
      </c>
      <c r="AR1342" s="5" t="s">
        <v>1717</v>
      </c>
      <c r="AS1342" s="5" t="s">
        <v>1740</v>
      </c>
      <c r="AT1342" s="5" t="s">
        <v>1703</v>
      </c>
      <c r="AU1342" s="5" t="s">
        <v>1742</v>
      </c>
      <c r="AV1342" s="5" t="s">
        <v>1720</v>
      </c>
      <c r="AW1342" s="5" t="s">
        <v>2368</v>
      </c>
      <c r="AX1342" s="5" t="s">
        <v>2369</v>
      </c>
      <c r="AY1342" s="5">
        <v>50.8728</v>
      </c>
      <c r="AZ1342" s="5">
        <v>-119.9672</v>
      </c>
      <c r="BA1342" s="5">
        <v>930.0</v>
      </c>
    </row>
    <row r="1343" ht="14.25" customHeight="1">
      <c r="A1343" s="5" t="s">
        <v>422</v>
      </c>
      <c r="B1343" s="5">
        <v>12.0</v>
      </c>
      <c r="C1343" s="5" t="s">
        <v>7666</v>
      </c>
      <c r="D1343" s="5">
        <v>1691.0</v>
      </c>
      <c r="E1343" s="5">
        <v>12992.0</v>
      </c>
      <c r="G1343" s="5" t="s">
        <v>127</v>
      </c>
      <c r="H1343" s="5" t="s">
        <v>4774</v>
      </c>
      <c r="I1343" s="5" t="s">
        <v>49</v>
      </c>
      <c r="J1343" s="5" t="s">
        <v>1746</v>
      </c>
      <c r="K1343" s="5">
        <v>1.0</v>
      </c>
      <c r="L1343" s="5">
        <v>14924.0</v>
      </c>
      <c r="M1343" s="8"/>
      <c r="AK1343" s="9"/>
      <c r="AO1343" s="5" t="s">
        <v>4775</v>
      </c>
      <c r="AP1343" s="5">
        <v>1691.0</v>
      </c>
      <c r="AQ1343" s="5" t="s">
        <v>1716</v>
      </c>
      <c r="AR1343" s="5" t="s">
        <v>1717</v>
      </c>
      <c r="AS1343" s="5" t="s">
        <v>1740</v>
      </c>
      <c r="AT1343" s="5" t="s">
        <v>1835</v>
      </c>
      <c r="AU1343" s="5" t="s">
        <v>1742</v>
      </c>
      <c r="AV1343" s="5" t="s">
        <v>1720</v>
      </c>
      <c r="AW1343" s="5" t="s">
        <v>2368</v>
      </c>
      <c r="AX1343" s="5" t="s">
        <v>2492</v>
      </c>
      <c r="AY1343" s="5">
        <v>50.2917</v>
      </c>
      <c r="AZ1343" s="5">
        <v>-121.1736</v>
      </c>
      <c r="BA1343" s="5">
        <v>432.0</v>
      </c>
    </row>
    <row r="1344" ht="14.25" customHeight="1">
      <c r="A1344" s="5" t="s">
        <v>422</v>
      </c>
      <c r="B1344" s="5">
        <v>12.0</v>
      </c>
      <c r="C1344" s="5" t="s">
        <v>7666</v>
      </c>
      <c r="D1344" s="5">
        <v>1692.0</v>
      </c>
      <c r="E1344" s="5">
        <v>12993.0</v>
      </c>
      <c r="G1344" s="5" t="s">
        <v>127</v>
      </c>
      <c r="H1344" s="5" t="s">
        <v>4776</v>
      </c>
      <c r="I1344" s="5" t="s">
        <v>49</v>
      </c>
      <c r="J1344" s="5" t="s">
        <v>1746</v>
      </c>
      <c r="K1344" s="5">
        <v>1.0</v>
      </c>
      <c r="L1344" s="5">
        <v>14925.0</v>
      </c>
      <c r="M1344" s="8"/>
      <c r="AK1344" s="9"/>
      <c r="AO1344" s="5" t="s">
        <v>4777</v>
      </c>
      <c r="AP1344" s="5">
        <v>1692.0</v>
      </c>
      <c r="AQ1344" s="5" t="s">
        <v>1716</v>
      </c>
      <c r="AR1344" s="5" t="s">
        <v>1717</v>
      </c>
      <c r="AS1344" s="5" t="s">
        <v>1718</v>
      </c>
      <c r="AT1344" s="5" t="s">
        <v>1835</v>
      </c>
      <c r="AU1344" s="5" t="s">
        <v>1836</v>
      </c>
      <c r="AV1344" s="5" t="s">
        <v>1720</v>
      </c>
      <c r="AW1344" s="5" t="s">
        <v>2368</v>
      </c>
      <c r="AX1344" s="5" t="s">
        <v>2369</v>
      </c>
      <c r="AY1344" s="5">
        <v>50.6056</v>
      </c>
      <c r="AZ1344" s="5">
        <v>-121.1106</v>
      </c>
      <c r="BA1344" s="5">
        <v>1640.0</v>
      </c>
    </row>
    <row r="1345" ht="14.25" customHeight="1">
      <c r="A1345" s="5" t="s">
        <v>422</v>
      </c>
      <c r="B1345" s="5">
        <v>12.0</v>
      </c>
      <c r="C1345" s="5" t="s">
        <v>7666</v>
      </c>
      <c r="D1345" s="5">
        <v>1730.0</v>
      </c>
      <c r="E1345" s="5">
        <v>12994.0</v>
      </c>
      <c r="G1345" s="5" t="s">
        <v>127</v>
      </c>
      <c r="H1345" s="5" t="s">
        <v>4778</v>
      </c>
      <c r="I1345" s="5" t="s">
        <v>49</v>
      </c>
      <c r="J1345" s="5" t="s">
        <v>1746</v>
      </c>
      <c r="K1345" s="5">
        <v>1.0</v>
      </c>
      <c r="L1345" s="5">
        <v>14926.0</v>
      </c>
      <c r="M1345" s="8"/>
      <c r="AK1345" s="9"/>
      <c r="AO1345" s="5" t="s">
        <v>4779</v>
      </c>
      <c r="AP1345" s="5">
        <v>1730.0</v>
      </c>
      <c r="AQ1345" s="5" t="s">
        <v>1716</v>
      </c>
      <c r="AR1345" s="5" t="s">
        <v>1717</v>
      </c>
      <c r="AS1345" s="5" t="s">
        <v>1740</v>
      </c>
      <c r="AT1345" s="5" t="s">
        <v>1835</v>
      </c>
      <c r="AU1345" s="5" t="s">
        <v>1742</v>
      </c>
      <c r="AV1345" s="5" t="s">
        <v>1720</v>
      </c>
      <c r="AW1345" s="5" t="s">
        <v>2368</v>
      </c>
      <c r="AX1345" s="5" t="s">
        <v>2522</v>
      </c>
      <c r="AY1345" s="5">
        <v>50.9261</v>
      </c>
      <c r="AZ1345" s="5">
        <v>-118.4724</v>
      </c>
      <c r="BA1345" s="5">
        <v>572.0</v>
      </c>
    </row>
    <row r="1346" ht="14.25" customHeight="1">
      <c r="A1346" s="5" t="s">
        <v>422</v>
      </c>
      <c r="B1346" s="5">
        <v>12.0</v>
      </c>
      <c r="C1346" s="5" t="s">
        <v>7666</v>
      </c>
      <c r="D1346" s="5">
        <v>1750.0</v>
      </c>
      <c r="E1346" s="5">
        <v>12995.0</v>
      </c>
      <c r="G1346" s="5" t="s">
        <v>127</v>
      </c>
      <c r="H1346" s="5" t="s">
        <v>4780</v>
      </c>
      <c r="I1346" s="5" t="s">
        <v>49</v>
      </c>
      <c r="J1346" s="5" t="s">
        <v>1746</v>
      </c>
      <c r="K1346" s="5">
        <v>1.0</v>
      </c>
      <c r="L1346" s="5">
        <v>14927.0</v>
      </c>
      <c r="M1346" s="8"/>
      <c r="AK1346" s="9"/>
      <c r="AO1346" s="5" t="s">
        <v>4781</v>
      </c>
      <c r="AP1346" s="5">
        <v>1750.0</v>
      </c>
      <c r="AQ1346" s="5" t="s">
        <v>1716</v>
      </c>
      <c r="AR1346" s="5" t="s">
        <v>1717</v>
      </c>
      <c r="AS1346" s="5" t="s">
        <v>1740</v>
      </c>
      <c r="AT1346" s="5" t="s">
        <v>1835</v>
      </c>
      <c r="AU1346" s="5" t="s">
        <v>1742</v>
      </c>
      <c r="AV1346" s="5" t="s">
        <v>1720</v>
      </c>
      <c r="AW1346" s="5" t="s">
        <v>2368</v>
      </c>
      <c r="AX1346" s="5" t="s">
        <v>2522</v>
      </c>
      <c r="AY1346" s="5">
        <v>50.4333</v>
      </c>
      <c r="AZ1346" s="5">
        <v>-118.7247</v>
      </c>
      <c r="BA1346" s="5">
        <v>844.0</v>
      </c>
    </row>
    <row r="1347" ht="14.25" customHeight="1">
      <c r="A1347" s="5" t="s">
        <v>422</v>
      </c>
      <c r="B1347" s="5">
        <v>12.0</v>
      </c>
      <c r="C1347" s="5" t="s">
        <v>7666</v>
      </c>
      <c r="D1347" s="5">
        <v>1771.0</v>
      </c>
      <c r="E1347" s="5">
        <v>12996.0</v>
      </c>
      <c r="G1347" s="5" t="s">
        <v>127</v>
      </c>
      <c r="H1347" s="5" t="s">
        <v>4782</v>
      </c>
      <c r="I1347" s="5" t="s">
        <v>49</v>
      </c>
      <c r="J1347" s="5" t="s">
        <v>1746</v>
      </c>
      <c r="K1347" s="5">
        <v>1.0</v>
      </c>
      <c r="L1347" s="5">
        <v>14928.0</v>
      </c>
      <c r="M1347" s="8"/>
      <c r="AK1347" s="9"/>
      <c r="AO1347" s="5" t="s">
        <v>4783</v>
      </c>
      <c r="AP1347" s="5">
        <v>1771.0</v>
      </c>
      <c r="AQ1347" s="5" t="s">
        <v>1716</v>
      </c>
      <c r="AR1347" s="5" t="s">
        <v>1717</v>
      </c>
      <c r="AS1347" s="5" t="s">
        <v>1740</v>
      </c>
      <c r="AT1347" s="5" t="s">
        <v>1835</v>
      </c>
      <c r="AU1347" s="5" t="s">
        <v>1742</v>
      </c>
      <c r="AV1347" s="5" t="s">
        <v>1720</v>
      </c>
      <c r="AW1347" s="5" t="s">
        <v>2368</v>
      </c>
      <c r="AY1347" s="5">
        <v>51.3067</v>
      </c>
      <c r="AZ1347" s="5">
        <v>-119.4253</v>
      </c>
      <c r="BA1347" s="5">
        <v>590.0</v>
      </c>
    </row>
    <row r="1348" ht="14.25" customHeight="1">
      <c r="B1348" s="5">
        <v>12.0</v>
      </c>
      <c r="C1348" s="5" t="s">
        <v>7666</v>
      </c>
      <c r="D1348" s="5">
        <v>1790.0</v>
      </c>
      <c r="E1348" s="5">
        <v>13000.0</v>
      </c>
      <c r="F1348" s="10" t="s">
        <v>4784</v>
      </c>
      <c r="G1348" s="10" t="s">
        <v>4785</v>
      </c>
      <c r="H1348" s="5" t="s">
        <v>4786</v>
      </c>
      <c r="I1348" s="5" t="s">
        <v>49</v>
      </c>
      <c r="J1348" s="5" t="s">
        <v>1746</v>
      </c>
      <c r="K1348" s="5">
        <v>1.0</v>
      </c>
      <c r="L1348" s="5">
        <v>14932.0</v>
      </c>
      <c r="M1348" s="8"/>
      <c r="AK1348" s="9"/>
      <c r="AO1348" s="5" t="s">
        <v>3780</v>
      </c>
      <c r="AP1348" s="5">
        <v>1790.0</v>
      </c>
      <c r="AQ1348" s="5" t="s">
        <v>1716</v>
      </c>
      <c r="AR1348" s="5" t="s">
        <v>1739</v>
      </c>
      <c r="AS1348" s="5" t="s">
        <v>1740</v>
      </c>
      <c r="AT1348" s="5" t="s">
        <v>1741</v>
      </c>
      <c r="AU1348" s="5" t="s">
        <v>1742</v>
      </c>
      <c r="AV1348" s="5" t="s">
        <v>1720</v>
      </c>
      <c r="AW1348" s="5" t="s">
        <v>2698</v>
      </c>
      <c r="AX1348" s="5" t="s">
        <v>2768</v>
      </c>
      <c r="AY1348" s="5">
        <v>51.1753</v>
      </c>
      <c r="AZ1348" s="5">
        <v>-117.1757</v>
      </c>
      <c r="BA1348" s="5">
        <v>1529.0</v>
      </c>
    </row>
    <row r="1349" ht="14.25" customHeight="1">
      <c r="A1349" s="5" t="s">
        <v>422</v>
      </c>
      <c r="B1349" s="5">
        <v>12.0</v>
      </c>
      <c r="C1349" s="5" t="s">
        <v>7666</v>
      </c>
      <c r="D1349" s="5">
        <v>1794.0</v>
      </c>
      <c r="E1349" s="5">
        <v>13001.0</v>
      </c>
      <c r="G1349" s="5" t="s">
        <v>127</v>
      </c>
      <c r="H1349" s="5" t="s">
        <v>4787</v>
      </c>
      <c r="I1349" s="5" t="s">
        <v>49</v>
      </c>
      <c r="J1349" s="5" t="s">
        <v>1746</v>
      </c>
      <c r="K1349" s="5">
        <v>1.0</v>
      </c>
      <c r="L1349" s="5">
        <v>14933.0</v>
      </c>
      <c r="M1349" s="8"/>
      <c r="AK1349" s="9"/>
      <c r="AO1349" s="5" t="s">
        <v>4788</v>
      </c>
      <c r="AP1349" s="5">
        <v>1794.0</v>
      </c>
      <c r="AQ1349" s="5" t="s">
        <v>1716</v>
      </c>
      <c r="AR1349" s="5" t="s">
        <v>1717</v>
      </c>
      <c r="AS1349" s="5" t="s">
        <v>1740</v>
      </c>
      <c r="AT1349" s="5" t="s">
        <v>1835</v>
      </c>
      <c r="AU1349" s="5" t="s">
        <v>1742</v>
      </c>
      <c r="AV1349" s="5" t="s">
        <v>1720</v>
      </c>
      <c r="AW1349" s="5" t="s">
        <v>2368</v>
      </c>
      <c r="AX1349" s="5" t="s">
        <v>2522</v>
      </c>
      <c r="AY1349" s="5">
        <v>50.4044</v>
      </c>
      <c r="AZ1349" s="5">
        <v>-119.4369</v>
      </c>
      <c r="BA1349" s="5">
        <v>1380.0</v>
      </c>
    </row>
    <row r="1350" ht="14.25" customHeight="1">
      <c r="A1350" s="5" t="s">
        <v>422</v>
      </c>
      <c r="B1350" s="5">
        <v>12.0</v>
      </c>
      <c r="C1350" s="5" t="s">
        <v>7666</v>
      </c>
      <c r="D1350" s="5">
        <v>1810.0</v>
      </c>
      <c r="E1350" s="5">
        <v>13002.0</v>
      </c>
      <c r="G1350" s="5" t="s">
        <v>127</v>
      </c>
      <c r="H1350" s="5" t="s">
        <v>4789</v>
      </c>
      <c r="I1350" s="5" t="s">
        <v>49</v>
      </c>
      <c r="J1350" s="5" t="s">
        <v>1746</v>
      </c>
      <c r="K1350" s="5">
        <v>1.0</v>
      </c>
      <c r="L1350" s="5">
        <v>14934.0</v>
      </c>
      <c r="M1350" s="8"/>
      <c r="AK1350" s="9"/>
      <c r="AO1350" s="5" t="s">
        <v>4790</v>
      </c>
      <c r="AP1350" s="5">
        <v>1810.0</v>
      </c>
      <c r="AQ1350" s="5" t="s">
        <v>1716</v>
      </c>
      <c r="AR1350" s="5" t="s">
        <v>2441</v>
      </c>
      <c r="AS1350" s="5" t="s">
        <v>1740</v>
      </c>
      <c r="AT1350" s="5" t="s">
        <v>1835</v>
      </c>
      <c r="AU1350" s="5" t="s">
        <v>1742</v>
      </c>
      <c r="AV1350" s="5" t="s">
        <v>1720</v>
      </c>
      <c r="AW1350" s="5" t="s">
        <v>2698</v>
      </c>
      <c r="AX1350" s="5" t="s">
        <v>2768</v>
      </c>
      <c r="AY1350" s="5">
        <v>49.8886</v>
      </c>
      <c r="AZ1350" s="5">
        <v>-115.6481</v>
      </c>
      <c r="BA1350" s="5">
        <v>1053.0</v>
      </c>
    </row>
    <row r="1351" ht="14.25" customHeight="1">
      <c r="A1351" s="5" t="s">
        <v>422</v>
      </c>
      <c r="B1351" s="5">
        <v>12.0</v>
      </c>
      <c r="C1351" s="5" t="s">
        <v>7666</v>
      </c>
      <c r="D1351" s="5">
        <v>1831.0</v>
      </c>
      <c r="E1351" s="5">
        <v>13003.0</v>
      </c>
      <c r="G1351" s="5" t="s">
        <v>127</v>
      </c>
      <c r="H1351" s="5" t="s">
        <v>4791</v>
      </c>
      <c r="I1351" s="5" t="s">
        <v>49</v>
      </c>
      <c r="J1351" s="5" t="s">
        <v>1746</v>
      </c>
      <c r="K1351" s="5">
        <v>1.0</v>
      </c>
      <c r="L1351" s="5">
        <v>14935.0</v>
      </c>
      <c r="M1351" s="8"/>
      <c r="AK1351" s="9"/>
      <c r="AO1351" s="5" t="s">
        <v>4792</v>
      </c>
      <c r="AP1351" s="5">
        <v>1831.0</v>
      </c>
      <c r="AQ1351" s="5" t="s">
        <v>1716</v>
      </c>
      <c r="AR1351" s="5" t="s">
        <v>1717</v>
      </c>
      <c r="AS1351" s="5" t="s">
        <v>1718</v>
      </c>
      <c r="AT1351" s="5" t="s">
        <v>1835</v>
      </c>
      <c r="AU1351" s="5" t="s">
        <v>1836</v>
      </c>
      <c r="AW1351" s="5" t="s">
        <v>2698</v>
      </c>
      <c r="AX1351" s="5" t="s">
        <v>2801</v>
      </c>
      <c r="AY1351" s="5">
        <v>50.3421</v>
      </c>
      <c r="AZ1351" s="5">
        <v>-116.849</v>
      </c>
      <c r="BA1351" s="5">
        <v>985.0</v>
      </c>
    </row>
    <row r="1352" ht="14.25" customHeight="1">
      <c r="A1352" s="5" t="s">
        <v>422</v>
      </c>
      <c r="B1352" s="5">
        <v>12.0</v>
      </c>
      <c r="C1352" s="5" t="s">
        <v>7665</v>
      </c>
      <c r="D1352" s="5">
        <v>1851.0</v>
      </c>
      <c r="E1352" s="5">
        <v>13004.0</v>
      </c>
      <c r="F1352" s="51" t="s">
        <v>4793</v>
      </c>
      <c r="G1352" s="5" t="s">
        <v>127</v>
      </c>
      <c r="H1352" s="5" t="s">
        <v>4794</v>
      </c>
      <c r="I1352" s="5" t="s">
        <v>49</v>
      </c>
      <c r="J1352" s="5" t="s">
        <v>1746</v>
      </c>
      <c r="K1352" s="5">
        <v>1.0</v>
      </c>
      <c r="L1352" s="5">
        <v>14936.0</v>
      </c>
      <c r="M1352" s="8"/>
      <c r="AK1352" s="9"/>
      <c r="AO1352" s="50" t="s">
        <v>4795</v>
      </c>
      <c r="AP1352" s="50">
        <v>1851.0</v>
      </c>
      <c r="AQ1352" s="50" t="s">
        <v>1700</v>
      </c>
      <c r="AR1352" s="50" t="s">
        <v>1701</v>
      </c>
      <c r="AS1352" s="50" t="s">
        <v>1702</v>
      </c>
      <c r="AT1352" s="50" t="s">
        <v>1703</v>
      </c>
      <c r="AU1352" s="50" t="s">
        <v>1704</v>
      </c>
      <c r="AV1352" s="50" t="s">
        <v>1702</v>
      </c>
      <c r="AW1352" s="50" t="s">
        <v>1705</v>
      </c>
      <c r="AX1352" s="50" t="s">
        <v>1965</v>
      </c>
      <c r="AY1352" s="50">
        <v>52.3619</v>
      </c>
      <c r="AZ1352" s="50">
        <v>-128.88</v>
      </c>
      <c r="BA1352" s="50">
        <v>43.0</v>
      </c>
    </row>
    <row r="1353" ht="14.25" customHeight="1">
      <c r="A1353" s="5" t="s">
        <v>1908</v>
      </c>
      <c r="B1353" s="5">
        <v>12.0</v>
      </c>
      <c r="C1353" s="5" t="s">
        <v>7666</v>
      </c>
      <c r="D1353" s="5">
        <v>1911.0</v>
      </c>
      <c r="E1353" s="5">
        <v>13015.0</v>
      </c>
      <c r="F1353" s="12" t="s">
        <v>4796</v>
      </c>
      <c r="G1353" s="10" t="s">
        <v>4797</v>
      </c>
      <c r="H1353" s="5" t="s">
        <v>4798</v>
      </c>
      <c r="I1353" s="5" t="s">
        <v>49</v>
      </c>
      <c r="J1353" s="5" t="s">
        <v>1746</v>
      </c>
      <c r="K1353" s="5">
        <v>1.0</v>
      </c>
      <c r="L1353" s="5">
        <v>14947.0</v>
      </c>
      <c r="M1353" s="8"/>
      <c r="AK1353" s="9"/>
      <c r="AO1353" s="5" t="s">
        <v>4799</v>
      </c>
      <c r="AP1353" s="5">
        <v>1911.0</v>
      </c>
      <c r="AQ1353" s="5" t="s">
        <v>1716</v>
      </c>
      <c r="AR1353" s="5" t="s">
        <v>1717</v>
      </c>
      <c r="AS1353" s="5" t="s">
        <v>1740</v>
      </c>
      <c r="AT1353" s="5" t="s">
        <v>1741</v>
      </c>
      <c r="AU1353" s="5" t="s">
        <v>1742</v>
      </c>
      <c r="AV1353" s="5" t="s">
        <v>1720</v>
      </c>
      <c r="AW1353" s="5" t="s">
        <v>2698</v>
      </c>
      <c r="AX1353" s="5" t="s">
        <v>2827</v>
      </c>
      <c r="AY1353" s="5">
        <v>49.072</v>
      </c>
      <c r="AZ1353" s="5">
        <v>-118.9755</v>
      </c>
      <c r="BA1353" s="5">
        <v>844.0</v>
      </c>
    </row>
    <row r="1354" ht="14.25" customHeight="1">
      <c r="A1354" s="5" t="s">
        <v>1908</v>
      </c>
      <c r="B1354" s="5">
        <v>12.0</v>
      </c>
      <c r="C1354" s="5" t="s">
        <v>7666</v>
      </c>
      <c r="D1354" s="5">
        <v>1994.0</v>
      </c>
      <c r="E1354" s="5">
        <v>13022.0</v>
      </c>
      <c r="F1354" s="12" t="s">
        <v>4800</v>
      </c>
      <c r="G1354" s="10" t="s">
        <v>4801</v>
      </c>
      <c r="H1354" s="5" t="s">
        <v>4802</v>
      </c>
      <c r="I1354" s="5" t="s">
        <v>49</v>
      </c>
      <c r="J1354" s="5" t="s">
        <v>1746</v>
      </c>
      <c r="K1354" s="5">
        <v>1.0</v>
      </c>
      <c r="L1354" s="5">
        <v>14954.0</v>
      </c>
      <c r="M1354" s="8"/>
      <c r="AK1354" s="9"/>
      <c r="AO1354" s="67" t="s">
        <v>4803</v>
      </c>
      <c r="AP1354" s="5">
        <v>1994.0</v>
      </c>
      <c r="AQ1354" s="5" t="s">
        <v>1716</v>
      </c>
      <c r="AR1354" s="5" t="s">
        <v>1717</v>
      </c>
      <c r="AS1354" s="5" t="s">
        <v>1740</v>
      </c>
      <c r="AT1354" s="5" t="s">
        <v>1741</v>
      </c>
      <c r="AU1354" s="5" t="s">
        <v>1742</v>
      </c>
      <c r="AV1354" s="5" t="s">
        <v>1720</v>
      </c>
      <c r="AW1354" s="5" t="s">
        <v>1947</v>
      </c>
      <c r="AX1354" s="5" t="s">
        <v>1973</v>
      </c>
      <c r="AY1354" s="5">
        <v>54.4667</v>
      </c>
      <c r="AZ1354" s="5">
        <v>-128.5667</v>
      </c>
      <c r="BA1354" s="5">
        <v>218.0</v>
      </c>
    </row>
    <row r="1355" ht="14.25" customHeight="1">
      <c r="A1355" s="5" t="s">
        <v>1908</v>
      </c>
      <c r="B1355" s="5">
        <v>12.0</v>
      </c>
      <c r="C1355" s="5" t="s">
        <v>7666</v>
      </c>
      <c r="D1355" s="5">
        <v>2130.0</v>
      </c>
      <c r="E1355" s="5">
        <v>13023.0</v>
      </c>
      <c r="F1355" s="12" t="s">
        <v>4804</v>
      </c>
      <c r="G1355" s="10" t="s">
        <v>4805</v>
      </c>
      <c r="H1355" s="5" t="s">
        <v>4806</v>
      </c>
      <c r="I1355" s="5" t="s">
        <v>49</v>
      </c>
      <c r="J1355" s="5" t="s">
        <v>1746</v>
      </c>
      <c r="K1355" s="5">
        <v>1.0</v>
      </c>
      <c r="L1355" s="5">
        <v>14955.0</v>
      </c>
      <c r="M1355" s="8"/>
      <c r="AK1355" s="9"/>
      <c r="AO1355" s="67" t="s">
        <v>4807</v>
      </c>
      <c r="AP1355" s="5">
        <v>2130.0</v>
      </c>
      <c r="AQ1355" s="5" t="s">
        <v>1716</v>
      </c>
      <c r="AR1355" s="5" t="s">
        <v>1717</v>
      </c>
      <c r="AS1355" s="5" t="s">
        <v>1740</v>
      </c>
      <c r="AT1355" s="5" t="s">
        <v>1741</v>
      </c>
      <c r="AU1355" s="5" t="s">
        <v>1742</v>
      </c>
      <c r="AV1355" s="5" t="s">
        <v>1720</v>
      </c>
      <c r="AW1355" s="5" t="s">
        <v>2368</v>
      </c>
      <c r="AX1355" s="5" t="s">
        <v>2522</v>
      </c>
      <c r="AY1355" s="5">
        <v>50.7969</v>
      </c>
      <c r="AZ1355" s="5">
        <v>-118.9432</v>
      </c>
      <c r="BA1355" s="5">
        <v>1029.0</v>
      </c>
    </row>
    <row r="1356" ht="14.25" customHeight="1">
      <c r="A1356" s="5" t="s">
        <v>1908</v>
      </c>
      <c r="B1356" s="5">
        <v>12.0</v>
      </c>
      <c r="C1356" s="5" t="s">
        <v>7666</v>
      </c>
      <c r="D1356" s="5">
        <v>2170.0</v>
      </c>
      <c r="E1356" s="5">
        <v>13040.0</v>
      </c>
      <c r="F1356" s="12" t="s">
        <v>4808</v>
      </c>
      <c r="G1356" s="10" t="s">
        <v>4809</v>
      </c>
      <c r="H1356" s="5" t="s">
        <v>4810</v>
      </c>
      <c r="I1356" s="5" t="s">
        <v>49</v>
      </c>
      <c r="J1356" s="5" t="s">
        <v>1746</v>
      </c>
      <c r="K1356" s="5">
        <v>1.0</v>
      </c>
      <c r="L1356" s="5">
        <v>14972.0</v>
      </c>
      <c r="M1356" s="8"/>
      <c r="AK1356" s="9"/>
      <c r="AO1356" s="5" t="s">
        <v>4625</v>
      </c>
      <c r="AP1356" s="5">
        <v>2170.0</v>
      </c>
      <c r="AQ1356" s="5" t="s">
        <v>1716</v>
      </c>
      <c r="AR1356" s="5" t="s">
        <v>1717</v>
      </c>
      <c r="AS1356" s="5" t="s">
        <v>1740</v>
      </c>
      <c r="AT1356" s="5" t="s">
        <v>1835</v>
      </c>
      <c r="AU1356" s="5" t="s">
        <v>1742</v>
      </c>
      <c r="AV1356" s="5" t="s">
        <v>1720</v>
      </c>
      <c r="AW1356" s="5" t="s">
        <v>2368</v>
      </c>
      <c r="AX1356" s="5" t="s">
        <v>2516</v>
      </c>
      <c r="AY1356" s="5">
        <v>49.1167</v>
      </c>
      <c r="AZ1356" s="5">
        <v>-119.3</v>
      </c>
      <c r="BA1356" s="5">
        <v>1384.0</v>
      </c>
    </row>
    <row r="1357" ht="14.25" customHeight="1">
      <c r="A1357" s="5" t="s">
        <v>422</v>
      </c>
      <c r="B1357" s="5">
        <v>12.0</v>
      </c>
      <c r="C1357" s="5" t="s">
        <v>7666</v>
      </c>
      <c r="D1357" s="5">
        <v>2230.0</v>
      </c>
      <c r="E1357" s="5">
        <v>13041.0</v>
      </c>
      <c r="G1357" s="5" t="s">
        <v>127</v>
      </c>
      <c r="H1357" s="5" t="s">
        <v>4811</v>
      </c>
      <c r="I1357" s="5" t="s">
        <v>49</v>
      </c>
      <c r="J1357" s="5" t="s">
        <v>1746</v>
      </c>
      <c r="K1357" s="5">
        <v>1.0</v>
      </c>
      <c r="L1357" s="5">
        <v>14973.0</v>
      </c>
      <c r="M1357" s="8"/>
      <c r="AK1357" s="9"/>
      <c r="AO1357" s="5" t="s">
        <v>4812</v>
      </c>
      <c r="AP1357" s="5">
        <v>2230.0</v>
      </c>
      <c r="AQ1357" s="5" t="s">
        <v>1716</v>
      </c>
      <c r="AR1357" s="5" t="s">
        <v>1717</v>
      </c>
      <c r="AS1357" s="5" t="s">
        <v>1740</v>
      </c>
      <c r="AT1357" s="5" t="s">
        <v>1741</v>
      </c>
      <c r="AU1357" s="5" t="s">
        <v>1742</v>
      </c>
      <c r="AV1357" s="5" t="s">
        <v>1720</v>
      </c>
      <c r="AW1357" s="5" t="s">
        <v>2368</v>
      </c>
      <c r="AX1357" s="5" t="s">
        <v>2505</v>
      </c>
      <c r="AY1357" s="5">
        <v>50.9056</v>
      </c>
      <c r="AZ1357" s="5">
        <v>-121.535</v>
      </c>
      <c r="BA1357" s="5">
        <v>1155.0</v>
      </c>
    </row>
    <row r="1358" ht="14.25" customHeight="1">
      <c r="A1358" s="5" t="s">
        <v>422</v>
      </c>
      <c r="B1358" s="5">
        <v>12.0</v>
      </c>
      <c r="C1358" s="5" t="s">
        <v>7666</v>
      </c>
      <c r="D1358" s="5">
        <v>2270.0</v>
      </c>
      <c r="E1358" s="5">
        <v>13059.0</v>
      </c>
      <c r="G1358" s="5" t="s">
        <v>127</v>
      </c>
      <c r="H1358" s="5" t="s">
        <v>4813</v>
      </c>
      <c r="I1358" s="5" t="s">
        <v>49</v>
      </c>
      <c r="J1358" s="5" t="s">
        <v>1746</v>
      </c>
      <c r="K1358" s="5">
        <v>1.0</v>
      </c>
      <c r="L1358" s="5">
        <v>14983.0</v>
      </c>
      <c r="M1358" s="8"/>
      <c r="AK1358" s="9"/>
      <c r="AO1358" s="5" t="s">
        <v>4814</v>
      </c>
      <c r="AP1358" s="5">
        <v>2270.0</v>
      </c>
      <c r="AQ1358" s="5" t="s">
        <v>1716</v>
      </c>
      <c r="AR1358" s="5" t="s">
        <v>1717</v>
      </c>
      <c r="AS1358" s="5" t="s">
        <v>1740</v>
      </c>
      <c r="AT1358" s="5" t="s">
        <v>1741</v>
      </c>
      <c r="AU1358" s="5" t="s">
        <v>1742</v>
      </c>
      <c r="AV1358" s="5" t="s">
        <v>1720</v>
      </c>
      <c r="AW1358" s="5" t="s">
        <v>2368</v>
      </c>
      <c r="AX1358" s="5" t="s">
        <v>2516</v>
      </c>
      <c r="AY1358" s="5">
        <v>49.3305</v>
      </c>
      <c r="AZ1358" s="5">
        <v>-119.7325</v>
      </c>
      <c r="BA1358" s="5">
        <v>1130.0</v>
      </c>
    </row>
    <row r="1359" ht="14.25" customHeight="1">
      <c r="A1359" s="5" t="s">
        <v>422</v>
      </c>
      <c r="B1359" s="5">
        <v>12.0</v>
      </c>
      <c r="C1359" s="5" t="s">
        <v>7666</v>
      </c>
      <c r="D1359" s="5">
        <v>2290.0</v>
      </c>
      <c r="E1359" s="5">
        <v>13060.0</v>
      </c>
      <c r="G1359" s="5" t="s">
        <v>127</v>
      </c>
      <c r="H1359" s="5" t="s">
        <v>4815</v>
      </c>
      <c r="I1359" s="5" t="s">
        <v>49</v>
      </c>
      <c r="J1359" s="5" t="s">
        <v>1746</v>
      </c>
      <c r="K1359" s="5">
        <v>1.0</v>
      </c>
      <c r="L1359" s="5">
        <v>14984.0</v>
      </c>
      <c r="M1359" s="8"/>
      <c r="AK1359" s="9"/>
      <c r="AO1359" s="5" t="s">
        <v>4816</v>
      </c>
      <c r="AP1359" s="5">
        <v>2290.0</v>
      </c>
      <c r="AQ1359" s="5" t="s">
        <v>1716</v>
      </c>
      <c r="AR1359" s="5" t="s">
        <v>1717</v>
      </c>
      <c r="AS1359" s="5" t="s">
        <v>1740</v>
      </c>
      <c r="AT1359" s="5" t="s">
        <v>1741</v>
      </c>
      <c r="AU1359" s="5" t="s">
        <v>1742</v>
      </c>
      <c r="AV1359" s="5" t="s">
        <v>1720</v>
      </c>
      <c r="AW1359" s="5" t="s">
        <v>2368</v>
      </c>
      <c r="AX1359" s="5" t="s">
        <v>2369</v>
      </c>
      <c r="AY1359" s="5">
        <v>50.9056</v>
      </c>
      <c r="AZ1359" s="5">
        <v>-121.5347</v>
      </c>
      <c r="BA1359" s="5">
        <v>1166.0</v>
      </c>
    </row>
    <row r="1360" ht="14.25" customHeight="1">
      <c r="A1360" s="5" t="s">
        <v>422</v>
      </c>
      <c r="B1360" s="5">
        <v>12.0</v>
      </c>
      <c r="C1360" s="5" t="s">
        <v>7666</v>
      </c>
      <c r="D1360" s="5">
        <v>2330.0</v>
      </c>
      <c r="E1360" s="5">
        <v>13062.0</v>
      </c>
      <c r="G1360" s="5" t="s">
        <v>127</v>
      </c>
      <c r="H1360" s="5" t="s">
        <v>4817</v>
      </c>
      <c r="I1360" s="5" t="s">
        <v>49</v>
      </c>
      <c r="J1360" s="5" t="s">
        <v>1746</v>
      </c>
      <c r="K1360" s="5">
        <v>1.0</v>
      </c>
      <c r="L1360" s="5">
        <v>14986.0</v>
      </c>
      <c r="M1360" s="8"/>
      <c r="AK1360" s="9"/>
      <c r="AO1360" s="5" t="s">
        <v>4818</v>
      </c>
      <c r="AP1360" s="5">
        <v>2330.0</v>
      </c>
      <c r="AQ1360" s="5" t="s">
        <v>1716</v>
      </c>
      <c r="AR1360" s="5" t="s">
        <v>1717</v>
      </c>
      <c r="AS1360" s="5" t="s">
        <v>1740</v>
      </c>
      <c r="AT1360" s="5" t="s">
        <v>1741</v>
      </c>
      <c r="AU1360" s="5" t="s">
        <v>1742</v>
      </c>
      <c r="AV1360" s="5" t="s">
        <v>1720</v>
      </c>
      <c r="AW1360" s="5" t="s">
        <v>2698</v>
      </c>
      <c r="AX1360" s="5" t="s">
        <v>2902</v>
      </c>
      <c r="AY1360" s="5">
        <v>49.0253</v>
      </c>
      <c r="AZ1360" s="5">
        <v>-114.5866</v>
      </c>
      <c r="BA1360" s="5">
        <v>1500.0</v>
      </c>
    </row>
    <row r="1361" ht="14.25" customHeight="1">
      <c r="A1361" s="5" t="s">
        <v>422</v>
      </c>
      <c r="B1361" s="5">
        <v>12.0</v>
      </c>
      <c r="C1361" s="5" t="s">
        <v>7666</v>
      </c>
      <c r="D1361" s="5">
        <v>2350.0</v>
      </c>
      <c r="E1361" s="5">
        <v>13063.0</v>
      </c>
      <c r="G1361" s="5" t="s">
        <v>127</v>
      </c>
      <c r="H1361" s="5" t="s">
        <v>4819</v>
      </c>
      <c r="I1361" s="5" t="s">
        <v>49</v>
      </c>
      <c r="J1361" s="5" t="s">
        <v>1746</v>
      </c>
      <c r="K1361" s="5">
        <v>1.0</v>
      </c>
      <c r="L1361" s="5">
        <v>14987.0</v>
      </c>
      <c r="M1361" s="8"/>
      <c r="AK1361" s="9"/>
      <c r="AO1361" s="27" t="s">
        <v>4820</v>
      </c>
      <c r="AP1361" s="5">
        <v>2350.0</v>
      </c>
      <c r="AQ1361" s="5" t="s">
        <v>1716</v>
      </c>
      <c r="AR1361" s="5" t="s">
        <v>1717</v>
      </c>
      <c r="AS1361" s="5" t="s">
        <v>1740</v>
      </c>
      <c r="AT1361" s="5" t="s">
        <v>1741</v>
      </c>
      <c r="AU1361" s="5" t="s">
        <v>1742</v>
      </c>
      <c r="AV1361" s="5" t="s">
        <v>1720</v>
      </c>
      <c r="AW1361" s="5" t="s">
        <v>2698</v>
      </c>
      <c r="AX1361" s="5" t="s">
        <v>2902</v>
      </c>
      <c r="AY1361" s="5">
        <v>49.0253</v>
      </c>
      <c r="AZ1361" s="5">
        <v>-114.5866</v>
      </c>
      <c r="BA1361" s="5">
        <v>1500.0</v>
      </c>
    </row>
    <row r="1362" ht="14.25" customHeight="1">
      <c r="A1362" s="5" t="s">
        <v>422</v>
      </c>
      <c r="B1362" s="5">
        <v>12.0</v>
      </c>
      <c r="C1362" s="5" t="s">
        <v>7666</v>
      </c>
      <c r="D1362" s="5">
        <v>2370.0</v>
      </c>
      <c r="E1362" s="5">
        <v>13064.0</v>
      </c>
      <c r="G1362" s="5" t="s">
        <v>127</v>
      </c>
      <c r="H1362" s="5" t="s">
        <v>4821</v>
      </c>
      <c r="I1362" s="5" t="s">
        <v>49</v>
      </c>
      <c r="J1362" s="5" t="s">
        <v>1746</v>
      </c>
      <c r="K1362" s="5">
        <v>1.0</v>
      </c>
      <c r="L1362" s="5">
        <v>14988.0</v>
      </c>
      <c r="M1362" s="8"/>
      <c r="AK1362" s="9"/>
      <c r="AO1362" s="5" t="s">
        <v>4822</v>
      </c>
      <c r="AP1362" s="5">
        <v>2370.0</v>
      </c>
      <c r="AQ1362" s="5" t="s">
        <v>1716</v>
      </c>
      <c r="AR1362" s="5" t="s">
        <v>1717</v>
      </c>
      <c r="AS1362" s="5" t="s">
        <v>1740</v>
      </c>
      <c r="AT1362" s="5" t="s">
        <v>1741</v>
      </c>
      <c r="AU1362" s="5" t="s">
        <v>1742</v>
      </c>
      <c r="AV1362" s="5" t="s">
        <v>1720</v>
      </c>
      <c r="AW1362" s="5" t="s">
        <v>2698</v>
      </c>
      <c r="AX1362" s="5" t="s">
        <v>2902</v>
      </c>
      <c r="AY1362" s="5">
        <v>49.049</v>
      </c>
      <c r="AZ1362" s="5">
        <v>-115.046</v>
      </c>
      <c r="BA1362" s="5">
        <v>1119.0</v>
      </c>
    </row>
    <row r="1363" ht="14.25" customHeight="1">
      <c r="A1363" s="5" t="s">
        <v>422</v>
      </c>
      <c r="B1363" s="5">
        <v>12.0</v>
      </c>
      <c r="C1363" s="5" t="s">
        <v>7666</v>
      </c>
      <c r="D1363" s="5">
        <v>2390.0</v>
      </c>
      <c r="E1363" s="5">
        <v>13067.0</v>
      </c>
      <c r="G1363" s="5" t="s">
        <v>127</v>
      </c>
      <c r="H1363" s="5" t="s">
        <v>4823</v>
      </c>
      <c r="I1363" s="5" t="s">
        <v>49</v>
      </c>
      <c r="J1363" s="5" t="s">
        <v>1746</v>
      </c>
      <c r="K1363" s="5">
        <v>1.0</v>
      </c>
      <c r="L1363" s="5">
        <v>14991.0</v>
      </c>
      <c r="M1363" s="8"/>
      <c r="AK1363" s="9"/>
      <c r="AO1363" s="5" t="s">
        <v>4824</v>
      </c>
      <c r="AP1363" s="5">
        <v>2390.0</v>
      </c>
      <c r="AQ1363" s="5" t="s">
        <v>1716</v>
      </c>
      <c r="AR1363" s="5" t="s">
        <v>1717</v>
      </c>
      <c r="AS1363" s="5" t="s">
        <v>1740</v>
      </c>
      <c r="AT1363" s="5" t="s">
        <v>1741</v>
      </c>
      <c r="AU1363" s="5" t="s">
        <v>1742</v>
      </c>
      <c r="AV1363" s="5" t="s">
        <v>1720</v>
      </c>
      <c r="AW1363" s="5" t="s">
        <v>2698</v>
      </c>
      <c r="AX1363" s="5" t="s">
        <v>2768</v>
      </c>
      <c r="AY1363" s="5">
        <v>49.8899</v>
      </c>
      <c r="AZ1363" s="5">
        <v>-115.6439</v>
      </c>
      <c r="BA1363" s="5">
        <v>952.0</v>
      </c>
    </row>
    <row r="1364" ht="14.25" customHeight="1">
      <c r="A1364" s="5" t="s">
        <v>422</v>
      </c>
      <c r="B1364" s="5">
        <v>12.0</v>
      </c>
      <c r="C1364" s="5" t="s">
        <v>7666</v>
      </c>
      <c r="D1364" s="80">
        <v>2410.0</v>
      </c>
      <c r="E1364" s="5">
        <v>13068.0</v>
      </c>
      <c r="G1364" s="5" t="s">
        <v>127</v>
      </c>
      <c r="H1364" s="5" t="s">
        <v>4825</v>
      </c>
      <c r="I1364" s="5" t="s">
        <v>49</v>
      </c>
      <c r="J1364" s="5" t="s">
        <v>1746</v>
      </c>
      <c r="K1364" s="5">
        <v>1.0</v>
      </c>
      <c r="L1364" s="5">
        <v>14992.0</v>
      </c>
      <c r="AK1364" s="9"/>
      <c r="AO1364" s="5" t="s">
        <v>4826</v>
      </c>
      <c r="AP1364" s="5">
        <v>2410.0</v>
      </c>
      <c r="AQ1364" s="5" t="s">
        <v>1716</v>
      </c>
      <c r="AR1364" s="5" t="s">
        <v>1717</v>
      </c>
      <c r="AS1364" s="5" t="s">
        <v>1740</v>
      </c>
      <c r="AT1364" s="5" t="s">
        <v>1741</v>
      </c>
      <c r="AU1364" s="5" t="s">
        <v>1742</v>
      </c>
      <c r="AV1364" s="5" t="s">
        <v>1720</v>
      </c>
      <c r="AW1364" s="5" t="s">
        <v>1705</v>
      </c>
      <c r="AX1364" s="5" t="s">
        <v>1883</v>
      </c>
      <c r="AY1364" s="5">
        <v>49.101</v>
      </c>
      <c r="AZ1364" s="5">
        <v>-120.759</v>
      </c>
      <c r="BA1364" s="5">
        <v>2022.0</v>
      </c>
    </row>
    <row r="1365" ht="14.25" customHeight="1">
      <c r="A1365" s="5" t="s">
        <v>422</v>
      </c>
      <c r="B1365" s="5">
        <v>12.0</v>
      </c>
      <c r="C1365" s="5" t="s">
        <v>7666</v>
      </c>
      <c r="D1365" s="5">
        <v>2430.0</v>
      </c>
      <c r="E1365" s="5">
        <v>13073.0</v>
      </c>
      <c r="G1365" s="5" t="s">
        <v>127</v>
      </c>
      <c r="H1365" s="5" t="s">
        <v>4827</v>
      </c>
      <c r="I1365" s="5" t="s">
        <v>49</v>
      </c>
      <c r="J1365" s="5" t="s">
        <v>1746</v>
      </c>
      <c r="K1365" s="5">
        <v>1.0</v>
      </c>
      <c r="L1365" s="5">
        <v>14995.0</v>
      </c>
      <c r="M1365" s="8"/>
      <c r="AK1365" s="9"/>
      <c r="AO1365" s="5" t="s">
        <v>4828</v>
      </c>
      <c r="AP1365" s="5">
        <v>2430.0</v>
      </c>
      <c r="AQ1365" s="5" t="s">
        <v>1716</v>
      </c>
      <c r="AR1365" s="5" t="s">
        <v>1717</v>
      </c>
      <c r="AS1365" s="5" t="s">
        <v>1740</v>
      </c>
      <c r="AT1365" s="5" t="s">
        <v>2442</v>
      </c>
      <c r="AU1365" s="5" t="s">
        <v>1742</v>
      </c>
      <c r="AV1365" s="5" t="s">
        <v>1720</v>
      </c>
      <c r="AW1365" s="5" t="s">
        <v>2003</v>
      </c>
      <c r="AX1365" s="5" t="s">
        <v>2024</v>
      </c>
      <c r="AY1365" s="5">
        <v>55.9055</v>
      </c>
      <c r="AZ1365" s="5">
        <v>-122.6992</v>
      </c>
      <c r="BA1365" s="5">
        <v>1100.0</v>
      </c>
    </row>
    <row r="1366" ht="14.25" customHeight="1">
      <c r="A1366" s="5" t="s">
        <v>1908</v>
      </c>
      <c r="B1366" s="5">
        <v>12.0</v>
      </c>
      <c r="C1366" s="5" t="s">
        <v>7666</v>
      </c>
      <c r="D1366" s="5">
        <v>2450.0</v>
      </c>
      <c r="E1366" s="5">
        <v>13077.0</v>
      </c>
      <c r="F1366" s="12" t="s">
        <v>4829</v>
      </c>
      <c r="G1366" s="10" t="s">
        <v>4830</v>
      </c>
      <c r="H1366" s="5" t="s">
        <v>4831</v>
      </c>
      <c r="I1366" s="5" t="s">
        <v>49</v>
      </c>
      <c r="J1366" s="5" t="s">
        <v>1746</v>
      </c>
      <c r="K1366" s="5">
        <v>1.0</v>
      </c>
      <c r="L1366" s="5">
        <v>14999.0</v>
      </c>
      <c r="M1366" s="8"/>
      <c r="AK1366" s="9"/>
      <c r="AO1366" s="5" t="s">
        <v>4832</v>
      </c>
      <c r="AP1366" s="5">
        <v>2450.0</v>
      </c>
      <c r="AQ1366" s="5" t="s">
        <v>1700</v>
      </c>
      <c r="AR1366" s="5" t="s">
        <v>1739</v>
      </c>
      <c r="AS1366" s="5" t="s">
        <v>1740</v>
      </c>
      <c r="AT1366" s="5" t="s">
        <v>1835</v>
      </c>
      <c r="AU1366" s="5" t="s">
        <v>1959</v>
      </c>
      <c r="AV1366" s="5" t="s">
        <v>1720</v>
      </c>
      <c r="AW1366" s="5" t="s">
        <v>2698</v>
      </c>
      <c r="AX1366" s="5" t="s">
        <v>2902</v>
      </c>
      <c r="AY1366" s="5">
        <v>49.4539</v>
      </c>
      <c r="AZ1366" s="5">
        <v>-115.9872</v>
      </c>
      <c r="BA1366" s="5">
        <v>1540.0</v>
      </c>
    </row>
    <row r="1367" ht="14.25" customHeight="1">
      <c r="A1367" s="5" t="s">
        <v>422</v>
      </c>
      <c r="B1367" s="5">
        <v>12.0</v>
      </c>
      <c r="C1367" s="5" t="s">
        <v>7666</v>
      </c>
      <c r="D1367" s="5">
        <v>2470.0</v>
      </c>
      <c r="E1367" s="5">
        <v>13074.0</v>
      </c>
      <c r="G1367" s="5" t="s">
        <v>127</v>
      </c>
      <c r="H1367" s="5" t="s">
        <v>4833</v>
      </c>
      <c r="I1367" s="5" t="s">
        <v>49</v>
      </c>
      <c r="J1367" s="5" t="s">
        <v>1746</v>
      </c>
      <c r="K1367" s="5">
        <v>1.0</v>
      </c>
      <c r="L1367" s="5">
        <v>14996.0</v>
      </c>
      <c r="M1367" s="8"/>
      <c r="AK1367" s="9"/>
      <c r="AO1367" s="5" t="s">
        <v>4834</v>
      </c>
      <c r="AP1367" s="5">
        <v>2470.0</v>
      </c>
      <c r="AQ1367" s="5" t="s">
        <v>1716</v>
      </c>
      <c r="AR1367" s="5" t="s">
        <v>1717</v>
      </c>
      <c r="AS1367" s="5" t="s">
        <v>1740</v>
      </c>
      <c r="AT1367" s="5" t="s">
        <v>1741</v>
      </c>
      <c r="AU1367" s="5" t="s">
        <v>1742</v>
      </c>
      <c r="AV1367" s="5" t="s">
        <v>1720</v>
      </c>
      <c r="AW1367" s="5" t="s">
        <v>2368</v>
      </c>
      <c r="AX1367" s="5" t="s">
        <v>2516</v>
      </c>
      <c r="AY1367" s="5">
        <v>49.1333</v>
      </c>
      <c r="AZ1367" s="5">
        <v>-120.05</v>
      </c>
      <c r="BA1367" s="5">
        <v>1380.0</v>
      </c>
    </row>
    <row r="1368" ht="14.25" customHeight="1">
      <c r="A1368" s="5" t="s">
        <v>422</v>
      </c>
      <c r="B1368" s="5">
        <v>12.0</v>
      </c>
      <c r="C1368" s="5" t="s">
        <v>7666</v>
      </c>
      <c r="D1368" s="5">
        <v>2490.0</v>
      </c>
      <c r="E1368" s="5">
        <v>13075.0</v>
      </c>
      <c r="G1368" s="5" t="s">
        <v>127</v>
      </c>
      <c r="H1368" s="5" t="s">
        <v>4835</v>
      </c>
      <c r="I1368" s="5" t="s">
        <v>49</v>
      </c>
      <c r="J1368" s="5" t="s">
        <v>1746</v>
      </c>
      <c r="K1368" s="5">
        <v>1.0</v>
      </c>
      <c r="L1368" s="5">
        <v>14997.0</v>
      </c>
      <c r="M1368" s="8"/>
      <c r="AK1368" s="9"/>
      <c r="AO1368" s="5" t="s">
        <v>4836</v>
      </c>
      <c r="AP1368" s="5">
        <v>2490.0</v>
      </c>
      <c r="AQ1368" s="5" t="s">
        <v>1716</v>
      </c>
      <c r="AR1368" s="5" t="s">
        <v>1717</v>
      </c>
      <c r="AS1368" s="5" t="s">
        <v>1740</v>
      </c>
      <c r="AT1368" s="5" t="s">
        <v>1741</v>
      </c>
      <c r="AU1368" s="5" t="s">
        <v>1742</v>
      </c>
      <c r="AV1368" s="5" t="s">
        <v>1720</v>
      </c>
      <c r="AW1368" s="5" t="s">
        <v>2698</v>
      </c>
      <c r="AX1368" s="5" t="s">
        <v>2902</v>
      </c>
      <c r="AY1368" s="5">
        <v>49.049</v>
      </c>
      <c r="AZ1368" s="5">
        <v>-115.046</v>
      </c>
      <c r="BA1368" s="5">
        <v>1121.0</v>
      </c>
    </row>
    <row r="1369" ht="14.25" customHeight="1">
      <c r="A1369" s="5" t="s">
        <v>1908</v>
      </c>
      <c r="B1369" s="5">
        <v>12.0</v>
      </c>
      <c r="C1369" s="5" t="s">
        <v>7666</v>
      </c>
      <c r="D1369" s="5">
        <v>2512.0</v>
      </c>
      <c r="E1369" s="5">
        <v>13078.0</v>
      </c>
      <c r="F1369" s="12" t="s">
        <v>4837</v>
      </c>
      <c r="G1369" s="10" t="s">
        <v>4838</v>
      </c>
      <c r="H1369" s="5" t="s">
        <v>4839</v>
      </c>
      <c r="I1369" s="5" t="s">
        <v>49</v>
      </c>
      <c r="J1369" s="5" t="s">
        <v>1746</v>
      </c>
      <c r="K1369" s="5">
        <v>1.0</v>
      </c>
      <c r="L1369" s="5">
        <v>15000.0</v>
      </c>
      <c r="M1369" s="8"/>
      <c r="AK1369" s="9"/>
      <c r="AO1369" s="5" t="s">
        <v>4840</v>
      </c>
      <c r="AP1369" s="5">
        <v>2512.0</v>
      </c>
      <c r="AQ1369" s="5" t="s">
        <v>1716</v>
      </c>
      <c r="AR1369" s="5" t="s">
        <v>1717</v>
      </c>
      <c r="AS1369" s="5" t="s">
        <v>1740</v>
      </c>
      <c r="AT1369" s="5" t="s">
        <v>1703</v>
      </c>
      <c r="AU1369" s="5" t="s">
        <v>1742</v>
      </c>
      <c r="AV1369" s="5" t="s">
        <v>1720</v>
      </c>
      <c r="AW1369" s="5" t="s">
        <v>2368</v>
      </c>
      <c r="AX1369" s="5" t="s">
        <v>2369</v>
      </c>
      <c r="AY1369" s="5">
        <v>51.765</v>
      </c>
      <c r="AZ1369" s="5">
        <v>-119.6751</v>
      </c>
      <c r="BA1369" s="5">
        <v>920.0</v>
      </c>
    </row>
    <row r="1370" ht="14.25" customHeight="1">
      <c r="A1370" s="5" t="s">
        <v>1908</v>
      </c>
      <c r="B1370" s="5">
        <v>12.0</v>
      </c>
      <c r="C1370" s="5" t="s">
        <v>7666</v>
      </c>
      <c r="D1370" s="5">
        <v>2513.0</v>
      </c>
      <c r="E1370" s="5">
        <v>13079.0</v>
      </c>
      <c r="F1370" s="12" t="s">
        <v>4841</v>
      </c>
      <c r="G1370" s="10" t="s">
        <v>4842</v>
      </c>
      <c r="H1370" s="5" t="s">
        <v>4843</v>
      </c>
      <c r="I1370" s="5" t="s">
        <v>49</v>
      </c>
      <c r="J1370" s="5" t="s">
        <v>1891</v>
      </c>
      <c r="K1370" s="5">
        <v>1.0</v>
      </c>
      <c r="L1370" s="5">
        <v>15001.0</v>
      </c>
      <c r="M1370" s="8"/>
      <c r="AK1370" s="9"/>
      <c r="AO1370" s="5" t="s">
        <v>4844</v>
      </c>
      <c r="AP1370" s="5">
        <v>2513.0</v>
      </c>
      <c r="AQ1370" s="5" t="s">
        <v>1716</v>
      </c>
      <c r="AR1370" s="5" t="s">
        <v>1701</v>
      </c>
      <c r="AS1370" s="5" t="s">
        <v>1740</v>
      </c>
      <c r="AT1370" s="5" t="s">
        <v>1703</v>
      </c>
      <c r="AU1370" s="5" t="s">
        <v>1704</v>
      </c>
      <c r="AV1370" s="5" t="s">
        <v>1720</v>
      </c>
      <c r="AW1370" s="5" t="s">
        <v>2368</v>
      </c>
      <c r="AX1370" s="5" t="s">
        <v>2369</v>
      </c>
      <c r="AY1370" s="5">
        <v>51.5561</v>
      </c>
      <c r="AZ1370" s="5">
        <v>-119.7382</v>
      </c>
      <c r="BA1370" s="5">
        <v>1069.0</v>
      </c>
    </row>
    <row r="1371" ht="14.25" customHeight="1">
      <c r="A1371" s="5" t="s">
        <v>422</v>
      </c>
      <c r="B1371" s="5">
        <v>12.0</v>
      </c>
      <c r="C1371" s="5" t="s">
        <v>7666</v>
      </c>
      <c r="D1371" s="5">
        <v>2550.0</v>
      </c>
      <c r="E1371" s="5">
        <v>13080.0</v>
      </c>
      <c r="G1371" s="5" t="s">
        <v>127</v>
      </c>
      <c r="H1371" s="5" t="s">
        <v>4845</v>
      </c>
      <c r="I1371" s="5" t="s">
        <v>49</v>
      </c>
      <c r="J1371" s="5" t="s">
        <v>1746</v>
      </c>
      <c r="K1371" s="5">
        <v>1.0</v>
      </c>
      <c r="L1371" s="5">
        <v>15002.0</v>
      </c>
      <c r="M1371" s="8"/>
      <c r="AK1371" s="9"/>
      <c r="AO1371" s="5" t="s">
        <v>4846</v>
      </c>
      <c r="AP1371" s="5">
        <v>2550.0</v>
      </c>
      <c r="AQ1371" s="5" t="s">
        <v>1716</v>
      </c>
      <c r="AR1371" s="5" t="s">
        <v>1717</v>
      </c>
      <c r="AS1371" s="5" t="s">
        <v>1740</v>
      </c>
      <c r="AT1371" s="5" t="s">
        <v>1741</v>
      </c>
      <c r="AU1371" s="5" t="s">
        <v>1742</v>
      </c>
      <c r="AV1371" s="5" t="s">
        <v>1720</v>
      </c>
      <c r="AW1371" s="5" t="s">
        <v>2698</v>
      </c>
      <c r="AX1371" s="5" t="s">
        <v>2801</v>
      </c>
      <c r="AY1371" s="5">
        <v>49.6328</v>
      </c>
      <c r="AZ1371" s="5">
        <v>-117.0925</v>
      </c>
      <c r="BA1371" s="5">
        <v>1090.0</v>
      </c>
    </row>
    <row r="1372" ht="14.25" customHeight="1">
      <c r="A1372" s="5" t="s">
        <v>422</v>
      </c>
      <c r="B1372" s="5">
        <v>12.0</v>
      </c>
      <c r="C1372" s="5" t="s">
        <v>7666</v>
      </c>
      <c r="D1372" s="5">
        <v>2570.0</v>
      </c>
      <c r="E1372" s="5">
        <v>13132.0</v>
      </c>
      <c r="G1372" s="5" t="s">
        <v>127</v>
      </c>
      <c r="H1372" s="5" t="s">
        <v>4847</v>
      </c>
      <c r="I1372" s="5" t="s">
        <v>49</v>
      </c>
      <c r="J1372" s="5" t="s">
        <v>1746</v>
      </c>
      <c r="K1372" s="5">
        <v>1.0</v>
      </c>
      <c r="L1372" s="5">
        <v>15054.0</v>
      </c>
      <c r="M1372" s="8"/>
      <c r="AK1372" s="9"/>
      <c r="AO1372" s="5" t="s">
        <v>4848</v>
      </c>
      <c r="AP1372" s="5">
        <v>2570.0</v>
      </c>
      <c r="AQ1372" s="5" t="s">
        <v>1716</v>
      </c>
      <c r="AR1372" s="5" t="s">
        <v>1717</v>
      </c>
      <c r="AS1372" s="5" t="s">
        <v>1740</v>
      </c>
      <c r="AT1372" s="5" t="s">
        <v>1741</v>
      </c>
      <c r="AU1372" s="5" t="s">
        <v>1742</v>
      </c>
      <c r="AV1372" s="5" t="s">
        <v>1720</v>
      </c>
      <c r="AW1372" s="5" t="s">
        <v>2698</v>
      </c>
      <c r="AX1372" s="5" t="s">
        <v>2797</v>
      </c>
      <c r="AY1372" s="5">
        <v>49.4189</v>
      </c>
      <c r="AZ1372" s="5">
        <v>-118.0517</v>
      </c>
      <c r="BA1372" s="5">
        <v>655.0</v>
      </c>
    </row>
    <row r="1373" ht="14.25" customHeight="1">
      <c r="A1373" s="5" t="s">
        <v>422</v>
      </c>
      <c r="B1373" s="5">
        <v>12.0</v>
      </c>
      <c r="C1373" s="5" t="s">
        <v>7666</v>
      </c>
      <c r="D1373" s="5">
        <v>2591.0</v>
      </c>
      <c r="E1373" s="5">
        <v>13133.0</v>
      </c>
      <c r="G1373" s="5" t="s">
        <v>127</v>
      </c>
      <c r="H1373" s="5" t="s">
        <v>4849</v>
      </c>
      <c r="I1373" s="5" t="s">
        <v>49</v>
      </c>
      <c r="J1373" s="5" t="s">
        <v>1746</v>
      </c>
      <c r="K1373" s="5">
        <v>1.0</v>
      </c>
      <c r="L1373" s="5">
        <v>15055.0</v>
      </c>
      <c r="M1373" s="8"/>
      <c r="AK1373" s="9"/>
      <c r="AO1373" s="5" t="s">
        <v>4850</v>
      </c>
      <c r="AP1373" s="5">
        <v>2591.0</v>
      </c>
      <c r="AQ1373" s="5" t="s">
        <v>1716</v>
      </c>
      <c r="AR1373" s="5" t="s">
        <v>1717</v>
      </c>
      <c r="AS1373" s="5" t="s">
        <v>1740</v>
      </c>
      <c r="AT1373" s="5" t="s">
        <v>1741</v>
      </c>
      <c r="AU1373" s="5" t="s">
        <v>1742</v>
      </c>
      <c r="AV1373" s="5" t="s">
        <v>1720</v>
      </c>
      <c r="AW1373" s="5" t="s">
        <v>2698</v>
      </c>
      <c r="AX1373" s="5" t="s">
        <v>2902</v>
      </c>
      <c r="AY1373" s="5">
        <v>49.1167</v>
      </c>
      <c r="AZ1373" s="5">
        <v>-118.0667</v>
      </c>
      <c r="BA1373" s="5">
        <v>1093.0</v>
      </c>
    </row>
    <row r="1374" ht="14.25" customHeight="1">
      <c r="A1374" s="5" t="s">
        <v>422</v>
      </c>
      <c r="B1374" s="5">
        <v>12.0</v>
      </c>
      <c r="C1374" s="5" t="s">
        <v>7666</v>
      </c>
      <c r="D1374" s="5">
        <v>2593.0</v>
      </c>
      <c r="E1374" s="5">
        <v>13134.0</v>
      </c>
      <c r="G1374" s="5" t="s">
        <v>127</v>
      </c>
      <c r="H1374" s="5" t="s">
        <v>4851</v>
      </c>
      <c r="I1374" s="5" t="s">
        <v>49</v>
      </c>
      <c r="J1374" s="5" t="s">
        <v>1746</v>
      </c>
      <c r="K1374" s="5">
        <v>1.0</v>
      </c>
      <c r="L1374" s="5">
        <v>15056.0</v>
      </c>
      <c r="M1374" s="8"/>
      <c r="AK1374" s="9"/>
      <c r="AO1374" s="5" t="s">
        <v>4852</v>
      </c>
      <c r="AP1374" s="5">
        <v>2593.0</v>
      </c>
      <c r="AQ1374" s="5" t="s">
        <v>1716</v>
      </c>
      <c r="AR1374" s="5" t="s">
        <v>1717</v>
      </c>
      <c r="AS1374" s="5" t="s">
        <v>1740</v>
      </c>
      <c r="AT1374" s="5" t="s">
        <v>1741</v>
      </c>
      <c r="AU1374" s="5" t="s">
        <v>1742</v>
      </c>
      <c r="AV1374" s="5" t="s">
        <v>1720</v>
      </c>
      <c r="AW1374" s="5" t="s">
        <v>2698</v>
      </c>
      <c r="AY1374" s="5">
        <v>50.1189</v>
      </c>
      <c r="AZ1374" s="5">
        <v>-116.8984</v>
      </c>
      <c r="BA1374" s="5">
        <v>885.0</v>
      </c>
    </row>
    <row r="1375" ht="14.25" customHeight="1">
      <c r="A1375" s="5" t="s">
        <v>422</v>
      </c>
      <c r="B1375" s="5">
        <v>12.0</v>
      </c>
      <c r="C1375" s="5" t="s">
        <v>7666</v>
      </c>
      <c r="D1375" s="5">
        <v>2630.0</v>
      </c>
      <c r="E1375" s="5">
        <v>13144.0</v>
      </c>
      <c r="G1375" s="5" t="s">
        <v>127</v>
      </c>
      <c r="H1375" s="5" t="s">
        <v>4853</v>
      </c>
      <c r="I1375" s="5" t="s">
        <v>49</v>
      </c>
      <c r="J1375" s="5" t="s">
        <v>1746</v>
      </c>
      <c r="K1375" s="5">
        <v>1.0</v>
      </c>
      <c r="L1375" s="5">
        <v>15066.0</v>
      </c>
      <c r="M1375" s="8"/>
      <c r="AK1375" s="9"/>
      <c r="AO1375" s="5" t="s">
        <v>4854</v>
      </c>
      <c r="AP1375" s="5">
        <v>2630.0</v>
      </c>
      <c r="AQ1375" s="5" t="s">
        <v>1716</v>
      </c>
      <c r="AR1375" s="5" t="s">
        <v>1717</v>
      </c>
      <c r="AS1375" s="5" t="s">
        <v>1740</v>
      </c>
      <c r="AT1375" s="5" t="s">
        <v>1741</v>
      </c>
      <c r="AU1375" s="5" t="s">
        <v>1742</v>
      </c>
      <c r="AV1375" s="5" t="s">
        <v>1720</v>
      </c>
      <c r="AW1375" s="5" t="s">
        <v>2698</v>
      </c>
      <c r="AX1375" s="5" t="s">
        <v>2797</v>
      </c>
      <c r="AY1375" s="5">
        <v>49.6368</v>
      </c>
      <c r="AZ1375" s="5">
        <v>-117.5189</v>
      </c>
      <c r="BA1375" s="5">
        <v>820.0</v>
      </c>
    </row>
    <row r="1376" ht="14.25" customHeight="1">
      <c r="A1376" s="5" t="s">
        <v>422</v>
      </c>
      <c r="B1376" s="5">
        <v>12.0</v>
      </c>
      <c r="C1376" s="5" t="s">
        <v>7666</v>
      </c>
      <c r="D1376" s="5">
        <v>2710.0</v>
      </c>
      <c r="E1376" s="5">
        <v>13178.0</v>
      </c>
      <c r="G1376" s="5" t="s">
        <v>127</v>
      </c>
      <c r="H1376" s="5" t="s">
        <v>4855</v>
      </c>
      <c r="I1376" s="5" t="s">
        <v>49</v>
      </c>
      <c r="J1376" s="5" t="s">
        <v>1746</v>
      </c>
      <c r="K1376" s="5">
        <v>1.0</v>
      </c>
      <c r="L1376" s="5">
        <v>15100.0</v>
      </c>
      <c r="M1376" s="8"/>
      <c r="AK1376" s="9"/>
      <c r="AO1376" s="5" t="s">
        <v>4856</v>
      </c>
      <c r="AP1376" s="5">
        <v>2710.0</v>
      </c>
      <c r="AQ1376" s="5" t="s">
        <v>1716</v>
      </c>
      <c r="AR1376" s="5" t="s">
        <v>1717</v>
      </c>
      <c r="AS1376" s="5" t="s">
        <v>1740</v>
      </c>
      <c r="AT1376" s="5" t="s">
        <v>1741</v>
      </c>
      <c r="AU1376" s="5" t="s">
        <v>1742</v>
      </c>
      <c r="AV1376" s="5" t="s">
        <v>1720</v>
      </c>
      <c r="AW1376" s="5" t="s">
        <v>2698</v>
      </c>
      <c r="AX1376" s="5" t="s">
        <v>2827</v>
      </c>
      <c r="AY1376" s="5">
        <v>49.1157</v>
      </c>
      <c r="AZ1376" s="5">
        <v>-118.0775</v>
      </c>
      <c r="BA1376" s="5">
        <v>1500.0</v>
      </c>
    </row>
    <row r="1377" ht="14.25" customHeight="1">
      <c r="A1377" s="5" t="s">
        <v>422</v>
      </c>
      <c r="B1377" s="5">
        <v>12.0</v>
      </c>
      <c r="C1377" s="5" t="s">
        <v>7666</v>
      </c>
      <c r="D1377" s="5">
        <v>2750.0</v>
      </c>
      <c r="E1377" s="5">
        <v>13179.0</v>
      </c>
      <c r="G1377" s="5" t="s">
        <v>127</v>
      </c>
      <c r="H1377" s="5" t="s">
        <v>4857</v>
      </c>
      <c r="I1377" s="5" t="s">
        <v>49</v>
      </c>
      <c r="J1377" s="5" t="s">
        <v>1746</v>
      </c>
      <c r="K1377" s="5">
        <v>1.0</v>
      </c>
      <c r="L1377" s="5">
        <v>15101.0</v>
      </c>
      <c r="M1377" s="8"/>
      <c r="AK1377" s="9"/>
      <c r="AO1377" s="5" t="s">
        <v>4858</v>
      </c>
      <c r="AP1377" s="5">
        <v>2750.0</v>
      </c>
      <c r="AQ1377" s="5" t="s">
        <v>1716</v>
      </c>
      <c r="AR1377" s="5" t="s">
        <v>1717</v>
      </c>
      <c r="AS1377" s="5" t="s">
        <v>1740</v>
      </c>
      <c r="AT1377" s="5" t="s">
        <v>1741</v>
      </c>
      <c r="AU1377" s="5" t="s">
        <v>1742</v>
      </c>
      <c r="AV1377" s="5" t="s">
        <v>1720</v>
      </c>
      <c r="AW1377" s="5" t="s">
        <v>2698</v>
      </c>
      <c r="AX1377" s="5" t="s">
        <v>2797</v>
      </c>
      <c r="AY1377" s="5">
        <v>50.0527</v>
      </c>
      <c r="AZ1377" s="5">
        <v>-117.805</v>
      </c>
      <c r="BA1377" s="5">
        <v>1320.0</v>
      </c>
    </row>
    <row r="1378" ht="14.25" customHeight="1">
      <c r="A1378" s="5" t="s">
        <v>422</v>
      </c>
      <c r="B1378" s="5">
        <v>12.0</v>
      </c>
      <c r="C1378" s="5" t="s">
        <v>7666</v>
      </c>
      <c r="D1378" s="5">
        <v>2770.0</v>
      </c>
      <c r="E1378" s="5">
        <v>13180.0</v>
      </c>
      <c r="G1378" s="5" t="s">
        <v>127</v>
      </c>
      <c r="H1378" s="5" t="s">
        <v>4859</v>
      </c>
      <c r="I1378" s="5" t="s">
        <v>49</v>
      </c>
      <c r="J1378" s="5" t="s">
        <v>1746</v>
      </c>
      <c r="K1378" s="5">
        <v>1.0</v>
      </c>
      <c r="L1378" s="5">
        <v>15102.0</v>
      </c>
      <c r="M1378" s="8"/>
      <c r="AK1378" s="9"/>
      <c r="AO1378" s="5" t="s">
        <v>4860</v>
      </c>
      <c r="AP1378" s="5">
        <v>2770.0</v>
      </c>
      <c r="AQ1378" s="5" t="s">
        <v>1716</v>
      </c>
      <c r="AR1378" s="5" t="s">
        <v>1717</v>
      </c>
      <c r="AS1378" s="5" t="s">
        <v>1740</v>
      </c>
      <c r="AT1378" s="5" t="s">
        <v>1741</v>
      </c>
      <c r="AU1378" s="5" t="s">
        <v>1742</v>
      </c>
      <c r="AV1378" s="5" t="s">
        <v>1720</v>
      </c>
      <c r="AW1378" s="5" t="s">
        <v>2003</v>
      </c>
      <c r="AX1378" s="5" t="s">
        <v>2004</v>
      </c>
      <c r="AY1378" s="5">
        <v>57.3333</v>
      </c>
      <c r="AZ1378" s="5">
        <v>-122.0167</v>
      </c>
      <c r="BA1378" s="5">
        <v>1000.0</v>
      </c>
    </row>
    <row r="1379" ht="14.25" customHeight="1">
      <c r="A1379" s="5" t="s">
        <v>422</v>
      </c>
      <c r="B1379" s="5">
        <v>12.0</v>
      </c>
      <c r="C1379" s="5" t="s">
        <v>7666</v>
      </c>
      <c r="D1379" s="5">
        <v>2810.0</v>
      </c>
      <c r="E1379" s="5">
        <v>13181.0</v>
      </c>
      <c r="G1379" s="5" t="s">
        <v>127</v>
      </c>
      <c r="H1379" s="5" t="s">
        <v>4861</v>
      </c>
      <c r="I1379" s="5" t="s">
        <v>49</v>
      </c>
      <c r="J1379" s="5" t="s">
        <v>1746</v>
      </c>
      <c r="K1379" s="5">
        <v>1.0</v>
      </c>
      <c r="L1379" s="5">
        <v>15103.0</v>
      </c>
      <c r="M1379" s="8"/>
      <c r="AK1379" s="9"/>
      <c r="AO1379" s="5" t="s">
        <v>4862</v>
      </c>
      <c r="AP1379" s="5">
        <v>2810.0</v>
      </c>
      <c r="AQ1379" s="5" t="s">
        <v>1716</v>
      </c>
      <c r="AR1379" s="5" t="s">
        <v>1717</v>
      </c>
      <c r="AS1379" s="5" t="s">
        <v>1740</v>
      </c>
      <c r="AT1379" s="5" t="s">
        <v>1741</v>
      </c>
      <c r="AU1379" s="5" t="s">
        <v>1742</v>
      </c>
      <c r="AV1379" s="5" t="s">
        <v>1720</v>
      </c>
      <c r="AW1379" s="5" t="s">
        <v>2003</v>
      </c>
      <c r="AX1379" s="5" t="s">
        <v>2087</v>
      </c>
      <c r="AY1379" s="5">
        <v>56.1063</v>
      </c>
      <c r="AZ1379" s="5">
        <v>-124.4888</v>
      </c>
      <c r="BA1379" s="5">
        <v>750.0</v>
      </c>
    </row>
    <row r="1380" ht="14.25" customHeight="1">
      <c r="A1380" s="5" t="s">
        <v>422</v>
      </c>
      <c r="B1380" s="5">
        <v>12.0</v>
      </c>
      <c r="C1380" s="5" t="s">
        <v>7666</v>
      </c>
      <c r="D1380" s="5">
        <v>2850.0</v>
      </c>
      <c r="E1380" s="5">
        <v>13194.0</v>
      </c>
      <c r="G1380" s="5" t="s">
        <v>127</v>
      </c>
      <c r="H1380" s="5" t="s">
        <v>4863</v>
      </c>
      <c r="I1380" s="5" t="s">
        <v>49</v>
      </c>
      <c r="J1380" s="5" t="s">
        <v>1746</v>
      </c>
      <c r="K1380" s="5">
        <v>1.0</v>
      </c>
      <c r="L1380" s="5">
        <v>15110.0</v>
      </c>
      <c r="M1380" s="8"/>
      <c r="AK1380" s="9"/>
      <c r="AO1380" s="5" t="s">
        <v>4864</v>
      </c>
      <c r="AP1380" s="5">
        <v>2850.0</v>
      </c>
      <c r="AQ1380" s="5" t="s">
        <v>1716</v>
      </c>
      <c r="AR1380" s="5" t="s">
        <v>1717</v>
      </c>
      <c r="AS1380" s="5" t="s">
        <v>1740</v>
      </c>
      <c r="AT1380" s="5" t="s">
        <v>1741</v>
      </c>
      <c r="AU1380" s="5" t="s">
        <v>1742</v>
      </c>
      <c r="AV1380" s="5" t="s">
        <v>1720</v>
      </c>
      <c r="AW1380" s="5" t="s">
        <v>2003</v>
      </c>
      <c r="AX1380" s="5" t="s">
        <v>2099</v>
      </c>
      <c r="AY1380" s="5">
        <v>55.7472</v>
      </c>
      <c r="AZ1380" s="5">
        <v>-125.5661</v>
      </c>
      <c r="BA1380" s="5">
        <v>963.0</v>
      </c>
    </row>
    <row r="1381" ht="14.25" customHeight="1">
      <c r="A1381" s="5" t="s">
        <v>422</v>
      </c>
      <c r="B1381" s="5">
        <v>12.0</v>
      </c>
      <c r="C1381" s="5" t="s">
        <v>7666</v>
      </c>
      <c r="D1381" s="5">
        <v>2871.0</v>
      </c>
      <c r="E1381" s="5">
        <v>13195.0</v>
      </c>
      <c r="G1381" s="5" t="s">
        <v>127</v>
      </c>
      <c r="H1381" s="5" t="s">
        <v>4865</v>
      </c>
      <c r="I1381" s="5" t="s">
        <v>49</v>
      </c>
      <c r="J1381" s="5" t="s">
        <v>1746</v>
      </c>
      <c r="K1381" s="5">
        <v>1.0</v>
      </c>
      <c r="L1381" s="5">
        <v>15111.0</v>
      </c>
      <c r="M1381" s="8"/>
      <c r="AK1381" s="9"/>
      <c r="AO1381" s="5" t="s">
        <v>4866</v>
      </c>
      <c r="AP1381" s="5">
        <v>2871.0</v>
      </c>
      <c r="AQ1381" s="5" t="s">
        <v>1716</v>
      </c>
      <c r="AR1381" s="5" t="s">
        <v>1717</v>
      </c>
      <c r="AS1381" s="5" t="s">
        <v>1740</v>
      </c>
      <c r="AT1381" s="5" t="s">
        <v>1741</v>
      </c>
      <c r="AU1381" s="5" t="s">
        <v>1742</v>
      </c>
      <c r="AV1381" s="5" t="s">
        <v>1720</v>
      </c>
      <c r="AW1381" s="5" t="s">
        <v>2193</v>
      </c>
      <c r="AY1381" s="5">
        <v>53.2381</v>
      </c>
      <c r="AZ1381" s="5">
        <v>-123.535</v>
      </c>
      <c r="BA1381" s="5">
        <v>840.0</v>
      </c>
    </row>
    <row r="1382" ht="14.25" customHeight="1">
      <c r="A1382" s="5" t="s">
        <v>422</v>
      </c>
      <c r="B1382" s="5">
        <v>12.0</v>
      </c>
      <c r="C1382" s="5" t="s">
        <v>7666</v>
      </c>
      <c r="D1382" s="5">
        <v>2890.0</v>
      </c>
      <c r="E1382" s="5">
        <v>13196.0</v>
      </c>
      <c r="G1382" s="5" t="s">
        <v>127</v>
      </c>
      <c r="H1382" s="5" t="s">
        <v>4867</v>
      </c>
      <c r="I1382" s="5" t="s">
        <v>49</v>
      </c>
      <c r="J1382" s="5" t="s">
        <v>1746</v>
      </c>
      <c r="K1382" s="5">
        <v>1.0</v>
      </c>
      <c r="L1382" s="5">
        <v>15112.0</v>
      </c>
      <c r="M1382" s="8"/>
      <c r="AK1382" s="9"/>
      <c r="AO1382" s="5" t="s">
        <v>4868</v>
      </c>
      <c r="AP1382" s="5">
        <v>2890.0</v>
      </c>
      <c r="AQ1382" s="5" t="s">
        <v>1716</v>
      </c>
      <c r="AR1382" s="5" t="s">
        <v>1717</v>
      </c>
      <c r="AS1382" s="5" t="s">
        <v>1740</v>
      </c>
      <c r="AT1382" s="5" t="s">
        <v>1741</v>
      </c>
      <c r="AU1382" s="5" t="s">
        <v>1742</v>
      </c>
      <c r="AV1382" s="5" t="s">
        <v>1720</v>
      </c>
      <c r="AW1382" s="5" t="s">
        <v>2368</v>
      </c>
      <c r="AX1382" s="5" t="s">
        <v>2505</v>
      </c>
      <c r="AY1382" s="5">
        <v>50.6495</v>
      </c>
      <c r="AZ1382" s="5">
        <v>-122.4195</v>
      </c>
      <c r="BA1382" s="5">
        <v>532.0</v>
      </c>
    </row>
    <row r="1383" ht="14.25" customHeight="1">
      <c r="A1383" s="5" t="s">
        <v>422</v>
      </c>
      <c r="B1383" s="5">
        <v>12.0</v>
      </c>
      <c r="C1383" s="5" t="s">
        <v>7666</v>
      </c>
      <c r="D1383" s="5">
        <v>2910.0</v>
      </c>
      <c r="E1383" s="5">
        <v>13197.0</v>
      </c>
      <c r="G1383" s="5" t="s">
        <v>127</v>
      </c>
      <c r="H1383" s="5" t="s">
        <v>4869</v>
      </c>
      <c r="I1383" s="5" t="s">
        <v>49</v>
      </c>
      <c r="J1383" s="5" t="s">
        <v>1746</v>
      </c>
      <c r="K1383" s="5">
        <v>1.0</v>
      </c>
      <c r="L1383" s="5">
        <v>15113.0</v>
      </c>
      <c r="M1383" s="8"/>
      <c r="AK1383" s="9"/>
      <c r="AO1383" s="5" t="s">
        <v>4870</v>
      </c>
      <c r="AP1383" s="5">
        <v>2910.0</v>
      </c>
      <c r="AQ1383" s="5" t="s">
        <v>1716</v>
      </c>
      <c r="AR1383" s="5" t="s">
        <v>1717</v>
      </c>
      <c r="AS1383" s="5" t="s">
        <v>1740</v>
      </c>
      <c r="AT1383" s="5" t="s">
        <v>1741</v>
      </c>
      <c r="AU1383" s="5" t="s">
        <v>1742</v>
      </c>
      <c r="AV1383" s="5" t="s">
        <v>1720</v>
      </c>
      <c r="AW1383" s="5" t="s">
        <v>2368</v>
      </c>
      <c r="AX1383" s="5" t="s">
        <v>2369</v>
      </c>
      <c r="AY1383" s="5">
        <v>51.0</v>
      </c>
      <c r="AZ1383" s="5">
        <v>-119.8167</v>
      </c>
      <c r="BA1383" s="5">
        <v>1541.0</v>
      </c>
    </row>
    <row r="1384" ht="14.25" customHeight="1">
      <c r="A1384" s="5" t="s">
        <v>422</v>
      </c>
      <c r="B1384" s="5">
        <v>12.0</v>
      </c>
      <c r="C1384" s="5" t="s">
        <v>7666</v>
      </c>
      <c r="D1384" s="5">
        <v>2930.0</v>
      </c>
      <c r="E1384" s="5">
        <v>13199.0</v>
      </c>
      <c r="G1384" s="5" t="s">
        <v>127</v>
      </c>
      <c r="H1384" s="5" t="s">
        <v>4871</v>
      </c>
      <c r="I1384" s="5" t="s">
        <v>49</v>
      </c>
      <c r="J1384" s="5" t="s">
        <v>1746</v>
      </c>
      <c r="K1384" s="5">
        <v>1.0</v>
      </c>
      <c r="L1384" s="5">
        <v>15115.0</v>
      </c>
      <c r="M1384" s="8"/>
      <c r="AK1384" s="9"/>
      <c r="AO1384" s="5" t="s">
        <v>4872</v>
      </c>
      <c r="AP1384" s="5">
        <v>2930.0</v>
      </c>
      <c r="AQ1384" s="5" t="s">
        <v>1716</v>
      </c>
      <c r="AR1384" s="5" t="s">
        <v>1717</v>
      </c>
      <c r="AS1384" s="5" t="s">
        <v>1740</v>
      </c>
      <c r="AT1384" s="5" t="s">
        <v>1741</v>
      </c>
      <c r="AU1384" s="5" t="s">
        <v>1742</v>
      </c>
      <c r="AV1384" s="5" t="s">
        <v>1720</v>
      </c>
      <c r="AW1384" s="5" t="s">
        <v>2368</v>
      </c>
      <c r="AX1384" s="5" t="s">
        <v>2522</v>
      </c>
      <c r="AY1384" s="5">
        <v>50.1667</v>
      </c>
      <c r="AZ1384" s="5">
        <v>-118.4167</v>
      </c>
      <c r="BA1384" s="5">
        <v>971.0</v>
      </c>
    </row>
    <row r="1385" ht="14.25" customHeight="1">
      <c r="A1385" s="5" t="s">
        <v>422</v>
      </c>
      <c r="B1385" s="5">
        <v>12.0</v>
      </c>
      <c r="C1385" s="5" t="s">
        <v>7666</v>
      </c>
      <c r="D1385" s="5">
        <v>2950.0</v>
      </c>
      <c r="E1385" s="5">
        <v>13198.0</v>
      </c>
      <c r="G1385" s="5" t="s">
        <v>127</v>
      </c>
      <c r="H1385" s="5" t="s">
        <v>4873</v>
      </c>
      <c r="I1385" s="5" t="s">
        <v>49</v>
      </c>
      <c r="J1385" s="5" t="s">
        <v>1746</v>
      </c>
      <c r="K1385" s="5">
        <v>1.0</v>
      </c>
      <c r="L1385" s="5">
        <v>15114.0</v>
      </c>
      <c r="M1385" s="8"/>
      <c r="AK1385" s="9"/>
      <c r="AO1385" s="5" t="s">
        <v>4874</v>
      </c>
      <c r="AP1385" s="5">
        <v>2950.0</v>
      </c>
      <c r="AQ1385" s="5" t="s">
        <v>1716</v>
      </c>
      <c r="AR1385" s="5" t="s">
        <v>1717</v>
      </c>
      <c r="AS1385" s="5" t="s">
        <v>1740</v>
      </c>
      <c r="AT1385" s="5" t="s">
        <v>1835</v>
      </c>
      <c r="AU1385" s="5" t="s">
        <v>1742</v>
      </c>
      <c r="AV1385" s="5" t="s">
        <v>1720</v>
      </c>
      <c r="AW1385" s="5" t="s">
        <v>2368</v>
      </c>
      <c r="AX1385" s="5" t="s">
        <v>2369</v>
      </c>
      <c r="AY1385" s="5">
        <v>50.4386</v>
      </c>
      <c r="AZ1385" s="5">
        <v>-120.3661</v>
      </c>
      <c r="BA1385" s="5">
        <v>1170.0</v>
      </c>
    </row>
    <row r="1386" ht="14.25" customHeight="1">
      <c r="A1386" s="5" t="s">
        <v>422</v>
      </c>
      <c r="B1386" s="5">
        <v>12.0</v>
      </c>
      <c r="C1386" s="5" t="s">
        <v>7666</v>
      </c>
      <c r="D1386" s="5">
        <v>2970.0</v>
      </c>
      <c r="E1386" s="5">
        <v>13201.0</v>
      </c>
      <c r="G1386" s="5" t="s">
        <v>127</v>
      </c>
      <c r="H1386" s="5" t="s">
        <v>4875</v>
      </c>
      <c r="I1386" s="5" t="s">
        <v>49</v>
      </c>
      <c r="J1386" s="5" t="s">
        <v>1746</v>
      </c>
      <c r="K1386" s="5">
        <v>1.0</v>
      </c>
      <c r="L1386" s="5">
        <v>15117.0</v>
      </c>
      <c r="M1386" s="8"/>
      <c r="AK1386" s="9"/>
      <c r="AO1386" s="5" t="s">
        <v>4876</v>
      </c>
      <c r="AP1386" s="5">
        <v>2970.0</v>
      </c>
      <c r="AQ1386" s="5" t="s">
        <v>1716</v>
      </c>
      <c r="AR1386" s="5" t="s">
        <v>1717</v>
      </c>
      <c r="AS1386" s="5" t="s">
        <v>1740</v>
      </c>
      <c r="AT1386" s="5" t="s">
        <v>1741</v>
      </c>
      <c r="AU1386" s="5" t="s">
        <v>1742</v>
      </c>
      <c r="AV1386" s="5" t="s">
        <v>1720</v>
      </c>
      <c r="AW1386" s="5" t="s">
        <v>2368</v>
      </c>
      <c r="AX1386" s="5" t="s">
        <v>2516</v>
      </c>
      <c r="AY1386" s="5">
        <v>49.95</v>
      </c>
      <c r="AZ1386" s="5">
        <v>-119.55</v>
      </c>
      <c r="BA1386" s="5">
        <v>738.0</v>
      </c>
    </row>
    <row r="1387" ht="14.25" customHeight="1">
      <c r="A1387" s="5" t="s">
        <v>422</v>
      </c>
      <c r="B1387" s="5">
        <v>12.0</v>
      </c>
      <c r="C1387" s="5" t="s">
        <v>7666</v>
      </c>
      <c r="D1387" s="5">
        <v>2990.0</v>
      </c>
      <c r="E1387" s="5">
        <v>13200.0</v>
      </c>
      <c r="G1387" s="5" t="s">
        <v>127</v>
      </c>
      <c r="H1387" s="5" t="s">
        <v>4877</v>
      </c>
      <c r="I1387" s="5" t="s">
        <v>49</v>
      </c>
      <c r="J1387" s="5" t="s">
        <v>1746</v>
      </c>
      <c r="K1387" s="5">
        <v>1.0</v>
      </c>
      <c r="L1387" s="5">
        <v>15116.0</v>
      </c>
      <c r="M1387" s="8"/>
      <c r="AK1387" s="9"/>
      <c r="AO1387" s="27" t="s">
        <v>4878</v>
      </c>
      <c r="AP1387" s="5">
        <v>2990.0</v>
      </c>
      <c r="AQ1387" s="5" t="s">
        <v>1716</v>
      </c>
      <c r="AR1387" s="5" t="s">
        <v>1717</v>
      </c>
      <c r="AS1387" s="5" t="s">
        <v>1740</v>
      </c>
      <c r="AT1387" s="5" t="s">
        <v>1835</v>
      </c>
      <c r="AU1387" s="5" t="s">
        <v>1742</v>
      </c>
      <c r="AV1387" s="5" t="s">
        <v>1720</v>
      </c>
      <c r="AW1387" s="5" t="s">
        <v>2368</v>
      </c>
      <c r="AX1387" s="5" t="s">
        <v>2505</v>
      </c>
      <c r="AY1387" s="5">
        <v>50.8798</v>
      </c>
      <c r="AZ1387" s="5">
        <v>-122.2195</v>
      </c>
      <c r="BA1387" s="5">
        <v>860.0</v>
      </c>
    </row>
    <row r="1388" ht="14.25" customHeight="1">
      <c r="A1388" s="5" t="s">
        <v>422</v>
      </c>
      <c r="B1388" s="5">
        <v>12.0</v>
      </c>
      <c r="C1388" s="5" t="s">
        <v>7666</v>
      </c>
      <c r="D1388" s="5">
        <v>3010.0</v>
      </c>
      <c r="E1388" s="5">
        <v>13202.0</v>
      </c>
      <c r="G1388" s="5" t="s">
        <v>127</v>
      </c>
      <c r="H1388" s="5" t="s">
        <v>4879</v>
      </c>
      <c r="I1388" s="5" t="s">
        <v>49</v>
      </c>
      <c r="J1388" s="5" t="s">
        <v>1746</v>
      </c>
      <c r="K1388" s="5">
        <v>1.0</v>
      </c>
      <c r="L1388" s="5">
        <v>15118.0</v>
      </c>
      <c r="M1388" s="8"/>
      <c r="AK1388" s="9"/>
      <c r="AO1388" s="5" t="s">
        <v>4880</v>
      </c>
      <c r="AP1388" s="5">
        <v>3010.0</v>
      </c>
      <c r="AQ1388" s="5" t="s">
        <v>1716</v>
      </c>
      <c r="AR1388" s="5" t="s">
        <v>1717</v>
      </c>
      <c r="AS1388" s="5" t="s">
        <v>1740</v>
      </c>
      <c r="AT1388" s="5" t="s">
        <v>1741</v>
      </c>
      <c r="AU1388" s="5" t="s">
        <v>1742</v>
      </c>
      <c r="AV1388" s="5" t="s">
        <v>1720</v>
      </c>
      <c r="AW1388" s="5" t="s">
        <v>2368</v>
      </c>
      <c r="AX1388" s="5" t="s">
        <v>2522</v>
      </c>
      <c r="AY1388" s="5">
        <v>49.8686</v>
      </c>
      <c r="AZ1388" s="5">
        <v>-119.6738</v>
      </c>
      <c r="BA1388" s="5">
        <v>750.0</v>
      </c>
    </row>
    <row r="1389" ht="14.25" customHeight="1">
      <c r="A1389" s="5" t="s">
        <v>422</v>
      </c>
      <c r="B1389" s="5">
        <v>12.0</v>
      </c>
      <c r="C1389" s="5" t="s">
        <v>7666</v>
      </c>
      <c r="D1389" s="5">
        <v>3030.0</v>
      </c>
      <c r="E1389" s="5">
        <v>13203.0</v>
      </c>
      <c r="G1389" s="5" t="s">
        <v>127</v>
      </c>
      <c r="H1389" s="5" t="s">
        <v>4881</v>
      </c>
      <c r="I1389" s="5" t="s">
        <v>49</v>
      </c>
      <c r="J1389" s="5" t="s">
        <v>1746</v>
      </c>
      <c r="K1389" s="5">
        <v>1.0</v>
      </c>
      <c r="L1389" s="5">
        <v>15119.0</v>
      </c>
      <c r="M1389" s="8"/>
      <c r="AK1389" s="9"/>
      <c r="AO1389" s="5" t="s">
        <v>4882</v>
      </c>
      <c r="AP1389" s="5">
        <v>3030.0</v>
      </c>
      <c r="AQ1389" s="5" t="s">
        <v>1716</v>
      </c>
      <c r="AR1389" s="5" t="s">
        <v>1717</v>
      </c>
      <c r="AS1389" s="5" t="s">
        <v>1740</v>
      </c>
      <c r="AT1389" s="5" t="s">
        <v>1835</v>
      </c>
      <c r="AU1389" s="5" t="s">
        <v>1742</v>
      </c>
      <c r="AV1389" s="5" t="s">
        <v>1720</v>
      </c>
      <c r="AW1389" s="5" t="s">
        <v>2368</v>
      </c>
      <c r="AX1389" s="5" t="s">
        <v>2522</v>
      </c>
      <c r="AY1389" s="5">
        <v>51.0019</v>
      </c>
      <c r="AZ1389" s="5">
        <v>-119.3403</v>
      </c>
      <c r="BA1389" s="5">
        <v>1000.0</v>
      </c>
    </row>
    <row r="1390" ht="14.25" customHeight="1">
      <c r="A1390" s="5" t="s">
        <v>422</v>
      </c>
      <c r="B1390" s="5">
        <v>12.0</v>
      </c>
      <c r="C1390" s="5" t="s">
        <v>7666</v>
      </c>
      <c r="D1390" s="5">
        <v>3050.0</v>
      </c>
      <c r="E1390" s="5">
        <v>13204.0</v>
      </c>
      <c r="G1390" s="5" t="s">
        <v>127</v>
      </c>
      <c r="H1390" s="5" t="s">
        <v>4883</v>
      </c>
      <c r="I1390" s="5" t="s">
        <v>49</v>
      </c>
      <c r="J1390" s="5" t="s">
        <v>1746</v>
      </c>
      <c r="K1390" s="5">
        <v>1.0</v>
      </c>
      <c r="L1390" s="5">
        <v>15120.0</v>
      </c>
      <c r="M1390" s="8"/>
      <c r="AK1390" s="9"/>
      <c r="AO1390" s="5" t="s">
        <v>4884</v>
      </c>
      <c r="AP1390" s="5">
        <v>3050.0</v>
      </c>
      <c r="AQ1390" s="5" t="s">
        <v>1716</v>
      </c>
      <c r="AR1390" s="5" t="s">
        <v>1717</v>
      </c>
      <c r="AS1390" s="5" t="s">
        <v>1740</v>
      </c>
      <c r="AT1390" s="5" t="s">
        <v>1741</v>
      </c>
      <c r="AU1390" s="5" t="s">
        <v>1742</v>
      </c>
      <c r="AV1390" s="5" t="s">
        <v>1720</v>
      </c>
      <c r="AW1390" s="5" t="s">
        <v>2698</v>
      </c>
      <c r="AY1390" s="5">
        <v>49.0333</v>
      </c>
      <c r="AZ1390" s="5">
        <v>-115.0333</v>
      </c>
      <c r="BA1390" s="5">
        <v>1103.0</v>
      </c>
    </row>
    <row r="1391" ht="14.25" customHeight="1">
      <c r="A1391" s="5" t="s">
        <v>422</v>
      </c>
      <c r="B1391" s="5">
        <v>12.0</v>
      </c>
      <c r="C1391" s="5" t="s">
        <v>7666</v>
      </c>
      <c r="D1391" s="5">
        <v>3090.0</v>
      </c>
      <c r="E1391" s="5">
        <v>13205.0</v>
      </c>
      <c r="G1391" s="5" t="s">
        <v>127</v>
      </c>
      <c r="H1391" s="5" t="s">
        <v>4885</v>
      </c>
      <c r="I1391" s="5" t="s">
        <v>49</v>
      </c>
      <c r="J1391" s="5" t="s">
        <v>4886</v>
      </c>
      <c r="K1391" s="5">
        <v>1.0</v>
      </c>
      <c r="L1391" s="5">
        <v>15121.0</v>
      </c>
      <c r="M1391" s="8"/>
      <c r="AK1391" s="9"/>
      <c r="AO1391" s="5" t="s">
        <v>4887</v>
      </c>
      <c r="AP1391" s="5">
        <v>3090.0</v>
      </c>
      <c r="AQ1391" s="5" t="s">
        <v>1716</v>
      </c>
      <c r="AR1391" s="5" t="s">
        <v>1717</v>
      </c>
      <c r="AS1391" s="5" t="s">
        <v>1740</v>
      </c>
      <c r="AT1391" s="5" t="s">
        <v>1741</v>
      </c>
      <c r="AU1391" s="5" t="s">
        <v>1742</v>
      </c>
      <c r="AV1391" s="5" t="s">
        <v>1720</v>
      </c>
      <c r="AW1391" s="5" t="s">
        <v>2368</v>
      </c>
      <c r="AX1391" s="5" t="s">
        <v>2369</v>
      </c>
      <c r="AY1391" s="5">
        <v>50.9619</v>
      </c>
      <c r="AZ1391" s="5">
        <v>-119.6879</v>
      </c>
      <c r="BA1391" s="5">
        <v>449.0</v>
      </c>
    </row>
    <row r="1392" ht="14.25" customHeight="1">
      <c r="A1392" s="5" t="s">
        <v>1908</v>
      </c>
      <c r="B1392" s="5">
        <v>12.0</v>
      </c>
      <c r="C1392" s="5" t="s">
        <v>7666</v>
      </c>
      <c r="D1392" s="5">
        <v>3110.0</v>
      </c>
      <c r="E1392" s="5">
        <v>13209.0</v>
      </c>
      <c r="F1392" s="12" t="s">
        <v>4888</v>
      </c>
      <c r="G1392" s="10" t="s">
        <v>4889</v>
      </c>
      <c r="H1392" s="5" t="s">
        <v>4890</v>
      </c>
      <c r="I1392" s="5" t="s">
        <v>49</v>
      </c>
      <c r="J1392" s="5" t="s">
        <v>1746</v>
      </c>
      <c r="K1392" s="5">
        <v>1.0</v>
      </c>
      <c r="L1392" s="5">
        <v>15125.0</v>
      </c>
      <c r="M1392" s="8">
        <v>49.8167</v>
      </c>
      <c r="N1392" s="11">
        <v>-114.8667</v>
      </c>
      <c r="O1392" s="11" t="s">
        <v>142</v>
      </c>
      <c r="P1392" s="11">
        <v>3110.0</v>
      </c>
      <c r="Q1392" s="22">
        <v>4.0</v>
      </c>
      <c r="R1392" s="11" t="s">
        <v>4891</v>
      </c>
      <c r="S1392" s="11" t="s">
        <v>1737</v>
      </c>
      <c r="T1392" s="11">
        <v>1208.0</v>
      </c>
      <c r="U1392" s="11"/>
      <c r="V1392" s="11"/>
      <c r="W1392" s="23">
        <v>45213.0</v>
      </c>
      <c r="X1392" s="11" t="s">
        <v>1738</v>
      </c>
      <c r="AK1392" s="9"/>
      <c r="AO1392" s="5" t="s">
        <v>4891</v>
      </c>
      <c r="AP1392" s="5">
        <v>3110.0</v>
      </c>
      <c r="AQ1392" s="5" t="s">
        <v>1716</v>
      </c>
      <c r="AR1392" s="5" t="s">
        <v>1739</v>
      </c>
      <c r="AS1392" s="5" t="s">
        <v>1740</v>
      </c>
      <c r="AT1392" s="5" t="s">
        <v>1741</v>
      </c>
      <c r="AU1392" s="5" t="s">
        <v>1742</v>
      </c>
      <c r="AV1392" s="5" t="s">
        <v>1720</v>
      </c>
      <c r="AW1392" s="5" t="s">
        <v>2698</v>
      </c>
      <c r="AX1392" s="5" t="s">
        <v>2902</v>
      </c>
      <c r="AY1392" s="5">
        <v>49.833</v>
      </c>
      <c r="AZ1392" s="5">
        <v>-114.8829</v>
      </c>
      <c r="BA1392" s="5">
        <v>1208.0</v>
      </c>
    </row>
    <row r="1393" ht="14.25" customHeight="1">
      <c r="A1393" s="5" t="s">
        <v>422</v>
      </c>
      <c r="B1393" s="5">
        <v>12.0</v>
      </c>
      <c r="C1393" s="5" t="s">
        <v>7666</v>
      </c>
      <c r="D1393" s="5">
        <v>3130.0</v>
      </c>
      <c r="E1393" s="5">
        <v>13206.0</v>
      </c>
      <c r="G1393" s="5" t="s">
        <v>127</v>
      </c>
      <c r="H1393" s="5" t="s">
        <v>4892</v>
      </c>
      <c r="I1393" s="5" t="s">
        <v>49</v>
      </c>
      <c r="J1393" s="5" t="s">
        <v>1746</v>
      </c>
      <c r="K1393" s="5">
        <v>1.0</v>
      </c>
      <c r="L1393" s="5">
        <v>15122.0</v>
      </c>
      <c r="M1393" s="8"/>
      <c r="AK1393" s="9"/>
      <c r="AO1393" s="27" t="s">
        <v>4893</v>
      </c>
      <c r="AP1393" s="5">
        <v>3130.0</v>
      </c>
      <c r="AQ1393" s="5" t="s">
        <v>1716</v>
      </c>
      <c r="AR1393" s="5" t="s">
        <v>1717</v>
      </c>
      <c r="AS1393" s="5" t="s">
        <v>1740</v>
      </c>
      <c r="AT1393" s="5" t="s">
        <v>1741</v>
      </c>
      <c r="AU1393" s="5" t="s">
        <v>1742</v>
      </c>
      <c r="AV1393" s="5" t="s">
        <v>1720</v>
      </c>
      <c r="AW1393" s="5" t="s">
        <v>2698</v>
      </c>
      <c r="AX1393" s="5" t="s">
        <v>2801</v>
      </c>
      <c r="AY1393" s="5">
        <v>50.5341</v>
      </c>
      <c r="AZ1393" s="5">
        <v>-117.0077</v>
      </c>
      <c r="BA1393" s="5">
        <v>698.0</v>
      </c>
    </row>
    <row r="1394" ht="14.25" customHeight="1">
      <c r="A1394" s="5" t="s">
        <v>1908</v>
      </c>
      <c r="B1394" s="5">
        <v>12.0</v>
      </c>
      <c r="C1394" s="5" t="s">
        <v>7666</v>
      </c>
      <c r="D1394" s="5">
        <v>3190.0</v>
      </c>
      <c r="E1394" s="5">
        <v>13207.0</v>
      </c>
      <c r="F1394" s="12" t="s">
        <v>4894</v>
      </c>
      <c r="G1394" s="10" t="s">
        <v>4895</v>
      </c>
      <c r="H1394" s="5" t="s">
        <v>4896</v>
      </c>
      <c r="I1394" s="5" t="s">
        <v>49</v>
      </c>
      <c r="J1394" s="5" t="s">
        <v>1746</v>
      </c>
      <c r="K1394" s="5">
        <v>1.0</v>
      </c>
      <c r="L1394" s="5">
        <v>15123.0</v>
      </c>
      <c r="M1394" s="8">
        <v>52.50739167</v>
      </c>
      <c r="N1394" s="11">
        <v>-118.5202833</v>
      </c>
      <c r="O1394" s="11" t="s">
        <v>170</v>
      </c>
      <c r="P1394" s="11">
        <v>3190.0</v>
      </c>
      <c r="Q1394" s="22">
        <v>2.0</v>
      </c>
      <c r="R1394" s="11" t="s">
        <v>4897</v>
      </c>
      <c r="S1394" s="11" t="s">
        <v>1737</v>
      </c>
      <c r="T1394" s="11">
        <v>1123.0</v>
      </c>
      <c r="U1394" s="11"/>
      <c r="V1394" s="11"/>
      <c r="W1394" s="23">
        <v>45214.0</v>
      </c>
      <c r="X1394" s="11" t="s">
        <v>1738</v>
      </c>
      <c r="AK1394" s="9"/>
      <c r="AO1394" s="27" t="s">
        <v>4897</v>
      </c>
      <c r="AP1394" s="5">
        <v>3190.0</v>
      </c>
      <c r="AQ1394" s="5" t="s">
        <v>1716</v>
      </c>
      <c r="AR1394" s="5" t="s">
        <v>1739</v>
      </c>
      <c r="AS1394" s="5" t="s">
        <v>1740</v>
      </c>
      <c r="AT1394" s="5" t="s">
        <v>1741</v>
      </c>
      <c r="AU1394" s="5" t="s">
        <v>1742</v>
      </c>
      <c r="AV1394" s="5" t="s">
        <v>1720</v>
      </c>
      <c r="AW1394" s="5" t="s">
        <v>2003</v>
      </c>
      <c r="AX1394" s="5" t="s">
        <v>2258</v>
      </c>
      <c r="AY1394" s="5">
        <v>52.8643</v>
      </c>
      <c r="AZ1394" s="5">
        <v>-118.5203</v>
      </c>
      <c r="BA1394" s="5">
        <v>1123.0</v>
      </c>
    </row>
    <row r="1395" ht="14.25" customHeight="1">
      <c r="A1395" s="5" t="s">
        <v>1908</v>
      </c>
      <c r="B1395" s="5">
        <v>12.0</v>
      </c>
      <c r="C1395" s="5" t="s">
        <v>7666</v>
      </c>
      <c r="D1395" s="5">
        <v>3191.0</v>
      </c>
      <c r="E1395" s="5">
        <v>13208.0</v>
      </c>
      <c r="F1395" s="12" t="s">
        <v>4898</v>
      </c>
      <c r="G1395" s="10" t="s">
        <v>4899</v>
      </c>
      <c r="H1395" s="5" t="s">
        <v>4896</v>
      </c>
      <c r="I1395" s="5" t="s">
        <v>49</v>
      </c>
      <c r="J1395" s="5" t="s">
        <v>1746</v>
      </c>
      <c r="K1395" s="5">
        <v>1.0</v>
      </c>
      <c r="L1395" s="5">
        <v>15124.0</v>
      </c>
      <c r="M1395" s="8">
        <v>52.5073917</v>
      </c>
      <c r="N1395" s="11">
        <v>-118.774265</v>
      </c>
      <c r="O1395" s="11" t="s">
        <v>170</v>
      </c>
      <c r="P1395" s="11">
        <v>3191.0</v>
      </c>
      <c r="Q1395" s="22">
        <v>2.0</v>
      </c>
      <c r="R1395" s="11" t="s">
        <v>4900</v>
      </c>
      <c r="S1395" s="11" t="s">
        <v>1737</v>
      </c>
      <c r="T1395" s="11">
        <v>957.0</v>
      </c>
      <c r="U1395" s="11"/>
      <c r="V1395" s="11"/>
      <c r="W1395" s="23">
        <v>45214.0</v>
      </c>
      <c r="X1395" s="11" t="s">
        <v>1738</v>
      </c>
      <c r="AK1395" s="9"/>
      <c r="AO1395" s="5" t="s">
        <v>4900</v>
      </c>
      <c r="AP1395" s="5">
        <v>3191.0</v>
      </c>
      <c r="AQ1395" s="5" t="s">
        <v>1716</v>
      </c>
      <c r="AR1395" s="5" t="s">
        <v>1739</v>
      </c>
      <c r="AS1395" s="5" t="s">
        <v>1740</v>
      </c>
      <c r="AT1395" s="5" t="s">
        <v>1741</v>
      </c>
      <c r="AU1395" s="5" t="s">
        <v>1742</v>
      </c>
      <c r="AV1395" s="5" t="s">
        <v>1720</v>
      </c>
      <c r="AW1395" s="5" t="s">
        <v>2003</v>
      </c>
      <c r="AX1395" s="5" t="s">
        <v>2258</v>
      </c>
      <c r="AY1395" s="5">
        <v>52.5074</v>
      </c>
      <c r="AZ1395" s="5">
        <v>-118.7743</v>
      </c>
      <c r="BA1395" s="5">
        <v>957.0</v>
      </c>
    </row>
    <row r="1396" ht="14.25" customHeight="1">
      <c r="A1396" s="5" t="s">
        <v>138</v>
      </c>
      <c r="B1396" s="5">
        <v>12.0</v>
      </c>
      <c r="C1396" s="12" t="s">
        <v>7677</v>
      </c>
      <c r="D1396" s="5">
        <v>3730.0</v>
      </c>
      <c r="E1396" s="10"/>
      <c r="F1396" s="12" t="s">
        <v>4902</v>
      </c>
      <c r="G1396" s="12" t="s">
        <v>4903</v>
      </c>
      <c r="M1396" s="8">
        <v>49.0251</v>
      </c>
      <c r="N1396" s="11">
        <v>-119.6909</v>
      </c>
      <c r="O1396" s="11" t="s">
        <v>142</v>
      </c>
      <c r="P1396" s="11">
        <v>3810.0</v>
      </c>
      <c r="Q1396" s="22">
        <v>1.0</v>
      </c>
      <c r="R1396" s="11" t="s">
        <v>4904</v>
      </c>
      <c r="S1396" s="11" t="s">
        <v>1737</v>
      </c>
      <c r="T1396" s="11">
        <v>416.0</v>
      </c>
      <c r="U1396" s="11"/>
      <c r="V1396" s="11"/>
      <c r="W1396" s="23">
        <v>45469.0</v>
      </c>
      <c r="X1396" s="11" t="s">
        <v>1738</v>
      </c>
      <c r="AK1396" s="9"/>
      <c r="AO1396" s="5" t="s">
        <v>4905</v>
      </c>
      <c r="AP1396" s="5">
        <v>3810.0</v>
      </c>
      <c r="AQ1396" s="5" t="s">
        <v>1700</v>
      </c>
      <c r="AR1396" s="5" t="s">
        <v>1739</v>
      </c>
      <c r="AS1396" s="5" t="s">
        <v>1740</v>
      </c>
      <c r="AT1396" s="5" t="s">
        <v>1741</v>
      </c>
      <c r="AU1396" s="5" t="s">
        <v>1742</v>
      </c>
      <c r="AV1396" s="5" t="s">
        <v>1720</v>
      </c>
      <c r="AW1396" s="5" t="s">
        <v>2368</v>
      </c>
      <c r="AX1396" s="5" t="s">
        <v>2516</v>
      </c>
      <c r="AY1396" s="5">
        <v>49.0251</v>
      </c>
      <c r="AZ1396" s="5">
        <v>-119.6909</v>
      </c>
      <c r="BA1396" s="5">
        <v>461.0</v>
      </c>
    </row>
    <row r="1397" ht="14.25" customHeight="1">
      <c r="A1397" s="5" t="s">
        <v>138</v>
      </c>
      <c r="B1397" s="5">
        <v>12.0</v>
      </c>
      <c r="C1397" s="12" t="s">
        <v>7677</v>
      </c>
      <c r="D1397" s="5">
        <v>3851.0</v>
      </c>
      <c r="E1397" s="10"/>
      <c r="F1397" s="12" t="s">
        <v>4906</v>
      </c>
      <c r="G1397" s="12" t="s">
        <v>4907</v>
      </c>
      <c r="M1397" s="8">
        <v>54.438</v>
      </c>
      <c r="N1397" s="11">
        <v>-128.5714</v>
      </c>
      <c r="O1397" s="11" t="s">
        <v>51</v>
      </c>
      <c r="P1397" s="11">
        <v>3851.0</v>
      </c>
      <c r="Q1397" s="22">
        <v>2.0</v>
      </c>
      <c r="R1397" s="11" t="s">
        <v>4908</v>
      </c>
      <c r="S1397" s="11" t="s">
        <v>1737</v>
      </c>
      <c r="T1397" s="11">
        <v>199.0</v>
      </c>
      <c r="U1397" s="11"/>
      <c r="V1397" s="11"/>
      <c r="W1397" s="23">
        <v>45484.0</v>
      </c>
      <c r="X1397" s="11" t="s">
        <v>1738</v>
      </c>
      <c r="AK1397" s="9"/>
      <c r="AO1397" s="5" t="s">
        <v>4908</v>
      </c>
      <c r="AP1397" s="5">
        <v>3851.0</v>
      </c>
      <c r="AQ1397" s="5" t="s">
        <v>1716</v>
      </c>
      <c r="AR1397" s="5" t="s">
        <v>1739</v>
      </c>
      <c r="AS1397" s="5" t="s">
        <v>1740</v>
      </c>
      <c r="AT1397" s="5" t="s">
        <v>1741</v>
      </c>
      <c r="AU1397" s="5" t="s">
        <v>1742</v>
      </c>
      <c r="AV1397" s="5" t="s">
        <v>1720</v>
      </c>
      <c r="AW1397" s="5" t="s">
        <v>1947</v>
      </c>
      <c r="AX1397" s="5" t="s">
        <v>1973</v>
      </c>
      <c r="AY1397" s="5">
        <v>54.438</v>
      </c>
      <c r="AZ1397" s="5">
        <v>-128.5714</v>
      </c>
      <c r="BA1397" s="5">
        <v>199.0</v>
      </c>
    </row>
    <row r="1398" ht="14.25" customHeight="1">
      <c r="A1398" s="5" t="s">
        <v>138</v>
      </c>
      <c r="B1398" s="5">
        <v>12.0</v>
      </c>
      <c r="C1398" s="12" t="s">
        <v>7677</v>
      </c>
      <c r="D1398" s="5">
        <v>3873.0</v>
      </c>
      <c r="E1398" s="10"/>
      <c r="F1398" s="12" t="s">
        <v>4909</v>
      </c>
      <c r="G1398" s="12" t="s">
        <v>4910</v>
      </c>
      <c r="M1398" s="8"/>
      <c r="AK1398" s="9"/>
      <c r="AO1398" s="5" t="s">
        <v>4911</v>
      </c>
      <c r="AP1398" s="5">
        <v>3873.0</v>
      </c>
      <c r="AQ1398" s="5" t="s">
        <v>1716</v>
      </c>
      <c r="AR1398" s="5" t="s">
        <v>1739</v>
      </c>
      <c r="AS1398" s="5" t="s">
        <v>1740</v>
      </c>
      <c r="AT1398" s="5" t="s">
        <v>1741</v>
      </c>
      <c r="AU1398" s="5" t="s">
        <v>1704</v>
      </c>
      <c r="AV1398" s="5" t="s">
        <v>1720</v>
      </c>
      <c r="AW1398" s="5" t="s">
        <v>2368</v>
      </c>
      <c r="AX1398" s="5" t="s">
        <v>2492</v>
      </c>
      <c r="AY1398" s="5">
        <v>49.3394</v>
      </c>
      <c r="AZ1398" s="5">
        <v>-120.4071</v>
      </c>
      <c r="BA1398" s="5">
        <v>1455.0</v>
      </c>
    </row>
    <row r="1399" ht="14.25" customHeight="1">
      <c r="A1399" s="5" t="s">
        <v>138</v>
      </c>
      <c r="B1399" s="5">
        <v>12.0</v>
      </c>
      <c r="C1399" s="12" t="s">
        <v>7677</v>
      </c>
      <c r="D1399" s="5">
        <v>3991.0</v>
      </c>
      <c r="E1399" s="10"/>
      <c r="F1399" s="12" t="s">
        <v>4912</v>
      </c>
      <c r="G1399" s="12" t="s">
        <v>4913</v>
      </c>
      <c r="M1399" s="8"/>
      <c r="AK1399" s="9"/>
      <c r="AO1399" s="5" t="s">
        <v>4914</v>
      </c>
      <c r="AP1399" s="5">
        <v>3991.0</v>
      </c>
      <c r="AQ1399" s="5" t="s">
        <v>1716</v>
      </c>
      <c r="AR1399" s="5" t="s">
        <v>2441</v>
      </c>
      <c r="AS1399" s="5" t="s">
        <v>1740</v>
      </c>
      <c r="AT1399" s="5" t="s">
        <v>1741</v>
      </c>
      <c r="AU1399" s="5" t="s">
        <v>1772</v>
      </c>
      <c r="AV1399" s="5" t="s">
        <v>1720</v>
      </c>
      <c r="AW1399" s="5" t="s">
        <v>1947</v>
      </c>
      <c r="AX1399" s="5" t="s">
        <v>2148</v>
      </c>
      <c r="AY1399" s="5">
        <v>54.2591</v>
      </c>
      <c r="AZ1399" s="5">
        <v>-125.7599</v>
      </c>
      <c r="BA1399" s="5">
        <v>830.0</v>
      </c>
    </row>
    <row r="1400" ht="14.25" customHeight="1">
      <c r="A1400" s="5" t="s">
        <v>138</v>
      </c>
      <c r="B1400" s="5">
        <v>12.0</v>
      </c>
      <c r="C1400" s="12" t="s">
        <v>7677</v>
      </c>
      <c r="D1400" s="5">
        <v>4232.0</v>
      </c>
      <c r="E1400" s="10"/>
      <c r="F1400" s="12" t="s">
        <v>4915</v>
      </c>
      <c r="G1400" s="12" t="s">
        <v>4916</v>
      </c>
      <c r="M1400" s="8">
        <v>59.3394</v>
      </c>
      <c r="N1400" s="11">
        <v>-122.0718</v>
      </c>
      <c r="O1400" s="11" t="s">
        <v>2008</v>
      </c>
      <c r="P1400" s="11">
        <v>4232.0</v>
      </c>
      <c r="Q1400" s="22">
        <v>7.0</v>
      </c>
      <c r="R1400" s="11" t="s">
        <v>4917</v>
      </c>
      <c r="S1400" s="11" t="s">
        <v>1737</v>
      </c>
      <c r="T1400" s="11">
        <v>704.0</v>
      </c>
      <c r="U1400" s="11"/>
      <c r="V1400" s="11"/>
      <c r="W1400" s="23">
        <v>45545.0</v>
      </c>
      <c r="X1400" s="11" t="s">
        <v>1738</v>
      </c>
      <c r="AK1400" s="9"/>
      <c r="AO1400" s="5" t="s">
        <v>4917</v>
      </c>
      <c r="AP1400" s="5">
        <v>4232.0</v>
      </c>
      <c r="AQ1400" s="5" t="s">
        <v>1716</v>
      </c>
      <c r="AR1400" s="5" t="s">
        <v>1739</v>
      </c>
      <c r="AS1400" s="5" t="s">
        <v>1740</v>
      </c>
      <c r="AT1400" s="5" t="s">
        <v>1741</v>
      </c>
      <c r="AU1400" s="5" t="s">
        <v>1742</v>
      </c>
      <c r="AV1400" s="5" t="s">
        <v>1720</v>
      </c>
      <c r="AW1400" s="5" t="s">
        <v>2003</v>
      </c>
      <c r="AX1400" s="5" t="s">
        <v>2009</v>
      </c>
      <c r="AY1400" s="5">
        <v>59.3394</v>
      </c>
      <c r="AZ1400" s="5">
        <v>-122.0718</v>
      </c>
      <c r="BA1400" s="5">
        <v>704.0</v>
      </c>
    </row>
    <row r="1401" ht="14.25" customHeight="1">
      <c r="A1401" s="5" t="s">
        <v>138</v>
      </c>
      <c r="B1401" s="5">
        <v>12.0</v>
      </c>
      <c r="C1401" s="12" t="s">
        <v>7677</v>
      </c>
      <c r="D1401" s="5">
        <v>4250.0</v>
      </c>
      <c r="E1401" s="10"/>
      <c r="F1401" s="12" t="s">
        <v>4918</v>
      </c>
      <c r="G1401" s="12" t="s">
        <v>4919</v>
      </c>
      <c r="M1401" s="8"/>
      <c r="AK1401" s="9"/>
      <c r="AO1401" s="27" t="s">
        <v>4920</v>
      </c>
      <c r="AP1401" s="5">
        <v>4250.0</v>
      </c>
      <c r="AQ1401" s="5" t="s">
        <v>1716</v>
      </c>
      <c r="AR1401" s="5" t="s">
        <v>1717</v>
      </c>
      <c r="AS1401" s="5" t="s">
        <v>1740</v>
      </c>
      <c r="AT1401" s="5" t="s">
        <v>1741</v>
      </c>
      <c r="AU1401" s="5" t="s">
        <v>1742</v>
      </c>
      <c r="AV1401" s="5" t="s">
        <v>1720</v>
      </c>
      <c r="AW1401" s="5" t="s">
        <v>2193</v>
      </c>
      <c r="AX1401" s="5" t="s">
        <v>2287</v>
      </c>
      <c r="AY1401" s="5">
        <v>51.2333</v>
      </c>
      <c r="AZ1401" s="5">
        <v>-122.15</v>
      </c>
      <c r="BA1401" s="5">
        <v>577.0</v>
      </c>
    </row>
    <row r="1402" ht="14.25" customHeight="1">
      <c r="A1402" s="5" t="s">
        <v>138</v>
      </c>
      <c r="B1402" s="5">
        <v>12.0</v>
      </c>
      <c r="C1402" s="12" t="s">
        <v>7677</v>
      </c>
      <c r="D1402" s="5">
        <v>4270.0</v>
      </c>
      <c r="E1402" s="10"/>
      <c r="F1402" s="12" t="s">
        <v>4921</v>
      </c>
      <c r="G1402" s="12" t="s">
        <v>4922</v>
      </c>
      <c r="M1402" s="8">
        <v>55.6907</v>
      </c>
      <c r="N1402" s="11">
        <v>-121.6137</v>
      </c>
      <c r="O1402" s="11" t="s">
        <v>153</v>
      </c>
      <c r="P1402" s="11">
        <v>4270.0</v>
      </c>
      <c r="Q1402" s="22">
        <v>1.0</v>
      </c>
      <c r="R1402" s="11" t="s">
        <v>4923</v>
      </c>
      <c r="S1402" s="11" t="s">
        <v>1737</v>
      </c>
      <c r="T1402" s="11">
        <v>616.0</v>
      </c>
      <c r="U1402" s="11"/>
      <c r="V1402" s="11"/>
      <c r="W1402" s="23">
        <v>45555.0</v>
      </c>
      <c r="X1402" s="11" t="s">
        <v>1738</v>
      </c>
      <c r="AK1402" s="9"/>
      <c r="AO1402" s="5" t="s">
        <v>4924</v>
      </c>
      <c r="AP1402" s="5">
        <v>4270.0</v>
      </c>
      <c r="AQ1402" s="5" t="s">
        <v>1700</v>
      </c>
      <c r="AR1402" s="5" t="s">
        <v>1739</v>
      </c>
      <c r="AS1402" s="5" t="s">
        <v>1740</v>
      </c>
      <c r="AT1402" s="5" t="s">
        <v>1741</v>
      </c>
      <c r="AU1402" s="5" t="s">
        <v>1772</v>
      </c>
      <c r="AV1402" s="5" t="s">
        <v>1720</v>
      </c>
      <c r="AW1402" s="5" t="s">
        <v>2003</v>
      </c>
      <c r="AX1402" s="5" t="s">
        <v>2024</v>
      </c>
      <c r="AY1402" s="5">
        <v>55.6907</v>
      </c>
      <c r="AZ1402" s="5">
        <v>-121.6137</v>
      </c>
      <c r="BA1402" s="5">
        <v>616.0</v>
      </c>
    </row>
    <row r="1403" ht="14.25" customHeight="1">
      <c r="A1403" s="5" t="s">
        <v>138</v>
      </c>
      <c r="B1403" s="5">
        <v>12.0</v>
      </c>
      <c r="C1403" s="12" t="s">
        <v>7677</v>
      </c>
      <c r="D1403" s="5">
        <v>4352.0</v>
      </c>
      <c r="E1403" s="10"/>
      <c r="F1403" s="12" t="s">
        <v>4925</v>
      </c>
      <c r="G1403" s="12" t="s">
        <v>4926</v>
      </c>
      <c r="M1403" s="8">
        <v>53.3159</v>
      </c>
      <c r="N1403" s="11">
        <v>-119.6007</v>
      </c>
      <c r="O1403" s="11" t="s">
        <v>170</v>
      </c>
      <c r="P1403" s="11">
        <v>4352.0</v>
      </c>
      <c r="Q1403" s="22">
        <v>2.0</v>
      </c>
      <c r="R1403" s="11" t="s">
        <v>1005</v>
      </c>
      <c r="S1403" s="11" t="s">
        <v>1737</v>
      </c>
      <c r="T1403" s="11">
        <v>1088.0</v>
      </c>
      <c r="U1403" s="11"/>
      <c r="V1403" s="11"/>
      <c r="W1403" s="23">
        <v>45575.0</v>
      </c>
      <c r="X1403" s="11" t="s">
        <v>1738</v>
      </c>
      <c r="AK1403" s="9"/>
      <c r="AO1403" s="5" t="s">
        <v>1005</v>
      </c>
      <c r="AP1403" s="5">
        <v>4352.0</v>
      </c>
      <c r="AQ1403" s="5" t="s">
        <v>1716</v>
      </c>
      <c r="AR1403" s="5" t="s">
        <v>1739</v>
      </c>
      <c r="AS1403" s="5" t="s">
        <v>1740</v>
      </c>
      <c r="AT1403" s="5" t="s">
        <v>1741</v>
      </c>
      <c r="AU1403" s="5" t="s">
        <v>1742</v>
      </c>
      <c r="AV1403" s="5" t="s">
        <v>1720</v>
      </c>
      <c r="AW1403" s="5" t="s">
        <v>2003</v>
      </c>
      <c r="AX1403" s="5" t="s">
        <v>2258</v>
      </c>
      <c r="AY1403" s="5">
        <v>53.3159</v>
      </c>
      <c r="AZ1403" s="5">
        <v>-119.6007</v>
      </c>
      <c r="BA1403" s="5">
        <v>1088.0</v>
      </c>
    </row>
    <row r="1404" ht="14.25" customHeight="1">
      <c r="A1404" s="5" t="s">
        <v>138</v>
      </c>
      <c r="B1404" s="5">
        <v>12.0</v>
      </c>
      <c r="C1404" s="12" t="s">
        <v>7677</v>
      </c>
      <c r="D1404" s="5">
        <v>4393.0</v>
      </c>
      <c r="E1404" s="10"/>
      <c r="F1404" s="12" t="s">
        <v>4927</v>
      </c>
      <c r="G1404" s="12" t="s">
        <v>4928</v>
      </c>
      <c r="M1404" s="8">
        <v>50.3752</v>
      </c>
      <c r="N1404" s="11">
        <v>-126.5401</v>
      </c>
      <c r="O1404" s="11" t="s">
        <v>51</v>
      </c>
      <c r="P1404" s="11">
        <v>4393.0</v>
      </c>
      <c r="Q1404" s="22">
        <v>2.0</v>
      </c>
      <c r="R1404" s="11" t="s">
        <v>4929</v>
      </c>
      <c r="S1404" s="11" t="s">
        <v>4045</v>
      </c>
      <c r="T1404" s="11">
        <v>211.0</v>
      </c>
      <c r="U1404" s="11"/>
      <c r="V1404" s="11"/>
      <c r="W1404" s="23">
        <v>45601.0</v>
      </c>
      <c r="X1404" s="11" t="s">
        <v>1738</v>
      </c>
      <c r="AK1404" s="9"/>
      <c r="AO1404" s="5" t="s">
        <v>4929</v>
      </c>
      <c r="AP1404" s="5">
        <v>4393.0</v>
      </c>
      <c r="AQ1404" s="5" t="s">
        <v>1716</v>
      </c>
      <c r="AR1404" s="5" t="s">
        <v>1739</v>
      </c>
      <c r="AS1404" s="5" t="s">
        <v>1740</v>
      </c>
      <c r="AT1404" s="5" t="s">
        <v>1741</v>
      </c>
      <c r="AU1404" s="5" t="s">
        <v>1742</v>
      </c>
      <c r="AV1404" s="5" t="s">
        <v>1720</v>
      </c>
      <c r="AW1404" s="5" t="s">
        <v>1705</v>
      </c>
      <c r="AX1404" s="5" t="s">
        <v>1723</v>
      </c>
      <c r="AY1404" s="5">
        <v>50.3752</v>
      </c>
      <c r="AZ1404" s="5">
        <v>-126.5401</v>
      </c>
      <c r="BA1404" s="5">
        <v>211.0</v>
      </c>
    </row>
    <row r="1405" ht="14.25" customHeight="1">
      <c r="A1405" s="5" t="s">
        <v>138</v>
      </c>
      <c r="B1405" s="5">
        <v>12.0</v>
      </c>
      <c r="C1405" s="12" t="s">
        <v>7677</v>
      </c>
      <c r="D1405" s="5">
        <v>4513.0</v>
      </c>
      <c r="E1405" s="10"/>
      <c r="F1405" s="12" t="s">
        <v>4930</v>
      </c>
      <c r="G1405" s="12" t="s">
        <v>4931</v>
      </c>
      <c r="M1405" s="8"/>
      <c r="AK1405" s="9"/>
      <c r="AO1405" s="5" t="s">
        <v>4932</v>
      </c>
      <c r="AP1405" s="5">
        <v>4513.0</v>
      </c>
      <c r="AQ1405" s="5" t="s">
        <v>1716</v>
      </c>
      <c r="AR1405" s="5" t="s">
        <v>1739</v>
      </c>
      <c r="AS1405" s="5" t="s">
        <v>1740</v>
      </c>
      <c r="AT1405" s="5" t="s">
        <v>1741</v>
      </c>
      <c r="AU1405" s="5" t="s">
        <v>1742</v>
      </c>
      <c r="AV1405" s="5" t="s">
        <v>1720</v>
      </c>
      <c r="AW1405" s="5" t="s">
        <v>1705</v>
      </c>
      <c r="AX1405" s="5" t="s">
        <v>1747</v>
      </c>
      <c r="AY1405" s="5">
        <v>48.8199</v>
      </c>
      <c r="AZ1405" s="5">
        <v>-124.131</v>
      </c>
      <c r="BA1405" s="5">
        <v>197.0</v>
      </c>
    </row>
    <row r="1406" ht="14.25" customHeight="1">
      <c r="A1406" s="5" t="s">
        <v>138</v>
      </c>
      <c r="B1406" s="5">
        <v>12.0</v>
      </c>
      <c r="C1406" s="12" t="s">
        <v>7677</v>
      </c>
      <c r="D1406" s="5">
        <v>4552.0</v>
      </c>
      <c r="E1406" s="10"/>
      <c r="F1406" s="12" t="s">
        <v>4933</v>
      </c>
      <c r="G1406" s="12" t="s">
        <v>4934</v>
      </c>
      <c r="M1406" s="8"/>
      <c r="AK1406" s="9"/>
      <c r="AO1406" s="5" t="s">
        <v>4935</v>
      </c>
      <c r="AP1406" s="5">
        <v>4552.0</v>
      </c>
      <c r="AQ1406" s="5" t="s">
        <v>1716</v>
      </c>
      <c r="AR1406" s="5" t="s">
        <v>1739</v>
      </c>
      <c r="AS1406" s="5" t="s">
        <v>1740</v>
      </c>
      <c r="AT1406" s="5" t="s">
        <v>1741</v>
      </c>
      <c r="AU1406" s="5" t="s">
        <v>1742</v>
      </c>
      <c r="AV1406" s="5" t="s">
        <v>1720</v>
      </c>
      <c r="AW1406" s="5" t="s">
        <v>1705</v>
      </c>
      <c r="AX1406" s="5" t="s">
        <v>1879</v>
      </c>
      <c r="AY1406" s="5">
        <v>49.752</v>
      </c>
      <c r="AZ1406" s="5">
        <v>-123.0983</v>
      </c>
      <c r="BA1406" s="5">
        <v>262.0</v>
      </c>
    </row>
    <row r="1407" ht="14.25" customHeight="1">
      <c r="A1407" s="5" t="s">
        <v>138</v>
      </c>
      <c r="B1407" s="5">
        <v>12.0</v>
      </c>
      <c r="C1407" s="12" t="s">
        <v>7677</v>
      </c>
      <c r="D1407" s="5">
        <v>4973.0</v>
      </c>
      <c r="F1407" s="12" t="s">
        <v>4936</v>
      </c>
      <c r="G1407" s="12" t="s">
        <v>4937</v>
      </c>
      <c r="M1407" s="8"/>
      <c r="AK1407" s="9"/>
      <c r="AO1407" s="5" t="s">
        <v>4938</v>
      </c>
      <c r="AP1407" s="5">
        <v>4973.0</v>
      </c>
      <c r="AQ1407" s="5" t="s">
        <v>1716</v>
      </c>
      <c r="AR1407" s="5" t="s">
        <v>1739</v>
      </c>
      <c r="AS1407" s="5" t="s">
        <v>1740</v>
      </c>
      <c r="AT1407" s="5" t="s">
        <v>1741</v>
      </c>
      <c r="AU1407" s="5" t="s">
        <v>1742</v>
      </c>
      <c r="AV1407" s="5" t="s">
        <v>1720</v>
      </c>
      <c r="AW1407" s="5" t="s">
        <v>2193</v>
      </c>
      <c r="AX1407" s="5" t="s">
        <v>2194</v>
      </c>
      <c r="AY1407" s="5">
        <v>52.9639</v>
      </c>
      <c r="AZ1407" s="5">
        <v>-122.8311</v>
      </c>
      <c r="BA1407" s="5">
        <v>826.0</v>
      </c>
    </row>
    <row r="1408" ht="14.25" customHeight="1">
      <c r="A1408" s="5" t="s">
        <v>328</v>
      </c>
      <c r="B1408" s="5">
        <v>12.0</v>
      </c>
      <c r="C1408" s="12" t="s">
        <v>7677</v>
      </c>
      <c r="D1408" s="12" t="s">
        <v>4939</v>
      </c>
      <c r="F1408" s="12" t="s">
        <v>4940</v>
      </c>
      <c r="G1408" s="12" t="s">
        <v>4941</v>
      </c>
      <c r="M1408" s="8">
        <v>54.3233</v>
      </c>
      <c r="N1408" s="5">
        <v>-129.3252</v>
      </c>
      <c r="O1408" s="5" t="s">
        <v>1577</v>
      </c>
      <c r="P1408" s="5">
        <v>4332.0</v>
      </c>
      <c r="Q1408" s="5">
        <v>1.0</v>
      </c>
      <c r="R1408" s="5" t="s">
        <v>4942</v>
      </c>
      <c r="S1408" s="5" t="s">
        <v>1737</v>
      </c>
      <c r="T1408" s="5">
        <v>10.0</v>
      </c>
      <c r="W1408" s="5">
        <v>45544.0</v>
      </c>
      <c r="X1408" s="5" t="s">
        <v>1738</v>
      </c>
      <c r="AK1408" s="9"/>
      <c r="AO1408" s="5" t="s">
        <v>4942</v>
      </c>
      <c r="AP1408" s="5">
        <v>4332.0</v>
      </c>
      <c r="AQ1408" s="5" t="s">
        <v>1716</v>
      </c>
      <c r="AR1408" s="5" t="s">
        <v>1701</v>
      </c>
      <c r="AS1408" s="5" t="s">
        <v>1740</v>
      </c>
      <c r="AT1408" s="5" t="s">
        <v>1741</v>
      </c>
      <c r="AU1408" s="5" t="s">
        <v>1704</v>
      </c>
      <c r="AV1408" s="5" t="s">
        <v>1720</v>
      </c>
      <c r="AW1408" s="5" t="s">
        <v>1947</v>
      </c>
      <c r="AX1408" s="5" t="s">
        <v>1973</v>
      </c>
      <c r="AY1408" s="5">
        <v>54.3233</v>
      </c>
      <c r="AZ1408" s="5">
        <v>-129.3252</v>
      </c>
      <c r="BA1408" s="5">
        <v>10.0</v>
      </c>
    </row>
    <row r="1409" ht="14.25" customHeight="1">
      <c r="A1409" s="5" t="s">
        <v>138</v>
      </c>
      <c r="B1409" s="5">
        <v>12.0</v>
      </c>
      <c r="C1409" s="12" t="s">
        <v>7677</v>
      </c>
      <c r="D1409" s="12" t="s">
        <v>4943</v>
      </c>
      <c r="F1409" s="12" t="s">
        <v>4944</v>
      </c>
      <c r="G1409" s="12" t="s">
        <v>4945</v>
      </c>
      <c r="M1409" s="8">
        <v>51.4733333</v>
      </c>
      <c r="N1409" s="5">
        <v>-121.36</v>
      </c>
      <c r="O1409" s="5" t="s">
        <v>148</v>
      </c>
      <c r="P1409" s="5">
        <v>509.0</v>
      </c>
      <c r="Q1409" s="5">
        <v>6.0</v>
      </c>
      <c r="R1409" s="5" t="s">
        <v>4946</v>
      </c>
      <c r="S1409" s="5" t="s">
        <v>1737</v>
      </c>
      <c r="T1409" s="5">
        <v>1276.0</v>
      </c>
      <c r="W1409" s="5">
        <v>43831.0</v>
      </c>
      <c r="X1409" s="5" t="s">
        <v>1738</v>
      </c>
      <c r="AK1409" s="9"/>
      <c r="AO1409" s="5" t="s">
        <v>4947</v>
      </c>
      <c r="AP1409" s="5">
        <v>509.0</v>
      </c>
      <c r="AQ1409" s="5" t="s">
        <v>3003</v>
      </c>
      <c r="AR1409" s="5" t="s">
        <v>1701</v>
      </c>
      <c r="AS1409" s="5" t="s">
        <v>2257</v>
      </c>
      <c r="AT1409" s="5" t="s">
        <v>2442</v>
      </c>
      <c r="AU1409" s="5" t="s">
        <v>2443</v>
      </c>
      <c r="AV1409" s="5" t="s">
        <v>1720</v>
      </c>
      <c r="AW1409" s="5" t="s">
        <v>2193</v>
      </c>
      <c r="AX1409" s="5" t="s">
        <v>2287</v>
      </c>
      <c r="AY1409" s="5">
        <v>51.4733</v>
      </c>
      <c r="AZ1409" s="5">
        <v>-121.36</v>
      </c>
      <c r="BA1409" s="5">
        <v>1276.0</v>
      </c>
    </row>
    <row r="1410" ht="14.25" customHeight="1">
      <c r="A1410" s="5" t="s">
        <v>422</v>
      </c>
      <c r="B1410" s="5">
        <v>12.0</v>
      </c>
      <c r="C1410" s="5" t="s">
        <v>7665</v>
      </c>
      <c r="D1410" s="5" t="s">
        <v>4948</v>
      </c>
      <c r="E1410" s="5">
        <v>13135.0</v>
      </c>
      <c r="G1410" s="5" t="s">
        <v>4949</v>
      </c>
      <c r="H1410" s="5" t="s">
        <v>4950</v>
      </c>
      <c r="I1410" s="5" t="s">
        <v>49</v>
      </c>
      <c r="J1410" s="5" t="s">
        <v>4951</v>
      </c>
      <c r="K1410" s="5">
        <v>1.0</v>
      </c>
      <c r="L1410" s="5">
        <v>15057.0</v>
      </c>
      <c r="M1410" s="8"/>
      <c r="AK1410" s="9"/>
    </row>
    <row r="1411" ht="14.25" customHeight="1">
      <c r="A1411" s="5" t="s">
        <v>422</v>
      </c>
      <c r="B1411" s="5">
        <v>12.0</v>
      </c>
      <c r="C1411" s="5" t="s">
        <v>7665</v>
      </c>
      <c r="D1411" s="5" t="s">
        <v>4952</v>
      </c>
      <c r="E1411" s="5">
        <v>13136.0</v>
      </c>
      <c r="G1411" s="5" t="s">
        <v>4953</v>
      </c>
      <c r="H1411" s="5" t="s">
        <v>4950</v>
      </c>
      <c r="I1411" s="5" t="s">
        <v>49</v>
      </c>
      <c r="J1411" s="5" t="s">
        <v>4951</v>
      </c>
      <c r="K1411" s="5">
        <v>1.0</v>
      </c>
      <c r="L1411" s="5">
        <v>15058.0</v>
      </c>
      <c r="M1411" s="8"/>
      <c r="AK1411" s="9"/>
    </row>
    <row r="1412" ht="14.25" customHeight="1">
      <c r="A1412" s="5" t="s">
        <v>422</v>
      </c>
      <c r="B1412" s="5">
        <v>12.0</v>
      </c>
      <c r="C1412" s="5" t="s">
        <v>7665</v>
      </c>
      <c r="D1412" s="5" t="s">
        <v>4954</v>
      </c>
      <c r="E1412" s="5">
        <v>13137.0</v>
      </c>
      <c r="G1412" s="5" t="s">
        <v>4955</v>
      </c>
      <c r="H1412" s="5" t="s">
        <v>4950</v>
      </c>
      <c r="I1412" s="5" t="s">
        <v>49</v>
      </c>
      <c r="J1412" s="5" t="s">
        <v>4951</v>
      </c>
      <c r="K1412" s="5">
        <v>1.0</v>
      </c>
      <c r="L1412" s="5">
        <v>15059.0</v>
      </c>
      <c r="M1412" s="8"/>
      <c r="AK1412" s="9"/>
    </row>
    <row r="1413" ht="14.25" customHeight="1">
      <c r="A1413" s="5" t="s">
        <v>422</v>
      </c>
      <c r="B1413" s="5">
        <v>12.0</v>
      </c>
      <c r="C1413" s="5" t="s">
        <v>7665</v>
      </c>
      <c r="D1413" s="5" t="s">
        <v>4956</v>
      </c>
      <c r="E1413" s="5">
        <v>13138.0</v>
      </c>
      <c r="G1413" s="5" t="s">
        <v>4957</v>
      </c>
      <c r="H1413" s="5" t="s">
        <v>4950</v>
      </c>
      <c r="I1413" s="5" t="s">
        <v>49</v>
      </c>
      <c r="J1413" s="5" t="s">
        <v>4951</v>
      </c>
      <c r="K1413" s="5">
        <v>1.0</v>
      </c>
      <c r="L1413" s="5">
        <v>15060.0</v>
      </c>
      <c r="M1413" s="8"/>
      <c r="AK1413" s="9"/>
    </row>
    <row r="1414" ht="14.25" customHeight="1">
      <c r="A1414" s="5" t="s">
        <v>422</v>
      </c>
      <c r="B1414" s="5">
        <v>12.0</v>
      </c>
      <c r="C1414" s="5" t="s">
        <v>7665</v>
      </c>
      <c r="D1414" s="5" t="s">
        <v>4958</v>
      </c>
      <c r="E1414" s="5">
        <v>13139.0</v>
      </c>
      <c r="G1414" s="5" t="s">
        <v>4959</v>
      </c>
      <c r="H1414" s="5" t="s">
        <v>4950</v>
      </c>
      <c r="I1414" s="5" t="s">
        <v>49</v>
      </c>
      <c r="J1414" s="5" t="s">
        <v>4951</v>
      </c>
      <c r="K1414" s="5">
        <v>1.0</v>
      </c>
      <c r="L1414" s="5">
        <v>15061.0</v>
      </c>
      <c r="M1414" s="8"/>
      <c r="AK1414" s="9"/>
    </row>
    <row r="1415" ht="14.25" customHeight="1">
      <c r="A1415" s="5" t="s">
        <v>422</v>
      </c>
      <c r="B1415" s="5">
        <v>12.0</v>
      </c>
      <c r="C1415" s="5" t="s">
        <v>7665</v>
      </c>
      <c r="D1415" s="5" t="s">
        <v>4960</v>
      </c>
      <c r="E1415" s="5">
        <v>13140.0</v>
      </c>
      <c r="G1415" s="5" t="s">
        <v>4961</v>
      </c>
      <c r="H1415" s="5" t="s">
        <v>4950</v>
      </c>
      <c r="I1415" s="5" t="s">
        <v>49</v>
      </c>
      <c r="J1415" s="5" t="s">
        <v>4951</v>
      </c>
      <c r="K1415" s="5">
        <v>1.0</v>
      </c>
      <c r="L1415" s="5">
        <v>15062.0</v>
      </c>
      <c r="M1415" s="8"/>
      <c r="AK1415" s="9"/>
      <c r="AO1415" s="27"/>
    </row>
    <row r="1416" ht="14.25" customHeight="1">
      <c r="A1416" s="5" t="s">
        <v>422</v>
      </c>
      <c r="B1416" s="5">
        <v>12.0</v>
      </c>
      <c r="C1416" s="5" t="s">
        <v>7665</v>
      </c>
      <c r="D1416" s="5" t="s">
        <v>4962</v>
      </c>
      <c r="E1416" s="5">
        <v>13141.0</v>
      </c>
      <c r="G1416" s="5" t="s">
        <v>4963</v>
      </c>
      <c r="H1416" s="5" t="s">
        <v>4950</v>
      </c>
      <c r="I1416" s="5" t="s">
        <v>49</v>
      </c>
      <c r="J1416" s="5" t="s">
        <v>4951</v>
      </c>
      <c r="K1416" s="5">
        <v>1.0</v>
      </c>
      <c r="L1416" s="5">
        <v>15063.0</v>
      </c>
      <c r="M1416" s="8"/>
      <c r="AK1416" s="9"/>
      <c r="AO1416" s="50" t="s">
        <v>4964</v>
      </c>
      <c r="AP1416" s="50">
        <v>95.0</v>
      </c>
      <c r="AQ1416" s="50" t="s">
        <v>1716</v>
      </c>
      <c r="AR1416" s="50" t="s">
        <v>2441</v>
      </c>
      <c r="AS1416" s="50" t="s">
        <v>1702</v>
      </c>
      <c r="AT1416" s="50" t="s">
        <v>1703</v>
      </c>
      <c r="AU1416" s="50" t="s">
        <v>1704</v>
      </c>
      <c r="AV1416" s="50" t="s">
        <v>1702</v>
      </c>
      <c r="AW1416" s="50" t="s">
        <v>1705</v>
      </c>
      <c r="AX1416" s="50" t="s">
        <v>1952</v>
      </c>
      <c r="AY1416" s="50">
        <v>54.2</v>
      </c>
      <c r="AZ1416" s="50">
        <v>-133.0</v>
      </c>
      <c r="BA1416" s="50">
        <v>41.0</v>
      </c>
    </row>
    <row r="1417" ht="14.25" customHeight="1">
      <c r="A1417" s="5" t="s">
        <v>422</v>
      </c>
      <c r="B1417" s="5">
        <v>12.0</v>
      </c>
      <c r="C1417" s="5" t="s">
        <v>7665</v>
      </c>
      <c r="D1417" s="5" t="s">
        <v>4965</v>
      </c>
      <c r="E1417" s="5">
        <v>13142.0</v>
      </c>
      <c r="G1417" s="5" t="s">
        <v>4966</v>
      </c>
      <c r="H1417" s="5" t="s">
        <v>4950</v>
      </c>
      <c r="I1417" s="5" t="s">
        <v>49</v>
      </c>
      <c r="J1417" s="5" t="s">
        <v>4951</v>
      </c>
      <c r="K1417" s="5">
        <v>1.0</v>
      </c>
      <c r="L1417" s="5">
        <v>15064.0</v>
      </c>
      <c r="M1417" s="8"/>
      <c r="AK1417" s="9"/>
      <c r="AO1417" s="50" t="s">
        <v>4967</v>
      </c>
      <c r="AP1417" s="50">
        <v>92.0</v>
      </c>
      <c r="AQ1417" s="50" t="s">
        <v>1716</v>
      </c>
      <c r="AR1417" s="50" t="s">
        <v>2441</v>
      </c>
      <c r="AS1417" s="50" t="s">
        <v>1702</v>
      </c>
      <c r="AT1417" s="50" t="s">
        <v>1703</v>
      </c>
      <c r="AU1417" s="50" t="s">
        <v>1704</v>
      </c>
      <c r="AV1417" s="50" t="s">
        <v>1702</v>
      </c>
      <c r="AW1417" s="50" t="s">
        <v>1705</v>
      </c>
      <c r="AX1417" s="50" t="s">
        <v>1965</v>
      </c>
      <c r="AY1417" s="50">
        <v>52.3</v>
      </c>
      <c r="AZ1417" s="50">
        <v>-128.7</v>
      </c>
      <c r="BA1417" s="50">
        <v>26.0</v>
      </c>
    </row>
    <row r="1418" ht="14.25" customHeight="1">
      <c r="A1418" s="5" t="s">
        <v>4968</v>
      </c>
      <c r="B1418" s="5">
        <v>9.0</v>
      </c>
      <c r="C1418" s="5" t="s">
        <v>7678</v>
      </c>
      <c r="D1418" s="10" t="s">
        <v>4970</v>
      </c>
      <c r="E1418" s="5">
        <v>13010.0</v>
      </c>
      <c r="F1418" s="12" t="s">
        <v>4971</v>
      </c>
      <c r="G1418" s="5" t="s">
        <v>4972</v>
      </c>
      <c r="H1418" s="5" t="s">
        <v>4973</v>
      </c>
      <c r="I1418" s="5" t="s">
        <v>49</v>
      </c>
      <c r="J1418" s="5" t="s">
        <v>4974</v>
      </c>
      <c r="K1418" s="5">
        <v>1.0</v>
      </c>
      <c r="L1418" s="5">
        <v>14942.0</v>
      </c>
      <c r="M1418" s="8"/>
      <c r="V1418" s="11"/>
      <c r="W1418" s="11"/>
      <c r="X1418" s="11"/>
      <c r="Y1418" s="11"/>
      <c r="Z1418" s="72"/>
      <c r="AA1418" s="11"/>
      <c r="AB1418" s="13"/>
      <c r="AC1418" s="11"/>
      <c r="AK1418" s="9"/>
    </row>
    <row r="1419" ht="14.25" customHeight="1">
      <c r="A1419" s="5" t="s">
        <v>4968</v>
      </c>
      <c r="B1419" s="5">
        <v>9.0</v>
      </c>
      <c r="C1419" s="5" t="s">
        <v>7678</v>
      </c>
      <c r="D1419" s="10" t="s">
        <v>4975</v>
      </c>
      <c r="E1419" s="5">
        <v>12947.0</v>
      </c>
      <c r="F1419" s="12" t="s">
        <v>4976</v>
      </c>
      <c r="G1419" s="5" t="s">
        <v>4977</v>
      </c>
      <c r="H1419" s="5" t="s">
        <v>4978</v>
      </c>
      <c r="I1419" s="5" t="s">
        <v>49</v>
      </c>
      <c r="J1419" s="5" t="s">
        <v>4979</v>
      </c>
      <c r="K1419" s="5">
        <v>1.0</v>
      </c>
      <c r="L1419" s="5">
        <v>14879.0</v>
      </c>
      <c r="M1419" s="8"/>
      <c r="V1419" s="11"/>
      <c r="W1419" s="11"/>
      <c r="X1419" s="11"/>
      <c r="Y1419" s="11"/>
      <c r="Z1419" s="72"/>
      <c r="AA1419" s="11"/>
      <c r="AB1419" s="13"/>
      <c r="AC1419" s="11"/>
      <c r="AK1419" s="9"/>
    </row>
    <row r="1420" ht="14.25" customHeight="1">
      <c r="A1420" s="5" t="s">
        <v>4980</v>
      </c>
      <c r="B1420" s="5">
        <v>9.0</v>
      </c>
      <c r="C1420" s="5" t="s">
        <v>7678</v>
      </c>
      <c r="D1420" s="10" t="s">
        <v>4981</v>
      </c>
      <c r="E1420" s="5">
        <v>12939.0</v>
      </c>
      <c r="F1420" s="51" t="s">
        <v>4976</v>
      </c>
      <c r="G1420" s="5" t="s">
        <v>4977</v>
      </c>
      <c r="H1420" s="5" t="s">
        <v>4982</v>
      </c>
      <c r="I1420" s="5" t="s">
        <v>49</v>
      </c>
      <c r="J1420" s="5" t="s">
        <v>4983</v>
      </c>
      <c r="K1420" s="5">
        <v>1.0</v>
      </c>
      <c r="L1420" s="5">
        <v>14871.0</v>
      </c>
      <c r="M1420" s="8"/>
      <c r="AK1420" s="9"/>
    </row>
    <row r="1421" ht="14.25" customHeight="1">
      <c r="A1421" s="5" t="s">
        <v>4984</v>
      </c>
      <c r="B1421" s="5">
        <v>9.0</v>
      </c>
      <c r="C1421" s="5" t="s">
        <v>7678</v>
      </c>
      <c r="D1421" s="10" t="s">
        <v>4985</v>
      </c>
      <c r="E1421" s="5">
        <v>12950.0</v>
      </c>
      <c r="F1421" s="12" t="s">
        <v>4986</v>
      </c>
      <c r="G1421" s="10" t="s">
        <v>4987</v>
      </c>
      <c r="H1421" s="5" t="s">
        <v>4978</v>
      </c>
      <c r="I1421" s="5" t="s">
        <v>49</v>
      </c>
      <c r="J1421" s="5" t="s">
        <v>4974</v>
      </c>
      <c r="K1421" s="5">
        <v>1.0</v>
      </c>
      <c r="L1421" s="5">
        <v>14882.0</v>
      </c>
      <c r="M1421" s="8"/>
      <c r="V1421" s="11"/>
      <c r="W1421" s="11"/>
      <c r="X1421" s="11"/>
      <c r="Y1421" s="11"/>
      <c r="Z1421" s="72"/>
      <c r="AA1421" s="11"/>
      <c r="AB1421" s="13"/>
      <c r="AC1421" s="11"/>
      <c r="AK1421" s="9"/>
    </row>
    <row r="1422" ht="14.25" customHeight="1">
      <c r="A1422" s="5" t="s">
        <v>4988</v>
      </c>
      <c r="B1422" s="5">
        <v>9.0</v>
      </c>
      <c r="C1422" s="5" t="s">
        <v>7678</v>
      </c>
      <c r="D1422" s="5" t="s">
        <v>4989</v>
      </c>
      <c r="E1422" s="5">
        <v>12941.0</v>
      </c>
      <c r="F1422" s="51" t="s">
        <v>4990</v>
      </c>
      <c r="G1422" s="5" t="s">
        <v>127</v>
      </c>
      <c r="H1422" s="5" t="s">
        <v>84</v>
      </c>
      <c r="I1422" s="5" t="s">
        <v>49</v>
      </c>
      <c r="K1422" s="5">
        <v>1.0</v>
      </c>
      <c r="L1422" s="5">
        <v>14873.0</v>
      </c>
      <c r="M1422" s="8"/>
      <c r="AK1422" s="9"/>
    </row>
    <row r="1423" ht="14.25" customHeight="1">
      <c r="A1423" s="5" t="s">
        <v>4984</v>
      </c>
      <c r="B1423" s="5">
        <v>9.0</v>
      </c>
      <c r="C1423" s="5" t="s">
        <v>7678</v>
      </c>
      <c r="D1423" s="10" t="s">
        <v>4991</v>
      </c>
      <c r="E1423" s="5">
        <v>13025.0</v>
      </c>
      <c r="F1423" s="12" t="s">
        <v>4992</v>
      </c>
      <c r="G1423" s="10" t="s">
        <v>4993</v>
      </c>
      <c r="H1423" s="5" t="s">
        <v>4994</v>
      </c>
      <c r="I1423" s="5" t="s">
        <v>49</v>
      </c>
      <c r="J1423" s="5" t="s">
        <v>4979</v>
      </c>
      <c r="K1423" s="5">
        <v>1.0</v>
      </c>
      <c r="L1423" s="5">
        <v>14957.0</v>
      </c>
      <c r="M1423" s="8"/>
      <c r="V1423" s="11"/>
      <c r="W1423" s="11"/>
      <c r="X1423" s="11"/>
      <c r="Y1423" s="11"/>
      <c r="Z1423" s="72"/>
      <c r="AA1423" s="11"/>
      <c r="AB1423" s="13"/>
      <c r="AC1423" s="11"/>
      <c r="AK1423" s="9"/>
    </row>
    <row r="1424" ht="14.25" customHeight="1">
      <c r="A1424" s="5" t="s">
        <v>422</v>
      </c>
      <c r="B1424" s="5">
        <v>9.0</v>
      </c>
      <c r="C1424" s="5" t="s">
        <v>7678</v>
      </c>
      <c r="D1424" s="5" t="s">
        <v>4995</v>
      </c>
      <c r="E1424" s="5">
        <v>12946.0</v>
      </c>
      <c r="F1424" s="51" t="s">
        <v>4996</v>
      </c>
      <c r="G1424" s="5" t="s">
        <v>127</v>
      </c>
      <c r="H1424" s="5" t="s">
        <v>84</v>
      </c>
      <c r="I1424" s="5" t="s">
        <v>49</v>
      </c>
      <c r="K1424" s="5">
        <v>1.0</v>
      </c>
      <c r="L1424" s="5">
        <v>14878.0</v>
      </c>
      <c r="M1424" s="8"/>
      <c r="AK1424" s="9"/>
    </row>
    <row r="1425" ht="14.25" customHeight="1">
      <c r="A1425" s="5" t="s">
        <v>4980</v>
      </c>
      <c r="B1425" s="5">
        <v>9.0</v>
      </c>
      <c r="C1425" s="5" t="s">
        <v>7678</v>
      </c>
      <c r="D1425" s="10" t="s">
        <v>4997</v>
      </c>
      <c r="E1425" s="5">
        <v>12938.0</v>
      </c>
      <c r="F1425" s="51" t="s">
        <v>4998</v>
      </c>
      <c r="G1425" s="5" t="s">
        <v>4999</v>
      </c>
      <c r="H1425" s="5" t="s">
        <v>5000</v>
      </c>
      <c r="I1425" s="5" t="s">
        <v>49</v>
      </c>
      <c r="J1425" s="5" t="s">
        <v>4983</v>
      </c>
      <c r="K1425" s="5">
        <v>1.0</v>
      </c>
      <c r="L1425" s="5">
        <v>14870.0</v>
      </c>
      <c r="M1425" s="8"/>
      <c r="V1425" s="11"/>
      <c r="W1425" s="11"/>
      <c r="X1425" s="11"/>
      <c r="Y1425" s="11"/>
      <c r="Z1425" s="72"/>
      <c r="AA1425" s="11"/>
      <c r="AB1425" s="13"/>
      <c r="AC1425" s="11"/>
      <c r="AK1425" s="9"/>
    </row>
    <row r="1426" ht="14.25" customHeight="1">
      <c r="A1426" s="5" t="s">
        <v>3107</v>
      </c>
      <c r="B1426" s="5">
        <v>9.0</v>
      </c>
      <c r="C1426" s="10" t="s">
        <v>7679</v>
      </c>
      <c r="D1426" s="10" t="s">
        <v>5002</v>
      </c>
      <c r="E1426" s="5">
        <v>13014.0</v>
      </c>
      <c r="F1426" s="12" t="s">
        <v>5003</v>
      </c>
      <c r="G1426" s="10" t="s">
        <v>5004</v>
      </c>
      <c r="H1426" s="5" t="s">
        <v>5005</v>
      </c>
      <c r="I1426" s="5" t="s">
        <v>49</v>
      </c>
      <c r="J1426" s="5" t="s">
        <v>4979</v>
      </c>
      <c r="K1426" s="5">
        <v>1.0</v>
      </c>
      <c r="L1426" s="5">
        <v>14946.0</v>
      </c>
      <c r="M1426" s="8"/>
      <c r="V1426" s="11"/>
      <c r="W1426" s="11"/>
      <c r="X1426" s="11"/>
      <c r="Y1426" s="11"/>
      <c r="Z1426" s="72"/>
      <c r="AA1426" s="11"/>
      <c r="AB1426" s="13"/>
      <c r="AC1426" s="11"/>
      <c r="AK1426" s="9"/>
    </row>
    <row r="1427" ht="14.25" customHeight="1">
      <c r="A1427" s="5" t="s">
        <v>4984</v>
      </c>
      <c r="B1427" s="5">
        <v>9.0</v>
      </c>
      <c r="C1427" s="5" t="s">
        <v>7678</v>
      </c>
      <c r="D1427" s="10" t="s">
        <v>5006</v>
      </c>
      <c r="E1427" s="5">
        <v>13006.0</v>
      </c>
      <c r="F1427" s="12" t="s">
        <v>5007</v>
      </c>
      <c r="G1427" s="10" t="s">
        <v>5008</v>
      </c>
      <c r="H1427" s="5" t="s">
        <v>5009</v>
      </c>
      <c r="I1427" s="5" t="s">
        <v>49</v>
      </c>
      <c r="J1427" s="5" t="s">
        <v>4979</v>
      </c>
      <c r="K1427" s="5">
        <v>1.0</v>
      </c>
      <c r="L1427" s="5">
        <v>14938.0</v>
      </c>
      <c r="M1427" s="8"/>
      <c r="V1427" s="11"/>
      <c r="W1427" s="11"/>
      <c r="X1427" s="11"/>
      <c r="Y1427" s="11"/>
      <c r="Z1427" s="72"/>
      <c r="AA1427" s="11"/>
      <c r="AB1427" s="13"/>
      <c r="AC1427" s="11"/>
      <c r="AK1427" s="9"/>
    </row>
    <row r="1428" ht="14.25" customHeight="1">
      <c r="A1428" s="5" t="s">
        <v>5010</v>
      </c>
      <c r="B1428" s="5">
        <v>9.0</v>
      </c>
      <c r="C1428" s="5" t="s">
        <v>7678</v>
      </c>
      <c r="D1428" s="5" t="s">
        <v>5011</v>
      </c>
      <c r="E1428" s="5">
        <v>12944.0</v>
      </c>
      <c r="F1428" s="51" t="s">
        <v>5012</v>
      </c>
      <c r="G1428" s="5" t="s">
        <v>127</v>
      </c>
      <c r="H1428" s="5" t="s">
        <v>84</v>
      </c>
      <c r="I1428" s="5" t="s">
        <v>49</v>
      </c>
      <c r="K1428" s="5">
        <v>1.0</v>
      </c>
      <c r="L1428" s="5">
        <v>14876.0</v>
      </c>
      <c r="M1428" s="8"/>
      <c r="AK1428" s="9"/>
    </row>
    <row r="1429" ht="14.25" customHeight="1">
      <c r="A1429" s="5" t="s">
        <v>4984</v>
      </c>
      <c r="B1429" s="5">
        <v>9.0</v>
      </c>
      <c r="C1429" s="5" t="s">
        <v>7678</v>
      </c>
      <c r="D1429" s="10" t="s">
        <v>5013</v>
      </c>
      <c r="E1429" s="5">
        <v>13005.0</v>
      </c>
      <c r="F1429" s="12" t="s">
        <v>5014</v>
      </c>
      <c r="G1429" s="10" t="s">
        <v>5015</v>
      </c>
      <c r="H1429" s="5" t="s">
        <v>5016</v>
      </c>
      <c r="I1429" s="5" t="s">
        <v>49</v>
      </c>
      <c r="J1429" s="5" t="s">
        <v>4979</v>
      </c>
      <c r="K1429" s="5">
        <v>1.0</v>
      </c>
      <c r="L1429" s="5">
        <v>14937.0</v>
      </c>
      <c r="M1429" s="8"/>
      <c r="V1429" s="11"/>
      <c r="W1429" s="11"/>
      <c r="X1429" s="11"/>
      <c r="Y1429" s="16"/>
      <c r="Z1429" s="72"/>
      <c r="AA1429" s="11"/>
      <c r="AB1429" s="13"/>
      <c r="AC1429" s="11"/>
      <c r="AK1429" s="9"/>
    </row>
    <row r="1430" ht="14.25" customHeight="1">
      <c r="A1430" s="5" t="s">
        <v>4984</v>
      </c>
      <c r="B1430" s="5">
        <v>9.0</v>
      </c>
      <c r="C1430" s="5" t="s">
        <v>7678</v>
      </c>
      <c r="D1430" s="12" t="s">
        <v>5017</v>
      </c>
      <c r="E1430" s="5">
        <v>12948.0</v>
      </c>
      <c r="F1430" s="12" t="s">
        <v>5018</v>
      </c>
      <c r="G1430" s="10" t="s">
        <v>7680</v>
      </c>
      <c r="H1430" s="5" t="s">
        <v>4978</v>
      </c>
      <c r="I1430" s="5" t="s">
        <v>49</v>
      </c>
      <c r="J1430" s="5" t="s">
        <v>4979</v>
      </c>
      <c r="K1430" s="5">
        <v>1.0</v>
      </c>
      <c r="L1430" s="5">
        <v>14880.0</v>
      </c>
      <c r="M1430" s="8"/>
      <c r="V1430" s="11"/>
      <c r="W1430" s="11"/>
      <c r="X1430" s="11"/>
      <c r="Y1430" s="11"/>
      <c r="Z1430" s="72"/>
      <c r="AA1430" s="11"/>
      <c r="AB1430" s="13"/>
      <c r="AC1430" s="11"/>
      <c r="AK1430" s="9"/>
    </row>
    <row r="1431" ht="14.25" customHeight="1">
      <c r="A1431" s="5" t="s">
        <v>4984</v>
      </c>
      <c r="B1431" s="5">
        <v>9.0</v>
      </c>
      <c r="C1431" s="5" t="s">
        <v>7678</v>
      </c>
      <c r="D1431" s="10" t="s">
        <v>5020</v>
      </c>
      <c r="E1431" s="5">
        <v>13087.0</v>
      </c>
      <c r="F1431" s="12" t="s">
        <v>5021</v>
      </c>
      <c r="G1431" s="10" t="s">
        <v>5022</v>
      </c>
      <c r="H1431" s="5" t="s">
        <v>5023</v>
      </c>
      <c r="I1431" s="5" t="s">
        <v>49</v>
      </c>
      <c r="J1431" s="5" t="s">
        <v>4979</v>
      </c>
      <c r="K1431" s="5">
        <v>1.0</v>
      </c>
      <c r="L1431" s="5">
        <v>15009.0</v>
      </c>
      <c r="M1431" s="8"/>
      <c r="V1431" s="11"/>
      <c r="W1431" s="11"/>
      <c r="X1431" s="11"/>
      <c r="Y1431" s="11"/>
      <c r="Z1431" s="72"/>
      <c r="AA1431" s="11"/>
      <c r="AB1431" s="13"/>
      <c r="AC1431" s="11"/>
      <c r="AK1431" s="9"/>
    </row>
    <row r="1432" ht="14.25" customHeight="1">
      <c r="A1432" s="5" t="s">
        <v>4984</v>
      </c>
      <c r="B1432" s="5">
        <v>9.0</v>
      </c>
      <c r="C1432" s="5" t="s">
        <v>7678</v>
      </c>
      <c r="D1432" s="10" t="s">
        <v>5024</v>
      </c>
      <c r="E1432" s="5">
        <v>13088.0</v>
      </c>
      <c r="F1432" s="12" t="s">
        <v>5025</v>
      </c>
      <c r="G1432" s="10" t="s">
        <v>5026</v>
      </c>
      <c r="H1432" s="5" t="s">
        <v>5027</v>
      </c>
      <c r="I1432" s="5" t="s">
        <v>49</v>
      </c>
      <c r="J1432" s="5" t="s">
        <v>4979</v>
      </c>
      <c r="K1432" s="5">
        <v>1.0</v>
      </c>
      <c r="L1432" s="5">
        <v>15010.0</v>
      </c>
      <c r="M1432" s="8"/>
      <c r="V1432" s="11"/>
      <c r="W1432" s="11"/>
      <c r="X1432" s="11"/>
      <c r="Y1432" s="11"/>
      <c r="Z1432" s="72"/>
      <c r="AA1432" s="11"/>
      <c r="AB1432" s="13"/>
      <c r="AC1432" s="11"/>
      <c r="AK1432" s="9"/>
    </row>
    <row r="1433" ht="14.25" customHeight="1">
      <c r="A1433" s="5" t="s">
        <v>4984</v>
      </c>
      <c r="B1433" s="5">
        <v>9.0</v>
      </c>
      <c r="C1433" s="5" t="s">
        <v>7678</v>
      </c>
      <c r="D1433" s="10" t="s">
        <v>5028</v>
      </c>
      <c r="E1433" s="5">
        <v>13037.0</v>
      </c>
      <c r="F1433" s="12" t="s">
        <v>5029</v>
      </c>
      <c r="G1433" s="10" t="s">
        <v>5030</v>
      </c>
      <c r="H1433" s="5" t="s">
        <v>5031</v>
      </c>
      <c r="I1433" s="5" t="s">
        <v>49</v>
      </c>
      <c r="J1433" s="5" t="s">
        <v>4979</v>
      </c>
      <c r="K1433" s="5">
        <v>1.0</v>
      </c>
      <c r="L1433" s="5">
        <v>14969.0</v>
      </c>
      <c r="M1433" s="8"/>
      <c r="V1433" s="11"/>
      <c r="W1433" s="11"/>
      <c r="X1433" s="11"/>
      <c r="Y1433" s="11"/>
      <c r="Z1433" s="72"/>
      <c r="AA1433" s="11"/>
      <c r="AB1433" s="13"/>
      <c r="AC1433" s="11"/>
      <c r="AK1433" s="9"/>
    </row>
    <row r="1434" ht="14.25" customHeight="1">
      <c r="A1434" s="5" t="s">
        <v>5032</v>
      </c>
      <c r="B1434" s="5">
        <v>9.0</v>
      </c>
      <c r="C1434" s="5" t="s">
        <v>7678</v>
      </c>
      <c r="D1434" s="10" t="s">
        <v>5033</v>
      </c>
      <c r="E1434" s="5">
        <v>2587.0</v>
      </c>
      <c r="F1434" s="5" t="s">
        <v>5034</v>
      </c>
      <c r="G1434" s="5" t="s">
        <v>5035</v>
      </c>
      <c r="H1434" s="5" t="s">
        <v>5036</v>
      </c>
      <c r="I1434" s="5" t="s">
        <v>641</v>
      </c>
      <c r="J1434" s="5" t="s">
        <v>5037</v>
      </c>
      <c r="K1434" s="5">
        <v>1.0</v>
      </c>
      <c r="L1434" s="5">
        <v>2990.0</v>
      </c>
      <c r="M1434" s="8"/>
      <c r="V1434" s="11"/>
      <c r="W1434" s="11"/>
      <c r="X1434" s="11"/>
      <c r="Y1434" s="11"/>
      <c r="Z1434" s="72"/>
      <c r="AA1434" s="11"/>
      <c r="AB1434" s="13"/>
      <c r="AC1434" s="11"/>
      <c r="AK1434" s="9"/>
    </row>
    <row r="1435" ht="14.25" customHeight="1">
      <c r="A1435" s="6" t="s">
        <v>5038</v>
      </c>
      <c r="B1435" s="5">
        <v>9.0</v>
      </c>
      <c r="C1435" s="10" t="s">
        <v>7681</v>
      </c>
      <c r="D1435" s="10" t="s">
        <v>5040</v>
      </c>
      <c r="E1435" s="5">
        <v>12074.0</v>
      </c>
      <c r="F1435" s="5" t="s">
        <v>5041</v>
      </c>
      <c r="G1435" s="5" t="s">
        <v>5042</v>
      </c>
      <c r="H1435" s="5" t="s">
        <v>84</v>
      </c>
      <c r="I1435" s="5" t="s">
        <v>641</v>
      </c>
      <c r="K1435" s="5">
        <v>1.0</v>
      </c>
      <c r="L1435" s="5">
        <v>14130.0</v>
      </c>
      <c r="M1435" s="8"/>
      <c r="AK1435" s="9"/>
    </row>
    <row r="1436" ht="14.25" customHeight="1">
      <c r="A1436" s="5" t="s">
        <v>5043</v>
      </c>
      <c r="B1436" s="5">
        <v>9.0</v>
      </c>
      <c r="C1436" s="10" t="s">
        <v>7681</v>
      </c>
      <c r="D1436" s="10" t="s">
        <v>5044</v>
      </c>
      <c r="E1436" s="5">
        <v>2633.0</v>
      </c>
      <c r="F1436" s="5" t="s">
        <v>5045</v>
      </c>
      <c r="G1436" s="5" t="s">
        <v>5046</v>
      </c>
      <c r="H1436" s="5" t="s">
        <v>5047</v>
      </c>
      <c r="I1436" s="5" t="s">
        <v>641</v>
      </c>
      <c r="J1436" s="5" t="s">
        <v>5048</v>
      </c>
      <c r="K1436" s="5">
        <v>1.0</v>
      </c>
      <c r="L1436" s="5">
        <v>3036.0</v>
      </c>
      <c r="M1436" s="8"/>
      <c r="V1436" s="11"/>
      <c r="W1436" s="11"/>
      <c r="X1436" s="11"/>
      <c r="Y1436" s="11"/>
      <c r="Z1436" s="72"/>
      <c r="AA1436" s="11"/>
      <c r="AB1436" s="13"/>
      <c r="AC1436" s="11"/>
      <c r="AK1436" s="9"/>
    </row>
    <row r="1437" ht="14.25" customHeight="1">
      <c r="A1437" s="6" t="s">
        <v>5049</v>
      </c>
      <c r="B1437" s="5">
        <v>9.0</v>
      </c>
      <c r="C1437" s="5" t="s">
        <v>7681</v>
      </c>
      <c r="D1437" s="5" t="s">
        <v>5050</v>
      </c>
      <c r="E1437" s="5">
        <v>2630.0</v>
      </c>
      <c r="F1437" s="5" t="s">
        <v>5051</v>
      </c>
      <c r="G1437" s="5" t="s">
        <v>5052</v>
      </c>
      <c r="H1437" s="5" t="s">
        <v>84</v>
      </c>
      <c r="I1437" s="5" t="s">
        <v>641</v>
      </c>
      <c r="K1437" s="5">
        <v>1.0</v>
      </c>
      <c r="L1437" s="5">
        <v>3033.0</v>
      </c>
      <c r="M1437" s="8"/>
      <c r="AK1437" s="9"/>
    </row>
    <row r="1438" ht="14.25" customHeight="1">
      <c r="A1438" s="6" t="s">
        <v>422</v>
      </c>
      <c r="B1438" s="5">
        <v>9.0</v>
      </c>
      <c r="C1438" s="5" t="s">
        <v>7681</v>
      </c>
      <c r="D1438" s="5" t="s">
        <v>5053</v>
      </c>
      <c r="E1438" s="5">
        <v>12077.0</v>
      </c>
      <c r="F1438" s="5" t="s">
        <v>5054</v>
      </c>
      <c r="G1438" s="5" t="s">
        <v>5055</v>
      </c>
      <c r="H1438" s="5" t="s">
        <v>84</v>
      </c>
      <c r="I1438" s="5" t="s">
        <v>641</v>
      </c>
      <c r="K1438" s="5">
        <v>1.0</v>
      </c>
      <c r="L1438" s="5">
        <v>14133.0</v>
      </c>
      <c r="M1438" s="8"/>
      <c r="V1438" s="11"/>
      <c r="W1438" s="11"/>
      <c r="X1438" s="11"/>
      <c r="Y1438" s="11"/>
      <c r="Z1438" s="72"/>
      <c r="AA1438" s="11"/>
      <c r="AB1438" s="13"/>
      <c r="AC1438" s="11"/>
      <c r="AK1438" s="9"/>
    </row>
    <row r="1439" ht="14.25" customHeight="1">
      <c r="A1439" s="5" t="s">
        <v>5032</v>
      </c>
      <c r="B1439" s="5">
        <v>9.0</v>
      </c>
      <c r="C1439" s="11" t="s">
        <v>7678</v>
      </c>
      <c r="D1439" s="10" t="s">
        <v>5056</v>
      </c>
      <c r="E1439" s="5">
        <v>1560.0</v>
      </c>
      <c r="F1439" s="5" t="s">
        <v>5057</v>
      </c>
      <c r="G1439" s="5" t="s">
        <v>5058</v>
      </c>
      <c r="H1439" s="5" t="s">
        <v>5059</v>
      </c>
      <c r="I1439" s="5" t="s">
        <v>641</v>
      </c>
      <c r="J1439" s="5" t="s">
        <v>5060</v>
      </c>
      <c r="K1439" s="5">
        <v>1.0</v>
      </c>
      <c r="L1439" s="5">
        <v>1963.0</v>
      </c>
      <c r="M1439" s="8"/>
      <c r="V1439" s="11"/>
      <c r="W1439" s="11"/>
      <c r="X1439" s="11"/>
      <c r="Y1439" s="11"/>
      <c r="Z1439" s="72"/>
      <c r="AA1439" s="11"/>
      <c r="AB1439" s="13"/>
      <c r="AC1439" s="11"/>
      <c r="AK1439" s="9"/>
    </row>
    <row r="1440" ht="14.25" customHeight="1">
      <c r="A1440" s="6" t="s">
        <v>5061</v>
      </c>
      <c r="B1440" s="5">
        <v>9.0</v>
      </c>
      <c r="C1440" s="10" t="s">
        <v>7681</v>
      </c>
      <c r="D1440" s="10" t="s">
        <v>5062</v>
      </c>
      <c r="E1440" s="5">
        <v>2628.0</v>
      </c>
      <c r="F1440" s="5" t="s">
        <v>729</v>
      </c>
      <c r="G1440" s="10" t="s">
        <v>5063</v>
      </c>
      <c r="H1440" s="5" t="s">
        <v>84</v>
      </c>
      <c r="I1440" s="5" t="s">
        <v>641</v>
      </c>
      <c r="K1440" s="5">
        <v>1.0</v>
      </c>
      <c r="L1440" s="5">
        <v>3031.0</v>
      </c>
      <c r="M1440" s="8"/>
      <c r="V1440" s="11"/>
      <c r="W1440" s="11"/>
      <c r="X1440" s="11"/>
      <c r="Y1440" s="11"/>
      <c r="Z1440" s="72"/>
      <c r="AA1440" s="11"/>
      <c r="AB1440" s="13"/>
      <c r="AC1440" s="11"/>
      <c r="AK1440" s="9"/>
    </row>
    <row r="1441" ht="14.25" customHeight="1">
      <c r="A1441" s="5" t="s">
        <v>5064</v>
      </c>
      <c r="B1441" s="5">
        <v>9.0</v>
      </c>
      <c r="C1441" s="5" t="s">
        <v>7678</v>
      </c>
      <c r="D1441" s="10" t="s">
        <v>5065</v>
      </c>
      <c r="E1441" s="5">
        <v>12083.0</v>
      </c>
      <c r="F1441" s="5" t="s">
        <v>5066</v>
      </c>
      <c r="G1441" s="5" t="s">
        <v>5067</v>
      </c>
      <c r="H1441" s="5" t="s">
        <v>5068</v>
      </c>
      <c r="I1441" s="5" t="s">
        <v>641</v>
      </c>
      <c r="J1441" s="5" t="s">
        <v>5037</v>
      </c>
      <c r="K1441" s="5">
        <v>1.0</v>
      </c>
      <c r="L1441" s="5">
        <v>14139.0</v>
      </c>
      <c r="M1441" s="8"/>
      <c r="V1441" s="11"/>
      <c r="W1441" s="11"/>
      <c r="X1441" s="11"/>
      <c r="Y1441" s="11"/>
      <c r="Z1441" s="72"/>
      <c r="AA1441" s="11"/>
      <c r="AB1441" s="13"/>
      <c r="AC1441" s="11"/>
      <c r="AK1441" s="9"/>
    </row>
    <row r="1442" ht="14.25" customHeight="1">
      <c r="A1442" s="5" t="s">
        <v>5064</v>
      </c>
      <c r="B1442" s="5">
        <v>9.0</v>
      </c>
      <c r="C1442" s="5" t="s">
        <v>7678</v>
      </c>
      <c r="D1442" s="10" t="s">
        <v>5069</v>
      </c>
      <c r="E1442" s="5">
        <v>2609.0</v>
      </c>
      <c r="F1442" s="5" t="s">
        <v>5070</v>
      </c>
      <c r="G1442" s="5" t="s">
        <v>5071</v>
      </c>
      <c r="H1442" s="5" t="s">
        <v>5072</v>
      </c>
      <c r="I1442" s="5" t="s">
        <v>641</v>
      </c>
      <c r="J1442" s="5" t="s">
        <v>5073</v>
      </c>
      <c r="K1442" s="5">
        <v>1.0</v>
      </c>
      <c r="L1442" s="5">
        <v>3012.0</v>
      </c>
      <c r="M1442" s="8"/>
      <c r="V1442" s="11"/>
      <c r="W1442" s="11"/>
      <c r="X1442" s="11"/>
      <c r="Y1442" s="11"/>
      <c r="Z1442" s="72"/>
      <c r="AA1442" s="11"/>
      <c r="AB1442" s="13"/>
      <c r="AC1442" s="11"/>
      <c r="AK1442" s="9"/>
    </row>
    <row r="1443" ht="14.25" customHeight="1">
      <c r="A1443" s="5" t="s">
        <v>422</v>
      </c>
      <c r="B1443" s="5">
        <v>9.0</v>
      </c>
      <c r="C1443" s="5" t="s">
        <v>7678</v>
      </c>
      <c r="D1443" s="5" t="s">
        <v>5074</v>
      </c>
      <c r="E1443" s="5">
        <v>12084.0</v>
      </c>
      <c r="F1443" s="5" t="s">
        <v>5075</v>
      </c>
      <c r="G1443" s="5" t="s">
        <v>5076</v>
      </c>
      <c r="H1443" s="5" t="s">
        <v>5077</v>
      </c>
      <c r="I1443" s="5" t="s">
        <v>641</v>
      </c>
      <c r="J1443" s="5" t="s">
        <v>5078</v>
      </c>
      <c r="K1443" s="5">
        <v>1.0</v>
      </c>
      <c r="L1443" s="5">
        <v>14140.0</v>
      </c>
      <c r="M1443" s="8"/>
      <c r="V1443" s="11"/>
      <c r="W1443" s="11"/>
      <c r="X1443" s="11"/>
      <c r="Y1443" s="11"/>
      <c r="Z1443" s="72"/>
      <c r="AA1443" s="11"/>
      <c r="AB1443" s="13"/>
      <c r="AC1443" s="11"/>
      <c r="AK1443" s="9"/>
    </row>
    <row r="1444" ht="14.25" customHeight="1">
      <c r="A1444" s="5" t="s">
        <v>5032</v>
      </c>
      <c r="B1444" s="5">
        <v>9.0</v>
      </c>
      <c r="C1444" s="5" t="s">
        <v>7678</v>
      </c>
      <c r="D1444" s="10" t="s">
        <v>5079</v>
      </c>
      <c r="E1444" s="5">
        <v>2627.0</v>
      </c>
      <c r="F1444" s="5" t="s">
        <v>5080</v>
      </c>
      <c r="G1444" s="5" t="s">
        <v>5081</v>
      </c>
      <c r="H1444" s="5" t="s">
        <v>5082</v>
      </c>
      <c r="I1444" s="5" t="s">
        <v>641</v>
      </c>
      <c r="J1444" s="5" t="s">
        <v>5083</v>
      </c>
      <c r="K1444" s="5">
        <v>1.0</v>
      </c>
      <c r="L1444" s="5">
        <v>3030.0</v>
      </c>
      <c r="M1444" s="8"/>
      <c r="V1444" s="11"/>
      <c r="W1444" s="11"/>
      <c r="X1444" s="11"/>
      <c r="Y1444" s="11"/>
      <c r="Z1444" s="72"/>
      <c r="AA1444" s="11"/>
      <c r="AB1444" s="13"/>
      <c r="AC1444" s="11"/>
      <c r="AK1444" s="9"/>
    </row>
    <row r="1445" ht="14.25" customHeight="1">
      <c r="A1445" s="5" t="s">
        <v>5032</v>
      </c>
      <c r="B1445" s="5">
        <v>9.0</v>
      </c>
      <c r="C1445" s="5" t="s">
        <v>7678</v>
      </c>
      <c r="D1445" s="10" t="s">
        <v>5084</v>
      </c>
      <c r="E1445" s="5">
        <v>1556.0</v>
      </c>
      <c r="F1445" s="5" t="s">
        <v>5085</v>
      </c>
      <c r="G1445" s="5" t="s">
        <v>5086</v>
      </c>
      <c r="H1445" s="5" t="s">
        <v>5087</v>
      </c>
      <c r="I1445" s="5" t="s">
        <v>641</v>
      </c>
      <c r="J1445" s="5" t="s">
        <v>5037</v>
      </c>
      <c r="K1445" s="5">
        <v>1.0</v>
      </c>
      <c r="L1445" s="5">
        <v>1959.0</v>
      </c>
      <c r="M1445" s="8"/>
      <c r="V1445" s="11"/>
      <c r="W1445" s="11"/>
      <c r="X1445" s="11"/>
      <c r="Y1445" s="11"/>
      <c r="Z1445" s="22"/>
      <c r="AA1445" s="11"/>
      <c r="AB1445" s="13"/>
      <c r="AC1445" s="11"/>
      <c r="AK1445" s="9"/>
    </row>
    <row r="1446" ht="14.25" customHeight="1">
      <c r="A1446" s="6" t="s">
        <v>5088</v>
      </c>
      <c r="B1446" s="5">
        <v>9.0</v>
      </c>
      <c r="C1446" s="5" t="s">
        <v>7681</v>
      </c>
      <c r="D1446" s="5" t="s">
        <v>5089</v>
      </c>
      <c r="E1446" s="5">
        <v>12086.0</v>
      </c>
      <c r="F1446" s="5" t="s">
        <v>5090</v>
      </c>
      <c r="G1446" s="5" t="s">
        <v>5091</v>
      </c>
      <c r="H1446" s="5" t="s">
        <v>84</v>
      </c>
      <c r="I1446" s="5" t="s">
        <v>641</v>
      </c>
      <c r="K1446" s="5">
        <v>1.0</v>
      </c>
      <c r="L1446" s="5">
        <v>14142.0</v>
      </c>
      <c r="M1446" s="8"/>
      <c r="V1446" s="11"/>
      <c r="W1446" s="11"/>
      <c r="X1446" s="11"/>
      <c r="Y1446" s="11"/>
      <c r="Z1446" s="22"/>
      <c r="AA1446" s="11"/>
      <c r="AB1446" s="13"/>
      <c r="AC1446" s="11"/>
      <c r="AK1446" s="9"/>
    </row>
    <row r="1447" ht="14.25" customHeight="1">
      <c r="A1447" s="5" t="s">
        <v>1692</v>
      </c>
      <c r="B1447" s="5">
        <v>9.0</v>
      </c>
      <c r="C1447" s="10" t="s">
        <v>7681</v>
      </c>
      <c r="D1447" s="12" t="s">
        <v>5092</v>
      </c>
      <c r="E1447" s="5">
        <v>12089.0</v>
      </c>
      <c r="F1447" s="5" t="s">
        <v>5093</v>
      </c>
      <c r="G1447" s="10" t="s">
        <v>5094</v>
      </c>
      <c r="H1447" s="5" t="s">
        <v>5095</v>
      </c>
      <c r="I1447" s="5" t="s">
        <v>641</v>
      </c>
      <c r="J1447" s="5" t="s">
        <v>5037</v>
      </c>
      <c r="K1447" s="5">
        <v>1.0</v>
      </c>
      <c r="L1447" s="5">
        <v>14145.0</v>
      </c>
      <c r="M1447" s="8"/>
      <c r="V1447" s="11"/>
      <c r="W1447" s="11"/>
      <c r="X1447" s="11"/>
      <c r="Y1447" s="11"/>
      <c r="Z1447" s="22"/>
      <c r="AA1447" s="11"/>
      <c r="AB1447" s="13"/>
      <c r="AC1447" s="11"/>
      <c r="AK1447" s="9"/>
    </row>
    <row r="1448" ht="14.25" customHeight="1">
      <c r="A1448" s="6" t="s">
        <v>5096</v>
      </c>
      <c r="B1448" s="5">
        <v>9.0</v>
      </c>
      <c r="C1448" s="5" t="s">
        <v>7681</v>
      </c>
      <c r="D1448" s="5" t="s">
        <v>5097</v>
      </c>
      <c r="E1448" s="5">
        <v>12090.0</v>
      </c>
      <c r="F1448" s="5" t="s">
        <v>5098</v>
      </c>
      <c r="G1448" s="5" t="s">
        <v>5099</v>
      </c>
      <c r="H1448" s="5" t="s">
        <v>84</v>
      </c>
      <c r="I1448" s="5" t="s">
        <v>641</v>
      </c>
      <c r="K1448" s="5">
        <v>1.0</v>
      </c>
      <c r="L1448" s="5">
        <v>14146.0</v>
      </c>
      <c r="M1448" s="8"/>
      <c r="AK1448" s="9"/>
    </row>
    <row r="1449" ht="14.25" customHeight="1">
      <c r="A1449" s="6" t="s">
        <v>5100</v>
      </c>
      <c r="B1449" s="5">
        <v>9.0</v>
      </c>
      <c r="C1449" s="5" t="s">
        <v>7681</v>
      </c>
      <c r="D1449" s="5" t="s">
        <v>5101</v>
      </c>
      <c r="E1449" s="5">
        <v>12091.0</v>
      </c>
      <c r="F1449" s="5" t="s">
        <v>5102</v>
      </c>
      <c r="G1449" s="5" t="s">
        <v>5103</v>
      </c>
      <c r="H1449" s="5" t="s">
        <v>84</v>
      </c>
      <c r="I1449" s="5" t="s">
        <v>641</v>
      </c>
      <c r="K1449" s="5">
        <v>1.0</v>
      </c>
      <c r="L1449" s="5">
        <v>14147.0</v>
      </c>
      <c r="M1449" s="8"/>
      <c r="V1449" s="11"/>
      <c r="W1449" s="11"/>
      <c r="X1449" s="11"/>
      <c r="Y1449" s="11"/>
      <c r="Z1449" s="22"/>
      <c r="AA1449" s="11"/>
      <c r="AB1449" s="13"/>
      <c r="AC1449" s="11"/>
      <c r="AK1449" s="9"/>
    </row>
    <row r="1450" ht="14.25" customHeight="1">
      <c r="A1450" s="6" t="s">
        <v>5104</v>
      </c>
      <c r="B1450" s="5">
        <v>9.0</v>
      </c>
      <c r="C1450" s="10" t="s">
        <v>7681</v>
      </c>
      <c r="D1450" s="10" t="s">
        <v>5105</v>
      </c>
      <c r="E1450" s="5">
        <v>12092.0</v>
      </c>
      <c r="F1450" s="5" t="s">
        <v>435</v>
      </c>
      <c r="G1450" s="5" t="s">
        <v>5106</v>
      </c>
      <c r="H1450" s="5" t="s">
        <v>84</v>
      </c>
      <c r="I1450" s="5" t="s">
        <v>641</v>
      </c>
      <c r="K1450" s="5">
        <v>1.0</v>
      </c>
      <c r="L1450" s="5">
        <v>14148.0</v>
      </c>
      <c r="M1450" s="8"/>
      <c r="AK1450" s="9"/>
    </row>
    <row r="1451" ht="14.25" customHeight="1">
      <c r="A1451" s="5" t="s">
        <v>5032</v>
      </c>
      <c r="B1451" s="5">
        <v>9.0</v>
      </c>
      <c r="C1451" s="11" t="s">
        <v>7678</v>
      </c>
      <c r="D1451" s="10" t="s">
        <v>5107</v>
      </c>
      <c r="E1451" s="5">
        <v>1562.0</v>
      </c>
      <c r="F1451" s="5" t="s">
        <v>5108</v>
      </c>
      <c r="G1451" s="5" t="s">
        <v>5109</v>
      </c>
      <c r="H1451" s="5" t="s">
        <v>5110</v>
      </c>
      <c r="I1451" s="5" t="s">
        <v>641</v>
      </c>
      <c r="J1451" s="5" t="s">
        <v>5073</v>
      </c>
      <c r="K1451" s="5">
        <v>1.0</v>
      </c>
      <c r="L1451" s="5">
        <v>1965.0</v>
      </c>
      <c r="M1451" s="8"/>
      <c r="AK1451" s="9"/>
    </row>
    <row r="1452" ht="14.25" customHeight="1">
      <c r="A1452" s="5" t="s">
        <v>5032</v>
      </c>
      <c r="B1452" s="5">
        <v>9.0</v>
      </c>
      <c r="C1452" s="11" t="s">
        <v>7678</v>
      </c>
      <c r="D1452" s="10" t="s">
        <v>5111</v>
      </c>
      <c r="E1452" s="5">
        <v>12093.0</v>
      </c>
      <c r="F1452" s="5" t="s">
        <v>5112</v>
      </c>
      <c r="G1452" s="5" t="s">
        <v>5113</v>
      </c>
      <c r="H1452" s="5" t="s">
        <v>5114</v>
      </c>
      <c r="I1452" s="5" t="s">
        <v>641</v>
      </c>
      <c r="J1452" s="5" t="s">
        <v>5073</v>
      </c>
      <c r="K1452" s="5">
        <v>1.0</v>
      </c>
      <c r="L1452" s="5">
        <v>14149.0</v>
      </c>
      <c r="M1452" s="8"/>
      <c r="AK1452" s="9"/>
    </row>
    <row r="1453" ht="14.25" customHeight="1">
      <c r="A1453" s="5" t="s">
        <v>5115</v>
      </c>
      <c r="B1453" s="5">
        <v>9.0</v>
      </c>
      <c r="C1453" s="11" t="s">
        <v>7678</v>
      </c>
      <c r="D1453" s="10" t="s">
        <v>5116</v>
      </c>
      <c r="E1453" s="5">
        <v>2615.0</v>
      </c>
      <c r="F1453" s="5" t="s">
        <v>5117</v>
      </c>
      <c r="G1453" s="5" t="s">
        <v>5118</v>
      </c>
      <c r="H1453" s="5" t="s">
        <v>5119</v>
      </c>
      <c r="I1453" s="5" t="s">
        <v>641</v>
      </c>
      <c r="J1453" s="5" t="s">
        <v>5048</v>
      </c>
      <c r="K1453" s="5">
        <v>1.0</v>
      </c>
      <c r="L1453" s="5">
        <v>3018.0</v>
      </c>
      <c r="M1453" s="8"/>
      <c r="AK1453" s="9"/>
    </row>
    <row r="1454" ht="14.25" customHeight="1">
      <c r="A1454" s="5" t="s">
        <v>5032</v>
      </c>
      <c r="B1454" s="5">
        <v>9.0</v>
      </c>
      <c r="C1454" s="11" t="s">
        <v>7678</v>
      </c>
      <c r="D1454" s="10" t="s">
        <v>5120</v>
      </c>
      <c r="E1454" s="5">
        <v>2616.0</v>
      </c>
      <c r="F1454" s="5" t="s">
        <v>5121</v>
      </c>
      <c r="G1454" s="5" t="s">
        <v>5122</v>
      </c>
      <c r="H1454" s="5" t="s">
        <v>5123</v>
      </c>
      <c r="I1454" s="5" t="s">
        <v>641</v>
      </c>
      <c r="J1454" s="5" t="s">
        <v>5037</v>
      </c>
      <c r="K1454" s="5">
        <v>1.0</v>
      </c>
      <c r="L1454" s="5">
        <v>3019.0</v>
      </c>
      <c r="M1454" s="8"/>
      <c r="AK1454" s="9"/>
    </row>
    <row r="1455" ht="14.25" customHeight="1">
      <c r="A1455" s="5" t="s">
        <v>5032</v>
      </c>
      <c r="B1455" s="5">
        <v>9.0</v>
      </c>
      <c r="C1455" s="11" t="s">
        <v>7678</v>
      </c>
      <c r="D1455" s="10" t="s">
        <v>5124</v>
      </c>
      <c r="E1455" s="5">
        <v>1585.0</v>
      </c>
      <c r="F1455" s="5" t="s">
        <v>5125</v>
      </c>
      <c r="G1455" s="5" t="s">
        <v>5126</v>
      </c>
      <c r="H1455" s="5" t="s">
        <v>5127</v>
      </c>
      <c r="I1455" s="5" t="s">
        <v>641</v>
      </c>
      <c r="J1455" s="5" t="s">
        <v>5073</v>
      </c>
      <c r="K1455" s="5">
        <v>1.0</v>
      </c>
      <c r="L1455" s="5">
        <v>1988.0</v>
      </c>
      <c r="M1455" s="8"/>
      <c r="AK1455" s="9"/>
    </row>
    <row r="1456" ht="14.25" customHeight="1">
      <c r="A1456" s="6" t="s">
        <v>5128</v>
      </c>
      <c r="B1456" s="5">
        <v>9.0</v>
      </c>
      <c r="C1456" s="5" t="s">
        <v>7681</v>
      </c>
      <c r="D1456" s="5" t="s">
        <v>5129</v>
      </c>
      <c r="E1456" s="5">
        <v>2644.0</v>
      </c>
      <c r="F1456" s="5" t="s">
        <v>5130</v>
      </c>
      <c r="G1456" s="5" t="s">
        <v>5131</v>
      </c>
      <c r="H1456" s="5" t="s">
        <v>84</v>
      </c>
      <c r="I1456" s="5" t="s">
        <v>641</v>
      </c>
      <c r="K1456" s="5">
        <v>1.0</v>
      </c>
      <c r="L1456" s="5">
        <v>3047.0</v>
      </c>
      <c r="M1456" s="8"/>
      <c r="AK1456" s="9"/>
    </row>
    <row r="1457" ht="14.25" customHeight="1">
      <c r="A1457" s="5" t="s">
        <v>5132</v>
      </c>
      <c r="B1457" s="5">
        <v>9.0</v>
      </c>
      <c r="C1457" s="10" t="s">
        <v>7681</v>
      </c>
      <c r="D1457" s="10" t="s">
        <v>5133</v>
      </c>
      <c r="E1457" s="5">
        <v>2641.0</v>
      </c>
      <c r="F1457" s="5" t="s">
        <v>5130</v>
      </c>
      <c r="G1457" s="5" t="s">
        <v>5134</v>
      </c>
      <c r="H1457" s="5" t="s">
        <v>5135</v>
      </c>
      <c r="I1457" s="5" t="s">
        <v>641</v>
      </c>
      <c r="J1457" s="5" t="s">
        <v>5083</v>
      </c>
      <c r="K1457" s="5">
        <v>1.0</v>
      </c>
      <c r="L1457" s="5">
        <v>3044.0</v>
      </c>
      <c r="M1457" s="8"/>
      <c r="AK1457" s="9"/>
    </row>
    <row r="1458" ht="14.25" customHeight="1">
      <c r="A1458" s="5" t="s">
        <v>5132</v>
      </c>
      <c r="B1458" s="5">
        <v>9.0</v>
      </c>
      <c r="C1458" s="10" t="s">
        <v>7681</v>
      </c>
      <c r="D1458" s="10" t="s">
        <v>5136</v>
      </c>
      <c r="E1458" s="5">
        <v>2637.0</v>
      </c>
      <c r="F1458" s="5" t="s">
        <v>5137</v>
      </c>
      <c r="G1458" s="5" t="s">
        <v>5138</v>
      </c>
      <c r="H1458" s="5" t="s">
        <v>5139</v>
      </c>
      <c r="I1458" s="5" t="s">
        <v>641</v>
      </c>
      <c r="J1458" s="5" t="s">
        <v>5048</v>
      </c>
      <c r="K1458" s="5">
        <v>1.0</v>
      </c>
      <c r="L1458" s="5">
        <v>3040.0</v>
      </c>
      <c r="M1458" s="8"/>
      <c r="AK1458" s="9"/>
    </row>
    <row r="1459" ht="14.25" customHeight="1">
      <c r="A1459" s="5" t="s">
        <v>5032</v>
      </c>
      <c r="B1459" s="5">
        <v>9.0</v>
      </c>
      <c r="C1459" s="11" t="s">
        <v>7678</v>
      </c>
      <c r="D1459" s="10" t="s">
        <v>5140</v>
      </c>
      <c r="E1459" s="5">
        <v>12103.0</v>
      </c>
      <c r="F1459" s="5" t="s">
        <v>5141</v>
      </c>
      <c r="G1459" s="5" t="s">
        <v>5142</v>
      </c>
      <c r="H1459" s="5" t="s">
        <v>5143</v>
      </c>
      <c r="I1459" s="5" t="s">
        <v>641</v>
      </c>
      <c r="J1459" s="5" t="s">
        <v>5073</v>
      </c>
      <c r="K1459" s="5">
        <v>1.0</v>
      </c>
      <c r="L1459" s="5">
        <v>14159.0</v>
      </c>
      <c r="M1459" s="8"/>
      <c r="AK1459" s="9"/>
    </row>
    <row r="1460" ht="14.25" customHeight="1">
      <c r="A1460" s="6" t="s">
        <v>5144</v>
      </c>
      <c r="B1460" s="5">
        <v>9.0</v>
      </c>
      <c r="C1460" s="10" t="s">
        <v>7681</v>
      </c>
      <c r="D1460" s="10" t="s">
        <v>5145</v>
      </c>
      <c r="E1460" s="5">
        <v>12104.0</v>
      </c>
      <c r="F1460" s="5" t="s">
        <v>5146</v>
      </c>
      <c r="G1460" s="5" t="s">
        <v>5147</v>
      </c>
      <c r="H1460" s="5" t="s">
        <v>84</v>
      </c>
      <c r="I1460" s="5" t="s">
        <v>641</v>
      </c>
      <c r="K1460" s="5">
        <v>1.0</v>
      </c>
      <c r="L1460" s="5">
        <v>14160.0</v>
      </c>
      <c r="M1460" s="8"/>
      <c r="AK1460" s="9"/>
    </row>
    <row r="1461" ht="14.25" customHeight="1">
      <c r="A1461" s="5" t="s">
        <v>5032</v>
      </c>
      <c r="B1461" s="5">
        <v>9.0</v>
      </c>
      <c r="C1461" s="5" t="s">
        <v>7678</v>
      </c>
      <c r="D1461" s="10" t="s">
        <v>5148</v>
      </c>
      <c r="E1461" s="5">
        <v>12105.0</v>
      </c>
      <c r="F1461" s="5" t="s">
        <v>5149</v>
      </c>
      <c r="G1461" s="5" t="s">
        <v>5150</v>
      </c>
      <c r="H1461" s="5" t="s">
        <v>5151</v>
      </c>
      <c r="I1461" s="5" t="s">
        <v>641</v>
      </c>
      <c r="J1461" s="5" t="s">
        <v>5073</v>
      </c>
      <c r="K1461" s="5">
        <v>1.0</v>
      </c>
      <c r="L1461" s="5">
        <v>14161.0</v>
      </c>
      <c r="M1461" s="8"/>
      <c r="AK1461" s="9"/>
    </row>
    <row r="1462" ht="14.25" customHeight="1">
      <c r="A1462" s="5" t="s">
        <v>5032</v>
      </c>
      <c r="B1462" s="5">
        <v>9.0</v>
      </c>
      <c r="C1462" s="5" t="s">
        <v>7678</v>
      </c>
      <c r="D1462" s="10" t="s">
        <v>5152</v>
      </c>
      <c r="E1462" s="5">
        <v>12427.0</v>
      </c>
      <c r="F1462" s="5" t="s">
        <v>5153</v>
      </c>
      <c r="G1462" s="5" t="s">
        <v>5154</v>
      </c>
      <c r="H1462" s="5" t="s">
        <v>5155</v>
      </c>
      <c r="I1462" s="5" t="s">
        <v>49</v>
      </c>
      <c r="J1462" s="5" t="s">
        <v>5073</v>
      </c>
      <c r="K1462" s="5">
        <v>1.0</v>
      </c>
      <c r="L1462" s="5">
        <v>14449.0</v>
      </c>
      <c r="M1462" s="8"/>
      <c r="AK1462" s="9"/>
    </row>
    <row r="1463" ht="14.25" customHeight="1">
      <c r="A1463" s="5" t="s">
        <v>5032</v>
      </c>
      <c r="B1463" s="5">
        <v>9.0</v>
      </c>
      <c r="C1463" s="5" t="s">
        <v>7678</v>
      </c>
      <c r="D1463" s="10" t="s">
        <v>5156</v>
      </c>
      <c r="E1463" s="5">
        <v>2608.0</v>
      </c>
      <c r="F1463" s="5" t="s">
        <v>353</v>
      </c>
      <c r="G1463" s="5" t="s">
        <v>5157</v>
      </c>
      <c r="H1463" s="5" t="s">
        <v>5158</v>
      </c>
      <c r="I1463" s="5" t="s">
        <v>641</v>
      </c>
      <c r="J1463" s="5" t="s">
        <v>5073</v>
      </c>
      <c r="K1463" s="5">
        <v>1.0</v>
      </c>
      <c r="L1463" s="5">
        <v>3011.0</v>
      </c>
      <c r="M1463" s="8"/>
      <c r="AK1463" s="9"/>
    </row>
    <row r="1464" ht="14.25" customHeight="1">
      <c r="A1464" s="5" t="s">
        <v>5032</v>
      </c>
      <c r="B1464" s="5">
        <v>9.0</v>
      </c>
      <c r="C1464" s="5" t="s">
        <v>7678</v>
      </c>
      <c r="D1464" s="10" t="s">
        <v>5159</v>
      </c>
      <c r="E1464" s="5">
        <v>2599.0</v>
      </c>
      <c r="F1464" s="5" t="s">
        <v>5160</v>
      </c>
      <c r="G1464" s="5" t="s">
        <v>5161</v>
      </c>
      <c r="H1464" s="5" t="s">
        <v>5162</v>
      </c>
      <c r="I1464" s="5" t="s">
        <v>641</v>
      </c>
      <c r="J1464" s="5" t="s">
        <v>5163</v>
      </c>
      <c r="K1464" s="5">
        <v>1.0</v>
      </c>
      <c r="L1464" s="5">
        <v>3002.0</v>
      </c>
      <c r="M1464" s="8"/>
      <c r="AK1464" s="9"/>
    </row>
    <row r="1465" ht="14.25" customHeight="1">
      <c r="A1465" s="5" t="s">
        <v>5032</v>
      </c>
      <c r="B1465" s="5">
        <v>9.0</v>
      </c>
      <c r="C1465" s="5" t="s">
        <v>7678</v>
      </c>
      <c r="D1465" s="10" t="s">
        <v>5164</v>
      </c>
      <c r="E1465" s="5">
        <v>1571.0</v>
      </c>
      <c r="F1465" s="5" t="s">
        <v>5165</v>
      </c>
      <c r="G1465" s="5" t="s">
        <v>5166</v>
      </c>
      <c r="H1465" s="5" t="s">
        <v>5167</v>
      </c>
      <c r="I1465" s="5" t="s">
        <v>641</v>
      </c>
      <c r="J1465" s="5" t="s">
        <v>5168</v>
      </c>
      <c r="K1465" s="5">
        <v>1.0</v>
      </c>
      <c r="L1465" s="5">
        <v>1974.0</v>
      </c>
      <c r="M1465" s="8"/>
      <c r="AK1465" s="9"/>
    </row>
    <row r="1466" ht="14.25" customHeight="1">
      <c r="A1466" s="5" t="s">
        <v>5032</v>
      </c>
      <c r="B1466" s="5">
        <v>9.0</v>
      </c>
      <c r="C1466" s="5" t="s">
        <v>7678</v>
      </c>
      <c r="D1466" s="10" t="s">
        <v>5169</v>
      </c>
      <c r="E1466" s="5">
        <v>1590.0</v>
      </c>
      <c r="F1466" s="5" t="s">
        <v>5170</v>
      </c>
      <c r="G1466" s="5" t="s">
        <v>5171</v>
      </c>
      <c r="H1466" s="5" t="s">
        <v>5172</v>
      </c>
      <c r="I1466" s="5" t="s">
        <v>641</v>
      </c>
      <c r="J1466" s="5" t="s">
        <v>5073</v>
      </c>
      <c r="K1466" s="5">
        <v>1.0</v>
      </c>
      <c r="L1466" s="5">
        <v>1993.0</v>
      </c>
      <c r="M1466" s="8"/>
      <c r="AK1466" s="9"/>
    </row>
    <row r="1467" ht="14.25" customHeight="1">
      <c r="A1467" s="5" t="s">
        <v>5032</v>
      </c>
      <c r="B1467" s="5">
        <v>9.0</v>
      </c>
      <c r="C1467" s="5" t="s">
        <v>7678</v>
      </c>
      <c r="D1467" s="10" t="s">
        <v>5173</v>
      </c>
      <c r="E1467" s="5">
        <v>12116.0</v>
      </c>
      <c r="F1467" s="5" t="s">
        <v>5174</v>
      </c>
      <c r="G1467" s="5" t="s">
        <v>5175</v>
      </c>
      <c r="H1467" s="5" t="s">
        <v>5176</v>
      </c>
      <c r="I1467" s="5" t="s">
        <v>641</v>
      </c>
      <c r="J1467" s="5" t="s">
        <v>5177</v>
      </c>
      <c r="K1467" s="5">
        <v>1.0</v>
      </c>
      <c r="L1467" s="5">
        <v>14172.0</v>
      </c>
      <c r="M1467" s="8"/>
      <c r="AK1467" s="9"/>
    </row>
    <row r="1468" ht="14.25" customHeight="1">
      <c r="A1468" s="5" t="s">
        <v>5032</v>
      </c>
      <c r="B1468" s="5">
        <v>9.0</v>
      </c>
      <c r="C1468" s="5" t="s">
        <v>7678</v>
      </c>
      <c r="D1468" s="10" t="s">
        <v>5178</v>
      </c>
      <c r="E1468" s="5">
        <v>3280.0</v>
      </c>
      <c r="F1468" s="5" t="s">
        <v>5179</v>
      </c>
      <c r="G1468" s="5" t="s">
        <v>5180</v>
      </c>
      <c r="H1468" s="5" t="s">
        <v>5181</v>
      </c>
      <c r="I1468" s="5" t="s">
        <v>49</v>
      </c>
      <c r="J1468" s="5" t="s">
        <v>5078</v>
      </c>
      <c r="K1468" s="5">
        <v>1.0</v>
      </c>
      <c r="L1468" s="5">
        <v>4119.0</v>
      </c>
      <c r="M1468" s="8"/>
      <c r="AK1468" s="9"/>
    </row>
    <row r="1469" ht="14.25" customHeight="1">
      <c r="A1469" s="5" t="s">
        <v>5032</v>
      </c>
      <c r="B1469" s="5">
        <v>9.0</v>
      </c>
      <c r="C1469" s="5" t="s">
        <v>7678</v>
      </c>
      <c r="D1469" s="10" t="s">
        <v>5182</v>
      </c>
      <c r="E1469" s="5">
        <v>12428.0</v>
      </c>
      <c r="F1469" s="5" t="s">
        <v>5183</v>
      </c>
      <c r="G1469" s="5" t="s">
        <v>5184</v>
      </c>
      <c r="H1469" s="5" t="s">
        <v>5185</v>
      </c>
      <c r="I1469" s="5" t="s">
        <v>49</v>
      </c>
      <c r="J1469" s="5" t="s">
        <v>5073</v>
      </c>
      <c r="K1469" s="5">
        <v>1.0</v>
      </c>
      <c r="L1469" s="5">
        <v>14450.0</v>
      </c>
      <c r="M1469" s="8"/>
      <c r="AK1469" s="9"/>
    </row>
    <row r="1470" ht="14.25" customHeight="1">
      <c r="A1470" s="5" t="s">
        <v>422</v>
      </c>
      <c r="B1470" s="5">
        <v>9.0</v>
      </c>
      <c r="C1470" s="5" t="s">
        <v>7678</v>
      </c>
      <c r="D1470" s="5" t="s">
        <v>5186</v>
      </c>
      <c r="E1470" s="5">
        <v>2625.0</v>
      </c>
      <c r="F1470" s="5" t="s">
        <v>5187</v>
      </c>
      <c r="G1470" s="5" t="s">
        <v>5188</v>
      </c>
      <c r="H1470" s="5" t="s">
        <v>5189</v>
      </c>
      <c r="I1470" s="5" t="s">
        <v>641</v>
      </c>
      <c r="J1470" s="5" t="s">
        <v>5083</v>
      </c>
      <c r="K1470" s="5">
        <v>1.0</v>
      </c>
      <c r="L1470" s="5">
        <v>3028.0</v>
      </c>
      <c r="M1470" s="8"/>
      <c r="AK1470" s="9"/>
    </row>
    <row r="1471" ht="14.25" customHeight="1">
      <c r="A1471" s="5" t="s">
        <v>5032</v>
      </c>
      <c r="B1471" s="5">
        <v>9.0</v>
      </c>
      <c r="C1471" s="5" t="s">
        <v>7678</v>
      </c>
      <c r="D1471" s="10" t="s">
        <v>5190</v>
      </c>
      <c r="E1471" s="5">
        <v>2642.0</v>
      </c>
      <c r="F1471" s="5" t="s">
        <v>5191</v>
      </c>
      <c r="G1471" s="5" t="s">
        <v>5192</v>
      </c>
      <c r="H1471" s="5" t="s">
        <v>5193</v>
      </c>
      <c r="I1471" s="5" t="s">
        <v>641</v>
      </c>
      <c r="J1471" s="5" t="s">
        <v>5037</v>
      </c>
      <c r="K1471" s="5">
        <v>1.0</v>
      </c>
      <c r="L1471" s="5">
        <v>3045.0</v>
      </c>
      <c r="M1471" s="8"/>
      <c r="AK1471" s="9"/>
    </row>
    <row r="1472" ht="14.25" customHeight="1">
      <c r="A1472" s="5" t="s">
        <v>5032</v>
      </c>
      <c r="B1472" s="5">
        <v>9.0</v>
      </c>
      <c r="C1472" s="5" t="s">
        <v>7678</v>
      </c>
      <c r="D1472" s="10" t="s">
        <v>5194</v>
      </c>
      <c r="E1472" s="5">
        <v>2639.0</v>
      </c>
      <c r="F1472" s="5" t="s">
        <v>5195</v>
      </c>
      <c r="G1472" s="5" t="s">
        <v>5196</v>
      </c>
      <c r="H1472" s="5" t="s">
        <v>5197</v>
      </c>
      <c r="I1472" s="5" t="s">
        <v>641</v>
      </c>
      <c r="J1472" s="5" t="s">
        <v>5198</v>
      </c>
      <c r="K1472" s="5">
        <v>1.0</v>
      </c>
      <c r="L1472" s="5">
        <v>3042.0</v>
      </c>
      <c r="M1472" s="8"/>
      <c r="AK1472" s="9"/>
    </row>
    <row r="1473" ht="14.25" customHeight="1">
      <c r="A1473" s="5" t="s">
        <v>5032</v>
      </c>
      <c r="B1473" s="5">
        <v>9.0</v>
      </c>
      <c r="C1473" s="5" t="s">
        <v>7678</v>
      </c>
      <c r="D1473" s="10" t="s">
        <v>5199</v>
      </c>
      <c r="E1473" s="5">
        <v>12129.0</v>
      </c>
      <c r="F1473" s="5" t="s">
        <v>5200</v>
      </c>
      <c r="G1473" s="5" t="s">
        <v>5201</v>
      </c>
      <c r="H1473" s="5" t="s">
        <v>5202</v>
      </c>
      <c r="I1473" s="5" t="s">
        <v>641</v>
      </c>
      <c r="J1473" s="5" t="s">
        <v>5073</v>
      </c>
      <c r="K1473" s="5">
        <v>1.0</v>
      </c>
      <c r="L1473" s="5">
        <v>14185.0</v>
      </c>
      <c r="M1473" s="8"/>
      <c r="AK1473" s="9"/>
    </row>
    <row r="1474" ht="14.25" customHeight="1">
      <c r="A1474" s="5" t="s">
        <v>5032</v>
      </c>
      <c r="B1474" s="5">
        <v>9.0</v>
      </c>
      <c r="C1474" s="5" t="s">
        <v>7678</v>
      </c>
      <c r="D1474" s="10" t="s">
        <v>5203</v>
      </c>
      <c r="E1474" s="5">
        <v>2611.0</v>
      </c>
      <c r="F1474" s="5" t="s">
        <v>5204</v>
      </c>
      <c r="G1474" s="5" t="s">
        <v>5205</v>
      </c>
      <c r="H1474" s="5" t="s">
        <v>5206</v>
      </c>
      <c r="I1474" s="5" t="s">
        <v>641</v>
      </c>
      <c r="J1474" s="5" t="s">
        <v>5083</v>
      </c>
      <c r="K1474" s="5">
        <v>1.0</v>
      </c>
      <c r="L1474" s="5">
        <v>3014.0</v>
      </c>
      <c r="M1474" s="8"/>
      <c r="AK1474" s="9"/>
    </row>
    <row r="1475" ht="14.25" customHeight="1">
      <c r="A1475" s="5" t="s">
        <v>5032</v>
      </c>
      <c r="B1475" s="5">
        <v>9.0</v>
      </c>
      <c r="C1475" s="5" t="s">
        <v>7678</v>
      </c>
      <c r="D1475" s="10" t="s">
        <v>5207</v>
      </c>
      <c r="E1475" s="5">
        <v>2620.0</v>
      </c>
      <c r="F1475" s="5" t="s">
        <v>5208</v>
      </c>
      <c r="G1475" s="5" t="s">
        <v>5209</v>
      </c>
      <c r="H1475" s="5" t="s">
        <v>5210</v>
      </c>
      <c r="I1475" s="5" t="s">
        <v>641</v>
      </c>
      <c r="J1475" s="5" t="s">
        <v>4974</v>
      </c>
      <c r="K1475" s="5">
        <v>1.0</v>
      </c>
      <c r="L1475" s="5">
        <v>3023.0</v>
      </c>
      <c r="M1475" s="8"/>
      <c r="AK1475" s="9"/>
    </row>
    <row r="1476" ht="14.25" customHeight="1">
      <c r="A1476" s="5" t="s">
        <v>5032</v>
      </c>
      <c r="B1476" s="5">
        <v>9.0</v>
      </c>
      <c r="C1476" s="5" t="s">
        <v>7678</v>
      </c>
      <c r="D1476" s="12" t="s">
        <v>5211</v>
      </c>
      <c r="E1476" s="5">
        <v>1577.0</v>
      </c>
      <c r="F1476" s="5" t="s">
        <v>5212</v>
      </c>
      <c r="G1476" s="5" t="s">
        <v>5213</v>
      </c>
      <c r="H1476" s="5" t="s">
        <v>5214</v>
      </c>
      <c r="I1476" s="5" t="s">
        <v>641</v>
      </c>
      <c r="J1476" s="5" t="s">
        <v>5083</v>
      </c>
      <c r="K1476" s="5">
        <v>1.0</v>
      </c>
      <c r="L1476" s="5">
        <v>1980.0</v>
      </c>
      <c r="M1476" s="8"/>
      <c r="AK1476" s="9"/>
    </row>
    <row r="1477" ht="14.25" customHeight="1">
      <c r="A1477" s="5" t="s">
        <v>5215</v>
      </c>
      <c r="B1477" s="5">
        <v>9.0</v>
      </c>
      <c r="C1477" s="28" t="s">
        <v>7682</v>
      </c>
      <c r="D1477" s="28" t="s">
        <v>5217</v>
      </c>
      <c r="E1477" s="5">
        <v>12951.0</v>
      </c>
      <c r="F1477" s="5" t="s">
        <v>5218</v>
      </c>
      <c r="G1477" s="5" t="s">
        <v>5219</v>
      </c>
      <c r="H1477" s="5" t="s">
        <v>5220</v>
      </c>
      <c r="I1477" s="5" t="s">
        <v>49</v>
      </c>
      <c r="J1477" s="5" t="s">
        <v>5221</v>
      </c>
      <c r="K1477" s="5">
        <v>1.0</v>
      </c>
      <c r="L1477" s="5">
        <v>14883.0</v>
      </c>
      <c r="M1477" s="8"/>
      <c r="AK1477" s="9"/>
    </row>
    <row r="1478" ht="14.25" customHeight="1">
      <c r="B1478" s="5">
        <v>9.0</v>
      </c>
      <c r="C1478" s="5" t="s">
        <v>7678</v>
      </c>
      <c r="D1478" s="10" t="s">
        <v>5222</v>
      </c>
      <c r="E1478" s="5">
        <v>12139.0</v>
      </c>
      <c r="F1478" s="5" t="s">
        <v>5223</v>
      </c>
      <c r="G1478" s="5" t="s">
        <v>5224</v>
      </c>
      <c r="H1478" s="5" t="s">
        <v>5225</v>
      </c>
      <c r="I1478" s="5" t="s">
        <v>641</v>
      </c>
      <c r="J1478" s="5" t="s">
        <v>5177</v>
      </c>
      <c r="K1478" s="5">
        <v>1.0</v>
      </c>
      <c r="L1478" s="5">
        <v>14195.0</v>
      </c>
      <c r="M1478" s="8"/>
      <c r="AK1478" s="9"/>
    </row>
    <row r="1479" ht="14.25" customHeight="1">
      <c r="A1479" s="5" t="s">
        <v>5032</v>
      </c>
      <c r="B1479" s="5">
        <v>9.0</v>
      </c>
      <c r="C1479" s="5" t="s">
        <v>7678</v>
      </c>
      <c r="D1479" s="10" t="s">
        <v>5226</v>
      </c>
      <c r="E1479" s="5">
        <v>1564.0</v>
      </c>
      <c r="F1479" s="5" t="s">
        <v>5227</v>
      </c>
      <c r="G1479" s="5" t="s">
        <v>5228</v>
      </c>
      <c r="H1479" s="5" t="s">
        <v>5229</v>
      </c>
      <c r="I1479" s="5" t="s">
        <v>641</v>
      </c>
      <c r="J1479" s="5" t="s">
        <v>5073</v>
      </c>
      <c r="K1479" s="5">
        <v>1.0</v>
      </c>
      <c r="L1479" s="5">
        <v>1967.0</v>
      </c>
      <c r="M1479" s="8"/>
      <c r="AK1479" s="9"/>
    </row>
    <row r="1480" ht="14.25" customHeight="1">
      <c r="B1480" s="5">
        <v>9.0</v>
      </c>
      <c r="C1480" s="5" t="s">
        <v>7678</v>
      </c>
      <c r="D1480" s="10" t="s">
        <v>5230</v>
      </c>
      <c r="E1480" s="5">
        <v>2588.0</v>
      </c>
      <c r="F1480" s="5" t="s">
        <v>5231</v>
      </c>
      <c r="G1480" s="5" t="s">
        <v>5232</v>
      </c>
      <c r="H1480" s="5" t="s">
        <v>5233</v>
      </c>
      <c r="I1480" s="5" t="s">
        <v>641</v>
      </c>
      <c r="J1480" s="5" t="s">
        <v>5037</v>
      </c>
      <c r="K1480" s="5">
        <v>1.0</v>
      </c>
      <c r="L1480" s="5">
        <v>2991.0</v>
      </c>
      <c r="M1480" s="8"/>
      <c r="AK1480" s="9"/>
    </row>
    <row r="1481" ht="14.25" customHeight="1">
      <c r="B1481" s="5">
        <v>9.0</v>
      </c>
      <c r="C1481" s="5" t="s">
        <v>7678</v>
      </c>
      <c r="D1481" s="10" t="s">
        <v>5234</v>
      </c>
      <c r="E1481" s="5">
        <v>2590.0</v>
      </c>
      <c r="F1481" s="5" t="s">
        <v>5235</v>
      </c>
      <c r="G1481" s="5" t="s">
        <v>5236</v>
      </c>
      <c r="H1481" s="5" t="s">
        <v>5237</v>
      </c>
      <c r="I1481" s="5" t="s">
        <v>641</v>
      </c>
      <c r="J1481" s="5" t="s">
        <v>5083</v>
      </c>
      <c r="K1481" s="5">
        <v>1.0</v>
      </c>
      <c r="L1481" s="5">
        <v>2993.0</v>
      </c>
      <c r="M1481" s="8"/>
      <c r="AK1481" s="9"/>
    </row>
    <row r="1482" ht="14.25" customHeight="1">
      <c r="A1482" s="5" t="s">
        <v>5032</v>
      </c>
      <c r="B1482" s="5">
        <v>9.0</v>
      </c>
      <c r="C1482" s="5" t="s">
        <v>7678</v>
      </c>
      <c r="D1482" s="10" t="s">
        <v>5238</v>
      </c>
      <c r="E1482" s="5">
        <v>2591.0</v>
      </c>
      <c r="F1482" s="5" t="s">
        <v>5239</v>
      </c>
      <c r="G1482" s="5" t="s">
        <v>5240</v>
      </c>
      <c r="H1482" s="5" t="s">
        <v>5241</v>
      </c>
      <c r="I1482" s="5" t="s">
        <v>641</v>
      </c>
      <c r="J1482" s="5" t="s">
        <v>5037</v>
      </c>
      <c r="K1482" s="5">
        <v>1.0</v>
      </c>
      <c r="L1482" s="5">
        <v>2994.0</v>
      </c>
      <c r="M1482" s="8"/>
      <c r="AK1482" s="9"/>
    </row>
    <row r="1483" ht="14.25" customHeight="1">
      <c r="A1483" s="5" t="s">
        <v>5032</v>
      </c>
      <c r="B1483" s="5">
        <v>9.0</v>
      </c>
      <c r="C1483" s="5" t="s">
        <v>7678</v>
      </c>
      <c r="D1483" s="10" t="s">
        <v>5242</v>
      </c>
      <c r="E1483" s="5">
        <v>2594.0</v>
      </c>
      <c r="F1483" s="5" t="s">
        <v>5243</v>
      </c>
      <c r="G1483" s="5" t="s">
        <v>5244</v>
      </c>
      <c r="H1483" s="5" t="s">
        <v>5245</v>
      </c>
      <c r="I1483" s="5" t="s">
        <v>641</v>
      </c>
      <c r="J1483" s="5" t="s">
        <v>5073</v>
      </c>
      <c r="K1483" s="5">
        <v>1.0</v>
      </c>
      <c r="L1483" s="5">
        <v>2997.0</v>
      </c>
      <c r="M1483" s="8"/>
      <c r="AK1483" s="9"/>
    </row>
    <row r="1484" ht="14.25" customHeight="1">
      <c r="A1484" s="5" t="s">
        <v>5032</v>
      </c>
      <c r="B1484" s="5">
        <v>9.0</v>
      </c>
      <c r="C1484" s="5" t="s">
        <v>7678</v>
      </c>
      <c r="D1484" s="10" t="s">
        <v>5246</v>
      </c>
      <c r="E1484" s="5">
        <v>1572.0</v>
      </c>
      <c r="F1484" s="5" t="s">
        <v>5247</v>
      </c>
      <c r="G1484" s="5" t="s">
        <v>5248</v>
      </c>
      <c r="H1484" s="5" t="s">
        <v>5249</v>
      </c>
      <c r="I1484" s="5" t="s">
        <v>641</v>
      </c>
      <c r="J1484" s="5" t="s">
        <v>5177</v>
      </c>
      <c r="K1484" s="5">
        <v>1.0</v>
      </c>
      <c r="L1484" s="5">
        <v>1975.0</v>
      </c>
      <c r="M1484" s="8"/>
      <c r="AK1484" s="9"/>
    </row>
    <row r="1485" ht="14.25" customHeight="1">
      <c r="A1485" s="5" t="s">
        <v>5032</v>
      </c>
      <c r="B1485" s="5">
        <v>9.0</v>
      </c>
      <c r="C1485" s="5" t="s">
        <v>7678</v>
      </c>
      <c r="D1485" s="10" t="s">
        <v>5250</v>
      </c>
      <c r="E1485" s="5">
        <v>2610.0</v>
      </c>
      <c r="F1485" s="5" t="s">
        <v>5251</v>
      </c>
      <c r="G1485" s="5" t="s">
        <v>5252</v>
      </c>
      <c r="H1485" s="5" t="s">
        <v>5253</v>
      </c>
      <c r="I1485" s="5" t="s">
        <v>641</v>
      </c>
      <c r="J1485" s="5" t="s">
        <v>5254</v>
      </c>
      <c r="K1485" s="5">
        <v>1.0</v>
      </c>
      <c r="L1485" s="5">
        <v>3013.0</v>
      </c>
      <c r="M1485" s="8"/>
      <c r="AK1485" s="9"/>
    </row>
    <row r="1486" ht="14.25" customHeight="1">
      <c r="A1486" s="5" t="s">
        <v>4980</v>
      </c>
      <c r="B1486" s="5">
        <v>9.0</v>
      </c>
      <c r="C1486" s="5" t="s">
        <v>7678</v>
      </c>
      <c r="D1486" s="10" t="s">
        <v>5255</v>
      </c>
      <c r="E1486" s="5">
        <v>2640.0</v>
      </c>
      <c r="F1486" s="5" t="s">
        <v>5256</v>
      </c>
      <c r="G1486" s="5" t="s">
        <v>5257</v>
      </c>
      <c r="H1486" s="5" t="s">
        <v>5258</v>
      </c>
      <c r="I1486" s="5" t="s">
        <v>641</v>
      </c>
      <c r="J1486" s="5" t="s">
        <v>5037</v>
      </c>
      <c r="K1486" s="5">
        <v>1.0</v>
      </c>
      <c r="L1486" s="5">
        <v>3043.0</v>
      </c>
      <c r="M1486" s="8"/>
      <c r="AK1486" s="9"/>
    </row>
    <row r="1487" ht="14.25" customHeight="1">
      <c r="A1487" s="6" t="s">
        <v>5259</v>
      </c>
      <c r="B1487" s="5">
        <v>9.0</v>
      </c>
      <c r="C1487" s="5" t="s">
        <v>7681</v>
      </c>
      <c r="D1487" s="5" t="s">
        <v>5260</v>
      </c>
      <c r="E1487" s="5">
        <v>1588.0</v>
      </c>
      <c r="F1487" s="5" t="s">
        <v>449</v>
      </c>
      <c r="G1487" s="5" t="s">
        <v>5261</v>
      </c>
      <c r="H1487" s="5" t="s">
        <v>84</v>
      </c>
      <c r="I1487" s="5" t="s">
        <v>641</v>
      </c>
      <c r="K1487" s="5">
        <v>1.0</v>
      </c>
      <c r="L1487" s="5">
        <v>1991.0</v>
      </c>
      <c r="M1487" s="8"/>
      <c r="AK1487" s="9"/>
    </row>
    <row r="1488" ht="14.25" customHeight="1">
      <c r="A1488" s="5" t="s">
        <v>5032</v>
      </c>
      <c r="B1488" s="5">
        <v>9.0</v>
      </c>
      <c r="C1488" s="11" t="s">
        <v>7678</v>
      </c>
      <c r="D1488" s="10" t="s">
        <v>5262</v>
      </c>
      <c r="E1488" s="5">
        <v>2626.0</v>
      </c>
      <c r="F1488" s="5" t="s">
        <v>5263</v>
      </c>
      <c r="G1488" s="5" t="s">
        <v>5264</v>
      </c>
      <c r="H1488" s="5" t="s">
        <v>5265</v>
      </c>
      <c r="I1488" s="5" t="s">
        <v>641</v>
      </c>
      <c r="J1488" s="5" t="s">
        <v>5073</v>
      </c>
      <c r="K1488" s="5">
        <v>1.0</v>
      </c>
      <c r="L1488" s="5">
        <v>3029.0</v>
      </c>
      <c r="M1488" s="8"/>
      <c r="AK1488" s="9"/>
    </row>
    <row r="1489" ht="14.25" customHeight="1">
      <c r="A1489" s="6" t="s">
        <v>5266</v>
      </c>
      <c r="B1489" s="5">
        <v>9.0</v>
      </c>
      <c r="C1489" s="5" t="s">
        <v>7681</v>
      </c>
      <c r="D1489" s="5" t="s">
        <v>5267</v>
      </c>
      <c r="E1489" s="5">
        <v>12160.0</v>
      </c>
      <c r="F1489" s="5" t="s">
        <v>5268</v>
      </c>
      <c r="G1489" s="5" t="s">
        <v>5269</v>
      </c>
      <c r="H1489" s="5" t="s">
        <v>84</v>
      </c>
      <c r="I1489" s="5" t="s">
        <v>641</v>
      </c>
      <c r="K1489" s="5">
        <v>1.0</v>
      </c>
      <c r="L1489" s="5">
        <v>14216.0</v>
      </c>
      <c r="M1489" s="8"/>
      <c r="AK1489" s="9"/>
    </row>
    <row r="1490" ht="14.25" customHeight="1">
      <c r="A1490" s="6" t="s">
        <v>5104</v>
      </c>
      <c r="B1490" s="5">
        <v>9.0</v>
      </c>
      <c r="C1490" s="10" t="s">
        <v>7681</v>
      </c>
      <c r="D1490" s="10" t="s">
        <v>5270</v>
      </c>
      <c r="E1490" s="5">
        <v>2634.0</v>
      </c>
      <c r="F1490" s="5" t="s">
        <v>5271</v>
      </c>
      <c r="G1490" s="10" t="s">
        <v>5272</v>
      </c>
      <c r="H1490" s="5" t="s">
        <v>5273</v>
      </c>
      <c r="I1490" s="5" t="s">
        <v>641</v>
      </c>
      <c r="J1490" s="5" t="s">
        <v>5048</v>
      </c>
      <c r="K1490" s="5">
        <v>1.0</v>
      </c>
      <c r="L1490" s="5">
        <v>3037.0</v>
      </c>
      <c r="M1490" s="8"/>
      <c r="AK1490" s="9"/>
    </row>
    <row r="1491" ht="14.25" customHeight="1">
      <c r="A1491" s="5" t="s">
        <v>5032</v>
      </c>
      <c r="B1491" s="5">
        <v>9.0</v>
      </c>
      <c r="C1491" s="11" t="s">
        <v>7678</v>
      </c>
      <c r="D1491" s="10" t="s">
        <v>5274</v>
      </c>
      <c r="E1491" s="5">
        <v>2602.0</v>
      </c>
      <c r="F1491" s="5" t="s">
        <v>5275</v>
      </c>
      <c r="G1491" s="5" t="s">
        <v>5276</v>
      </c>
      <c r="H1491" s="5" t="s">
        <v>5277</v>
      </c>
      <c r="I1491" s="5" t="s">
        <v>641</v>
      </c>
      <c r="J1491" s="5" t="s">
        <v>5073</v>
      </c>
      <c r="K1491" s="5">
        <v>1.0</v>
      </c>
      <c r="L1491" s="5">
        <v>3005.0</v>
      </c>
      <c r="M1491" s="8"/>
      <c r="AK1491" s="9"/>
    </row>
    <row r="1492" ht="14.25" customHeight="1">
      <c r="A1492" s="5" t="s">
        <v>5278</v>
      </c>
      <c r="B1492" s="5">
        <v>9.0</v>
      </c>
      <c r="C1492" s="10" t="s">
        <v>7683</v>
      </c>
      <c r="D1492" s="10" t="s">
        <v>5280</v>
      </c>
      <c r="E1492" s="5">
        <v>12956.0</v>
      </c>
      <c r="F1492" s="5" t="s">
        <v>5281</v>
      </c>
      <c r="G1492" s="5" t="s">
        <v>5282</v>
      </c>
      <c r="H1492" s="5" t="s">
        <v>5283</v>
      </c>
      <c r="I1492" s="10" t="s">
        <v>5284</v>
      </c>
      <c r="J1492" s="5" t="s">
        <v>5285</v>
      </c>
      <c r="K1492" s="5">
        <v>1.0</v>
      </c>
      <c r="L1492" s="5">
        <v>14888.0</v>
      </c>
      <c r="M1492" s="8"/>
      <c r="AK1492" s="9"/>
    </row>
    <row r="1493" ht="14.25" customHeight="1">
      <c r="A1493" s="5" t="s">
        <v>5032</v>
      </c>
      <c r="B1493" s="5">
        <v>9.0</v>
      </c>
      <c r="C1493" s="5" t="s">
        <v>7678</v>
      </c>
      <c r="D1493" s="10" t="s">
        <v>5286</v>
      </c>
      <c r="E1493" s="5">
        <v>12162.0</v>
      </c>
      <c r="F1493" s="5" t="s">
        <v>5287</v>
      </c>
      <c r="G1493" s="5" t="s">
        <v>5288</v>
      </c>
      <c r="H1493" s="5" t="s">
        <v>5289</v>
      </c>
      <c r="I1493" s="5" t="s">
        <v>641</v>
      </c>
      <c r="J1493" s="5" t="s">
        <v>5078</v>
      </c>
      <c r="K1493" s="5">
        <v>1.0</v>
      </c>
      <c r="L1493" s="5">
        <v>14218.0</v>
      </c>
      <c r="M1493" s="8"/>
      <c r="AK1493" s="9"/>
    </row>
    <row r="1494" ht="14.25" customHeight="1">
      <c r="A1494" s="5" t="s">
        <v>5032</v>
      </c>
      <c r="B1494" s="5">
        <v>9.0</v>
      </c>
      <c r="C1494" s="5" t="s">
        <v>7678</v>
      </c>
      <c r="D1494" s="10" t="s">
        <v>5290</v>
      </c>
      <c r="E1494" s="5">
        <v>1578.0</v>
      </c>
      <c r="F1494" s="5" t="s">
        <v>5291</v>
      </c>
      <c r="G1494" s="5" t="s">
        <v>5292</v>
      </c>
      <c r="H1494" s="5" t="s">
        <v>5293</v>
      </c>
      <c r="I1494" s="5" t="s">
        <v>641</v>
      </c>
      <c r="J1494" s="5" t="s">
        <v>5073</v>
      </c>
      <c r="K1494" s="5">
        <v>1.0</v>
      </c>
      <c r="L1494" s="5">
        <v>1981.0</v>
      </c>
      <c r="M1494" s="8"/>
      <c r="AK1494" s="9"/>
    </row>
    <row r="1495" ht="14.25" customHeight="1">
      <c r="A1495" s="5" t="s">
        <v>5032</v>
      </c>
      <c r="B1495" s="5">
        <v>9.0</v>
      </c>
      <c r="C1495" s="5" t="s">
        <v>7678</v>
      </c>
      <c r="D1495" s="10" t="s">
        <v>5294</v>
      </c>
      <c r="E1495" s="5">
        <v>12166.0</v>
      </c>
      <c r="F1495" s="5" t="s">
        <v>5295</v>
      </c>
      <c r="G1495" s="5" t="s">
        <v>5296</v>
      </c>
      <c r="H1495" s="5" t="s">
        <v>5297</v>
      </c>
      <c r="I1495" s="5" t="s">
        <v>641</v>
      </c>
      <c r="J1495" s="5" t="s">
        <v>5073</v>
      </c>
      <c r="K1495" s="5">
        <v>1.0</v>
      </c>
      <c r="L1495" s="5">
        <v>14222.0</v>
      </c>
      <c r="M1495" s="8"/>
      <c r="AK1495" s="9"/>
    </row>
    <row r="1496" ht="14.25" customHeight="1">
      <c r="A1496" s="5" t="s">
        <v>5298</v>
      </c>
      <c r="B1496" s="5">
        <v>9.0</v>
      </c>
      <c r="C1496" s="5" t="s">
        <v>7678</v>
      </c>
      <c r="D1496" s="10" t="s">
        <v>5299</v>
      </c>
      <c r="E1496" s="5">
        <v>12170.0</v>
      </c>
      <c r="F1496" s="5" t="s">
        <v>5300</v>
      </c>
      <c r="G1496" s="5" t="s">
        <v>5301</v>
      </c>
      <c r="H1496" s="5" t="s">
        <v>5302</v>
      </c>
      <c r="I1496" s="5" t="s">
        <v>641</v>
      </c>
      <c r="J1496" s="5" t="s">
        <v>5073</v>
      </c>
      <c r="K1496" s="5">
        <v>1.0</v>
      </c>
      <c r="L1496" s="5">
        <v>14226.0</v>
      </c>
      <c r="M1496" s="8"/>
      <c r="AK1496" s="9"/>
    </row>
    <row r="1497" ht="14.25" customHeight="1">
      <c r="A1497" s="5" t="s">
        <v>4980</v>
      </c>
      <c r="B1497" s="5">
        <v>9.0</v>
      </c>
      <c r="C1497" s="5" t="s">
        <v>7678</v>
      </c>
      <c r="D1497" s="10" t="s">
        <v>5303</v>
      </c>
      <c r="E1497" s="5">
        <v>2623.0</v>
      </c>
      <c r="F1497" s="5" t="s">
        <v>5300</v>
      </c>
      <c r="G1497" s="5" t="s">
        <v>5304</v>
      </c>
      <c r="H1497" s="5" t="s">
        <v>5305</v>
      </c>
      <c r="I1497" s="5" t="s">
        <v>641</v>
      </c>
      <c r="J1497" s="5" t="s">
        <v>5083</v>
      </c>
      <c r="K1497" s="5">
        <v>1.0</v>
      </c>
      <c r="L1497" s="5">
        <v>3026.0</v>
      </c>
      <c r="M1497" s="8"/>
      <c r="AK1497" s="9"/>
    </row>
    <row r="1498" ht="14.25" customHeight="1">
      <c r="A1498" s="5" t="s">
        <v>5032</v>
      </c>
      <c r="B1498" s="5">
        <v>9.0</v>
      </c>
      <c r="C1498" s="5" t="s">
        <v>7678</v>
      </c>
      <c r="D1498" s="10" t="s">
        <v>5306</v>
      </c>
      <c r="E1498" s="5">
        <v>12462.0</v>
      </c>
      <c r="F1498" s="5" t="s">
        <v>5307</v>
      </c>
      <c r="G1498" s="5" t="s">
        <v>5308</v>
      </c>
      <c r="H1498" s="5" t="s">
        <v>5309</v>
      </c>
      <c r="I1498" s="5" t="s">
        <v>49</v>
      </c>
      <c r="J1498" s="5" t="s">
        <v>5073</v>
      </c>
      <c r="K1498" s="5">
        <v>1.0</v>
      </c>
      <c r="L1498" s="5">
        <v>14484.0</v>
      </c>
      <c r="M1498" s="8"/>
      <c r="AK1498" s="9"/>
    </row>
    <row r="1499" ht="14.25" customHeight="1">
      <c r="A1499" s="5" t="s">
        <v>5032</v>
      </c>
      <c r="B1499" s="5">
        <v>9.0</v>
      </c>
      <c r="C1499" s="5" t="s">
        <v>7678</v>
      </c>
      <c r="D1499" s="10" t="s">
        <v>5310</v>
      </c>
      <c r="E1499" s="5">
        <v>2617.0</v>
      </c>
      <c r="F1499" s="5" t="s">
        <v>5311</v>
      </c>
      <c r="G1499" s="5" t="s">
        <v>5312</v>
      </c>
      <c r="H1499" s="5" t="s">
        <v>5313</v>
      </c>
      <c r="I1499" s="5" t="s">
        <v>641</v>
      </c>
      <c r="J1499" s="5" t="s">
        <v>5073</v>
      </c>
      <c r="K1499" s="5">
        <v>1.0</v>
      </c>
      <c r="L1499" s="5">
        <v>3020.0</v>
      </c>
      <c r="M1499" s="8"/>
      <c r="AK1499" s="9"/>
    </row>
    <row r="1500" ht="14.25" customHeight="1">
      <c r="A1500" s="5" t="s">
        <v>5032</v>
      </c>
      <c r="B1500" s="5">
        <v>9.0</v>
      </c>
      <c r="C1500" s="5" t="s">
        <v>7678</v>
      </c>
      <c r="D1500" s="10" t="s">
        <v>5314</v>
      </c>
      <c r="E1500" s="5">
        <v>2645.0</v>
      </c>
      <c r="F1500" s="5" t="s">
        <v>5315</v>
      </c>
      <c r="G1500" s="5" t="s">
        <v>5316</v>
      </c>
      <c r="H1500" s="5" t="s">
        <v>5317</v>
      </c>
      <c r="I1500" s="5" t="s">
        <v>641</v>
      </c>
      <c r="J1500" s="5" t="s">
        <v>5037</v>
      </c>
      <c r="K1500" s="5">
        <v>1.0</v>
      </c>
      <c r="L1500" s="5">
        <v>3048.0</v>
      </c>
      <c r="M1500" s="8"/>
      <c r="AK1500" s="9"/>
    </row>
    <row r="1501" ht="14.25" customHeight="1">
      <c r="A1501" s="5" t="s">
        <v>5032</v>
      </c>
      <c r="B1501" s="5">
        <v>9.0</v>
      </c>
      <c r="C1501" s="5" t="s">
        <v>7678</v>
      </c>
      <c r="D1501" s="10" t="s">
        <v>5318</v>
      </c>
      <c r="E1501" s="5">
        <v>12176.0</v>
      </c>
      <c r="F1501" s="5" t="s">
        <v>5319</v>
      </c>
      <c r="G1501" s="5" t="s">
        <v>5320</v>
      </c>
      <c r="H1501" s="5" t="s">
        <v>5321</v>
      </c>
      <c r="I1501" s="5" t="s">
        <v>641</v>
      </c>
      <c r="J1501" s="5" t="s">
        <v>5037</v>
      </c>
      <c r="K1501" s="5">
        <v>1.0</v>
      </c>
      <c r="L1501" s="5">
        <v>14232.0</v>
      </c>
      <c r="M1501" s="8"/>
      <c r="AK1501" s="9"/>
    </row>
    <row r="1502" ht="14.25" customHeight="1">
      <c r="A1502" s="5" t="s">
        <v>5032</v>
      </c>
      <c r="B1502" s="5">
        <v>9.0</v>
      </c>
      <c r="C1502" s="5" t="s">
        <v>7678</v>
      </c>
      <c r="D1502" s="10" t="s">
        <v>5322</v>
      </c>
      <c r="E1502" s="5">
        <v>12177.0</v>
      </c>
      <c r="F1502" s="5" t="s">
        <v>5323</v>
      </c>
      <c r="G1502" s="5" t="s">
        <v>5324</v>
      </c>
      <c r="H1502" s="5" t="s">
        <v>5325</v>
      </c>
      <c r="I1502" s="5" t="s">
        <v>641</v>
      </c>
      <c r="J1502" s="5" t="s">
        <v>5037</v>
      </c>
      <c r="K1502" s="5">
        <v>1.0</v>
      </c>
      <c r="L1502" s="5">
        <v>14233.0</v>
      </c>
      <c r="M1502" s="8"/>
      <c r="AK1502" s="9"/>
    </row>
    <row r="1503" ht="14.25" customHeight="1">
      <c r="A1503" s="5" t="s">
        <v>5032</v>
      </c>
      <c r="B1503" s="5">
        <v>9.0</v>
      </c>
      <c r="C1503" s="5" t="s">
        <v>7678</v>
      </c>
      <c r="D1503" s="10" t="s">
        <v>5326</v>
      </c>
      <c r="E1503" s="5">
        <v>1592.0</v>
      </c>
      <c r="F1503" s="5" t="s">
        <v>5323</v>
      </c>
      <c r="G1503" s="5" t="s">
        <v>5327</v>
      </c>
      <c r="H1503" s="5" t="s">
        <v>5328</v>
      </c>
      <c r="I1503" s="5" t="s">
        <v>641</v>
      </c>
      <c r="J1503" s="5" t="s">
        <v>5037</v>
      </c>
      <c r="K1503" s="5">
        <v>1.0</v>
      </c>
      <c r="L1503" s="5">
        <v>1995.0</v>
      </c>
      <c r="M1503" s="8"/>
      <c r="AK1503" s="9"/>
    </row>
    <row r="1504" ht="14.25" customHeight="1">
      <c r="A1504" s="5" t="s">
        <v>5032</v>
      </c>
      <c r="B1504" s="5">
        <v>9.0</v>
      </c>
      <c r="C1504" s="5" t="s">
        <v>7678</v>
      </c>
      <c r="D1504" s="10" t="s">
        <v>5329</v>
      </c>
      <c r="E1504" s="5">
        <v>12182.0</v>
      </c>
      <c r="F1504" s="5" t="s">
        <v>5330</v>
      </c>
      <c r="G1504" s="5" t="s">
        <v>5331</v>
      </c>
      <c r="H1504" s="5" t="s">
        <v>5332</v>
      </c>
      <c r="I1504" s="5" t="s">
        <v>641</v>
      </c>
      <c r="J1504" s="5" t="s">
        <v>5037</v>
      </c>
      <c r="K1504" s="5">
        <v>1.0</v>
      </c>
      <c r="L1504" s="5">
        <v>14238.0</v>
      </c>
      <c r="M1504" s="8"/>
      <c r="AK1504" s="9"/>
    </row>
    <row r="1505" ht="14.25" customHeight="1">
      <c r="A1505" s="5" t="s">
        <v>5032</v>
      </c>
      <c r="B1505" s="5">
        <v>9.0</v>
      </c>
      <c r="C1505" s="5" t="s">
        <v>7678</v>
      </c>
      <c r="D1505" s="10" t="s">
        <v>5333</v>
      </c>
      <c r="E1505" s="5">
        <v>12185.0</v>
      </c>
      <c r="F1505" s="5" t="s">
        <v>5334</v>
      </c>
      <c r="G1505" s="5" t="s">
        <v>5335</v>
      </c>
      <c r="H1505" s="5" t="s">
        <v>5325</v>
      </c>
      <c r="I1505" s="5" t="s">
        <v>641</v>
      </c>
      <c r="J1505" s="5" t="s">
        <v>5073</v>
      </c>
      <c r="K1505" s="5">
        <v>1.0</v>
      </c>
      <c r="L1505" s="5">
        <v>14241.0</v>
      </c>
      <c r="M1505" s="8"/>
      <c r="AK1505" s="9"/>
    </row>
    <row r="1506" ht="14.25" customHeight="1">
      <c r="A1506" s="5" t="s">
        <v>5336</v>
      </c>
      <c r="B1506" s="5">
        <v>9.0</v>
      </c>
      <c r="C1506" s="5" t="s">
        <v>7678</v>
      </c>
      <c r="D1506" s="10" t="s">
        <v>5337</v>
      </c>
      <c r="E1506" s="5">
        <v>1580.0</v>
      </c>
      <c r="F1506" s="5" t="s">
        <v>5334</v>
      </c>
      <c r="G1506" s="5" t="s">
        <v>5338</v>
      </c>
      <c r="H1506" s="5" t="s">
        <v>5339</v>
      </c>
      <c r="I1506" s="5" t="s">
        <v>641</v>
      </c>
      <c r="J1506" s="5" t="s">
        <v>5037</v>
      </c>
      <c r="K1506" s="5">
        <v>1.0</v>
      </c>
      <c r="L1506" s="5">
        <v>1983.0</v>
      </c>
      <c r="M1506" s="8"/>
      <c r="AK1506" s="9"/>
    </row>
    <row r="1507" ht="14.25" customHeight="1">
      <c r="A1507" s="5" t="s">
        <v>5032</v>
      </c>
      <c r="B1507" s="5">
        <v>9.0</v>
      </c>
      <c r="C1507" s="5" t="s">
        <v>7678</v>
      </c>
      <c r="D1507" s="10" t="s">
        <v>5340</v>
      </c>
      <c r="E1507" s="5">
        <v>12186.0</v>
      </c>
      <c r="F1507" s="5" t="s">
        <v>5341</v>
      </c>
      <c r="G1507" s="5" t="s">
        <v>5342</v>
      </c>
      <c r="H1507" s="5" t="s">
        <v>5343</v>
      </c>
      <c r="I1507" s="5" t="s">
        <v>641</v>
      </c>
      <c r="J1507" s="5" t="s">
        <v>5037</v>
      </c>
      <c r="K1507" s="5">
        <v>1.0</v>
      </c>
      <c r="L1507" s="5">
        <v>14242.0</v>
      </c>
      <c r="M1507" s="8"/>
      <c r="AK1507" s="9"/>
    </row>
    <row r="1508" ht="14.25" customHeight="1">
      <c r="A1508" s="5" t="s">
        <v>5032</v>
      </c>
      <c r="B1508" s="5">
        <v>9.0</v>
      </c>
      <c r="C1508" s="5" t="s">
        <v>7678</v>
      </c>
      <c r="D1508" s="10" t="s">
        <v>5344</v>
      </c>
      <c r="E1508" s="5">
        <v>1579.0</v>
      </c>
      <c r="F1508" s="5" t="s">
        <v>5345</v>
      </c>
      <c r="G1508" s="5" t="s">
        <v>5346</v>
      </c>
      <c r="H1508" s="5" t="s">
        <v>5347</v>
      </c>
      <c r="I1508" s="5" t="s">
        <v>641</v>
      </c>
      <c r="J1508" s="5" t="s">
        <v>5073</v>
      </c>
      <c r="K1508" s="5">
        <v>1.0</v>
      </c>
      <c r="L1508" s="5">
        <v>1982.0</v>
      </c>
      <c r="M1508" s="8"/>
      <c r="AK1508" s="9"/>
    </row>
    <row r="1509" ht="14.25" customHeight="1">
      <c r="A1509" s="5" t="s">
        <v>5032</v>
      </c>
      <c r="B1509" s="5">
        <v>9.0</v>
      </c>
      <c r="C1509" s="5" t="s">
        <v>7678</v>
      </c>
      <c r="D1509" s="10" t="s">
        <v>5348</v>
      </c>
      <c r="E1509" s="5">
        <v>1561.0</v>
      </c>
      <c r="F1509" s="5" t="s">
        <v>5349</v>
      </c>
      <c r="G1509" s="5" t="s">
        <v>5350</v>
      </c>
      <c r="H1509" s="5" t="s">
        <v>5351</v>
      </c>
      <c r="I1509" s="5" t="s">
        <v>641</v>
      </c>
      <c r="J1509" s="5" t="s">
        <v>5073</v>
      </c>
      <c r="K1509" s="5">
        <v>1.0</v>
      </c>
      <c r="L1509" s="5">
        <v>1964.0</v>
      </c>
      <c r="M1509" s="8"/>
      <c r="AK1509" s="9"/>
    </row>
    <row r="1510" ht="14.25" customHeight="1">
      <c r="A1510" s="5" t="s">
        <v>5032</v>
      </c>
      <c r="B1510" s="5">
        <v>9.0</v>
      </c>
      <c r="C1510" s="5" t="s">
        <v>7678</v>
      </c>
      <c r="D1510" s="10" t="s">
        <v>5352</v>
      </c>
      <c r="E1510" s="5">
        <v>2643.0</v>
      </c>
      <c r="F1510" s="5" t="s">
        <v>5353</v>
      </c>
      <c r="G1510" s="5" t="s">
        <v>5354</v>
      </c>
      <c r="H1510" s="5" t="s">
        <v>5355</v>
      </c>
      <c r="I1510" s="5" t="s">
        <v>641</v>
      </c>
      <c r="J1510" s="5" t="s">
        <v>5163</v>
      </c>
      <c r="K1510" s="5">
        <v>1.0</v>
      </c>
      <c r="L1510" s="5">
        <v>3046.0</v>
      </c>
      <c r="M1510" s="8"/>
      <c r="AK1510" s="9"/>
    </row>
    <row r="1511" ht="14.25" customHeight="1">
      <c r="A1511" s="5" t="s">
        <v>5032</v>
      </c>
      <c r="B1511" s="5">
        <v>9.0</v>
      </c>
      <c r="C1511" s="5" t="s">
        <v>7678</v>
      </c>
      <c r="D1511" s="10" t="s">
        <v>5356</v>
      </c>
      <c r="E1511" s="5">
        <v>2631.0</v>
      </c>
      <c r="F1511" s="5" t="s">
        <v>5357</v>
      </c>
      <c r="G1511" s="5" t="s">
        <v>5358</v>
      </c>
      <c r="H1511" s="5" t="s">
        <v>5359</v>
      </c>
      <c r="I1511" s="5" t="s">
        <v>641</v>
      </c>
      <c r="J1511" s="5" t="s">
        <v>5037</v>
      </c>
      <c r="K1511" s="5">
        <v>1.0</v>
      </c>
      <c r="L1511" s="5">
        <v>3034.0</v>
      </c>
      <c r="M1511" s="8"/>
      <c r="AK1511" s="9"/>
    </row>
    <row r="1512" ht="15.0" customHeight="1">
      <c r="A1512" s="5" t="s">
        <v>5032</v>
      </c>
      <c r="B1512" s="5">
        <v>9.0</v>
      </c>
      <c r="C1512" s="5" t="s">
        <v>7678</v>
      </c>
      <c r="D1512" s="10" t="s">
        <v>5360</v>
      </c>
      <c r="E1512" s="5">
        <v>2629.0</v>
      </c>
      <c r="F1512" s="5" t="s">
        <v>5361</v>
      </c>
      <c r="G1512" s="5" t="s">
        <v>5362</v>
      </c>
      <c r="H1512" s="5" t="s">
        <v>5363</v>
      </c>
      <c r="I1512" s="5" t="s">
        <v>641</v>
      </c>
      <c r="J1512" s="5" t="s">
        <v>5073</v>
      </c>
      <c r="K1512" s="5">
        <v>1.0</v>
      </c>
      <c r="L1512" s="5">
        <v>3032.0</v>
      </c>
      <c r="M1512" s="8"/>
      <c r="AK1512" s="9"/>
    </row>
    <row r="1513" ht="14.25" customHeight="1">
      <c r="A1513" s="6" t="s">
        <v>5364</v>
      </c>
      <c r="B1513" s="5">
        <v>9.0</v>
      </c>
      <c r="C1513" s="5" t="s">
        <v>7681</v>
      </c>
      <c r="D1513" s="5" t="s">
        <v>5365</v>
      </c>
      <c r="E1513" s="5">
        <v>12191.0</v>
      </c>
      <c r="F1513" s="5" t="s">
        <v>439</v>
      </c>
      <c r="G1513" s="5" t="s">
        <v>5366</v>
      </c>
      <c r="H1513" s="5" t="s">
        <v>84</v>
      </c>
      <c r="I1513" s="5" t="s">
        <v>641</v>
      </c>
      <c r="K1513" s="5">
        <v>1.0</v>
      </c>
      <c r="L1513" s="5">
        <v>14247.0</v>
      </c>
      <c r="M1513" s="8"/>
      <c r="AK1513" s="9"/>
    </row>
    <row r="1514" ht="14.25" customHeight="1">
      <c r="A1514" s="5" t="s">
        <v>5367</v>
      </c>
      <c r="B1514" s="5">
        <v>9.0</v>
      </c>
      <c r="C1514" s="10" t="s">
        <v>7681</v>
      </c>
      <c r="D1514" s="10" t="s">
        <v>5368</v>
      </c>
      <c r="E1514" s="5">
        <v>1581.0</v>
      </c>
      <c r="F1514" s="5" t="s">
        <v>5369</v>
      </c>
      <c r="G1514" s="5" t="s">
        <v>5370</v>
      </c>
      <c r="H1514" s="5" t="s">
        <v>5371</v>
      </c>
      <c r="I1514" s="5" t="s">
        <v>641</v>
      </c>
      <c r="J1514" s="5" t="s">
        <v>5048</v>
      </c>
      <c r="K1514" s="5">
        <v>1.0</v>
      </c>
      <c r="L1514" s="5">
        <v>1984.0</v>
      </c>
      <c r="M1514" s="8"/>
      <c r="AK1514" s="9"/>
    </row>
    <row r="1515" ht="14.25" customHeight="1">
      <c r="A1515" s="5" t="s">
        <v>5032</v>
      </c>
      <c r="B1515" s="5">
        <v>9.0</v>
      </c>
      <c r="C1515" s="11" t="s">
        <v>7678</v>
      </c>
      <c r="D1515" s="10" t="s">
        <v>5372</v>
      </c>
      <c r="E1515" s="5">
        <v>2584.0</v>
      </c>
      <c r="F1515" s="5" t="s">
        <v>5373</v>
      </c>
      <c r="G1515" s="5" t="s">
        <v>5374</v>
      </c>
      <c r="H1515" s="5" t="s">
        <v>5375</v>
      </c>
      <c r="I1515" s="5" t="s">
        <v>641</v>
      </c>
      <c r="J1515" s="5" t="s">
        <v>5037</v>
      </c>
      <c r="K1515" s="5">
        <v>1.0</v>
      </c>
      <c r="L1515" s="5">
        <v>2987.0</v>
      </c>
      <c r="M1515" s="8"/>
      <c r="AK1515" s="9"/>
    </row>
    <row r="1516" ht="14.25" customHeight="1">
      <c r="A1516" s="6" t="s">
        <v>5376</v>
      </c>
      <c r="B1516" s="5">
        <v>9.0</v>
      </c>
      <c r="C1516" s="5" t="s">
        <v>7681</v>
      </c>
      <c r="D1516" s="5" t="s">
        <v>5377</v>
      </c>
      <c r="E1516" s="5">
        <v>12196.0</v>
      </c>
      <c r="F1516" s="5" t="s">
        <v>5378</v>
      </c>
      <c r="G1516" s="5" t="s">
        <v>5379</v>
      </c>
      <c r="H1516" s="5" t="s">
        <v>84</v>
      </c>
      <c r="I1516" s="5" t="s">
        <v>641</v>
      </c>
      <c r="K1516" s="5">
        <v>1.0</v>
      </c>
      <c r="L1516" s="5">
        <v>14251.0</v>
      </c>
      <c r="M1516" s="8"/>
      <c r="AK1516" s="9"/>
    </row>
    <row r="1517" ht="14.25" customHeight="1">
      <c r="A1517" s="5" t="s">
        <v>5380</v>
      </c>
      <c r="B1517" s="5">
        <v>9.0</v>
      </c>
      <c r="C1517" s="11" t="s">
        <v>7678</v>
      </c>
      <c r="D1517" s="10" t="s">
        <v>5381</v>
      </c>
      <c r="E1517" s="5">
        <v>1573.0</v>
      </c>
      <c r="F1517" s="5" t="s">
        <v>5382</v>
      </c>
      <c r="G1517" s="10" t="s">
        <v>5383</v>
      </c>
      <c r="H1517" s="5" t="s">
        <v>5384</v>
      </c>
      <c r="I1517" s="5" t="s">
        <v>641</v>
      </c>
      <c r="J1517" s="5" t="s">
        <v>5083</v>
      </c>
      <c r="K1517" s="5">
        <v>1.0</v>
      </c>
      <c r="L1517" s="5">
        <v>1976.0</v>
      </c>
      <c r="M1517" s="8"/>
      <c r="AK1517" s="9"/>
    </row>
    <row r="1518" ht="14.25" customHeight="1">
      <c r="A1518" s="5" t="s">
        <v>5032</v>
      </c>
      <c r="B1518" s="5">
        <v>9.0</v>
      </c>
      <c r="C1518" s="11" t="s">
        <v>7678</v>
      </c>
      <c r="D1518" s="10" t="s">
        <v>5385</v>
      </c>
      <c r="E1518" s="5">
        <v>1566.0</v>
      </c>
      <c r="F1518" s="5" t="s">
        <v>5386</v>
      </c>
      <c r="G1518" s="5" t="s">
        <v>5387</v>
      </c>
      <c r="H1518" s="5" t="s">
        <v>5388</v>
      </c>
      <c r="I1518" s="5" t="s">
        <v>641</v>
      </c>
      <c r="J1518" s="5" t="s">
        <v>5073</v>
      </c>
      <c r="K1518" s="5">
        <v>1.0</v>
      </c>
      <c r="L1518" s="5">
        <v>1969.0</v>
      </c>
      <c r="M1518" s="8"/>
      <c r="AK1518" s="9"/>
    </row>
    <row r="1519" ht="14.25" customHeight="1">
      <c r="A1519" s="6" t="s">
        <v>5389</v>
      </c>
      <c r="B1519" s="5">
        <v>9.0</v>
      </c>
      <c r="C1519" s="5" t="s">
        <v>7681</v>
      </c>
      <c r="D1519" s="5" t="s">
        <v>5390</v>
      </c>
      <c r="E1519" s="5">
        <v>12200.0</v>
      </c>
      <c r="F1519" s="5" t="s">
        <v>5391</v>
      </c>
      <c r="G1519" s="5" t="s">
        <v>5392</v>
      </c>
      <c r="H1519" s="5" t="s">
        <v>84</v>
      </c>
      <c r="I1519" s="5" t="s">
        <v>641</v>
      </c>
      <c r="K1519" s="5">
        <v>1.0</v>
      </c>
      <c r="L1519" s="5">
        <v>14255.0</v>
      </c>
      <c r="M1519" s="8"/>
      <c r="AK1519" s="9"/>
    </row>
    <row r="1520" ht="14.25" customHeight="1">
      <c r="A1520" s="5" t="s">
        <v>5393</v>
      </c>
      <c r="B1520" s="5">
        <v>9.0</v>
      </c>
      <c r="C1520" s="10" t="s">
        <v>7681</v>
      </c>
      <c r="D1520" s="10" t="s">
        <v>5394</v>
      </c>
      <c r="E1520" s="5">
        <v>12530.0</v>
      </c>
      <c r="F1520" s="28" t="s">
        <v>5395</v>
      </c>
      <c r="G1520" s="28" t="s">
        <v>5396</v>
      </c>
      <c r="H1520" s="5" t="s">
        <v>5397</v>
      </c>
      <c r="I1520" s="5" t="s">
        <v>49</v>
      </c>
      <c r="J1520" s="5" t="s">
        <v>4983</v>
      </c>
      <c r="K1520" s="5">
        <v>1.0</v>
      </c>
      <c r="L1520" s="5">
        <v>14552.0</v>
      </c>
      <c r="M1520" s="8"/>
      <c r="AK1520" s="9"/>
    </row>
    <row r="1521" ht="14.25" customHeight="1">
      <c r="A1521" s="5" t="s">
        <v>5043</v>
      </c>
      <c r="B1521" s="5">
        <v>9.0</v>
      </c>
      <c r="C1521" s="10" t="s">
        <v>7681</v>
      </c>
      <c r="D1521" s="10" t="s">
        <v>5398</v>
      </c>
      <c r="E1521" s="5">
        <v>12610.0</v>
      </c>
      <c r="F1521" s="28" t="s">
        <v>5399</v>
      </c>
      <c r="G1521" s="28" t="s">
        <v>5400</v>
      </c>
      <c r="H1521" s="5" t="s">
        <v>5401</v>
      </c>
      <c r="I1521" s="5" t="s">
        <v>49</v>
      </c>
      <c r="J1521" s="5" t="s">
        <v>5402</v>
      </c>
      <c r="K1521" s="5">
        <v>1.0</v>
      </c>
      <c r="L1521" s="5">
        <v>14632.0</v>
      </c>
      <c r="M1521" s="8"/>
      <c r="AK1521" s="9"/>
      <c r="AO1521" s="27"/>
    </row>
    <row r="1522" ht="14.25" customHeight="1">
      <c r="A1522" s="5" t="s">
        <v>5043</v>
      </c>
      <c r="B1522" s="5">
        <v>9.0</v>
      </c>
      <c r="C1522" s="10" t="s">
        <v>7681</v>
      </c>
      <c r="D1522" s="10" t="s">
        <v>5403</v>
      </c>
      <c r="E1522" s="5">
        <v>12608.0</v>
      </c>
      <c r="F1522" s="10" t="s">
        <v>5404</v>
      </c>
      <c r="G1522" s="10" t="s">
        <v>5405</v>
      </c>
      <c r="H1522" s="5" t="s">
        <v>5397</v>
      </c>
      <c r="I1522" s="5" t="s">
        <v>49</v>
      </c>
      <c r="J1522" s="5" t="s">
        <v>5402</v>
      </c>
      <c r="K1522" s="5">
        <v>1.0</v>
      </c>
      <c r="L1522" s="5">
        <v>14630.0</v>
      </c>
      <c r="M1522" s="8"/>
      <c r="AK1522" s="9"/>
    </row>
    <row r="1523" ht="14.25" customHeight="1">
      <c r="A1523" s="5" t="s">
        <v>5406</v>
      </c>
      <c r="B1523" s="5">
        <v>9.0</v>
      </c>
      <c r="C1523" s="10" t="s">
        <v>7681</v>
      </c>
      <c r="D1523" s="10" t="s">
        <v>5407</v>
      </c>
      <c r="E1523" s="5">
        <v>12582.0</v>
      </c>
      <c r="F1523" s="10" t="s">
        <v>5408</v>
      </c>
      <c r="G1523" s="10" t="s">
        <v>5409</v>
      </c>
      <c r="H1523" s="5" t="s">
        <v>5397</v>
      </c>
      <c r="I1523" s="5" t="s">
        <v>49</v>
      </c>
      <c r="J1523" s="5" t="s">
        <v>4983</v>
      </c>
      <c r="K1523" s="5">
        <v>1.0</v>
      </c>
      <c r="L1523" s="5">
        <v>14604.0</v>
      </c>
      <c r="M1523" s="8"/>
      <c r="AK1523" s="9"/>
    </row>
    <row r="1524" ht="14.25" customHeight="1">
      <c r="A1524" s="5" t="s">
        <v>4980</v>
      </c>
      <c r="B1524" s="5">
        <v>9.0</v>
      </c>
      <c r="C1524" s="11" t="s">
        <v>7678</v>
      </c>
      <c r="D1524" s="10" t="s">
        <v>5410</v>
      </c>
      <c r="E1524" s="5">
        <v>12531.0</v>
      </c>
      <c r="F1524" s="5" t="s">
        <v>1648</v>
      </c>
      <c r="G1524" s="5" t="s">
        <v>5411</v>
      </c>
      <c r="H1524" s="5" t="s">
        <v>5397</v>
      </c>
      <c r="I1524" s="5" t="s">
        <v>49</v>
      </c>
      <c r="J1524" s="5" t="s">
        <v>4983</v>
      </c>
      <c r="K1524" s="5">
        <v>1.0</v>
      </c>
      <c r="L1524" s="5">
        <v>14553.0</v>
      </c>
      <c r="M1524" s="8"/>
      <c r="AK1524" s="9"/>
    </row>
    <row r="1525" ht="14.25" customHeight="1">
      <c r="A1525" s="5" t="s">
        <v>4980</v>
      </c>
      <c r="B1525" s="5">
        <v>9.0</v>
      </c>
      <c r="C1525" s="11" t="s">
        <v>7678</v>
      </c>
      <c r="D1525" s="10" t="s">
        <v>5412</v>
      </c>
      <c r="E1525" s="5">
        <v>12534.0</v>
      </c>
      <c r="F1525" s="5" t="s">
        <v>1648</v>
      </c>
      <c r="G1525" s="5" t="s">
        <v>5413</v>
      </c>
      <c r="H1525" s="5" t="s">
        <v>5397</v>
      </c>
      <c r="I1525" s="5" t="s">
        <v>49</v>
      </c>
      <c r="J1525" s="5" t="s">
        <v>4983</v>
      </c>
      <c r="K1525" s="5">
        <v>1.0</v>
      </c>
      <c r="L1525" s="5">
        <v>14556.0</v>
      </c>
      <c r="M1525" s="8"/>
      <c r="AK1525" s="9"/>
    </row>
    <row r="1526" ht="14.25" customHeight="1">
      <c r="A1526" s="5" t="s">
        <v>4980</v>
      </c>
      <c r="B1526" s="5">
        <v>9.0</v>
      </c>
      <c r="C1526" s="11" t="s">
        <v>7678</v>
      </c>
      <c r="D1526" s="10" t="s">
        <v>5414</v>
      </c>
      <c r="E1526" s="5">
        <v>12535.0</v>
      </c>
      <c r="F1526" s="5" t="s">
        <v>1648</v>
      </c>
      <c r="G1526" s="5" t="s">
        <v>5415</v>
      </c>
      <c r="H1526" s="5" t="s">
        <v>5397</v>
      </c>
      <c r="I1526" s="5" t="s">
        <v>49</v>
      </c>
      <c r="J1526" s="5" t="s">
        <v>4983</v>
      </c>
      <c r="K1526" s="5">
        <v>1.0</v>
      </c>
      <c r="L1526" s="5">
        <v>14557.0</v>
      </c>
      <c r="M1526" s="8"/>
      <c r="AK1526" s="9"/>
    </row>
    <row r="1527" ht="14.25" customHeight="1">
      <c r="A1527" s="5" t="s">
        <v>4980</v>
      </c>
      <c r="B1527" s="5">
        <v>9.0</v>
      </c>
      <c r="C1527" s="11" t="s">
        <v>7678</v>
      </c>
      <c r="D1527" s="10" t="s">
        <v>5416</v>
      </c>
      <c r="E1527" s="5">
        <v>12537.0</v>
      </c>
      <c r="F1527" s="81" t="s">
        <v>1648</v>
      </c>
      <c r="G1527" s="5" t="s">
        <v>5417</v>
      </c>
      <c r="H1527" s="5" t="s">
        <v>5397</v>
      </c>
      <c r="I1527" s="5" t="s">
        <v>49</v>
      </c>
      <c r="J1527" s="5" t="s">
        <v>4983</v>
      </c>
      <c r="K1527" s="5">
        <v>1.0</v>
      </c>
      <c r="L1527" s="5">
        <v>14559.0</v>
      </c>
      <c r="M1527" s="8"/>
      <c r="AK1527" s="9"/>
    </row>
    <row r="1528" ht="14.25" customHeight="1">
      <c r="A1528" s="5" t="s">
        <v>4980</v>
      </c>
      <c r="B1528" s="5">
        <v>9.0</v>
      </c>
      <c r="C1528" s="11" t="s">
        <v>7678</v>
      </c>
      <c r="D1528" s="10" t="s">
        <v>5418</v>
      </c>
      <c r="E1528" s="5">
        <v>12539.0</v>
      </c>
      <c r="F1528" s="5" t="s">
        <v>1648</v>
      </c>
      <c r="G1528" s="5" t="s">
        <v>5419</v>
      </c>
      <c r="H1528" s="5" t="s">
        <v>5397</v>
      </c>
      <c r="I1528" s="5" t="s">
        <v>49</v>
      </c>
      <c r="J1528" s="5" t="s">
        <v>4983</v>
      </c>
      <c r="K1528" s="5">
        <v>1.0</v>
      </c>
      <c r="L1528" s="5">
        <v>14561.0</v>
      </c>
      <c r="M1528" s="8"/>
      <c r="AK1528" s="9"/>
    </row>
    <row r="1529" ht="14.25" customHeight="1">
      <c r="A1529" s="5" t="s">
        <v>4980</v>
      </c>
      <c r="B1529" s="5">
        <v>9.0</v>
      </c>
      <c r="C1529" s="11" t="s">
        <v>7678</v>
      </c>
      <c r="D1529" s="10" t="s">
        <v>5420</v>
      </c>
      <c r="E1529" s="5">
        <v>12540.0</v>
      </c>
      <c r="F1529" s="5" t="s">
        <v>1648</v>
      </c>
      <c r="G1529" s="5" t="s">
        <v>5421</v>
      </c>
      <c r="H1529" s="5" t="s">
        <v>5397</v>
      </c>
      <c r="I1529" s="5" t="s">
        <v>49</v>
      </c>
      <c r="J1529" s="5" t="s">
        <v>4983</v>
      </c>
      <c r="K1529" s="5">
        <v>1.0</v>
      </c>
      <c r="L1529" s="5">
        <v>14562.0</v>
      </c>
      <c r="M1529" s="8"/>
      <c r="AK1529" s="9"/>
    </row>
    <row r="1530" ht="14.25" customHeight="1">
      <c r="A1530" s="5" t="s">
        <v>4980</v>
      </c>
      <c r="B1530" s="5">
        <v>9.0</v>
      </c>
      <c r="C1530" s="11" t="s">
        <v>7678</v>
      </c>
      <c r="D1530" s="10" t="s">
        <v>5422</v>
      </c>
      <c r="E1530" s="5">
        <v>12542.0</v>
      </c>
      <c r="F1530" s="5" t="s">
        <v>1648</v>
      </c>
      <c r="G1530" s="5" t="s">
        <v>5423</v>
      </c>
      <c r="H1530" s="5" t="s">
        <v>5397</v>
      </c>
      <c r="I1530" s="5" t="s">
        <v>49</v>
      </c>
      <c r="J1530" s="5" t="s">
        <v>4983</v>
      </c>
      <c r="K1530" s="5">
        <v>1.0</v>
      </c>
      <c r="L1530" s="5">
        <v>14564.0</v>
      </c>
      <c r="M1530" s="8"/>
      <c r="AK1530" s="9"/>
    </row>
    <row r="1531" ht="14.25" customHeight="1">
      <c r="A1531" s="5" t="s">
        <v>4980</v>
      </c>
      <c r="B1531" s="5">
        <v>9.0</v>
      </c>
      <c r="C1531" s="11" t="s">
        <v>7678</v>
      </c>
      <c r="D1531" s="10" t="s">
        <v>5424</v>
      </c>
      <c r="E1531" s="5">
        <v>12543.0</v>
      </c>
      <c r="F1531" s="5" t="s">
        <v>1648</v>
      </c>
      <c r="G1531" s="5" t="s">
        <v>5425</v>
      </c>
      <c r="H1531" s="5" t="s">
        <v>5397</v>
      </c>
      <c r="I1531" s="5" t="s">
        <v>49</v>
      </c>
      <c r="J1531" s="5" t="s">
        <v>4983</v>
      </c>
      <c r="K1531" s="5">
        <v>1.0</v>
      </c>
      <c r="L1531" s="5">
        <v>14565.0</v>
      </c>
      <c r="M1531" s="8"/>
      <c r="AK1531" s="9"/>
    </row>
    <row r="1532" ht="14.25" customHeight="1">
      <c r="A1532" s="5" t="s">
        <v>4980</v>
      </c>
      <c r="B1532" s="5">
        <v>9.0</v>
      </c>
      <c r="C1532" s="11" t="s">
        <v>7678</v>
      </c>
      <c r="D1532" s="10" t="s">
        <v>5426</v>
      </c>
      <c r="E1532" s="5">
        <v>12546.0</v>
      </c>
      <c r="F1532" s="81" t="s">
        <v>1648</v>
      </c>
      <c r="G1532" s="5" t="s">
        <v>5427</v>
      </c>
      <c r="H1532" s="5" t="s">
        <v>5397</v>
      </c>
      <c r="I1532" s="5" t="s">
        <v>49</v>
      </c>
      <c r="J1532" s="5" t="s">
        <v>4983</v>
      </c>
      <c r="K1532" s="5">
        <v>1.0</v>
      </c>
      <c r="L1532" s="5">
        <v>14568.0</v>
      </c>
      <c r="M1532" s="8"/>
      <c r="AK1532" s="9"/>
    </row>
    <row r="1533" ht="14.25" customHeight="1">
      <c r="A1533" s="5" t="s">
        <v>4980</v>
      </c>
      <c r="B1533" s="5">
        <v>9.0</v>
      </c>
      <c r="C1533" s="11" t="s">
        <v>7678</v>
      </c>
      <c r="D1533" s="10" t="s">
        <v>5428</v>
      </c>
      <c r="E1533" s="5">
        <v>12547.0</v>
      </c>
      <c r="F1533" s="81" t="s">
        <v>1648</v>
      </c>
      <c r="G1533" s="5" t="s">
        <v>5429</v>
      </c>
      <c r="H1533" s="5" t="s">
        <v>5397</v>
      </c>
      <c r="I1533" s="5" t="s">
        <v>49</v>
      </c>
      <c r="J1533" s="5" t="s">
        <v>4983</v>
      </c>
      <c r="K1533" s="5">
        <v>1.0</v>
      </c>
      <c r="L1533" s="5">
        <v>14569.0</v>
      </c>
      <c r="M1533" s="8"/>
      <c r="AK1533" s="9"/>
    </row>
    <row r="1534" ht="14.25" customHeight="1">
      <c r="A1534" s="5" t="s">
        <v>4980</v>
      </c>
      <c r="B1534" s="5">
        <v>9.0</v>
      </c>
      <c r="C1534" s="11" t="s">
        <v>7678</v>
      </c>
      <c r="D1534" s="10" t="s">
        <v>5430</v>
      </c>
      <c r="E1534" s="5">
        <v>12548.0</v>
      </c>
      <c r="F1534" s="81" t="s">
        <v>1648</v>
      </c>
      <c r="G1534" s="5" t="s">
        <v>5431</v>
      </c>
      <c r="H1534" s="5" t="s">
        <v>5397</v>
      </c>
      <c r="I1534" s="5" t="s">
        <v>49</v>
      </c>
      <c r="J1534" s="5" t="s">
        <v>4983</v>
      </c>
      <c r="K1534" s="5">
        <v>1.0</v>
      </c>
      <c r="L1534" s="5">
        <v>14570.0</v>
      </c>
      <c r="M1534" s="8"/>
      <c r="AK1534" s="9"/>
    </row>
    <row r="1535" ht="14.25" customHeight="1">
      <c r="A1535" s="5" t="s">
        <v>4980</v>
      </c>
      <c r="B1535" s="5">
        <v>9.0</v>
      </c>
      <c r="C1535" s="11" t="s">
        <v>7678</v>
      </c>
      <c r="D1535" s="10" t="s">
        <v>5432</v>
      </c>
      <c r="E1535" s="5">
        <v>12595.0</v>
      </c>
      <c r="F1535" s="5" t="s">
        <v>1648</v>
      </c>
      <c r="G1535" s="5" t="s">
        <v>5433</v>
      </c>
      <c r="H1535" s="5" t="s">
        <v>5397</v>
      </c>
      <c r="I1535" s="5" t="s">
        <v>49</v>
      </c>
      <c r="J1535" s="5" t="s">
        <v>5402</v>
      </c>
      <c r="K1535" s="5">
        <v>1.0</v>
      </c>
      <c r="L1535" s="5">
        <v>14617.0</v>
      </c>
      <c r="M1535" s="8"/>
      <c r="AK1535" s="9"/>
    </row>
    <row r="1536" ht="14.25" customHeight="1">
      <c r="A1536" s="5" t="s">
        <v>4980</v>
      </c>
      <c r="B1536" s="5">
        <v>9.0</v>
      </c>
      <c r="C1536" s="11" t="s">
        <v>7678</v>
      </c>
      <c r="D1536" s="10" t="s">
        <v>5434</v>
      </c>
      <c r="E1536" s="5">
        <v>12550.0</v>
      </c>
      <c r="F1536" s="5" t="s">
        <v>1648</v>
      </c>
      <c r="G1536" s="5" t="s">
        <v>5435</v>
      </c>
      <c r="H1536" s="5" t="s">
        <v>5397</v>
      </c>
      <c r="I1536" s="5" t="s">
        <v>49</v>
      </c>
      <c r="J1536" s="5" t="s">
        <v>4983</v>
      </c>
      <c r="K1536" s="5">
        <v>1.0</v>
      </c>
      <c r="L1536" s="5">
        <v>14572.0</v>
      </c>
      <c r="M1536" s="8"/>
      <c r="AK1536" s="9"/>
    </row>
    <row r="1537" ht="14.25" customHeight="1">
      <c r="A1537" s="5" t="s">
        <v>4980</v>
      </c>
      <c r="B1537" s="5">
        <v>9.0</v>
      </c>
      <c r="C1537" s="10" t="s">
        <v>7681</v>
      </c>
      <c r="D1537" s="10" t="s">
        <v>5436</v>
      </c>
      <c r="E1537" s="5">
        <v>12551.0</v>
      </c>
      <c r="F1537" s="81" t="s">
        <v>1648</v>
      </c>
      <c r="G1537" s="5" t="s">
        <v>5437</v>
      </c>
      <c r="H1537" s="5" t="s">
        <v>5397</v>
      </c>
      <c r="I1537" s="5" t="s">
        <v>49</v>
      </c>
      <c r="J1537" s="5" t="s">
        <v>4983</v>
      </c>
      <c r="K1537" s="5">
        <v>1.0</v>
      </c>
      <c r="L1537" s="5">
        <v>14573.0</v>
      </c>
      <c r="M1537" s="8"/>
      <c r="AK1537" s="9"/>
    </row>
    <row r="1538" ht="14.25" customHeight="1">
      <c r="A1538" s="5" t="s">
        <v>4980</v>
      </c>
      <c r="B1538" s="5">
        <v>9.0</v>
      </c>
      <c r="C1538" s="11" t="s">
        <v>7678</v>
      </c>
      <c r="D1538" s="10" t="s">
        <v>5438</v>
      </c>
      <c r="E1538" s="5">
        <v>12552.0</v>
      </c>
      <c r="F1538" s="82" t="s">
        <v>1648</v>
      </c>
      <c r="G1538" s="5" t="s">
        <v>5439</v>
      </c>
      <c r="H1538" s="5" t="s">
        <v>5440</v>
      </c>
      <c r="I1538" s="5" t="s">
        <v>49</v>
      </c>
      <c r="J1538" s="5" t="s">
        <v>4983</v>
      </c>
      <c r="K1538" s="5">
        <v>1.0</v>
      </c>
      <c r="L1538" s="5">
        <v>14574.0</v>
      </c>
      <c r="M1538" s="8"/>
      <c r="AK1538" s="9"/>
    </row>
    <row r="1539" ht="14.25" customHeight="1">
      <c r="A1539" s="5" t="s">
        <v>4980</v>
      </c>
      <c r="B1539" s="5">
        <v>9.0</v>
      </c>
      <c r="C1539" s="11" t="s">
        <v>7678</v>
      </c>
      <c r="D1539" s="10" t="s">
        <v>5441</v>
      </c>
      <c r="E1539" s="5">
        <v>12553.0</v>
      </c>
      <c r="F1539" s="5" t="s">
        <v>1648</v>
      </c>
      <c r="G1539" s="5" t="s">
        <v>5442</v>
      </c>
      <c r="H1539" s="5" t="s">
        <v>5397</v>
      </c>
      <c r="I1539" s="5" t="s">
        <v>49</v>
      </c>
      <c r="J1539" s="5" t="s">
        <v>4983</v>
      </c>
      <c r="K1539" s="5">
        <v>1.0</v>
      </c>
      <c r="L1539" s="5">
        <v>14575.0</v>
      </c>
      <c r="M1539" s="8"/>
      <c r="AK1539" s="9"/>
    </row>
    <row r="1540" ht="14.25" customHeight="1">
      <c r="A1540" s="5" t="s">
        <v>5443</v>
      </c>
      <c r="B1540" s="5">
        <v>9.0</v>
      </c>
      <c r="C1540" s="5" t="s">
        <v>7681</v>
      </c>
      <c r="D1540" s="5" t="s">
        <v>5444</v>
      </c>
      <c r="E1540" s="5">
        <v>12592.0</v>
      </c>
      <c r="F1540" s="5" t="s">
        <v>1648</v>
      </c>
      <c r="G1540" s="5" t="s">
        <v>5445</v>
      </c>
      <c r="H1540" s="5" t="s">
        <v>5397</v>
      </c>
      <c r="I1540" s="5" t="s">
        <v>49</v>
      </c>
      <c r="J1540" s="5" t="s">
        <v>5402</v>
      </c>
      <c r="K1540" s="5">
        <v>1.0</v>
      </c>
      <c r="L1540" s="5">
        <v>14614.0</v>
      </c>
      <c r="M1540" s="8"/>
      <c r="AK1540" s="9"/>
    </row>
    <row r="1541" ht="14.25" customHeight="1">
      <c r="A1541" s="5" t="s">
        <v>4980</v>
      </c>
      <c r="B1541" s="5">
        <v>9.0</v>
      </c>
      <c r="C1541" s="11" t="s">
        <v>7678</v>
      </c>
      <c r="D1541" s="10" t="s">
        <v>5446</v>
      </c>
      <c r="E1541" s="5">
        <v>12596.0</v>
      </c>
      <c r="F1541" s="5" t="s">
        <v>1648</v>
      </c>
      <c r="G1541" s="5" t="s">
        <v>5447</v>
      </c>
      <c r="H1541" s="5" t="s">
        <v>5397</v>
      </c>
      <c r="I1541" s="5" t="s">
        <v>49</v>
      </c>
      <c r="J1541" s="5" t="s">
        <v>5402</v>
      </c>
      <c r="K1541" s="5">
        <v>1.0</v>
      </c>
      <c r="L1541" s="5">
        <v>14618.0</v>
      </c>
      <c r="M1541" s="8"/>
      <c r="AK1541" s="9"/>
    </row>
    <row r="1542" ht="14.25" customHeight="1">
      <c r="A1542" s="5" t="s">
        <v>4980</v>
      </c>
      <c r="B1542" s="5">
        <v>9.0</v>
      </c>
      <c r="C1542" s="11" t="s">
        <v>7678</v>
      </c>
      <c r="D1542" s="10" t="s">
        <v>5448</v>
      </c>
      <c r="E1542" s="5">
        <v>12597.0</v>
      </c>
      <c r="F1542" s="5" t="s">
        <v>1648</v>
      </c>
      <c r="G1542" s="5" t="s">
        <v>5449</v>
      </c>
      <c r="H1542" s="5" t="s">
        <v>5397</v>
      </c>
      <c r="I1542" s="5" t="s">
        <v>49</v>
      </c>
      <c r="J1542" s="5" t="s">
        <v>5402</v>
      </c>
      <c r="K1542" s="5">
        <v>1.0</v>
      </c>
      <c r="L1542" s="5">
        <v>14619.0</v>
      </c>
      <c r="M1542" s="8"/>
      <c r="AK1542" s="9"/>
    </row>
    <row r="1543" ht="14.25" customHeight="1">
      <c r="A1543" s="5" t="s">
        <v>4980</v>
      </c>
      <c r="B1543" s="5">
        <v>9.0</v>
      </c>
      <c r="C1543" s="11" t="s">
        <v>7678</v>
      </c>
      <c r="D1543" s="10" t="s">
        <v>5450</v>
      </c>
      <c r="E1543" s="5">
        <v>12598.0</v>
      </c>
      <c r="F1543" s="5" t="s">
        <v>1648</v>
      </c>
      <c r="G1543" s="5" t="s">
        <v>5451</v>
      </c>
      <c r="H1543" s="5" t="s">
        <v>5397</v>
      </c>
      <c r="I1543" s="5" t="s">
        <v>49</v>
      </c>
      <c r="J1543" s="5" t="s">
        <v>5402</v>
      </c>
      <c r="K1543" s="5">
        <v>1.0</v>
      </c>
      <c r="L1543" s="5">
        <v>14620.0</v>
      </c>
      <c r="M1543" s="8"/>
      <c r="AK1543" s="9"/>
    </row>
    <row r="1544" ht="14.25" customHeight="1">
      <c r="A1544" s="5" t="s">
        <v>4980</v>
      </c>
      <c r="B1544" s="5">
        <v>9.0</v>
      </c>
      <c r="C1544" s="11" t="s">
        <v>7678</v>
      </c>
      <c r="D1544" s="10" t="s">
        <v>5452</v>
      </c>
      <c r="E1544" s="5">
        <v>12555.0</v>
      </c>
      <c r="F1544" s="5" t="s">
        <v>1648</v>
      </c>
      <c r="G1544" s="5" t="s">
        <v>5453</v>
      </c>
      <c r="H1544" s="5" t="s">
        <v>5440</v>
      </c>
      <c r="I1544" s="5" t="s">
        <v>49</v>
      </c>
      <c r="J1544" s="5" t="s">
        <v>4983</v>
      </c>
      <c r="K1544" s="5">
        <v>1.0</v>
      </c>
      <c r="L1544" s="5">
        <v>14577.0</v>
      </c>
      <c r="M1544" s="8"/>
      <c r="AK1544" s="9"/>
    </row>
    <row r="1545" ht="14.25" customHeight="1">
      <c r="A1545" s="5" t="s">
        <v>4980</v>
      </c>
      <c r="B1545" s="5">
        <v>9.0</v>
      </c>
      <c r="C1545" s="11" t="s">
        <v>7678</v>
      </c>
      <c r="D1545" s="10" t="s">
        <v>5454</v>
      </c>
      <c r="E1545" s="5">
        <v>12599.0</v>
      </c>
      <c r="F1545" s="5" t="s">
        <v>1648</v>
      </c>
      <c r="G1545" s="5" t="s">
        <v>5455</v>
      </c>
      <c r="H1545" s="5" t="s">
        <v>5397</v>
      </c>
      <c r="I1545" s="5" t="s">
        <v>49</v>
      </c>
      <c r="J1545" s="5" t="s">
        <v>5402</v>
      </c>
      <c r="K1545" s="5">
        <v>1.0</v>
      </c>
      <c r="L1545" s="5">
        <v>14621.0</v>
      </c>
      <c r="M1545" s="8"/>
      <c r="AK1545" s="9"/>
    </row>
    <row r="1546" ht="14.25" customHeight="1">
      <c r="A1546" s="5" t="s">
        <v>4980</v>
      </c>
      <c r="B1546" s="5">
        <v>9.0</v>
      </c>
      <c r="C1546" s="11" t="s">
        <v>7678</v>
      </c>
      <c r="D1546" s="10" t="s">
        <v>5456</v>
      </c>
      <c r="E1546" s="5">
        <v>12561.0</v>
      </c>
      <c r="F1546" s="82" t="s">
        <v>1648</v>
      </c>
      <c r="G1546" s="5" t="s">
        <v>5457</v>
      </c>
      <c r="H1546" s="5" t="s">
        <v>5397</v>
      </c>
      <c r="I1546" s="5" t="s">
        <v>49</v>
      </c>
      <c r="J1546" s="5" t="s">
        <v>4983</v>
      </c>
      <c r="K1546" s="5">
        <v>1.0</v>
      </c>
      <c r="L1546" s="5">
        <v>14583.0</v>
      </c>
      <c r="M1546" s="8"/>
      <c r="AK1546" s="9"/>
    </row>
    <row r="1547" ht="14.25" customHeight="1">
      <c r="A1547" s="5" t="s">
        <v>5443</v>
      </c>
      <c r="B1547" s="5">
        <v>9.0</v>
      </c>
      <c r="C1547" s="5" t="s">
        <v>7681</v>
      </c>
      <c r="D1547" s="5" t="s">
        <v>5458</v>
      </c>
      <c r="E1547" s="5">
        <v>12611.0</v>
      </c>
      <c r="F1547" s="5" t="s">
        <v>1648</v>
      </c>
      <c r="G1547" s="5" t="s">
        <v>5459</v>
      </c>
      <c r="H1547" s="5" t="s">
        <v>5397</v>
      </c>
      <c r="I1547" s="5" t="s">
        <v>49</v>
      </c>
      <c r="J1547" s="5" t="s">
        <v>5402</v>
      </c>
      <c r="K1547" s="5">
        <v>1.0</v>
      </c>
      <c r="L1547" s="5">
        <v>14633.0</v>
      </c>
      <c r="M1547" s="8"/>
      <c r="AK1547" s="9"/>
    </row>
    <row r="1548" ht="14.25" customHeight="1">
      <c r="A1548" s="5" t="s">
        <v>4980</v>
      </c>
      <c r="B1548" s="5">
        <v>9.0</v>
      </c>
      <c r="C1548" s="11" t="s">
        <v>7678</v>
      </c>
      <c r="D1548" s="10" t="s">
        <v>5460</v>
      </c>
      <c r="E1548" s="5">
        <v>12575.0</v>
      </c>
      <c r="F1548" s="5" t="s">
        <v>1648</v>
      </c>
      <c r="G1548" s="5" t="s">
        <v>5461</v>
      </c>
      <c r="H1548" s="5" t="s">
        <v>5397</v>
      </c>
      <c r="I1548" s="5" t="s">
        <v>49</v>
      </c>
      <c r="J1548" s="5" t="s">
        <v>4983</v>
      </c>
      <c r="K1548" s="5">
        <v>1.0</v>
      </c>
      <c r="L1548" s="5">
        <v>14597.0</v>
      </c>
      <c r="M1548" s="8"/>
      <c r="AK1548" s="9"/>
    </row>
    <row r="1549" ht="14.25" customHeight="1">
      <c r="A1549" s="5" t="s">
        <v>4980</v>
      </c>
      <c r="B1549" s="5">
        <v>9.0</v>
      </c>
      <c r="C1549" s="11" t="s">
        <v>7678</v>
      </c>
      <c r="D1549" s="10" t="s">
        <v>5462</v>
      </c>
      <c r="E1549" s="5">
        <v>12576.0</v>
      </c>
      <c r="F1549" s="5" t="s">
        <v>1648</v>
      </c>
      <c r="G1549" s="5" t="s">
        <v>5463</v>
      </c>
      <c r="H1549" s="5" t="s">
        <v>5397</v>
      </c>
      <c r="I1549" s="5" t="s">
        <v>49</v>
      </c>
      <c r="J1549" s="5" t="s">
        <v>4983</v>
      </c>
      <c r="K1549" s="5">
        <v>1.0</v>
      </c>
      <c r="L1549" s="5">
        <v>14598.0</v>
      </c>
      <c r="M1549" s="8"/>
      <c r="AK1549" s="9"/>
    </row>
    <row r="1550" ht="14.25" customHeight="1">
      <c r="A1550" s="5" t="s">
        <v>4980</v>
      </c>
      <c r="B1550" s="5">
        <v>9.0</v>
      </c>
      <c r="C1550" s="11" t="s">
        <v>7678</v>
      </c>
      <c r="D1550" s="10" t="s">
        <v>5464</v>
      </c>
      <c r="E1550" s="5">
        <v>12580.0</v>
      </c>
      <c r="F1550" s="82" t="s">
        <v>1648</v>
      </c>
      <c r="G1550" s="5" t="s">
        <v>5465</v>
      </c>
      <c r="H1550" s="5" t="s">
        <v>5397</v>
      </c>
      <c r="I1550" s="5" t="s">
        <v>49</v>
      </c>
      <c r="J1550" s="5" t="s">
        <v>4983</v>
      </c>
      <c r="K1550" s="5">
        <v>1.0</v>
      </c>
      <c r="L1550" s="5">
        <v>14602.0</v>
      </c>
      <c r="M1550" s="8"/>
      <c r="AK1550" s="9"/>
    </row>
    <row r="1551" ht="14.25" customHeight="1">
      <c r="A1551" s="5" t="s">
        <v>4980</v>
      </c>
      <c r="B1551" s="5">
        <v>9.0</v>
      </c>
      <c r="C1551" s="11" t="s">
        <v>7678</v>
      </c>
      <c r="D1551" s="10" t="s">
        <v>5466</v>
      </c>
      <c r="E1551" s="5">
        <v>12594.0</v>
      </c>
      <c r="F1551" s="82" t="s">
        <v>5467</v>
      </c>
      <c r="G1551" s="5" t="s">
        <v>5468</v>
      </c>
      <c r="H1551" s="5" t="s">
        <v>5397</v>
      </c>
      <c r="I1551" s="5" t="s">
        <v>49</v>
      </c>
      <c r="J1551" s="5" t="s">
        <v>5402</v>
      </c>
      <c r="K1551" s="5">
        <v>1.0</v>
      </c>
      <c r="L1551" s="5">
        <v>14616.0</v>
      </c>
      <c r="M1551" s="8"/>
      <c r="AK1551" s="9"/>
    </row>
    <row r="1552" ht="14.25" customHeight="1">
      <c r="A1552" s="5" t="s">
        <v>5043</v>
      </c>
      <c r="B1552" s="5">
        <v>9.0</v>
      </c>
      <c r="C1552" s="10" t="s">
        <v>7681</v>
      </c>
      <c r="D1552" s="10" t="s">
        <v>5469</v>
      </c>
      <c r="E1552" s="5">
        <v>12529.0</v>
      </c>
      <c r="F1552" s="10" t="s">
        <v>5470</v>
      </c>
      <c r="G1552" s="10" t="s">
        <v>5471</v>
      </c>
      <c r="H1552" s="5" t="s">
        <v>5472</v>
      </c>
      <c r="I1552" s="5" t="s">
        <v>49</v>
      </c>
      <c r="J1552" s="5" t="s">
        <v>4983</v>
      </c>
      <c r="K1552" s="5">
        <v>1.0</v>
      </c>
      <c r="L1552" s="5">
        <v>14551.0</v>
      </c>
      <c r="M1552" s="8"/>
      <c r="AK1552" s="9"/>
    </row>
    <row r="1553" ht="14.25" customHeight="1">
      <c r="A1553" s="6" t="s">
        <v>5473</v>
      </c>
      <c r="B1553" s="5">
        <v>9.0</v>
      </c>
      <c r="C1553" s="10" t="s">
        <v>7681</v>
      </c>
      <c r="D1553" s="10" t="s">
        <v>5474</v>
      </c>
      <c r="E1553" s="5">
        <v>12589.0</v>
      </c>
      <c r="F1553" s="10" t="s">
        <v>5475</v>
      </c>
      <c r="G1553" s="10" t="s">
        <v>5476</v>
      </c>
      <c r="H1553" s="5" t="s">
        <v>5397</v>
      </c>
      <c r="I1553" s="5" t="s">
        <v>49</v>
      </c>
      <c r="J1553" s="5" t="s">
        <v>5402</v>
      </c>
      <c r="K1553" s="5">
        <v>1.0</v>
      </c>
      <c r="L1553" s="5">
        <v>14611.0</v>
      </c>
      <c r="M1553" s="8"/>
      <c r="AK1553" s="9"/>
    </row>
    <row r="1554" ht="14.25" customHeight="1">
      <c r="A1554" s="5" t="s">
        <v>4980</v>
      </c>
      <c r="B1554" s="5">
        <v>9.0</v>
      </c>
      <c r="C1554" s="11" t="s">
        <v>7678</v>
      </c>
      <c r="D1554" s="10" t="s">
        <v>5477</v>
      </c>
      <c r="E1554" s="5">
        <v>12590.0</v>
      </c>
      <c r="F1554" s="10" t="s">
        <v>5478</v>
      </c>
      <c r="G1554" s="5" t="s">
        <v>5479</v>
      </c>
      <c r="H1554" s="5" t="s">
        <v>5397</v>
      </c>
      <c r="I1554" s="5" t="s">
        <v>49</v>
      </c>
      <c r="J1554" s="5" t="s">
        <v>5402</v>
      </c>
      <c r="K1554" s="5">
        <v>1.0</v>
      </c>
      <c r="L1554" s="5">
        <v>14612.0</v>
      </c>
      <c r="M1554" s="8"/>
      <c r="AK1554" s="9"/>
    </row>
    <row r="1555" ht="14.25" customHeight="1">
      <c r="A1555" s="6" t="s">
        <v>5473</v>
      </c>
      <c r="B1555" s="5">
        <v>9.0</v>
      </c>
      <c r="C1555" s="10" t="s">
        <v>7681</v>
      </c>
      <c r="D1555" s="10" t="s">
        <v>5480</v>
      </c>
      <c r="E1555" s="5">
        <v>12532.0</v>
      </c>
      <c r="F1555" s="10" t="s">
        <v>5481</v>
      </c>
      <c r="G1555" s="10" t="s">
        <v>5482</v>
      </c>
      <c r="H1555" s="5" t="s">
        <v>5397</v>
      </c>
      <c r="I1555" s="5" t="s">
        <v>49</v>
      </c>
      <c r="J1555" s="5" t="s">
        <v>4983</v>
      </c>
      <c r="K1555" s="5">
        <v>1.0</v>
      </c>
      <c r="L1555" s="5">
        <v>14554.0</v>
      </c>
      <c r="M1555" s="8"/>
      <c r="AK1555" s="9"/>
    </row>
    <row r="1556" ht="14.25" customHeight="1">
      <c r="A1556" s="6" t="s">
        <v>5473</v>
      </c>
      <c r="B1556" s="5">
        <v>9.0</v>
      </c>
      <c r="C1556" s="10" t="s">
        <v>7681</v>
      </c>
      <c r="D1556" s="10" t="s">
        <v>5483</v>
      </c>
      <c r="E1556" s="5">
        <v>12593.0</v>
      </c>
      <c r="F1556" s="10" t="s">
        <v>5484</v>
      </c>
      <c r="G1556" s="10" t="s">
        <v>5485</v>
      </c>
      <c r="H1556" s="5" t="s">
        <v>5397</v>
      </c>
      <c r="I1556" s="5" t="s">
        <v>49</v>
      </c>
      <c r="J1556" s="5" t="s">
        <v>5402</v>
      </c>
      <c r="K1556" s="5">
        <v>1.0</v>
      </c>
      <c r="L1556" s="5">
        <v>14615.0</v>
      </c>
      <c r="M1556" s="8"/>
      <c r="AK1556" s="9"/>
    </row>
    <row r="1557" ht="14.25" customHeight="1">
      <c r="A1557" s="6" t="s">
        <v>5473</v>
      </c>
      <c r="B1557" s="5">
        <v>9.0</v>
      </c>
      <c r="C1557" s="10" t="s">
        <v>7681</v>
      </c>
      <c r="D1557" s="10" t="s">
        <v>5486</v>
      </c>
      <c r="E1557" s="5">
        <v>12533.0</v>
      </c>
      <c r="F1557" s="10" t="s">
        <v>5487</v>
      </c>
      <c r="G1557" s="10" t="s">
        <v>5488</v>
      </c>
      <c r="H1557" s="5" t="s">
        <v>5397</v>
      </c>
      <c r="I1557" s="5" t="s">
        <v>49</v>
      </c>
      <c r="J1557" s="5" t="s">
        <v>4983</v>
      </c>
      <c r="K1557" s="5">
        <v>1.0</v>
      </c>
      <c r="L1557" s="5">
        <v>14555.0</v>
      </c>
      <c r="M1557" s="8"/>
      <c r="AK1557" s="9"/>
    </row>
    <row r="1558" ht="14.25" customHeight="1">
      <c r="A1558" s="6" t="s">
        <v>5473</v>
      </c>
      <c r="B1558" s="5">
        <v>9.0</v>
      </c>
      <c r="C1558" s="10" t="s">
        <v>7681</v>
      </c>
      <c r="D1558" s="10" t="s">
        <v>5489</v>
      </c>
      <c r="E1558" s="5">
        <v>12601.0</v>
      </c>
      <c r="F1558" s="10" t="s">
        <v>5490</v>
      </c>
      <c r="G1558" s="10" t="s">
        <v>5491</v>
      </c>
      <c r="H1558" s="5" t="s">
        <v>5397</v>
      </c>
      <c r="I1558" s="5" t="s">
        <v>49</v>
      </c>
      <c r="J1558" s="5" t="s">
        <v>5402</v>
      </c>
      <c r="K1558" s="5">
        <v>1.0</v>
      </c>
      <c r="L1558" s="5">
        <v>14623.0</v>
      </c>
      <c r="M1558" s="8"/>
      <c r="AK1558" s="9"/>
    </row>
    <row r="1559" ht="14.25" customHeight="1">
      <c r="A1559" s="6" t="s">
        <v>5473</v>
      </c>
      <c r="B1559" s="5">
        <v>9.0</v>
      </c>
      <c r="C1559" s="10" t="s">
        <v>7681</v>
      </c>
      <c r="D1559" s="10" t="s">
        <v>5492</v>
      </c>
      <c r="E1559" s="5">
        <v>12591.0</v>
      </c>
      <c r="F1559" s="10" t="s">
        <v>5493</v>
      </c>
      <c r="G1559" s="10" t="s">
        <v>5494</v>
      </c>
      <c r="H1559" s="5" t="s">
        <v>5397</v>
      </c>
      <c r="I1559" s="5" t="s">
        <v>49</v>
      </c>
      <c r="J1559" s="5" t="s">
        <v>5402</v>
      </c>
      <c r="K1559" s="5">
        <v>1.0</v>
      </c>
      <c r="L1559" s="5">
        <v>14613.0</v>
      </c>
      <c r="M1559" s="8"/>
      <c r="AK1559" s="9"/>
    </row>
    <row r="1560" ht="14.25" customHeight="1">
      <c r="A1560" s="6" t="s">
        <v>5473</v>
      </c>
      <c r="B1560" s="5">
        <v>9.0</v>
      </c>
      <c r="C1560" s="10" t="s">
        <v>7681</v>
      </c>
      <c r="D1560" s="10" t="s">
        <v>5495</v>
      </c>
      <c r="E1560" s="5">
        <v>12536.0</v>
      </c>
      <c r="F1560" s="10" t="s">
        <v>5496</v>
      </c>
      <c r="G1560" s="10" t="s">
        <v>5497</v>
      </c>
      <c r="H1560" s="5" t="s">
        <v>5397</v>
      </c>
      <c r="I1560" s="5" t="s">
        <v>49</v>
      </c>
      <c r="J1560" s="5" t="s">
        <v>4983</v>
      </c>
      <c r="K1560" s="5">
        <v>1.0</v>
      </c>
      <c r="L1560" s="5">
        <v>14558.0</v>
      </c>
      <c r="M1560" s="8"/>
      <c r="AK1560" s="9"/>
      <c r="AO1560" s="27"/>
    </row>
    <row r="1561" ht="14.25" customHeight="1">
      <c r="A1561" s="5" t="s">
        <v>5043</v>
      </c>
      <c r="B1561" s="5">
        <v>9.0</v>
      </c>
      <c r="C1561" s="10" t="s">
        <v>7681</v>
      </c>
      <c r="D1561" s="10" t="s">
        <v>5498</v>
      </c>
      <c r="E1561" s="5">
        <v>12538.0</v>
      </c>
      <c r="F1561" s="10" t="s">
        <v>5499</v>
      </c>
      <c r="G1561" s="10" t="s">
        <v>5500</v>
      </c>
      <c r="H1561" s="5" t="s">
        <v>5397</v>
      </c>
      <c r="I1561" s="5" t="s">
        <v>49</v>
      </c>
      <c r="J1561" s="5" t="s">
        <v>4983</v>
      </c>
      <c r="K1561" s="5">
        <v>1.0</v>
      </c>
      <c r="L1561" s="5">
        <v>14560.0</v>
      </c>
      <c r="M1561" s="8"/>
      <c r="AK1561" s="9"/>
    </row>
    <row r="1562" ht="14.25" customHeight="1">
      <c r="A1562" s="43" t="s">
        <v>5501</v>
      </c>
      <c r="B1562" s="44">
        <v>9.0</v>
      </c>
      <c r="C1562" s="44" t="s">
        <v>7678</v>
      </c>
      <c r="D1562" s="44" t="s">
        <v>5502</v>
      </c>
      <c r="E1562" s="44">
        <v>12541.0</v>
      </c>
      <c r="F1562" s="44" t="s">
        <v>5503</v>
      </c>
      <c r="G1562" s="44" t="s">
        <v>5504</v>
      </c>
      <c r="H1562" s="44" t="s">
        <v>5397</v>
      </c>
      <c r="I1562" s="44" t="s">
        <v>49</v>
      </c>
      <c r="J1562" s="44" t="s">
        <v>4983</v>
      </c>
      <c r="K1562" s="44">
        <v>1.0</v>
      </c>
      <c r="L1562" s="44">
        <v>14563.0</v>
      </c>
      <c r="M1562" s="83"/>
      <c r="N1562" s="44"/>
      <c r="O1562" s="44"/>
      <c r="P1562" s="44"/>
      <c r="Q1562" s="44"/>
      <c r="R1562" s="44"/>
      <c r="S1562" s="44"/>
      <c r="T1562" s="44"/>
      <c r="U1562" s="44"/>
      <c r="V1562" s="44"/>
      <c r="W1562" s="44"/>
      <c r="X1562" s="44"/>
      <c r="Y1562" s="44"/>
      <c r="Z1562" s="44"/>
      <c r="AA1562" s="44"/>
      <c r="AB1562" s="44"/>
      <c r="AC1562" s="44"/>
      <c r="AD1562" s="44"/>
      <c r="AE1562" s="44"/>
      <c r="AF1562" s="44"/>
      <c r="AG1562" s="44"/>
      <c r="AH1562" s="44"/>
      <c r="AI1562" s="44"/>
      <c r="AJ1562" s="44"/>
      <c r="AK1562" s="84"/>
      <c r="AL1562" s="44"/>
      <c r="AM1562" s="44"/>
      <c r="AN1562" s="44"/>
      <c r="AO1562" s="85"/>
      <c r="AP1562" s="44"/>
      <c r="AQ1562" s="44"/>
      <c r="AR1562" s="44"/>
      <c r="AS1562" s="44"/>
      <c r="AT1562" s="44"/>
      <c r="AU1562" s="44"/>
      <c r="AV1562" s="44"/>
      <c r="AW1562" s="44"/>
      <c r="AX1562" s="44"/>
      <c r="AY1562" s="44"/>
      <c r="AZ1562" s="44"/>
      <c r="BA1562" s="44"/>
      <c r="BB1562" s="44"/>
      <c r="BC1562" s="44"/>
      <c r="BD1562" s="44"/>
      <c r="BE1562" s="44"/>
      <c r="BF1562" s="44"/>
      <c r="BG1562" s="44"/>
      <c r="BH1562" s="44"/>
      <c r="BI1562" s="44"/>
      <c r="BJ1562" s="44"/>
      <c r="BK1562" s="44"/>
      <c r="BL1562" s="44"/>
      <c r="BM1562" s="44"/>
      <c r="BN1562" s="44"/>
      <c r="BO1562" s="44"/>
      <c r="BP1562" s="44"/>
      <c r="BQ1562" s="44"/>
      <c r="BR1562" s="44"/>
      <c r="BS1562" s="44"/>
      <c r="BT1562" s="44"/>
    </row>
    <row r="1563" ht="14.25" customHeight="1">
      <c r="A1563" s="5" t="s">
        <v>4980</v>
      </c>
      <c r="B1563" s="5">
        <v>9.0</v>
      </c>
      <c r="C1563" s="11" t="s">
        <v>7678</v>
      </c>
      <c r="D1563" s="10" t="s">
        <v>5505</v>
      </c>
      <c r="E1563" s="5">
        <v>12544.0</v>
      </c>
      <c r="F1563" s="10" t="s">
        <v>5506</v>
      </c>
      <c r="G1563" s="5" t="s">
        <v>5507</v>
      </c>
      <c r="H1563" s="5" t="s">
        <v>5397</v>
      </c>
      <c r="I1563" s="5" t="s">
        <v>49</v>
      </c>
      <c r="J1563" s="5" t="s">
        <v>4983</v>
      </c>
      <c r="K1563" s="5">
        <v>1.0</v>
      </c>
      <c r="L1563" s="5">
        <v>14566.0</v>
      </c>
      <c r="M1563" s="8"/>
      <c r="AK1563" s="9"/>
    </row>
    <row r="1564" ht="14.25" customHeight="1">
      <c r="B1564" s="5">
        <v>9.0</v>
      </c>
      <c r="C1564" s="10" t="s">
        <v>7684</v>
      </c>
      <c r="D1564" s="10" t="s">
        <v>5508</v>
      </c>
      <c r="E1564" s="5">
        <v>12545.0</v>
      </c>
      <c r="F1564" s="10" t="s">
        <v>5509</v>
      </c>
      <c r="G1564" s="5" t="s">
        <v>5510</v>
      </c>
      <c r="H1564" s="5" t="s">
        <v>5511</v>
      </c>
      <c r="I1564" s="5" t="s">
        <v>49</v>
      </c>
      <c r="J1564" s="5" t="s">
        <v>5512</v>
      </c>
      <c r="K1564" s="5">
        <v>1.0</v>
      </c>
      <c r="L1564" s="5">
        <v>14567.0</v>
      </c>
      <c r="M1564" s="8"/>
      <c r="AK1564" s="9"/>
    </row>
    <row r="1565" ht="14.25" customHeight="1">
      <c r="A1565" s="6" t="s">
        <v>5473</v>
      </c>
      <c r="B1565" s="5">
        <v>9.0</v>
      </c>
      <c r="C1565" s="10" t="s">
        <v>7681</v>
      </c>
      <c r="D1565" s="10" t="s">
        <v>5513</v>
      </c>
      <c r="E1565" s="5">
        <v>12549.0</v>
      </c>
      <c r="F1565" s="10" t="s">
        <v>5514</v>
      </c>
      <c r="G1565" s="10" t="s">
        <v>5515</v>
      </c>
      <c r="H1565" s="5" t="s">
        <v>5397</v>
      </c>
      <c r="I1565" s="5" t="s">
        <v>49</v>
      </c>
      <c r="J1565" s="5" t="s">
        <v>4983</v>
      </c>
      <c r="K1565" s="5">
        <v>1.0</v>
      </c>
      <c r="L1565" s="5">
        <v>14571.0</v>
      </c>
      <c r="M1565" s="8"/>
      <c r="AK1565" s="9"/>
    </row>
    <row r="1566" ht="14.25" customHeight="1">
      <c r="A1566" s="5" t="s">
        <v>4980</v>
      </c>
      <c r="B1566" s="5">
        <v>9.0</v>
      </c>
      <c r="C1566" s="11" t="s">
        <v>7678</v>
      </c>
      <c r="D1566" s="10" t="s">
        <v>5516</v>
      </c>
      <c r="E1566" s="5">
        <v>12554.0</v>
      </c>
      <c r="F1566" s="10" t="s">
        <v>5517</v>
      </c>
      <c r="G1566" s="5" t="s">
        <v>5518</v>
      </c>
      <c r="H1566" s="5" t="s">
        <v>5397</v>
      </c>
      <c r="I1566" s="5" t="s">
        <v>49</v>
      </c>
      <c r="J1566" s="5" t="s">
        <v>4983</v>
      </c>
      <c r="K1566" s="5">
        <v>1.0</v>
      </c>
      <c r="L1566" s="5">
        <v>14576.0</v>
      </c>
      <c r="M1566" s="8"/>
      <c r="AK1566" s="9"/>
    </row>
    <row r="1567" ht="14.25" customHeight="1">
      <c r="A1567" s="6" t="s">
        <v>5473</v>
      </c>
      <c r="B1567" s="5">
        <v>9.0</v>
      </c>
      <c r="C1567" s="10" t="s">
        <v>7681</v>
      </c>
      <c r="D1567" s="10" t="s">
        <v>5519</v>
      </c>
      <c r="E1567" s="5">
        <v>12556.0</v>
      </c>
      <c r="F1567" s="10" t="s">
        <v>5520</v>
      </c>
      <c r="G1567" s="10" t="s">
        <v>5521</v>
      </c>
      <c r="H1567" s="5" t="s">
        <v>5397</v>
      </c>
      <c r="I1567" s="5" t="s">
        <v>49</v>
      </c>
      <c r="J1567" s="5" t="s">
        <v>4983</v>
      </c>
      <c r="K1567" s="5">
        <v>1.0</v>
      </c>
      <c r="L1567" s="5">
        <v>14578.0</v>
      </c>
      <c r="M1567" s="8"/>
      <c r="AK1567" s="9"/>
    </row>
    <row r="1568" ht="14.25" customHeight="1">
      <c r="A1568" s="6" t="s">
        <v>5473</v>
      </c>
      <c r="B1568" s="5">
        <v>9.0</v>
      </c>
      <c r="C1568" s="10" t="s">
        <v>7681</v>
      </c>
      <c r="D1568" s="10" t="s">
        <v>5522</v>
      </c>
      <c r="E1568" s="5">
        <v>12603.0</v>
      </c>
      <c r="F1568" s="10" t="s">
        <v>5523</v>
      </c>
      <c r="G1568" s="10" t="s">
        <v>5524</v>
      </c>
      <c r="H1568" s="5" t="s">
        <v>5397</v>
      </c>
      <c r="I1568" s="5" t="s">
        <v>49</v>
      </c>
      <c r="J1568" s="5" t="s">
        <v>5402</v>
      </c>
      <c r="K1568" s="5">
        <v>1.0</v>
      </c>
      <c r="L1568" s="5">
        <v>14625.0</v>
      </c>
      <c r="M1568" s="8"/>
      <c r="AK1568" s="9"/>
    </row>
    <row r="1569" ht="14.25" customHeight="1">
      <c r="A1569" s="6" t="s">
        <v>5473</v>
      </c>
      <c r="B1569" s="5">
        <v>9.0</v>
      </c>
      <c r="C1569" s="10" t="s">
        <v>7681</v>
      </c>
      <c r="D1569" s="10" t="s">
        <v>5525</v>
      </c>
      <c r="E1569" s="5">
        <v>12600.0</v>
      </c>
      <c r="F1569" s="10" t="s">
        <v>5526</v>
      </c>
      <c r="G1569" s="10" t="s">
        <v>5527</v>
      </c>
      <c r="H1569" s="5" t="s">
        <v>5397</v>
      </c>
      <c r="I1569" s="5" t="s">
        <v>49</v>
      </c>
      <c r="J1569" s="5" t="s">
        <v>5402</v>
      </c>
      <c r="K1569" s="5">
        <v>1.0</v>
      </c>
      <c r="L1569" s="5">
        <v>14622.0</v>
      </c>
      <c r="M1569" s="8"/>
      <c r="AK1569" s="9"/>
    </row>
    <row r="1570" ht="14.25" customHeight="1">
      <c r="A1570" s="5" t="s">
        <v>4980</v>
      </c>
      <c r="B1570" s="5">
        <v>9.0</v>
      </c>
      <c r="C1570" s="11" t="s">
        <v>7678</v>
      </c>
      <c r="D1570" s="10" t="s">
        <v>5528</v>
      </c>
      <c r="E1570" s="5">
        <v>12557.0</v>
      </c>
      <c r="F1570" s="10" t="s">
        <v>5529</v>
      </c>
      <c r="G1570" s="5" t="s">
        <v>5530</v>
      </c>
      <c r="H1570" s="5" t="s">
        <v>5397</v>
      </c>
      <c r="I1570" s="5" t="s">
        <v>49</v>
      </c>
      <c r="J1570" s="5" t="s">
        <v>4983</v>
      </c>
      <c r="K1570" s="5">
        <v>1.0</v>
      </c>
      <c r="L1570" s="5">
        <v>14579.0</v>
      </c>
      <c r="M1570" s="8"/>
      <c r="AK1570" s="9"/>
      <c r="AO1570" s="27"/>
    </row>
    <row r="1571" ht="14.25" customHeight="1">
      <c r="A1571" s="6" t="s">
        <v>5473</v>
      </c>
      <c r="B1571" s="5">
        <v>9.0</v>
      </c>
      <c r="C1571" s="10" t="s">
        <v>7681</v>
      </c>
      <c r="D1571" s="10" t="s">
        <v>5531</v>
      </c>
      <c r="E1571" s="5">
        <v>12558.0</v>
      </c>
      <c r="F1571" s="10" t="s">
        <v>5532</v>
      </c>
      <c r="G1571" s="10" t="s">
        <v>5533</v>
      </c>
      <c r="H1571" s="5" t="s">
        <v>5397</v>
      </c>
      <c r="I1571" s="5" t="s">
        <v>49</v>
      </c>
      <c r="J1571" s="5" t="s">
        <v>4983</v>
      </c>
      <c r="K1571" s="5">
        <v>1.0</v>
      </c>
      <c r="L1571" s="5">
        <v>14580.0</v>
      </c>
      <c r="M1571" s="8"/>
      <c r="AK1571" s="9"/>
      <c r="AO1571" s="27"/>
    </row>
    <row r="1572" ht="14.25" customHeight="1">
      <c r="A1572" s="5" t="s">
        <v>5043</v>
      </c>
      <c r="B1572" s="5">
        <v>9.0</v>
      </c>
      <c r="C1572" s="10" t="s">
        <v>7681</v>
      </c>
      <c r="D1572" s="10" t="s">
        <v>5534</v>
      </c>
      <c r="E1572" s="5">
        <v>12602.0</v>
      </c>
      <c r="F1572" s="10" t="s">
        <v>5535</v>
      </c>
      <c r="G1572" s="10" t="s">
        <v>5536</v>
      </c>
      <c r="H1572" s="5" t="s">
        <v>5397</v>
      </c>
      <c r="I1572" s="5" t="s">
        <v>49</v>
      </c>
      <c r="J1572" s="5" t="s">
        <v>5402</v>
      </c>
      <c r="K1572" s="5">
        <v>1.0</v>
      </c>
      <c r="L1572" s="5">
        <v>14624.0</v>
      </c>
      <c r="M1572" s="8"/>
      <c r="AK1572" s="9"/>
      <c r="AO1572" s="27"/>
    </row>
    <row r="1573" ht="14.25" customHeight="1">
      <c r="A1573" s="5" t="s">
        <v>5537</v>
      </c>
      <c r="B1573" s="5">
        <v>9.0</v>
      </c>
      <c r="C1573" s="10" t="s">
        <v>7684</v>
      </c>
      <c r="D1573" s="10" t="s">
        <v>5538</v>
      </c>
      <c r="E1573" s="5">
        <v>12559.0</v>
      </c>
      <c r="F1573" s="10" t="s">
        <v>5539</v>
      </c>
      <c r="G1573" s="5" t="s">
        <v>5540</v>
      </c>
      <c r="H1573" s="5" t="s">
        <v>5397</v>
      </c>
      <c r="I1573" s="5" t="s">
        <v>49</v>
      </c>
      <c r="J1573" s="5" t="s">
        <v>5512</v>
      </c>
      <c r="K1573" s="5">
        <v>1.0</v>
      </c>
      <c r="L1573" s="5">
        <v>14581.0</v>
      </c>
      <c r="M1573" s="8"/>
      <c r="AK1573" s="9"/>
    </row>
    <row r="1574" ht="14.25" customHeight="1">
      <c r="A1574" s="5" t="s">
        <v>4980</v>
      </c>
      <c r="B1574" s="5">
        <v>9.0</v>
      </c>
      <c r="C1574" s="11" t="s">
        <v>7678</v>
      </c>
      <c r="D1574" s="10" t="s">
        <v>5541</v>
      </c>
      <c r="E1574" s="5">
        <v>12560.0</v>
      </c>
      <c r="F1574" s="10" t="s">
        <v>5542</v>
      </c>
      <c r="G1574" s="5" t="s">
        <v>5543</v>
      </c>
      <c r="H1574" s="5" t="s">
        <v>5397</v>
      </c>
      <c r="I1574" s="5" t="s">
        <v>49</v>
      </c>
      <c r="J1574" s="5" t="s">
        <v>4983</v>
      </c>
      <c r="K1574" s="5">
        <v>1.0</v>
      </c>
      <c r="L1574" s="5">
        <v>14582.0</v>
      </c>
      <c r="M1574" s="8"/>
      <c r="AK1574" s="9"/>
    </row>
    <row r="1575" ht="14.25" customHeight="1">
      <c r="A1575" s="6" t="s">
        <v>5544</v>
      </c>
      <c r="B1575" s="5">
        <v>9.0</v>
      </c>
      <c r="C1575" s="10" t="s">
        <v>7681</v>
      </c>
      <c r="D1575" s="10" t="s">
        <v>5545</v>
      </c>
      <c r="E1575" s="5">
        <v>12562.0</v>
      </c>
      <c r="F1575" s="10" t="s">
        <v>5546</v>
      </c>
      <c r="G1575" s="10" t="s">
        <v>5547</v>
      </c>
      <c r="H1575" s="5" t="s">
        <v>5397</v>
      </c>
      <c r="I1575" s="5" t="s">
        <v>49</v>
      </c>
      <c r="J1575" s="5" t="s">
        <v>4983</v>
      </c>
      <c r="K1575" s="5">
        <v>1.0</v>
      </c>
      <c r="L1575" s="5">
        <v>14584.0</v>
      </c>
      <c r="M1575" s="8"/>
      <c r="AK1575" s="9"/>
    </row>
    <row r="1576" ht="14.25" customHeight="1">
      <c r="A1576" s="5" t="s">
        <v>4980</v>
      </c>
      <c r="B1576" s="5">
        <v>9.0</v>
      </c>
      <c r="C1576" s="11" t="s">
        <v>7678</v>
      </c>
      <c r="D1576" s="10" t="s">
        <v>5548</v>
      </c>
      <c r="E1576" s="5">
        <v>12604.0</v>
      </c>
      <c r="F1576" s="5" t="s">
        <v>5549</v>
      </c>
      <c r="G1576" s="5" t="s">
        <v>5550</v>
      </c>
      <c r="H1576" s="5" t="s">
        <v>5397</v>
      </c>
      <c r="I1576" s="5" t="s">
        <v>49</v>
      </c>
      <c r="J1576" s="5" t="s">
        <v>5402</v>
      </c>
      <c r="K1576" s="5">
        <v>1.0</v>
      </c>
      <c r="L1576" s="5">
        <v>14626.0</v>
      </c>
      <c r="M1576" s="8"/>
      <c r="AK1576" s="9"/>
    </row>
    <row r="1577" ht="14.25" customHeight="1">
      <c r="A1577" s="5" t="s">
        <v>4980</v>
      </c>
      <c r="B1577" s="5">
        <v>9.0</v>
      </c>
      <c r="C1577" s="11" t="s">
        <v>7678</v>
      </c>
      <c r="D1577" s="10" t="s">
        <v>5551</v>
      </c>
      <c r="E1577" s="5">
        <v>12605.0</v>
      </c>
      <c r="F1577" s="5" t="s">
        <v>5552</v>
      </c>
      <c r="G1577" s="5" t="s">
        <v>5553</v>
      </c>
      <c r="H1577" s="5" t="s">
        <v>5397</v>
      </c>
      <c r="I1577" s="5" t="s">
        <v>49</v>
      </c>
      <c r="J1577" s="5" t="s">
        <v>5402</v>
      </c>
      <c r="K1577" s="5">
        <v>1.0</v>
      </c>
      <c r="L1577" s="5">
        <v>14627.0</v>
      </c>
      <c r="M1577" s="8"/>
      <c r="AK1577" s="9"/>
    </row>
    <row r="1578" ht="14.25" customHeight="1">
      <c r="A1578" s="5" t="s">
        <v>4980</v>
      </c>
      <c r="B1578" s="5">
        <v>9.0</v>
      </c>
      <c r="C1578" s="11" t="s">
        <v>7678</v>
      </c>
      <c r="D1578" s="10" t="s">
        <v>5554</v>
      </c>
      <c r="E1578" s="5">
        <v>12564.0</v>
      </c>
      <c r="F1578" s="5" t="s">
        <v>5555</v>
      </c>
      <c r="G1578" s="5" t="s">
        <v>5556</v>
      </c>
      <c r="H1578" s="5" t="s">
        <v>5397</v>
      </c>
      <c r="I1578" s="5" t="s">
        <v>49</v>
      </c>
      <c r="J1578" s="5" t="s">
        <v>4983</v>
      </c>
      <c r="K1578" s="5">
        <v>1.0</v>
      </c>
      <c r="L1578" s="5">
        <v>14586.0</v>
      </c>
      <c r="M1578" s="8"/>
      <c r="AK1578" s="9"/>
    </row>
    <row r="1579" ht="14.25" customHeight="1">
      <c r="A1579" s="5" t="s">
        <v>4980</v>
      </c>
      <c r="B1579" s="5">
        <v>9.0</v>
      </c>
      <c r="C1579" s="11" t="s">
        <v>7678</v>
      </c>
      <c r="D1579" s="10" t="s">
        <v>5557</v>
      </c>
      <c r="E1579" s="5">
        <v>12565.0</v>
      </c>
      <c r="F1579" s="5" t="s">
        <v>5558</v>
      </c>
      <c r="G1579" s="5" t="s">
        <v>5559</v>
      </c>
      <c r="H1579" s="5" t="s">
        <v>5397</v>
      </c>
      <c r="I1579" s="5" t="s">
        <v>49</v>
      </c>
      <c r="J1579" s="5" t="s">
        <v>4983</v>
      </c>
      <c r="K1579" s="5">
        <v>1.0</v>
      </c>
      <c r="L1579" s="5">
        <v>14587.0</v>
      </c>
      <c r="M1579" s="8"/>
      <c r="AK1579" s="9"/>
    </row>
    <row r="1580" ht="14.25" customHeight="1">
      <c r="A1580" s="5" t="s">
        <v>4980</v>
      </c>
      <c r="B1580" s="5">
        <v>9.0</v>
      </c>
      <c r="C1580" s="11" t="s">
        <v>7678</v>
      </c>
      <c r="D1580" s="10" t="s">
        <v>5560</v>
      </c>
      <c r="E1580" s="5">
        <v>12566.0</v>
      </c>
      <c r="F1580" s="11" t="s">
        <v>5561</v>
      </c>
      <c r="G1580" s="5" t="s">
        <v>5562</v>
      </c>
      <c r="H1580" s="5" t="s">
        <v>5397</v>
      </c>
      <c r="I1580" s="5" t="s">
        <v>49</v>
      </c>
      <c r="J1580" s="5" t="s">
        <v>4983</v>
      </c>
      <c r="K1580" s="5">
        <v>1.0</v>
      </c>
      <c r="L1580" s="5">
        <v>14588.0</v>
      </c>
      <c r="M1580" s="8"/>
      <c r="AK1580" s="9"/>
    </row>
    <row r="1581" ht="14.25" customHeight="1">
      <c r="A1581" s="5" t="s">
        <v>4980</v>
      </c>
      <c r="B1581" s="5">
        <v>9.0</v>
      </c>
      <c r="C1581" s="11" t="s">
        <v>7678</v>
      </c>
      <c r="D1581" s="10" t="s">
        <v>5563</v>
      </c>
      <c r="E1581" s="5">
        <v>12567.0</v>
      </c>
      <c r="F1581" s="11" t="s">
        <v>5564</v>
      </c>
      <c r="G1581" s="5" t="s">
        <v>5565</v>
      </c>
      <c r="H1581" s="5" t="s">
        <v>5397</v>
      </c>
      <c r="I1581" s="5" t="s">
        <v>49</v>
      </c>
      <c r="J1581" s="5" t="s">
        <v>4983</v>
      </c>
      <c r="K1581" s="5">
        <v>1.0</v>
      </c>
      <c r="L1581" s="5">
        <v>14589.0</v>
      </c>
      <c r="M1581" s="8"/>
      <c r="AK1581" s="9"/>
    </row>
    <row r="1582" ht="14.25" customHeight="1">
      <c r="A1582" s="5" t="s">
        <v>4980</v>
      </c>
      <c r="B1582" s="5">
        <v>9.0</v>
      </c>
      <c r="C1582" s="11" t="s">
        <v>7678</v>
      </c>
      <c r="D1582" s="10" t="s">
        <v>5566</v>
      </c>
      <c r="E1582" s="5">
        <v>12606.0</v>
      </c>
      <c r="F1582" s="11" t="s">
        <v>5567</v>
      </c>
      <c r="G1582" s="5" t="s">
        <v>5568</v>
      </c>
      <c r="H1582" s="5" t="s">
        <v>5397</v>
      </c>
      <c r="I1582" s="5" t="s">
        <v>49</v>
      </c>
      <c r="J1582" s="5" t="s">
        <v>5402</v>
      </c>
      <c r="K1582" s="5">
        <v>1.0</v>
      </c>
      <c r="L1582" s="5">
        <v>14628.0</v>
      </c>
      <c r="M1582" s="8"/>
      <c r="AK1582" s="9"/>
    </row>
    <row r="1583" ht="14.25" customHeight="1">
      <c r="A1583" s="44" t="s">
        <v>5569</v>
      </c>
      <c r="B1583" s="44">
        <v>9.0</v>
      </c>
      <c r="C1583" s="44" t="s">
        <v>7678</v>
      </c>
      <c r="D1583" s="44" t="s">
        <v>5570</v>
      </c>
      <c r="E1583" s="44">
        <v>12568.0</v>
      </c>
      <c r="F1583" s="44" t="s">
        <v>5571</v>
      </c>
      <c r="G1583" s="44" t="s">
        <v>5572</v>
      </c>
      <c r="H1583" s="44" t="s">
        <v>5397</v>
      </c>
      <c r="I1583" s="44" t="s">
        <v>49</v>
      </c>
      <c r="J1583" s="44" t="s">
        <v>4983</v>
      </c>
      <c r="K1583" s="44">
        <v>1.0</v>
      </c>
      <c r="L1583" s="44">
        <v>14590.0</v>
      </c>
      <c r="M1583" s="83"/>
      <c r="N1583" s="44"/>
      <c r="O1583" s="44"/>
      <c r="P1583" s="44"/>
      <c r="Q1583" s="44"/>
      <c r="R1583" s="44"/>
      <c r="S1583" s="44"/>
      <c r="T1583" s="44"/>
      <c r="U1583" s="44"/>
      <c r="V1583" s="44"/>
      <c r="W1583" s="44"/>
      <c r="X1583" s="44"/>
      <c r="Y1583" s="44"/>
      <c r="Z1583" s="44"/>
      <c r="AA1583" s="44"/>
      <c r="AB1583" s="44"/>
      <c r="AC1583" s="44"/>
      <c r="AD1583" s="44"/>
      <c r="AE1583" s="44"/>
      <c r="AF1583" s="44"/>
      <c r="AG1583" s="44"/>
      <c r="AH1583" s="44"/>
      <c r="AI1583" s="44"/>
      <c r="AJ1583" s="44"/>
      <c r="AK1583" s="84"/>
      <c r="AL1583" s="44"/>
      <c r="AM1583" s="44"/>
      <c r="AN1583" s="44"/>
      <c r="AO1583" s="44"/>
      <c r="AP1583" s="44"/>
      <c r="AQ1583" s="44"/>
      <c r="AR1583" s="44"/>
      <c r="AS1583" s="44"/>
      <c r="AT1583" s="44"/>
      <c r="AU1583" s="44"/>
      <c r="AV1583" s="44"/>
      <c r="AW1583" s="44"/>
      <c r="AX1583" s="44"/>
      <c r="AY1583" s="44"/>
      <c r="AZ1583" s="44"/>
      <c r="BA1583" s="44"/>
      <c r="BB1583" s="44"/>
      <c r="BC1583" s="44"/>
      <c r="BD1583" s="44"/>
      <c r="BE1583" s="44"/>
      <c r="BF1583" s="44"/>
      <c r="BG1583" s="44"/>
      <c r="BH1583" s="44"/>
      <c r="BI1583" s="44"/>
      <c r="BJ1583" s="44"/>
      <c r="BK1583" s="44"/>
      <c r="BL1583" s="44"/>
      <c r="BM1583" s="44"/>
      <c r="BN1583" s="44"/>
      <c r="BO1583" s="44"/>
      <c r="BP1583" s="44"/>
      <c r="BQ1583" s="44"/>
      <c r="BR1583" s="44"/>
      <c r="BS1583" s="44"/>
      <c r="BT1583" s="44"/>
    </row>
    <row r="1584" ht="14.25" customHeight="1">
      <c r="A1584" s="5" t="s">
        <v>4980</v>
      </c>
      <c r="B1584" s="5">
        <v>9.0</v>
      </c>
      <c r="C1584" s="11" t="s">
        <v>7678</v>
      </c>
      <c r="D1584" s="10" t="s">
        <v>5573</v>
      </c>
      <c r="E1584" s="5">
        <v>12569.0</v>
      </c>
      <c r="F1584" s="5" t="s">
        <v>5574</v>
      </c>
      <c r="G1584" s="5" t="s">
        <v>5575</v>
      </c>
      <c r="H1584" s="5" t="s">
        <v>5576</v>
      </c>
      <c r="I1584" s="5" t="s">
        <v>49</v>
      </c>
      <c r="J1584" s="5" t="s">
        <v>4983</v>
      </c>
      <c r="K1584" s="5">
        <v>1.0</v>
      </c>
      <c r="L1584" s="5">
        <v>14591.0</v>
      </c>
      <c r="M1584" s="8"/>
      <c r="AK1584" s="9"/>
    </row>
    <row r="1585" ht="14.25" customHeight="1">
      <c r="B1585" s="5">
        <v>9.0</v>
      </c>
      <c r="C1585" s="11" t="s">
        <v>7678</v>
      </c>
      <c r="D1585" s="10" t="s">
        <v>5577</v>
      </c>
      <c r="E1585" s="5">
        <v>12570.0</v>
      </c>
      <c r="F1585" s="10" t="s">
        <v>5578</v>
      </c>
      <c r="G1585" s="5" t="s">
        <v>5579</v>
      </c>
      <c r="H1585" s="5" t="s">
        <v>5397</v>
      </c>
      <c r="I1585" s="5" t="s">
        <v>49</v>
      </c>
      <c r="J1585" s="5" t="s">
        <v>4983</v>
      </c>
      <c r="K1585" s="5">
        <v>1.0</v>
      </c>
      <c r="L1585" s="5">
        <v>14592.0</v>
      </c>
      <c r="M1585" s="8"/>
      <c r="AK1585" s="9"/>
    </row>
    <row r="1586" ht="14.25" customHeight="1">
      <c r="A1586" s="5" t="s">
        <v>5043</v>
      </c>
      <c r="B1586" s="5">
        <v>9.0</v>
      </c>
      <c r="C1586" s="10" t="s">
        <v>7681</v>
      </c>
      <c r="D1586" s="10" t="s">
        <v>5580</v>
      </c>
      <c r="E1586" s="5">
        <v>12607.0</v>
      </c>
      <c r="F1586" s="10" t="s">
        <v>5581</v>
      </c>
      <c r="G1586" s="10" t="s">
        <v>5582</v>
      </c>
      <c r="H1586" s="5" t="s">
        <v>5397</v>
      </c>
      <c r="I1586" s="5" t="s">
        <v>49</v>
      </c>
      <c r="J1586" s="5" t="s">
        <v>5402</v>
      </c>
      <c r="K1586" s="5">
        <v>1.0</v>
      </c>
      <c r="L1586" s="5">
        <v>14629.0</v>
      </c>
      <c r="M1586" s="8"/>
      <c r="AK1586" s="9"/>
    </row>
    <row r="1587" ht="14.25" customHeight="1">
      <c r="A1587" s="5" t="s">
        <v>5443</v>
      </c>
      <c r="B1587" s="5">
        <v>9.0</v>
      </c>
      <c r="C1587" s="5" t="s">
        <v>7681</v>
      </c>
      <c r="D1587" s="5" t="s">
        <v>5583</v>
      </c>
      <c r="E1587" s="5">
        <v>12563.0</v>
      </c>
      <c r="F1587" s="5" t="s">
        <v>5584</v>
      </c>
      <c r="G1587" s="5" t="s">
        <v>5585</v>
      </c>
      <c r="H1587" s="5" t="s">
        <v>5397</v>
      </c>
      <c r="I1587" s="5" t="s">
        <v>49</v>
      </c>
      <c r="J1587" s="5" t="s">
        <v>4983</v>
      </c>
      <c r="K1587" s="5">
        <v>1.0</v>
      </c>
      <c r="L1587" s="5">
        <v>14585.0</v>
      </c>
      <c r="M1587" s="8"/>
      <c r="AK1587" s="9"/>
    </row>
    <row r="1588" ht="14.25" customHeight="1">
      <c r="A1588" s="5" t="s">
        <v>4980</v>
      </c>
      <c r="B1588" s="5">
        <v>9.0</v>
      </c>
      <c r="C1588" s="11" t="s">
        <v>7678</v>
      </c>
      <c r="D1588" s="10" t="s">
        <v>5586</v>
      </c>
      <c r="E1588" s="5">
        <v>12571.0</v>
      </c>
      <c r="F1588" s="5" t="s">
        <v>5587</v>
      </c>
      <c r="G1588" s="5" t="s">
        <v>5588</v>
      </c>
      <c r="H1588" s="5" t="s">
        <v>5397</v>
      </c>
      <c r="I1588" s="5" t="s">
        <v>49</v>
      </c>
      <c r="J1588" s="5" t="s">
        <v>5512</v>
      </c>
      <c r="K1588" s="5">
        <v>1.0</v>
      </c>
      <c r="L1588" s="5">
        <v>14593.0</v>
      </c>
      <c r="M1588" s="8"/>
      <c r="AK1588" s="9"/>
    </row>
    <row r="1589" ht="14.25" customHeight="1">
      <c r="A1589" s="5" t="s">
        <v>5589</v>
      </c>
      <c r="B1589" s="5">
        <v>9.0</v>
      </c>
      <c r="C1589" s="5" t="s">
        <v>7678</v>
      </c>
      <c r="D1589" s="5" t="s">
        <v>5590</v>
      </c>
      <c r="E1589" s="5">
        <v>12572.0</v>
      </c>
      <c r="F1589" s="5" t="s">
        <v>5591</v>
      </c>
      <c r="G1589" s="5" t="s">
        <v>5592</v>
      </c>
      <c r="H1589" s="5" t="s">
        <v>5397</v>
      </c>
      <c r="I1589" s="5" t="s">
        <v>49</v>
      </c>
      <c r="J1589" s="5" t="s">
        <v>4983</v>
      </c>
      <c r="K1589" s="5">
        <v>1.0</v>
      </c>
      <c r="L1589" s="5">
        <v>14594.0</v>
      </c>
      <c r="M1589" s="8"/>
      <c r="AK1589" s="9"/>
    </row>
    <row r="1590" ht="14.25" customHeight="1">
      <c r="A1590" s="5" t="s">
        <v>4980</v>
      </c>
      <c r="B1590" s="5">
        <v>9.0</v>
      </c>
      <c r="C1590" s="11" t="s">
        <v>7678</v>
      </c>
      <c r="D1590" s="10" t="s">
        <v>5593</v>
      </c>
      <c r="E1590" s="5">
        <v>12573.0</v>
      </c>
      <c r="F1590" s="10" t="s">
        <v>5594</v>
      </c>
      <c r="G1590" s="5" t="s">
        <v>5595</v>
      </c>
      <c r="H1590" s="5" t="s">
        <v>5397</v>
      </c>
      <c r="I1590" s="5" t="s">
        <v>49</v>
      </c>
      <c r="J1590" s="5" t="s">
        <v>4983</v>
      </c>
      <c r="K1590" s="5">
        <v>1.0</v>
      </c>
      <c r="L1590" s="5">
        <v>14595.0</v>
      </c>
      <c r="M1590" s="8"/>
      <c r="AK1590" s="9"/>
    </row>
    <row r="1591" ht="14.25" customHeight="1">
      <c r="A1591" s="5" t="s">
        <v>4980</v>
      </c>
      <c r="B1591" s="5">
        <v>9.0</v>
      </c>
      <c r="C1591" s="11" t="s">
        <v>7678</v>
      </c>
      <c r="D1591" s="10" t="s">
        <v>5596</v>
      </c>
      <c r="E1591" s="5">
        <v>12574.0</v>
      </c>
      <c r="F1591" s="10" t="s">
        <v>5597</v>
      </c>
      <c r="G1591" s="5" t="s">
        <v>5598</v>
      </c>
      <c r="H1591" s="5" t="s">
        <v>5397</v>
      </c>
      <c r="I1591" s="5" t="s">
        <v>49</v>
      </c>
      <c r="J1591" s="5" t="s">
        <v>4983</v>
      </c>
      <c r="K1591" s="5">
        <v>1.0</v>
      </c>
      <c r="L1591" s="5">
        <v>14596.0</v>
      </c>
      <c r="M1591" s="8"/>
      <c r="AK1591" s="9"/>
    </row>
    <row r="1592" ht="14.25" customHeight="1">
      <c r="A1592" s="5" t="s">
        <v>4980</v>
      </c>
      <c r="B1592" s="5">
        <v>9.0</v>
      </c>
      <c r="C1592" s="11" t="s">
        <v>7678</v>
      </c>
      <c r="D1592" s="10" t="s">
        <v>5599</v>
      </c>
      <c r="E1592" s="5">
        <v>12577.0</v>
      </c>
      <c r="F1592" s="10" t="s">
        <v>5600</v>
      </c>
      <c r="G1592" s="5" t="s">
        <v>5601</v>
      </c>
      <c r="H1592" s="5" t="s">
        <v>5397</v>
      </c>
      <c r="I1592" s="5" t="s">
        <v>49</v>
      </c>
      <c r="J1592" s="5" t="s">
        <v>4983</v>
      </c>
      <c r="K1592" s="5">
        <v>1.0</v>
      </c>
      <c r="L1592" s="5">
        <v>14599.0</v>
      </c>
      <c r="M1592" s="8"/>
      <c r="AK1592" s="9"/>
    </row>
    <row r="1593" ht="14.25" customHeight="1">
      <c r="A1593" s="5" t="s">
        <v>4980</v>
      </c>
      <c r="B1593" s="5">
        <v>9.0</v>
      </c>
      <c r="C1593" s="11" t="s">
        <v>7678</v>
      </c>
      <c r="D1593" s="10" t="s">
        <v>5602</v>
      </c>
      <c r="E1593" s="5">
        <v>12578.0</v>
      </c>
      <c r="F1593" s="10" t="s">
        <v>5603</v>
      </c>
      <c r="G1593" s="5" t="s">
        <v>5604</v>
      </c>
      <c r="H1593" s="5" t="s">
        <v>5397</v>
      </c>
      <c r="I1593" s="5" t="s">
        <v>49</v>
      </c>
      <c r="J1593" s="5" t="s">
        <v>4983</v>
      </c>
      <c r="K1593" s="5">
        <v>1.0</v>
      </c>
      <c r="L1593" s="5">
        <v>14600.0</v>
      </c>
      <c r="M1593" s="8"/>
      <c r="AK1593" s="9"/>
    </row>
    <row r="1594" ht="14.25" customHeight="1">
      <c r="A1594" s="5" t="s">
        <v>4980</v>
      </c>
      <c r="B1594" s="5">
        <v>9.0</v>
      </c>
      <c r="C1594" s="11" t="s">
        <v>7678</v>
      </c>
      <c r="D1594" s="10" t="s">
        <v>5605</v>
      </c>
      <c r="E1594" s="5">
        <v>12579.0</v>
      </c>
      <c r="F1594" s="10" t="s">
        <v>5606</v>
      </c>
      <c r="G1594" s="5" t="s">
        <v>5607</v>
      </c>
      <c r="H1594" s="5" t="s">
        <v>5397</v>
      </c>
      <c r="I1594" s="5" t="s">
        <v>49</v>
      </c>
      <c r="J1594" s="5" t="s">
        <v>4983</v>
      </c>
      <c r="K1594" s="5">
        <v>1.0</v>
      </c>
      <c r="L1594" s="5">
        <v>14601.0</v>
      </c>
      <c r="M1594" s="8"/>
      <c r="AK1594" s="9"/>
    </row>
    <row r="1595" ht="14.25" customHeight="1">
      <c r="A1595" s="5" t="s">
        <v>4980</v>
      </c>
      <c r="B1595" s="5">
        <v>9.0</v>
      </c>
      <c r="C1595" s="11" t="s">
        <v>7678</v>
      </c>
      <c r="D1595" s="10" t="s">
        <v>5608</v>
      </c>
      <c r="E1595" s="5">
        <v>12581.0</v>
      </c>
      <c r="F1595" s="10" t="s">
        <v>5609</v>
      </c>
      <c r="G1595" s="5" t="s">
        <v>5610</v>
      </c>
      <c r="H1595" s="5" t="s">
        <v>5611</v>
      </c>
      <c r="I1595" s="5" t="s">
        <v>49</v>
      </c>
      <c r="J1595" s="5" t="s">
        <v>4983</v>
      </c>
      <c r="K1595" s="5">
        <v>1.0</v>
      </c>
      <c r="L1595" s="5">
        <v>14603.0</v>
      </c>
      <c r="M1595" s="8"/>
      <c r="AK1595" s="9"/>
      <c r="AO1595" s="27"/>
    </row>
    <row r="1596" ht="14.25" customHeight="1">
      <c r="A1596" s="5" t="s">
        <v>4980</v>
      </c>
      <c r="B1596" s="5">
        <v>9.0</v>
      </c>
      <c r="C1596" s="11" t="s">
        <v>7678</v>
      </c>
      <c r="D1596" s="10" t="s">
        <v>5612</v>
      </c>
      <c r="E1596" s="5">
        <v>12584.0</v>
      </c>
      <c r="F1596" s="10" t="s">
        <v>5613</v>
      </c>
      <c r="G1596" s="5" t="s">
        <v>5614</v>
      </c>
      <c r="H1596" s="5" t="s">
        <v>5397</v>
      </c>
      <c r="I1596" s="5" t="s">
        <v>49</v>
      </c>
      <c r="J1596" s="5" t="s">
        <v>4983</v>
      </c>
      <c r="K1596" s="5">
        <v>1.0</v>
      </c>
      <c r="L1596" s="5">
        <v>14606.0</v>
      </c>
      <c r="M1596" s="8"/>
      <c r="AK1596" s="9"/>
      <c r="AO1596" s="27"/>
    </row>
    <row r="1597" ht="14.25" customHeight="1">
      <c r="A1597" s="5" t="s">
        <v>4980</v>
      </c>
      <c r="B1597" s="5">
        <v>9.0</v>
      </c>
      <c r="C1597" s="11" t="s">
        <v>7678</v>
      </c>
      <c r="D1597" s="10" t="s">
        <v>5615</v>
      </c>
      <c r="E1597" s="5">
        <v>12585.0</v>
      </c>
      <c r="F1597" s="10" t="s">
        <v>5616</v>
      </c>
      <c r="G1597" s="5" t="s">
        <v>5617</v>
      </c>
      <c r="H1597" s="5" t="s">
        <v>5397</v>
      </c>
      <c r="I1597" s="5" t="s">
        <v>49</v>
      </c>
      <c r="J1597" s="5" t="s">
        <v>4983</v>
      </c>
      <c r="K1597" s="5">
        <v>1.0</v>
      </c>
      <c r="L1597" s="5">
        <v>14607.0</v>
      </c>
      <c r="M1597" s="8"/>
      <c r="AK1597" s="9"/>
    </row>
    <row r="1598" ht="14.25" customHeight="1">
      <c r="A1598" s="5" t="s">
        <v>4980</v>
      </c>
      <c r="B1598" s="5">
        <v>9.0</v>
      </c>
      <c r="C1598" s="11" t="s">
        <v>7678</v>
      </c>
      <c r="D1598" s="10" t="s">
        <v>5618</v>
      </c>
      <c r="E1598" s="5">
        <v>12586.0</v>
      </c>
      <c r="F1598" s="10" t="s">
        <v>5619</v>
      </c>
      <c r="G1598" s="5" t="s">
        <v>5620</v>
      </c>
      <c r="H1598" s="5" t="s">
        <v>5397</v>
      </c>
      <c r="I1598" s="5" t="s">
        <v>49</v>
      </c>
      <c r="J1598" s="5" t="s">
        <v>4983</v>
      </c>
      <c r="K1598" s="5">
        <v>1.0</v>
      </c>
      <c r="L1598" s="5">
        <v>14608.0</v>
      </c>
      <c r="M1598" s="8"/>
      <c r="AK1598" s="9"/>
    </row>
    <row r="1599" ht="14.25" customHeight="1">
      <c r="A1599" s="5" t="s">
        <v>4980</v>
      </c>
      <c r="B1599" s="5">
        <v>9.0</v>
      </c>
      <c r="C1599" s="11" t="s">
        <v>7678</v>
      </c>
      <c r="D1599" s="10" t="s">
        <v>5621</v>
      </c>
      <c r="E1599" s="5">
        <v>12587.0</v>
      </c>
      <c r="F1599" s="10" t="s">
        <v>5622</v>
      </c>
      <c r="G1599" s="5" t="s">
        <v>5623</v>
      </c>
      <c r="H1599" s="5" t="s">
        <v>5397</v>
      </c>
      <c r="I1599" s="5" t="s">
        <v>49</v>
      </c>
      <c r="J1599" s="5" t="s">
        <v>4983</v>
      </c>
      <c r="K1599" s="5">
        <v>1.0</v>
      </c>
      <c r="L1599" s="5">
        <v>14609.0</v>
      </c>
      <c r="M1599" s="8"/>
      <c r="AK1599" s="9"/>
      <c r="AO1599" s="27"/>
    </row>
    <row r="1600" ht="14.25" customHeight="1">
      <c r="A1600" s="5" t="s">
        <v>4980</v>
      </c>
      <c r="B1600" s="5">
        <v>9.0</v>
      </c>
      <c r="C1600" s="11" t="s">
        <v>7678</v>
      </c>
      <c r="D1600" s="10" t="s">
        <v>5624</v>
      </c>
      <c r="E1600" s="5">
        <v>12588.0</v>
      </c>
      <c r="F1600" s="10" t="s">
        <v>5625</v>
      </c>
      <c r="G1600" s="5" t="s">
        <v>5626</v>
      </c>
      <c r="H1600" s="5" t="s">
        <v>5397</v>
      </c>
      <c r="I1600" s="5" t="s">
        <v>49</v>
      </c>
      <c r="J1600" s="5" t="s">
        <v>4983</v>
      </c>
      <c r="K1600" s="5">
        <v>1.0</v>
      </c>
      <c r="L1600" s="5">
        <v>14610.0</v>
      </c>
      <c r="M1600" s="8"/>
      <c r="AK1600" s="9"/>
    </row>
    <row r="1601" ht="14.25" customHeight="1">
      <c r="A1601" s="5" t="s">
        <v>5043</v>
      </c>
      <c r="B1601" s="5">
        <v>9.0</v>
      </c>
      <c r="C1601" s="10" t="s">
        <v>7681</v>
      </c>
      <c r="D1601" s="10" t="s">
        <v>5627</v>
      </c>
      <c r="E1601" s="5">
        <v>12583.0</v>
      </c>
      <c r="F1601" s="10" t="s">
        <v>5628</v>
      </c>
      <c r="G1601" s="5" t="s">
        <v>5629</v>
      </c>
      <c r="H1601" s="5" t="s">
        <v>5397</v>
      </c>
      <c r="I1601" s="5" t="s">
        <v>49</v>
      </c>
      <c r="J1601" s="5" t="s">
        <v>4983</v>
      </c>
      <c r="K1601" s="5">
        <v>1.0</v>
      </c>
      <c r="L1601" s="5">
        <v>14605.0</v>
      </c>
      <c r="M1601" s="8"/>
      <c r="AK1601" s="9"/>
    </row>
    <row r="1602" ht="14.25" customHeight="1">
      <c r="A1602" s="5" t="s">
        <v>5032</v>
      </c>
      <c r="B1602" s="5">
        <v>9.0</v>
      </c>
      <c r="C1602" s="11" t="s">
        <v>7678</v>
      </c>
      <c r="D1602" s="10" t="s">
        <v>5630</v>
      </c>
      <c r="E1602" s="5">
        <v>2607.0</v>
      </c>
      <c r="F1602" s="5" t="s">
        <v>5631</v>
      </c>
      <c r="G1602" s="5" t="s">
        <v>5632</v>
      </c>
      <c r="H1602" s="5" t="s">
        <v>5633</v>
      </c>
      <c r="I1602" s="5" t="s">
        <v>641</v>
      </c>
      <c r="J1602" s="5" t="s">
        <v>5048</v>
      </c>
      <c r="K1602" s="5">
        <v>1.0</v>
      </c>
      <c r="L1602" s="5">
        <v>3010.0</v>
      </c>
      <c r="M1602" s="8"/>
      <c r="AK1602" s="9"/>
    </row>
    <row r="1603" ht="14.25" customHeight="1">
      <c r="A1603" s="5" t="s">
        <v>5032</v>
      </c>
      <c r="B1603" s="5">
        <v>9.0</v>
      </c>
      <c r="C1603" s="11" t="s">
        <v>7678</v>
      </c>
      <c r="D1603" s="10" t="s">
        <v>5634</v>
      </c>
      <c r="E1603" s="5">
        <v>2621.0</v>
      </c>
      <c r="F1603" s="5" t="s">
        <v>5635</v>
      </c>
      <c r="G1603" s="5" t="s">
        <v>5636</v>
      </c>
      <c r="H1603" s="5" t="s">
        <v>5637</v>
      </c>
      <c r="I1603" s="5" t="s">
        <v>641</v>
      </c>
      <c r="J1603" s="5" t="s">
        <v>5073</v>
      </c>
      <c r="K1603" s="5">
        <v>1.0</v>
      </c>
      <c r="L1603" s="5">
        <v>3024.0</v>
      </c>
      <c r="M1603" s="8"/>
      <c r="AK1603" s="9"/>
    </row>
    <row r="1604" ht="14.25" customHeight="1">
      <c r="A1604" s="6" t="s">
        <v>5638</v>
      </c>
      <c r="B1604" s="5">
        <v>9.0</v>
      </c>
      <c r="C1604" s="10" t="s">
        <v>7681</v>
      </c>
      <c r="D1604" s="10" t="s">
        <v>5639</v>
      </c>
      <c r="E1604" s="5">
        <v>12203.0</v>
      </c>
      <c r="F1604" s="10" t="s">
        <v>5640</v>
      </c>
      <c r="G1604" s="10" t="s">
        <v>5641</v>
      </c>
      <c r="H1604" s="5" t="s">
        <v>84</v>
      </c>
      <c r="I1604" s="5" t="s">
        <v>641</v>
      </c>
      <c r="K1604" s="5">
        <v>1.0</v>
      </c>
      <c r="L1604" s="5">
        <v>14258.0</v>
      </c>
      <c r="M1604" s="8"/>
      <c r="AK1604" s="9"/>
    </row>
    <row r="1605" ht="14.25" customHeight="1">
      <c r="A1605" s="6" t="s">
        <v>5642</v>
      </c>
      <c r="B1605" s="5">
        <v>9.0</v>
      </c>
      <c r="C1605" s="5" t="s">
        <v>7681</v>
      </c>
      <c r="D1605" s="5" t="s">
        <v>5643</v>
      </c>
      <c r="E1605" s="5">
        <v>12204.0</v>
      </c>
      <c r="F1605" s="5" t="s">
        <v>5644</v>
      </c>
      <c r="G1605" s="5" t="s">
        <v>5645</v>
      </c>
      <c r="H1605" s="5" t="s">
        <v>84</v>
      </c>
      <c r="I1605" s="5" t="s">
        <v>641</v>
      </c>
      <c r="K1605" s="5">
        <v>1.0</v>
      </c>
      <c r="L1605" s="5">
        <v>14259.0</v>
      </c>
      <c r="M1605" s="8"/>
      <c r="AK1605" s="9"/>
    </row>
    <row r="1606" ht="14.25" customHeight="1">
      <c r="A1606" s="6" t="s">
        <v>5638</v>
      </c>
      <c r="B1606" s="5">
        <v>9.0</v>
      </c>
      <c r="C1606" s="10" t="s">
        <v>7681</v>
      </c>
      <c r="D1606" s="10" t="s">
        <v>5646</v>
      </c>
      <c r="E1606" s="5">
        <v>12205.0</v>
      </c>
      <c r="F1606" s="5" t="s">
        <v>429</v>
      </c>
      <c r="G1606" s="5" t="s">
        <v>5647</v>
      </c>
      <c r="H1606" s="5" t="s">
        <v>84</v>
      </c>
      <c r="I1606" s="5" t="s">
        <v>641</v>
      </c>
      <c r="K1606" s="5">
        <v>1.0</v>
      </c>
      <c r="L1606" s="5">
        <v>14260.0</v>
      </c>
      <c r="M1606" s="8"/>
      <c r="AK1606" s="9"/>
      <c r="AO1606" s="27"/>
    </row>
    <row r="1607" ht="14.25" customHeight="1">
      <c r="A1607" s="6" t="s">
        <v>5648</v>
      </c>
      <c r="B1607" s="5">
        <v>9.0</v>
      </c>
      <c r="C1607" s="5" t="s">
        <v>7681</v>
      </c>
      <c r="D1607" s="5" t="s">
        <v>5649</v>
      </c>
      <c r="E1607" s="5">
        <v>12207.0</v>
      </c>
      <c r="F1607" s="5" t="s">
        <v>5650</v>
      </c>
      <c r="G1607" s="5" t="s">
        <v>5651</v>
      </c>
      <c r="H1607" s="5" t="s">
        <v>84</v>
      </c>
      <c r="I1607" s="5" t="s">
        <v>641</v>
      </c>
      <c r="K1607" s="5">
        <v>1.0</v>
      </c>
      <c r="L1607" s="5">
        <v>14262.0</v>
      </c>
      <c r="M1607" s="8"/>
      <c r="AK1607" s="9"/>
      <c r="AO1607" s="27"/>
    </row>
    <row r="1608" ht="14.25" customHeight="1">
      <c r="A1608" s="5" t="s">
        <v>4984</v>
      </c>
      <c r="B1608" s="5">
        <v>9.0</v>
      </c>
      <c r="C1608" s="10" t="s">
        <v>7681</v>
      </c>
      <c r="D1608" s="12" t="s">
        <v>5652</v>
      </c>
      <c r="E1608" s="5">
        <v>12208.0</v>
      </c>
      <c r="F1608" s="10" t="s">
        <v>5653</v>
      </c>
      <c r="G1608" s="10" t="s">
        <v>5654</v>
      </c>
      <c r="H1608" s="5" t="s">
        <v>5655</v>
      </c>
      <c r="I1608" s="5" t="s">
        <v>641</v>
      </c>
      <c r="J1608" s="5" t="s">
        <v>4974</v>
      </c>
      <c r="K1608" s="5">
        <v>1.0</v>
      </c>
      <c r="L1608" s="5">
        <v>14263.0</v>
      </c>
      <c r="M1608" s="8"/>
      <c r="AK1608" s="9"/>
    </row>
    <row r="1609" ht="14.25" customHeight="1">
      <c r="A1609" s="5" t="s">
        <v>5032</v>
      </c>
      <c r="B1609" s="5">
        <v>9.0</v>
      </c>
      <c r="C1609" s="11" t="s">
        <v>7678</v>
      </c>
      <c r="D1609" s="10" t="s">
        <v>5656</v>
      </c>
      <c r="E1609" s="5">
        <v>2622.0</v>
      </c>
      <c r="F1609" s="5" t="s">
        <v>5657</v>
      </c>
      <c r="G1609" s="5" t="s">
        <v>5658</v>
      </c>
      <c r="H1609" s="5" t="s">
        <v>5659</v>
      </c>
      <c r="I1609" s="5" t="s">
        <v>641</v>
      </c>
      <c r="J1609" s="5" t="s">
        <v>5177</v>
      </c>
      <c r="K1609" s="5">
        <v>1.0</v>
      </c>
      <c r="L1609" s="5">
        <v>3025.0</v>
      </c>
      <c r="M1609" s="8"/>
      <c r="AK1609" s="9"/>
      <c r="AO1609" s="27"/>
    </row>
    <row r="1610" ht="14.25" customHeight="1">
      <c r="A1610" s="5" t="s">
        <v>5032</v>
      </c>
      <c r="B1610" s="5">
        <v>9.0</v>
      </c>
      <c r="C1610" s="11" t="s">
        <v>7678</v>
      </c>
      <c r="D1610" s="10" t="s">
        <v>5660</v>
      </c>
      <c r="E1610" s="5">
        <v>2624.0</v>
      </c>
      <c r="F1610" s="5" t="s">
        <v>5661</v>
      </c>
      <c r="G1610" s="5" t="s">
        <v>5662</v>
      </c>
      <c r="H1610" s="5" t="s">
        <v>5663</v>
      </c>
      <c r="I1610" s="5" t="s">
        <v>641</v>
      </c>
      <c r="J1610" s="5" t="s">
        <v>5083</v>
      </c>
      <c r="K1610" s="5">
        <v>1.0</v>
      </c>
      <c r="L1610" s="5">
        <v>3027.0</v>
      </c>
      <c r="M1610" s="8"/>
      <c r="AK1610" s="9"/>
      <c r="AO1610" s="27"/>
    </row>
    <row r="1611" ht="14.25" customHeight="1">
      <c r="B1611" s="5">
        <v>9.0</v>
      </c>
      <c r="C1611" s="5" t="s">
        <v>7684</v>
      </c>
      <c r="D1611" s="10" t="s">
        <v>5664</v>
      </c>
      <c r="E1611" s="5">
        <v>12213.0</v>
      </c>
      <c r="F1611" s="5" t="s">
        <v>5665</v>
      </c>
      <c r="G1611" s="5" t="s">
        <v>5666</v>
      </c>
      <c r="H1611" s="5" t="s">
        <v>5220</v>
      </c>
      <c r="I1611" s="5" t="s">
        <v>641</v>
      </c>
      <c r="J1611" s="5" t="s">
        <v>5667</v>
      </c>
      <c r="K1611" s="5">
        <v>1.0</v>
      </c>
      <c r="L1611" s="5">
        <v>14268.0</v>
      </c>
      <c r="M1611" s="8"/>
      <c r="AK1611" s="9"/>
    </row>
    <row r="1612" ht="14.25" customHeight="1">
      <c r="A1612" s="5" t="s">
        <v>5032</v>
      </c>
      <c r="B1612" s="5">
        <v>9.0</v>
      </c>
      <c r="C1612" s="11" t="s">
        <v>7678</v>
      </c>
      <c r="D1612" s="12" t="s">
        <v>5668</v>
      </c>
      <c r="E1612" s="5">
        <v>2586.0</v>
      </c>
      <c r="F1612" s="5" t="s">
        <v>5669</v>
      </c>
      <c r="G1612" s="5" t="s">
        <v>5670</v>
      </c>
      <c r="H1612" s="5" t="s">
        <v>5671</v>
      </c>
      <c r="I1612" s="5" t="s">
        <v>641</v>
      </c>
      <c r="J1612" s="5" t="s">
        <v>5073</v>
      </c>
      <c r="K1612" s="5">
        <v>1.0</v>
      </c>
      <c r="L1612" s="5">
        <v>2989.0</v>
      </c>
      <c r="M1612" s="8"/>
      <c r="AK1612" s="9"/>
    </row>
    <row r="1613" ht="14.25" customHeight="1">
      <c r="A1613" s="5" t="s">
        <v>5032</v>
      </c>
      <c r="B1613" s="5">
        <v>9.0</v>
      </c>
      <c r="C1613" s="11" t="s">
        <v>7678</v>
      </c>
      <c r="D1613" s="10" t="s">
        <v>5672</v>
      </c>
      <c r="E1613" s="5">
        <v>2598.0</v>
      </c>
      <c r="F1613" s="5" t="s">
        <v>5673</v>
      </c>
      <c r="G1613" s="5" t="s">
        <v>5674</v>
      </c>
      <c r="H1613" s="5" t="s">
        <v>5671</v>
      </c>
      <c r="I1613" s="5" t="s">
        <v>641</v>
      </c>
      <c r="J1613" s="5" t="s">
        <v>5073</v>
      </c>
      <c r="K1613" s="5">
        <v>1.0</v>
      </c>
      <c r="L1613" s="5">
        <v>3001.0</v>
      </c>
      <c r="M1613" s="8"/>
      <c r="AK1613" s="9"/>
      <c r="AO1613" s="27"/>
    </row>
    <row r="1614" ht="14.25" customHeight="1">
      <c r="A1614" s="5" t="s">
        <v>3107</v>
      </c>
      <c r="B1614" s="5">
        <v>9.0</v>
      </c>
      <c r="C1614" s="10" t="s">
        <v>7681</v>
      </c>
      <c r="D1614" s="10" t="s">
        <v>5675</v>
      </c>
      <c r="E1614" s="5">
        <v>2647.0</v>
      </c>
      <c r="F1614" s="10" t="s">
        <v>5676</v>
      </c>
      <c r="G1614" s="10" t="s">
        <v>5677</v>
      </c>
      <c r="H1614" s="5" t="s">
        <v>5678</v>
      </c>
      <c r="I1614" s="5" t="s">
        <v>641</v>
      </c>
      <c r="J1614" s="5" t="s">
        <v>5048</v>
      </c>
      <c r="K1614" s="5">
        <v>1.0</v>
      </c>
      <c r="L1614" s="5">
        <v>3050.0</v>
      </c>
      <c r="M1614" s="8"/>
      <c r="AK1614" s="9"/>
    </row>
    <row r="1615" ht="14.25" customHeight="1">
      <c r="A1615" s="6" t="s">
        <v>5679</v>
      </c>
      <c r="B1615" s="5">
        <v>9.0</v>
      </c>
      <c r="C1615" s="10" t="s">
        <v>7681</v>
      </c>
      <c r="D1615" s="10" t="s">
        <v>5680</v>
      </c>
      <c r="E1615" s="5">
        <v>12220.0</v>
      </c>
      <c r="F1615" s="5" t="s">
        <v>5681</v>
      </c>
      <c r="G1615" s="10" t="s">
        <v>5682</v>
      </c>
      <c r="H1615" s="5" t="s">
        <v>84</v>
      </c>
      <c r="I1615" s="5" t="s">
        <v>641</v>
      </c>
      <c r="K1615" s="5">
        <v>1.0</v>
      </c>
      <c r="L1615" s="5">
        <v>14275.0</v>
      </c>
      <c r="M1615" s="8"/>
      <c r="AK1615" s="9"/>
      <c r="AO1615" s="27"/>
    </row>
    <row r="1616" ht="14.25" customHeight="1">
      <c r="A1616" s="5" t="s">
        <v>5032</v>
      </c>
      <c r="B1616" s="5">
        <v>9.0</v>
      </c>
      <c r="C1616" s="11" t="s">
        <v>7678</v>
      </c>
      <c r="D1616" s="10" t="s">
        <v>5683</v>
      </c>
      <c r="E1616" s="5">
        <v>12223.0</v>
      </c>
      <c r="F1616" s="5" t="s">
        <v>5684</v>
      </c>
      <c r="G1616" s="5" t="s">
        <v>5685</v>
      </c>
      <c r="H1616" s="5" t="s">
        <v>5686</v>
      </c>
      <c r="I1616" s="5" t="s">
        <v>641</v>
      </c>
      <c r="J1616" s="5" t="s">
        <v>5073</v>
      </c>
      <c r="K1616" s="5">
        <v>1.0</v>
      </c>
      <c r="L1616" s="5">
        <v>14278.0</v>
      </c>
      <c r="M1616" s="8"/>
      <c r="AK1616" s="9"/>
    </row>
    <row r="1617" ht="14.25" customHeight="1">
      <c r="A1617" s="5" t="s">
        <v>5032</v>
      </c>
      <c r="B1617" s="5">
        <v>9.0</v>
      </c>
      <c r="C1617" s="11" t="s">
        <v>7678</v>
      </c>
      <c r="D1617" s="10" t="s">
        <v>5687</v>
      </c>
      <c r="E1617" s="5">
        <v>2635.0</v>
      </c>
      <c r="F1617" s="5" t="s">
        <v>5688</v>
      </c>
      <c r="G1617" s="5" t="s">
        <v>5689</v>
      </c>
      <c r="H1617" s="5" t="s">
        <v>5690</v>
      </c>
      <c r="I1617" s="5" t="s">
        <v>641</v>
      </c>
      <c r="J1617" s="5" t="s">
        <v>5048</v>
      </c>
      <c r="K1617" s="5">
        <v>1.0</v>
      </c>
      <c r="L1617" s="5">
        <v>3038.0</v>
      </c>
      <c r="M1617" s="8"/>
      <c r="AK1617" s="9"/>
      <c r="AO1617" s="27"/>
    </row>
    <row r="1618" ht="14.25" customHeight="1">
      <c r="A1618" s="5" t="s">
        <v>5032</v>
      </c>
      <c r="B1618" s="5">
        <v>9.0</v>
      </c>
      <c r="C1618" s="11" t="s">
        <v>7678</v>
      </c>
      <c r="D1618" s="10" t="s">
        <v>5691</v>
      </c>
      <c r="E1618" s="5">
        <v>1583.0</v>
      </c>
      <c r="F1618" s="5" t="s">
        <v>5692</v>
      </c>
      <c r="G1618" s="5" t="s">
        <v>5693</v>
      </c>
      <c r="H1618" s="5" t="s">
        <v>5694</v>
      </c>
      <c r="I1618" s="5" t="s">
        <v>641</v>
      </c>
      <c r="J1618" s="5" t="s">
        <v>5037</v>
      </c>
      <c r="K1618" s="5">
        <v>1.0</v>
      </c>
      <c r="L1618" s="5">
        <v>1986.0</v>
      </c>
      <c r="M1618" s="8"/>
      <c r="AK1618" s="9"/>
    </row>
    <row r="1619" ht="14.25" customHeight="1">
      <c r="A1619" s="5" t="s">
        <v>5032</v>
      </c>
      <c r="B1619" s="5">
        <v>9.0</v>
      </c>
      <c r="C1619" s="11" t="s">
        <v>7678</v>
      </c>
      <c r="D1619" s="10" t="s">
        <v>5695</v>
      </c>
      <c r="E1619" s="5">
        <v>2638.0</v>
      </c>
      <c r="F1619" s="5" t="s">
        <v>5696</v>
      </c>
      <c r="G1619" s="5" t="s">
        <v>5697</v>
      </c>
      <c r="H1619" s="5" t="s">
        <v>5698</v>
      </c>
      <c r="I1619" s="5" t="s">
        <v>641</v>
      </c>
      <c r="J1619" s="5" t="s">
        <v>5083</v>
      </c>
      <c r="K1619" s="5">
        <v>1.0</v>
      </c>
      <c r="L1619" s="5">
        <v>3041.0</v>
      </c>
      <c r="M1619" s="8"/>
      <c r="AK1619" s="9"/>
    </row>
    <row r="1620" ht="14.25" customHeight="1">
      <c r="A1620" s="5" t="s">
        <v>5032</v>
      </c>
      <c r="B1620" s="5">
        <v>9.0</v>
      </c>
      <c r="C1620" s="11" t="s">
        <v>7678</v>
      </c>
      <c r="D1620" s="10" t="s">
        <v>5699</v>
      </c>
      <c r="E1620" s="5">
        <v>3278.0</v>
      </c>
      <c r="F1620" s="5" t="s">
        <v>5700</v>
      </c>
      <c r="G1620" s="5" t="s">
        <v>5701</v>
      </c>
      <c r="H1620" s="5" t="s">
        <v>5702</v>
      </c>
      <c r="I1620" s="5" t="s">
        <v>49</v>
      </c>
      <c r="J1620" s="5" t="s">
        <v>5037</v>
      </c>
      <c r="K1620" s="5">
        <v>1.0</v>
      </c>
      <c r="L1620" s="5">
        <v>4117.0</v>
      </c>
      <c r="M1620" s="8"/>
      <c r="AK1620" s="9"/>
    </row>
    <row r="1621" ht="14.25" customHeight="1">
      <c r="A1621" s="5" t="s">
        <v>5703</v>
      </c>
      <c r="B1621" s="5">
        <v>9.0</v>
      </c>
      <c r="C1621" s="10" t="s">
        <v>7681</v>
      </c>
      <c r="D1621" s="12" t="s">
        <v>5704</v>
      </c>
      <c r="E1621" s="5">
        <v>12232.0</v>
      </c>
      <c r="F1621" s="10" t="s">
        <v>5705</v>
      </c>
      <c r="G1621" s="5" t="s">
        <v>5706</v>
      </c>
      <c r="H1621" s="5" t="s">
        <v>5095</v>
      </c>
      <c r="I1621" s="5" t="s">
        <v>641</v>
      </c>
      <c r="J1621" s="5" t="s">
        <v>5083</v>
      </c>
      <c r="K1621" s="5">
        <v>1.0</v>
      </c>
      <c r="L1621" s="5">
        <v>14287.0</v>
      </c>
      <c r="M1621" s="8"/>
      <c r="AK1621" s="9"/>
      <c r="AO1621" s="27"/>
    </row>
    <row r="1622" ht="14.25" customHeight="1">
      <c r="A1622" s="5" t="s">
        <v>422</v>
      </c>
      <c r="B1622" s="5">
        <v>9.0</v>
      </c>
      <c r="C1622" s="5" t="s">
        <v>7678</v>
      </c>
      <c r="D1622" s="5" t="s">
        <v>5707</v>
      </c>
      <c r="E1622" s="5">
        <v>12234.0</v>
      </c>
      <c r="F1622" s="5" t="s">
        <v>5708</v>
      </c>
      <c r="G1622" s="5" t="s">
        <v>5709</v>
      </c>
      <c r="H1622" s="5" t="s">
        <v>5710</v>
      </c>
      <c r="I1622" s="5" t="s">
        <v>641</v>
      </c>
      <c r="J1622" s="5" t="s">
        <v>5711</v>
      </c>
      <c r="K1622" s="5">
        <v>1.0</v>
      </c>
      <c r="L1622" s="5">
        <v>14289.0</v>
      </c>
      <c r="M1622" s="8"/>
      <c r="AK1622" s="9"/>
    </row>
    <row r="1623" ht="14.25" customHeight="1">
      <c r="A1623" s="5" t="s">
        <v>5032</v>
      </c>
      <c r="B1623" s="5">
        <v>9.0</v>
      </c>
      <c r="C1623" s="5" t="s">
        <v>7678</v>
      </c>
      <c r="D1623" s="10" t="s">
        <v>5712</v>
      </c>
      <c r="E1623" s="5">
        <v>12238.0</v>
      </c>
      <c r="F1623" s="5" t="s">
        <v>5713</v>
      </c>
      <c r="G1623" s="5" t="s">
        <v>5714</v>
      </c>
      <c r="H1623" s="5" t="s">
        <v>5715</v>
      </c>
      <c r="I1623" s="5" t="s">
        <v>641</v>
      </c>
      <c r="J1623" s="5" t="s">
        <v>5073</v>
      </c>
      <c r="K1623" s="5">
        <v>1.0</v>
      </c>
      <c r="L1623" s="5">
        <v>14293.0</v>
      </c>
      <c r="M1623" s="8"/>
      <c r="AK1623" s="9"/>
      <c r="AO1623" s="27"/>
    </row>
    <row r="1624" ht="14.25" customHeight="1">
      <c r="A1624" s="5" t="s">
        <v>5032</v>
      </c>
      <c r="B1624" s="5">
        <v>9.0</v>
      </c>
      <c r="C1624" s="5" t="s">
        <v>7678</v>
      </c>
      <c r="D1624" s="10" t="s">
        <v>5716</v>
      </c>
      <c r="E1624" s="5">
        <v>1587.0</v>
      </c>
      <c r="F1624" s="5" t="s">
        <v>5717</v>
      </c>
      <c r="G1624" s="5" t="s">
        <v>5718</v>
      </c>
      <c r="H1624" s="5" t="s">
        <v>5719</v>
      </c>
      <c r="I1624" s="5" t="s">
        <v>641</v>
      </c>
      <c r="J1624" s="5" t="s">
        <v>5073</v>
      </c>
      <c r="K1624" s="5">
        <v>1.0</v>
      </c>
      <c r="L1624" s="5">
        <v>1990.0</v>
      </c>
      <c r="M1624" s="8"/>
      <c r="AK1624" s="9"/>
    </row>
    <row r="1625" ht="14.25" customHeight="1">
      <c r="A1625" s="5" t="s">
        <v>5032</v>
      </c>
      <c r="B1625" s="5">
        <v>9.0</v>
      </c>
      <c r="C1625" s="5" t="s">
        <v>7678</v>
      </c>
      <c r="D1625" s="10" t="s">
        <v>5720</v>
      </c>
      <c r="E1625" s="5">
        <v>12248.0</v>
      </c>
      <c r="F1625" s="5" t="s">
        <v>5721</v>
      </c>
      <c r="G1625" s="5" t="s">
        <v>5722</v>
      </c>
      <c r="H1625" s="5" t="s">
        <v>5723</v>
      </c>
      <c r="I1625" s="5" t="s">
        <v>641</v>
      </c>
      <c r="J1625" s="5" t="s">
        <v>5073</v>
      </c>
      <c r="K1625" s="5">
        <v>1.0</v>
      </c>
      <c r="L1625" s="5">
        <v>14303.0</v>
      </c>
      <c r="M1625" s="8"/>
      <c r="AK1625" s="9"/>
      <c r="AO1625" s="27"/>
    </row>
    <row r="1626" ht="14.25" customHeight="1">
      <c r="A1626" s="5" t="s">
        <v>5032</v>
      </c>
      <c r="B1626" s="5">
        <v>9.0</v>
      </c>
      <c r="C1626" s="5" t="s">
        <v>7678</v>
      </c>
      <c r="D1626" s="10" t="s">
        <v>5724</v>
      </c>
      <c r="E1626" s="5">
        <v>1569.0</v>
      </c>
      <c r="F1626" s="5" t="s">
        <v>5725</v>
      </c>
      <c r="G1626" s="5" t="s">
        <v>5726</v>
      </c>
      <c r="H1626" s="5" t="s">
        <v>5727</v>
      </c>
      <c r="I1626" s="5" t="s">
        <v>641</v>
      </c>
      <c r="J1626" s="5" t="s">
        <v>5048</v>
      </c>
      <c r="K1626" s="5">
        <v>1.0</v>
      </c>
      <c r="L1626" s="5">
        <v>1972.0</v>
      </c>
      <c r="M1626" s="8"/>
      <c r="AK1626" s="9"/>
    </row>
    <row r="1627" ht="14.25" customHeight="1">
      <c r="A1627" s="5" t="s">
        <v>5728</v>
      </c>
      <c r="B1627" s="5">
        <v>9.0</v>
      </c>
      <c r="C1627" s="5" t="s">
        <v>7678</v>
      </c>
      <c r="D1627" s="10" t="s">
        <v>5729</v>
      </c>
      <c r="E1627" s="5">
        <v>2603.0</v>
      </c>
      <c r="F1627" s="5" t="s">
        <v>5730</v>
      </c>
      <c r="G1627" s="10" t="s">
        <v>5731</v>
      </c>
      <c r="H1627" s="5" t="s">
        <v>5732</v>
      </c>
      <c r="I1627" s="5" t="s">
        <v>641</v>
      </c>
      <c r="J1627" s="5" t="s">
        <v>5073</v>
      </c>
      <c r="K1627" s="5">
        <v>1.0</v>
      </c>
      <c r="L1627" s="5">
        <v>3006.0</v>
      </c>
      <c r="M1627" s="8"/>
      <c r="AK1627" s="9"/>
    </row>
    <row r="1628" ht="14.25" customHeight="1">
      <c r="A1628" s="5" t="s">
        <v>5032</v>
      </c>
      <c r="B1628" s="5">
        <v>9.0</v>
      </c>
      <c r="C1628" s="5" t="s">
        <v>7678</v>
      </c>
      <c r="D1628" s="10" t="s">
        <v>5733</v>
      </c>
      <c r="E1628" s="5">
        <v>2595.0</v>
      </c>
      <c r="F1628" s="5" t="s">
        <v>5734</v>
      </c>
      <c r="G1628" s="5" t="s">
        <v>5735</v>
      </c>
      <c r="H1628" s="5" t="s">
        <v>5736</v>
      </c>
      <c r="I1628" s="5" t="s">
        <v>641</v>
      </c>
      <c r="J1628" s="5" t="s">
        <v>5083</v>
      </c>
      <c r="K1628" s="5">
        <v>1.0</v>
      </c>
      <c r="L1628" s="5">
        <v>2998.0</v>
      </c>
      <c r="M1628" s="8"/>
      <c r="AK1628" s="9"/>
      <c r="AO1628" s="27"/>
    </row>
    <row r="1629" ht="14.25" customHeight="1">
      <c r="A1629" s="5" t="s">
        <v>5032</v>
      </c>
      <c r="B1629" s="5">
        <v>9.0</v>
      </c>
      <c r="C1629" s="5" t="s">
        <v>7678</v>
      </c>
      <c r="D1629" s="10" t="s">
        <v>5737</v>
      </c>
      <c r="E1629" s="5">
        <v>2597.0</v>
      </c>
      <c r="F1629" s="5" t="s">
        <v>5738</v>
      </c>
      <c r="G1629" s="5" t="s">
        <v>5739</v>
      </c>
      <c r="H1629" s="5" t="s">
        <v>5740</v>
      </c>
      <c r="I1629" s="5" t="s">
        <v>641</v>
      </c>
      <c r="J1629" s="5" t="s">
        <v>5048</v>
      </c>
      <c r="K1629" s="5">
        <v>1.0</v>
      </c>
      <c r="L1629" s="5">
        <v>3000.0</v>
      </c>
      <c r="M1629" s="8"/>
      <c r="AK1629" s="9"/>
      <c r="AO1629" s="27"/>
    </row>
    <row r="1630" ht="14.25" customHeight="1">
      <c r="A1630" s="5" t="s">
        <v>5032</v>
      </c>
      <c r="B1630" s="5">
        <v>9.0</v>
      </c>
      <c r="C1630" s="5" t="s">
        <v>7678</v>
      </c>
      <c r="D1630" s="10" t="s">
        <v>5741</v>
      </c>
      <c r="E1630" s="5">
        <v>1568.0</v>
      </c>
      <c r="F1630" s="5" t="s">
        <v>5742</v>
      </c>
      <c r="G1630" s="5" t="s">
        <v>5743</v>
      </c>
      <c r="H1630" s="5" t="s">
        <v>5744</v>
      </c>
      <c r="I1630" s="5" t="s">
        <v>641</v>
      </c>
      <c r="J1630" s="5" t="s">
        <v>5048</v>
      </c>
      <c r="K1630" s="5">
        <v>1.0</v>
      </c>
      <c r="L1630" s="5">
        <v>1971.0</v>
      </c>
      <c r="M1630" s="8"/>
      <c r="AK1630" s="9"/>
      <c r="AO1630" s="27"/>
    </row>
    <row r="1631" ht="14.25" customHeight="1">
      <c r="A1631" s="5" t="s">
        <v>5745</v>
      </c>
      <c r="B1631" s="5">
        <v>9.0</v>
      </c>
      <c r="C1631" s="5" t="s">
        <v>7678</v>
      </c>
      <c r="D1631" s="10" t="s">
        <v>5746</v>
      </c>
      <c r="E1631" s="5">
        <v>3282.0</v>
      </c>
      <c r="F1631" s="5" t="s">
        <v>5747</v>
      </c>
      <c r="G1631" s="10" t="s">
        <v>5748</v>
      </c>
      <c r="H1631" s="5" t="s">
        <v>5749</v>
      </c>
      <c r="I1631" s="5" t="s">
        <v>49</v>
      </c>
      <c r="J1631" s="5" t="s">
        <v>5750</v>
      </c>
      <c r="K1631" s="5">
        <v>1.0</v>
      </c>
      <c r="L1631" s="5">
        <v>4121.0</v>
      </c>
      <c r="M1631" s="8"/>
      <c r="AK1631" s="9"/>
      <c r="AO1631" s="27"/>
    </row>
    <row r="1632" ht="14.25" customHeight="1">
      <c r="A1632" s="5" t="s">
        <v>5032</v>
      </c>
      <c r="B1632" s="5">
        <v>9.0</v>
      </c>
      <c r="C1632" s="5" t="s">
        <v>7678</v>
      </c>
      <c r="D1632" s="10" t="s">
        <v>5751</v>
      </c>
      <c r="E1632" s="5">
        <v>2605.0</v>
      </c>
      <c r="F1632" s="5" t="s">
        <v>5752</v>
      </c>
      <c r="G1632" s="5" t="s">
        <v>5753</v>
      </c>
      <c r="H1632" s="5" t="s">
        <v>5754</v>
      </c>
      <c r="I1632" s="5" t="s">
        <v>641</v>
      </c>
      <c r="J1632" s="5" t="s">
        <v>5037</v>
      </c>
      <c r="K1632" s="5">
        <v>1.0</v>
      </c>
      <c r="L1632" s="5">
        <v>3008.0</v>
      </c>
      <c r="M1632" s="8"/>
      <c r="AK1632" s="9"/>
    </row>
    <row r="1633" ht="14.25" customHeight="1">
      <c r="A1633" s="5" t="s">
        <v>5032</v>
      </c>
      <c r="B1633" s="5">
        <v>9.0</v>
      </c>
      <c r="C1633" s="5" t="s">
        <v>7678</v>
      </c>
      <c r="D1633" s="12" t="s">
        <v>5755</v>
      </c>
      <c r="E1633" s="5">
        <v>12254.0</v>
      </c>
      <c r="F1633" s="5" t="s">
        <v>5756</v>
      </c>
      <c r="G1633" s="5" t="s">
        <v>5757</v>
      </c>
      <c r="H1633" s="5" t="s">
        <v>5325</v>
      </c>
      <c r="I1633" s="5" t="s">
        <v>641</v>
      </c>
      <c r="J1633" s="5" t="s">
        <v>5073</v>
      </c>
      <c r="K1633" s="5">
        <v>1.0</v>
      </c>
      <c r="L1633" s="5">
        <v>14309.0</v>
      </c>
      <c r="M1633" s="8"/>
      <c r="AK1633" s="9"/>
    </row>
    <row r="1634" ht="14.25" customHeight="1">
      <c r="A1634" s="5" t="s">
        <v>5758</v>
      </c>
      <c r="B1634" s="5">
        <v>9.0</v>
      </c>
      <c r="C1634" s="5" t="s">
        <v>7678</v>
      </c>
      <c r="D1634" s="10" t="s">
        <v>5759</v>
      </c>
      <c r="E1634" s="5">
        <v>2601.0</v>
      </c>
      <c r="F1634" s="5" t="s">
        <v>5756</v>
      </c>
      <c r="G1634" s="5" t="s">
        <v>5760</v>
      </c>
      <c r="H1634" s="5" t="s">
        <v>5761</v>
      </c>
      <c r="I1634" s="5" t="s">
        <v>641</v>
      </c>
      <c r="J1634" s="5" t="s">
        <v>5083</v>
      </c>
      <c r="K1634" s="5">
        <v>1.0</v>
      </c>
      <c r="L1634" s="5">
        <v>3004.0</v>
      </c>
      <c r="M1634" s="8"/>
      <c r="AK1634" s="9"/>
      <c r="AO1634" s="27"/>
    </row>
    <row r="1635" ht="14.25" customHeight="1">
      <c r="A1635" s="5" t="s">
        <v>5032</v>
      </c>
      <c r="B1635" s="5">
        <v>9.0</v>
      </c>
      <c r="C1635" s="5" t="s">
        <v>7678</v>
      </c>
      <c r="D1635" s="10" t="s">
        <v>5762</v>
      </c>
      <c r="E1635" s="5">
        <v>2600.0</v>
      </c>
      <c r="F1635" s="5" t="s">
        <v>5763</v>
      </c>
      <c r="G1635" s="5" t="s">
        <v>5764</v>
      </c>
      <c r="H1635" s="5" t="s">
        <v>5765</v>
      </c>
      <c r="I1635" s="5" t="s">
        <v>641</v>
      </c>
      <c r="J1635" s="5" t="s">
        <v>5083</v>
      </c>
      <c r="K1635" s="5">
        <v>1.0</v>
      </c>
      <c r="L1635" s="5">
        <v>3003.0</v>
      </c>
      <c r="M1635" s="8"/>
      <c r="AK1635" s="9"/>
    </row>
    <row r="1636" ht="14.25" customHeight="1">
      <c r="A1636" s="5" t="s">
        <v>5032</v>
      </c>
      <c r="B1636" s="5">
        <v>9.0</v>
      </c>
      <c r="C1636" s="5" t="s">
        <v>7678</v>
      </c>
      <c r="D1636" s="10" t="s">
        <v>5766</v>
      </c>
      <c r="E1636" s="5">
        <v>1567.0</v>
      </c>
      <c r="F1636" s="5" t="s">
        <v>5767</v>
      </c>
      <c r="G1636" s="5" t="s">
        <v>5768</v>
      </c>
      <c r="H1636" s="5" t="s">
        <v>5769</v>
      </c>
      <c r="I1636" s="5" t="s">
        <v>641</v>
      </c>
      <c r="J1636" s="5" t="s">
        <v>5048</v>
      </c>
      <c r="K1636" s="5">
        <v>1.0</v>
      </c>
      <c r="L1636" s="5">
        <v>1970.0</v>
      </c>
      <c r="M1636" s="8"/>
      <c r="AK1636" s="9"/>
      <c r="AO1636" s="27"/>
    </row>
    <row r="1637" ht="14.25" customHeight="1">
      <c r="A1637" s="5" t="s">
        <v>5032</v>
      </c>
      <c r="B1637" s="5">
        <v>9.0</v>
      </c>
      <c r="C1637" s="5" t="s">
        <v>7678</v>
      </c>
      <c r="D1637" s="10" t="s">
        <v>5770</v>
      </c>
      <c r="E1637" s="5">
        <v>2636.0</v>
      </c>
      <c r="F1637" s="5" t="s">
        <v>5771</v>
      </c>
      <c r="G1637" s="5" t="s">
        <v>5772</v>
      </c>
      <c r="H1637" s="5" t="s">
        <v>5773</v>
      </c>
      <c r="I1637" s="5" t="s">
        <v>641</v>
      </c>
      <c r="J1637" s="5" t="s">
        <v>5048</v>
      </c>
      <c r="K1637" s="5">
        <v>1.0</v>
      </c>
      <c r="L1637" s="5">
        <v>3039.0</v>
      </c>
      <c r="M1637" s="8"/>
      <c r="AK1637" s="9"/>
    </row>
    <row r="1638" ht="14.25" customHeight="1">
      <c r="A1638" s="5" t="s">
        <v>5728</v>
      </c>
      <c r="B1638" s="5">
        <v>9.0</v>
      </c>
      <c r="C1638" s="5" t="s">
        <v>7678</v>
      </c>
      <c r="D1638" s="10" t="s">
        <v>5774</v>
      </c>
      <c r="E1638" s="5">
        <v>2649.0</v>
      </c>
      <c r="F1638" s="5" t="s">
        <v>5775</v>
      </c>
      <c r="G1638" s="10" t="s">
        <v>5776</v>
      </c>
      <c r="H1638" s="5" t="s">
        <v>5777</v>
      </c>
      <c r="I1638" s="5" t="s">
        <v>641</v>
      </c>
      <c r="J1638" s="5" t="s">
        <v>5037</v>
      </c>
      <c r="K1638" s="5">
        <v>1.0</v>
      </c>
      <c r="L1638" s="5">
        <v>3052.0</v>
      </c>
      <c r="M1638" s="8"/>
      <c r="AK1638" s="9"/>
    </row>
    <row r="1639" ht="14.25" customHeight="1">
      <c r="A1639" s="5" t="s">
        <v>4968</v>
      </c>
      <c r="B1639" s="5">
        <v>9.0</v>
      </c>
      <c r="C1639" s="5" t="s">
        <v>7678</v>
      </c>
      <c r="D1639" s="10" t="s">
        <v>5778</v>
      </c>
      <c r="E1639" s="5">
        <v>12257.0</v>
      </c>
      <c r="F1639" s="10" t="s">
        <v>5779</v>
      </c>
      <c r="G1639" s="5" t="s">
        <v>5780</v>
      </c>
      <c r="H1639" s="5" t="s">
        <v>5781</v>
      </c>
      <c r="I1639" s="5" t="s">
        <v>641</v>
      </c>
      <c r="J1639" s="5" t="s">
        <v>5073</v>
      </c>
      <c r="K1639" s="5">
        <v>1.0</v>
      </c>
      <c r="L1639" s="5">
        <v>14312.0</v>
      </c>
      <c r="M1639" s="8"/>
      <c r="AK1639" s="9"/>
      <c r="AO1639" s="27"/>
    </row>
    <row r="1640" ht="14.25" customHeight="1">
      <c r="A1640" s="5" t="s">
        <v>5032</v>
      </c>
      <c r="B1640" s="5">
        <v>9.0</v>
      </c>
      <c r="C1640" s="5" t="s">
        <v>7678</v>
      </c>
      <c r="D1640" s="10" t="s">
        <v>5782</v>
      </c>
      <c r="E1640" s="5">
        <v>1586.0</v>
      </c>
      <c r="F1640" s="5" t="s">
        <v>5783</v>
      </c>
      <c r="G1640" s="5" t="s">
        <v>5784</v>
      </c>
      <c r="H1640" s="5" t="s">
        <v>5785</v>
      </c>
      <c r="I1640" s="5" t="s">
        <v>641</v>
      </c>
      <c r="J1640" s="5" t="s">
        <v>5048</v>
      </c>
      <c r="K1640" s="5">
        <v>1.0</v>
      </c>
      <c r="L1640" s="5">
        <v>1989.0</v>
      </c>
      <c r="M1640" s="8"/>
      <c r="AK1640" s="9"/>
    </row>
    <row r="1641" ht="14.25" customHeight="1">
      <c r="A1641" s="5" t="s">
        <v>5032</v>
      </c>
      <c r="B1641" s="5">
        <v>9.0</v>
      </c>
      <c r="C1641" s="5" t="s">
        <v>7678</v>
      </c>
      <c r="D1641" s="10" t="s">
        <v>5786</v>
      </c>
      <c r="E1641" s="5">
        <v>1582.0</v>
      </c>
      <c r="F1641" s="5" t="s">
        <v>5787</v>
      </c>
      <c r="G1641" s="5" t="s">
        <v>5788</v>
      </c>
      <c r="H1641" s="5" t="s">
        <v>5789</v>
      </c>
      <c r="I1641" s="5" t="s">
        <v>641</v>
      </c>
      <c r="J1641" s="5" t="s">
        <v>5198</v>
      </c>
      <c r="K1641" s="5">
        <v>1.0</v>
      </c>
      <c r="L1641" s="5">
        <v>1985.0</v>
      </c>
      <c r="M1641" s="8"/>
      <c r="AK1641" s="9"/>
      <c r="AO1641" s="27"/>
    </row>
    <row r="1642" ht="14.25" customHeight="1">
      <c r="B1642" s="5">
        <v>9.0</v>
      </c>
      <c r="C1642" s="5" t="s">
        <v>7678</v>
      </c>
      <c r="D1642" s="10" t="s">
        <v>5790</v>
      </c>
      <c r="E1642" s="5">
        <v>1574.0</v>
      </c>
      <c r="F1642" s="5" t="s">
        <v>5791</v>
      </c>
      <c r="G1642" s="5" t="s">
        <v>5792</v>
      </c>
      <c r="H1642" s="5" t="s">
        <v>5793</v>
      </c>
      <c r="I1642" s="5" t="s">
        <v>641</v>
      </c>
      <c r="J1642" s="5" t="s">
        <v>5198</v>
      </c>
      <c r="K1642" s="5">
        <v>1.0</v>
      </c>
      <c r="L1642" s="5">
        <v>1977.0</v>
      </c>
      <c r="M1642" s="8"/>
      <c r="AK1642" s="9"/>
    </row>
    <row r="1643" ht="14.25" customHeight="1">
      <c r="B1643" s="5">
        <v>9.0</v>
      </c>
      <c r="C1643" s="5" t="s">
        <v>7678</v>
      </c>
      <c r="D1643" s="10" t="s">
        <v>5794</v>
      </c>
      <c r="E1643" s="5">
        <v>2606.0</v>
      </c>
      <c r="F1643" s="5" t="s">
        <v>5795</v>
      </c>
      <c r="G1643" s="5" t="s">
        <v>5796</v>
      </c>
      <c r="H1643" s="5" t="s">
        <v>5797</v>
      </c>
      <c r="I1643" s="5" t="s">
        <v>641</v>
      </c>
      <c r="J1643" s="5" t="s">
        <v>5073</v>
      </c>
      <c r="K1643" s="5">
        <v>1.0</v>
      </c>
      <c r="L1643" s="5">
        <v>3009.0</v>
      </c>
      <c r="M1643" s="8"/>
      <c r="AK1643" s="9"/>
    </row>
    <row r="1644" ht="14.25" customHeight="1">
      <c r="A1644" s="5" t="s">
        <v>5032</v>
      </c>
      <c r="B1644" s="5">
        <v>9.0</v>
      </c>
      <c r="C1644" s="5" t="s">
        <v>7678</v>
      </c>
      <c r="D1644" s="10" t="s">
        <v>5798</v>
      </c>
      <c r="E1644" s="5">
        <v>2612.0</v>
      </c>
      <c r="F1644" s="5" t="s">
        <v>5799</v>
      </c>
      <c r="G1644" s="5" t="s">
        <v>5800</v>
      </c>
      <c r="H1644" s="5" t="s">
        <v>5801</v>
      </c>
      <c r="I1644" s="5" t="s">
        <v>641</v>
      </c>
      <c r="J1644" s="5" t="s">
        <v>5073</v>
      </c>
      <c r="K1644" s="5">
        <v>1.0</v>
      </c>
      <c r="L1644" s="5">
        <v>3015.0</v>
      </c>
      <c r="M1644" s="8"/>
      <c r="AK1644" s="9"/>
    </row>
    <row r="1645" ht="14.25" customHeight="1">
      <c r="B1645" s="5">
        <v>9.0</v>
      </c>
      <c r="C1645" s="5" t="s">
        <v>7678</v>
      </c>
      <c r="D1645" s="10" t="s">
        <v>5802</v>
      </c>
      <c r="E1645" s="5">
        <v>1570.0</v>
      </c>
      <c r="F1645" s="5" t="s">
        <v>5803</v>
      </c>
      <c r="G1645" s="5" t="s">
        <v>5804</v>
      </c>
      <c r="H1645" s="5" t="s">
        <v>5805</v>
      </c>
      <c r="I1645" s="5" t="s">
        <v>641</v>
      </c>
      <c r="J1645" s="5" t="s">
        <v>5037</v>
      </c>
      <c r="K1645" s="5">
        <v>1.0</v>
      </c>
      <c r="L1645" s="5">
        <v>1973.0</v>
      </c>
      <c r="M1645" s="8"/>
      <c r="AK1645" s="9"/>
    </row>
    <row r="1646" ht="14.25" customHeight="1">
      <c r="A1646" s="5" t="s">
        <v>5032</v>
      </c>
      <c r="B1646" s="5">
        <v>9.0</v>
      </c>
      <c r="C1646" s="5" t="s">
        <v>7678</v>
      </c>
      <c r="D1646" s="10" t="s">
        <v>5806</v>
      </c>
      <c r="E1646" s="5">
        <v>1559.0</v>
      </c>
      <c r="F1646" s="5" t="s">
        <v>5807</v>
      </c>
      <c r="G1646" s="5" t="s">
        <v>5808</v>
      </c>
      <c r="H1646" s="5" t="s">
        <v>5809</v>
      </c>
      <c r="I1646" s="5" t="s">
        <v>641</v>
      </c>
      <c r="J1646" s="5" t="s">
        <v>5073</v>
      </c>
      <c r="K1646" s="5">
        <v>1.0</v>
      </c>
      <c r="L1646" s="5">
        <v>1962.0</v>
      </c>
      <c r="M1646" s="8"/>
      <c r="AK1646" s="9"/>
    </row>
    <row r="1647" ht="14.25" customHeight="1">
      <c r="A1647" s="6" t="s">
        <v>5104</v>
      </c>
      <c r="B1647" s="5">
        <v>9.0</v>
      </c>
      <c r="C1647" s="10" t="s">
        <v>7685</v>
      </c>
      <c r="D1647" s="10" t="s">
        <v>5810</v>
      </c>
      <c r="E1647" s="5">
        <v>12269.0</v>
      </c>
      <c r="F1647" s="5" t="s">
        <v>433</v>
      </c>
      <c r="G1647" s="5" t="s">
        <v>5811</v>
      </c>
      <c r="H1647" s="5" t="s">
        <v>84</v>
      </c>
      <c r="I1647" s="5" t="s">
        <v>641</v>
      </c>
      <c r="K1647" s="5">
        <v>1.0</v>
      </c>
      <c r="L1647" s="5">
        <v>14324.0</v>
      </c>
      <c r="M1647" s="8"/>
      <c r="AK1647" s="9"/>
    </row>
    <row r="1648" ht="14.25" customHeight="1">
      <c r="A1648" s="5" t="s">
        <v>5032</v>
      </c>
      <c r="B1648" s="5">
        <v>9.0</v>
      </c>
      <c r="C1648" s="5" t="s">
        <v>7678</v>
      </c>
      <c r="D1648" s="10" t="s">
        <v>5812</v>
      </c>
      <c r="E1648" s="5">
        <v>1576.0</v>
      </c>
      <c r="F1648" s="5" t="s">
        <v>5813</v>
      </c>
      <c r="G1648" s="5" t="s">
        <v>5814</v>
      </c>
      <c r="H1648" s="5" t="s">
        <v>5815</v>
      </c>
      <c r="I1648" s="5" t="s">
        <v>641</v>
      </c>
      <c r="J1648" s="5" t="s">
        <v>5048</v>
      </c>
      <c r="K1648" s="5">
        <v>1.0</v>
      </c>
      <c r="L1648" s="5">
        <v>1979.0</v>
      </c>
      <c r="M1648" s="8"/>
      <c r="AK1648" s="9"/>
      <c r="AO1648" s="27"/>
    </row>
    <row r="1649" ht="14.25" customHeight="1">
      <c r="A1649" s="5" t="s">
        <v>5032</v>
      </c>
      <c r="B1649" s="5">
        <v>9.0</v>
      </c>
      <c r="C1649" s="5" t="s">
        <v>7678</v>
      </c>
      <c r="D1649" s="10" t="s">
        <v>5816</v>
      </c>
      <c r="E1649" s="5">
        <v>1575.0</v>
      </c>
      <c r="F1649" s="5" t="s">
        <v>5817</v>
      </c>
      <c r="G1649" s="5" t="s">
        <v>5818</v>
      </c>
      <c r="H1649" s="5" t="s">
        <v>5819</v>
      </c>
      <c r="I1649" s="5" t="s">
        <v>641</v>
      </c>
      <c r="J1649" s="5" t="s">
        <v>5083</v>
      </c>
      <c r="K1649" s="5">
        <v>1.0</v>
      </c>
      <c r="L1649" s="5">
        <v>1978.0</v>
      </c>
      <c r="M1649" s="8"/>
      <c r="AK1649" s="9"/>
    </row>
    <row r="1650" ht="14.25" customHeight="1">
      <c r="A1650" s="5" t="s">
        <v>5032</v>
      </c>
      <c r="B1650" s="5">
        <v>9.0</v>
      </c>
      <c r="C1650" s="5" t="s">
        <v>7678</v>
      </c>
      <c r="D1650" s="10" t="s">
        <v>5820</v>
      </c>
      <c r="E1650" s="5">
        <v>2593.0</v>
      </c>
      <c r="F1650" s="5" t="s">
        <v>5821</v>
      </c>
      <c r="G1650" s="5" t="s">
        <v>5822</v>
      </c>
      <c r="H1650" s="5" t="s">
        <v>5823</v>
      </c>
      <c r="I1650" s="5" t="s">
        <v>641</v>
      </c>
      <c r="J1650" s="5" t="s">
        <v>5037</v>
      </c>
      <c r="K1650" s="5">
        <v>1.0</v>
      </c>
      <c r="L1650" s="5">
        <v>2996.0</v>
      </c>
      <c r="M1650" s="8"/>
      <c r="AK1650" s="9"/>
      <c r="AO1650" s="27"/>
    </row>
    <row r="1651" ht="14.25" customHeight="1">
      <c r="A1651" s="5" t="s">
        <v>5824</v>
      </c>
      <c r="B1651" s="5">
        <v>9.0</v>
      </c>
      <c r="C1651" s="5" t="s">
        <v>7678</v>
      </c>
      <c r="D1651" s="10" t="s">
        <v>5825</v>
      </c>
      <c r="E1651" s="5">
        <v>12280.0</v>
      </c>
      <c r="F1651" s="5" t="s">
        <v>5826</v>
      </c>
      <c r="G1651" s="5" t="s">
        <v>5827</v>
      </c>
      <c r="H1651" s="5" t="s">
        <v>5828</v>
      </c>
      <c r="I1651" s="5" t="s">
        <v>641</v>
      </c>
      <c r="J1651" s="5" t="s">
        <v>5254</v>
      </c>
      <c r="K1651" s="5">
        <v>1.0</v>
      </c>
      <c r="L1651" s="5">
        <v>14335.0</v>
      </c>
      <c r="M1651" s="8"/>
      <c r="AK1651" s="9"/>
    </row>
    <row r="1652" ht="14.25" customHeight="1">
      <c r="A1652" s="5" t="s">
        <v>5032</v>
      </c>
      <c r="B1652" s="5">
        <v>9.0</v>
      </c>
      <c r="C1652" s="5" t="s">
        <v>7678</v>
      </c>
      <c r="D1652" s="10" t="s">
        <v>5829</v>
      </c>
      <c r="E1652" s="5">
        <v>12441.0</v>
      </c>
      <c r="F1652" s="5" t="s">
        <v>5830</v>
      </c>
      <c r="G1652" s="5" t="s">
        <v>5831</v>
      </c>
      <c r="H1652" s="5" t="s">
        <v>5832</v>
      </c>
      <c r="I1652" s="5" t="s">
        <v>49</v>
      </c>
      <c r="J1652" s="5" t="s">
        <v>5073</v>
      </c>
      <c r="K1652" s="5">
        <v>1.0</v>
      </c>
      <c r="L1652" s="5">
        <v>14463.0</v>
      </c>
      <c r="M1652" s="8"/>
      <c r="AK1652" s="9"/>
      <c r="AO1652" s="27"/>
    </row>
    <row r="1653" ht="14.25" customHeight="1">
      <c r="A1653" s="5" t="s">
        <v>5032</v>
      </c>
      <c r="B1653" s="5">
        <v>9.0</v>
      </c>
      <c r="C1653" s="5" t="s">
        <v>7678</v>
      </c>
      <c r="D1653" s="10" t="s">
        <v>5833</v>
      </c>
      <c r="E1653" s="5">
        <v>12283.0</v>
      </c>
      <c r="F1653" s="5" t="s">
        <v>5834</v>
      </c>
      <c r="G1653" s="5" t="s">
        <v>5835</v>
      </c>
      <c r="H1653" s="5" t="s">
        <v>5836</v>
      </c>
      <c r="I1653" s="5" t="s">
        <v>641</v>
      </c>
      <c r="J1653" s="5" t="s">
        <v>5073</v>
      </c>
      <c r="K1653" s="5">
        <v>1.0</v>
      </c>
      <c r="L1653" s="5">
        <v>14338.0</v>
      </c>
      <c r="M1653" s="8"/>
      <c r="AK1653" s="9"/>
      <c r="AO1653" s="27"/>
    </row>
    <row r="1654" ht="14.25" customHeight="1">
      <c r="A1654" s="5" t="s">
        <v>5837</v>
      </c>
      <c r="B1654" s="5">
        <v>9.0</v>
      </c>
      <c r="C1654" s="5" t="s">
        <v>7678</v>
      </c>
      <c r="D1654" s="5" t="s">
        <v>5838</v>
      </c>
      <c r="E1654" s="5">
        <v>2613.0</v>
      </c>
      <c r="F1654" s="5" t="s">
        <v>5834</v>
      </c>
      <c r="G1654" s="5" t="s">
        <v>5839</v>
      </c>
      <c r="H1654" s="5" t="s">
        <v>5840</v>
      </c>
      <c r="I1654" s="5" t="s">
        <v>641</v>
      </c>
      <c r="J1654" s="5" t="s">
        <v>5083</v>
      </c>
      <c r="K1654" s="5">
        <v>1.0</v>
      </c>
      <c r="L1654" s="5">
        <v>3016.0</v>
      </c>
      <c r="M1654" s="8"/>
      <c r="AK1654" s="9"/>
    </row>
    <row r="1655" ht="14.25" customHeight="1">
      <c r="A1655" s="43" t="s">
        <v>422</v>
      </c>
      <c r="B1655" s="86">
        <v>9.0</v>
      </c>
      <c r="C1655" s="86" t="s">
        <v>7678</v>
      </c>
      <c r="D1655" s="86" t="s">
        <v>5841</v>
      </c>
      <c r="E1655" s="86">
        <v>12437.0</v>
      </c>
      <c r="F1655" s="86" t="s">
        <v>5842</v>
      </c>
      <c r="G1655" s="86" t="s">
        <v>113</v>
      </c>
      <c r="H1655" s="86" t="s">
        <v>5843</v>
      </c>
      <c r="I1655" s="86" t="s">
        <v>49</v>
      </c>
      <c r="J1655" s="86" t="s">
        <v>5844</v>
      </c>
      <c r="K1655" s="86">
        <v>1.0</v>
      </c>
      <c r="L1655" s="86">
        <v>14459.0</v>
      </c>
      <c r="M1655" s="87"/>
      <c r="N1655" s="86"/>
      <c r="O1655" s="86"/>
      <c r="P1655" s="86"/>
      <c r="Q1655" s="86"/>
      <c r="R1655" s="86"/>
      <c r="S1655" s="86"/>
      <c r="T1655" s="86"/>
      <c r="U1655" s="86"/>
      <c r="V1655" s="86"/>
      <c r="W1655" s="86"/>
      <c r="X1655" s="86"/>
      <c r="Y1655" s="86"/>
      <c r="Z1655" s="86"/>
      <c r="AA1655" s="86"/>
      <c r="AB1655" s="86"/>
      <c r="AC1655" s="86"/>
      <c r="AD1655" s="86"/>
      <c r="AE1655" s="86"/>
      <c r="AF1655" s="86"/>
      <c r="AI1655" s="86"/>
      <c r="AK1655" s="9"/>
    </row>
    <row r="1656" ht="14.25" customHeight="1">
      <c r="A1656" s="88" t="s">
        <v>5845</v>
      </c>
      <c r="B1656" s="86">
        <v>9.0</v>
      </c>
      <c r="C1656" s="86" t="s">
        <v>7684</v>
      </c>
      <c r="D1656" s="86" t="s">
        <v>5846</v>
      </c>
      <c r="E1656" s="86">
        <v>12426.0</v>
      </c>
      <c r="F1656" s="86" t="s">
        <v>5847</v>
      </c>
      <c r="G1656" s="86" t="s">
        <v>113</v>
      </c>
      <c r="H1656" s="86" t="s">
        <v>5848</v>
      </c>
      <c r="I1656" s="86" t="s">
        <v>49</v>
      </c>
      <c r="J1656" s="86" t="s">
        <v>5078</v>
      </c>
      <c r="K1656" s="86">
        <v>1.0</v>
      </c>
      <c r="L1656" s="86">
        <v>14448.0</v>
      </c>
      <c r="M1656" s="87"/>
      <c r="N1656" s="86"/>
      <c r="O1656" s="86"/>
      <c r="P1656" s="86"/>
      <c r="Q1656" s="86"/>
      <c r="R1656" s="86"/>
      <c r="S1656" s="86"/>
      <c r="T1656" s="86"/>
      <c r="U1656" s="86"/>
      <c r="V1656" s="86"/>
      <c r="W1656" s="86"/>
      <c r="X1656" s="86"/>
      <c r="Y1656" s="86"/>
      <c r="Z1656" s="86"/>
      <c r="AA1656" s="86"/>
      <c r="AB1656" s="86"/>
      <c r="AC1656" s="86"/>
      <c r="AD1656" s="86"/>
      <c r="AE1656" s="86"/>
      <c r="AF1656" s="86"/>
      <c r="AI1656" s="86"/>
      <c r="AK1656" s="9"/>
    </row>
    <row r="1657" ht="14.25" customHeight="1">
      <c r="A1657" s="5" t="s">
        <v>5849</v>
      </c>
      <c r="B1657" s="86">
        <v>9.0</v>
      </c>
      <c r="C1657" s="86" t="s">
        <v>7678</v>
      </c>
      <c r="D1657" s="86" t="s">
        <v>5850</v>
      </c>
      <c r="E1657" s="86">
        <v>12442.0</v>
      </c>
      <c r="F1657" s="86" t="s">
        <v>5851</v>
      </c>
      <c r="G1657" s="86" t="s">
        <v>113</v>
      </c>
      <c r="H1657" s="86" t="s">
        <v>5852</v>
      </c>
      <c r="I1657" s="86" t="s">
        <v>49</v>
      </c>
      <c r="J1657" s="86" t="s">
        <v>5073</v>
      </c>
      <c r="K1657" s="86">
        <v>1.0</v>
      </c>
      <c r="L1657" s="86">
        <v>14464.0</v>
      </c>
      <c r="M1657" s="87"/>
      <c r="N1657" s="86"/>
      <c r="O1657" s="86"/>
      <c r="P1657" s="86"/>
      <c r="Q1657" s="86"/>
      <c r="R1657" s="86"/>
      <c r="S1657" s="86"/>
      <c r="T1657" s="86"/>
      <c r="U1657" s="86"/>
      <c r="V1657" s="86"/>
      <c r="W1657" s="86"/>
      <c r="X1657" s="86"/>
      <c r="Y1657" s="86"/>
      <c r="Z1657" s="86"/>
      <c r="AA1657" s="86"/>
      <c r="AB1657" s="86"/>
      <c r="AC1657" s="86"/>
      <c r="AD1657" s="86"/>
      <c r="AE1657" s="86"/>
      <c r="AF1657" s="86"/>
      <c r="AI1657" s="86"/>
      <c r="AK1657" s="9"/>
    </row>
    <row r="1658" ht="14.25" customHeight="1">
      <c r="A1658" s="5" t="s">
        <v>5853</v>
      </c>
      <c r="B1658" s="5">
        <v>9.0</v>
      </c>
      <c r="C1658" s="5" t="s">
        <v>7678</v>
      </c>
      <c r="D1658" s="10" t="s">
        <v>5854</v>
      </c>
      <c r="E1658" s="5">
        <v>12454.0</v>
      </c>
      <c r="F1658" s="10" t="s">
        <v>5855</v>
      </c>
      <c r="G1658" s="10" t="s">
        <v>5856</v>
      </c>
      <c r="H1658" s="5" t="s">
        <v>5857</v>
      </c>
      <c r="I1658" s="5" t="s">
        <v>49</v>
      </c>
      <c r="J1658" s="5" t="s">
        <v>5073</v>
      </c>
      <c r="K1658" s="5">
        <v>1.0</v>
      </c>
      <c r="L1658" s="5">
        <v>14476.0</v>
      </c>
      <c r="M1658" s="8"/>
      <c r="AK1658" s="9"/>
    </row>
    <row r="1659" ht="14.25" customHeight="1">
      <c r="A1659" s="43" t="s">
        <v>422</v>
      </c>
      <c r="B1659" s="86">
        <v>9.0</v>
      </c>
      <c r="C1659" s="86" t="s">
        <v>7678</v>
      </c>
      <c r="D1659" s="86" t="s">
        <v>5858</v>
      </c>
      <c r="E1659" s="86">
        <v>12609.0</v>
      </c>
      <c r="F1659" s="86" t="s">
        <v>1649</v>
      </c>
      <c r="G1659" s="86" t="s">
        <v>113</v>
      </c>
      <c r="H1659" s="86" t="s">
        <v>84</v>
      </c>
      <c r="I1659" s="86" t="s">
        <v>49</v>
      </c>
      <c r="J1659" s="86"/>
      <c r="K1659" s="86">
        <v>1.0</v>
      </c>
      <c r="L1659" s="86">
        <v>14631.0</v>
      </c>
      <c r="M1659" s="87"/>
      <c r="N1659" s="86"/>
      <c r="O1659" s="86"/>
      <c r="P1659" s="86"/>
      <c r="Q1659" s="86"/>
      <c r="R1659" s="86"/>
      <c r="S1659" s="86"/>
      <c r="T1659" s="86"/>
      <c r="U1659" s="86"/>
      <c r="V1659" s="86"/>
      <c r="W1659" s="86"/>
      <c r="X1659" s="86"/>
      <c r="Y1659" s="86"/>
      <c r="Z1659" s="86"/>
      <c r="AA1659" s="86"/>
      <c r="AB1659" s="86"/>
      <c r="AC1659" s="86"/>
      <c r="AD1659" s="86"/>
      <c r="AE1659" s="86"/>
      <c r="AF1659" s="86"/>
      <c r="AI1659" s="86"/>
      <c r="AK1659" s="9"/>
    </row>
    <row r="1660" ht="14.25" customHeight="1">
      <c r="A1660" s="5" t="s">
        <v>5043</v>
      </c>
      <c r="B1660" s="5">
        <v>9.0</v>
      </c>
      <c r="C1660" s="10" t="s">
        <v>7681</v>
      </c>
      <c r="D1660" s="5" t="s">
        <v>5859</v>
      </c>
      <c r="E1660" s="5">
        <v>2632.0</v>
      </c>
      <c r="F1660" s="5" t="s">
        <v>5860</v>
      </c>
      <c r="G1660" s="5" t="s">
        <v>5861</v>
      </c>
      <c r="H1660" s="5" t="s">
        <v>5862</v>
      </c>
      <c r="I1660" s="5" t="s">
        <v>641</v>
      </c>
      <c r="J1660" s="5" t="s">
        <v>5048</v>
      </c>
      <c r="K1660" s="5">
        <v>1.0</v>
      </c>
      <c r="L1660" s="5">
        <v>3035.0</v>
      </c>
      <c r="M1660" s="8"/>
      <c r="AK1660" s="9"/>
    </row>
    <row r="1661" ht="14.25" customHeight="1">
      <c r="A1661" s="5" t="s">
        <v>5032</v>
      </c>
      <c r="B1661" s="5">
        <v>9.0</v>
      </c>
      <c r="C1661" s="5" t="s">
        <v>7678</v>
      </c>
      <c r="D1661" s="10" t="s">
        <v>5863</v>
      </c>
      <c r="E1661" s="5">
        <v>2646.0</v>
      </c>
      <c r="F1661" s="5" t="s">
        <v>5864</v>
      </c>
      <c r="G1661" s="5" t="s">
        <v>5865</v>
      </c>
      <c r="H1661" s="5" t="s">
        <v>5866</v>
      </c>
      <c r="I1661" s="5" t="s">
        <v>641</v>
      </c>
      <c r="J1661" s="5" t="s">
        <v>5073</v>
      </c>
      <c r="K1661" s="5">
        <v>1.0</v>
      </c>
      <c r="L1661" s="5">
        <v>3049.0</v>
      </c>
      <c r="M1661" s="8"/>
      <c r="AK1661" s="9"/>
    </row>
    <row r="1662" ht="14.25" customHeight="1">
      <c r="A1662" s="5" t="s">
        <v>5032</v>
      </c>
      <c r="B1662" s="5">
        <v>9.0</v>
      </c>
      <c r="C1662" s="5" t="s">
        <v>7678</v>
      </c>
      <c r="D1662" s="10" t="s">
        <v>5867</v>
      </c>
      <c r="E1662" s="5">
        <v>12285.0</v>
      </c>
      <c r="F1662" s="5" t="s">
        <v>5868</v>
      </c>
      <c r="G1662" s="5" t="s">
        <v>5869</v>
      </c>
      <c r="H1662" s="5" t="s">
        <v>5870</v>
      </c>
      <c r="I1662" s="5" t="s">
        <v>641</v>
      </c>
      <c r="J1662" s="5" t="s">
        <v>5073</v>
      </c>
      <c r="K1662" s="5">
        <v>1.0</v>
      </c>
      <c r="L1662" s="5">
        <v>14340.0</v>
      </c>
      <c r="M1662" s="8"/>
      <c r="AK1662" s="9"/>
    </row>
    <row r="1663" ht="14.25" customHeight="1">
      <c r="B1663" s="5">
        <v>9.0</v>
      </c>
      <c r="C1663" s="5" t="s">
        <v>7678</v>
      </c>
      <c r="D1663" s="10" t="s">
        <v>5871</v>
      </c>
      <c r="E1663" s="5">
        <v>12288.0</v>
      </c>
      <c r="F1663" s="5" t="s">
        <v>5872</v>
      </c>
      <c r="G1663" s="5" t="s">
        <v>5873</v>
      </c>
      <c r="H1663" s="5" t="s">
        <v>5874</v>
      </c>
      <c r="I1663" s="5" t="s">
        <v>641</v>
      </c>
      <c r="J1663" s="5" t="s">
        <v>5177</v>
      </c>
      <c r="K1663" s="5">
        <v>1.0</v>
      </c>
      <c r="L1663" s="5">
        <v>14343.0</v>
      </c>
      <c r="M1663" s="8"/>
      <c r="AK1663" s="9"/>
    </row>
    <row r="1664" ht="14.25" customHeight="1">
      <c r="A1664" s="5" t="s">
        <v>5043</v>
      </c>
      <c r="B1664" s="5">
        <v>9.0</v>
      </c>
      <c r="C1664" s="10" t="s">
        <v>7681</v>
      </c>
      <c r="D1664" s="5" t="s">
        <v>5875</v>
      </c>
      <c r="E1664" s="5">
        <v>1591.0</v>
      </c>
      <c r="F1664" s="5" t="s">
        <v>5876</v>
      </c>
      <c r="G1664" s="5" t="s">
        <v>5877</v>
      </c>
      <c r="H1664" s="5" t="s">
        <v>5878</v>
      </c>
      <c r="I1664" s="5" t="s">
        <v>641</v>
      </c>
      <c r="J1664" s="5" t="s">
        <v>5048</v>
      </c>
      <c r="K1664" s="5">
        <v>1.0</v>
      </c>
      <c r="L1664" s="5">
        <v>1994.0</v>
      </c>
      <c r="M1664" s="8"/>
      <c r="AK1664" s="9"/>
    </row>
    <row r="1665" ht="14.25" customHeight="1">
      <c r="A1665" s="6" t="s">
        <v>5879</v>
      </c>
      <c r="B1665" s="5">
        <v>9.0</v>
      </c>
      <c r="C1665" s="10" t="s">
        <v>7681</v>
      </c>
      <c r="D1665" s="10" t="s">
        <v>5880</v>
      </c>
      <c r="E1665" s="5">
        <v>12291.0</v>
      </c>
      <c r="F1665" s="5" t="s">
        <v>431</v>
      </c>
      <c r="G1665" s="5" t="s">
        <v>5881</v>
      </c>
      <c r="H1665" s="5" t="s">
        <v>84</v>
      </c>
      <c r="I1665" s="5" t="s">
        <v>641</v>
      </c>
      <c r="K1665" s="5">
        <v>1.0</v>
      </c>
      <c r="L1665" s="5">
        <v>14346.0</v>
      </c>
      <c r="M1665" s="8"/>
      <c r="AK1665" s="9"/>
    </row>
    <row r="1666" ht="14.25" customHeight="1">
      <c r="A1666" s="5" t="s">
        <v>5043</v>
      </c>
      <c r="B1666" s="5">
        <v>9.0</v>
      </c>
      <c r="C1666" s="10" t="s">
        <v>7681</v>
      </c>
      <c r="D1666" s="5" t="s">
        <v>5882</v>
      </c>
      <c r="E1666" s="5">
        <v>1584.0</v>
      </c>
      <c r="F1666" s="5" t="s">
        <v>5883</v>
      </c>
      <c r="G1666" s="5" t="s">
        <v>5884</v>
      </c>
      <c r="H1666" s="5" t="s">
        <v>5885</v>
      </c>
      <c r="I1666" s="5" t="s">
        <v>641</v>
      </c>
      <c r="J1666" s="5" t="s">
        <v>5048</v>
      </c>
      <c r="K1666" s="5">
        <v>1.0</v>
      </c>
      <c r="L1666" s="5">
        <v>1987.0</v>
      </c>
      <c r="M1666" s="8"/>
      <c r="AK1666" s="9"/>
    </row>
    <row r="1667" ht="14.25" customHeight="1">
      <c r="A1667" s="5" t="s">
        <v>5032</v>
      </c>
      <c r="B1667" s="5">
        <v>9.0</v>
      </c>
      <c r="C1667" s="5" t="s">
        <v>7678</v>
      </c>
      <c r="D1667" s="10" t="s">
        <v>5886</v>
      </c>
      <c r="E1667" s="5">
        <v>12293.0</v>
      </c>
      <c r="F1667" s="5" t="s">
        <v>5887</v>
      </c>
      <c r="G1667" s="5" t="s">
        <v>5888</v>
      </c>
      <c r="H1667" s="5" t="s">
        <v>5889</v>
      </c>
      <c r="I1667" s="5" t="s">
        <v>641</v>
      </c>
      <c r="J1667" s="5" t="s">
        <v>5078</v>
      </c>
      <c r="K1667" s="5">
        <v>1.0</v>
      </c>
      <c r="L1667" s="5">
        <v>14348.0</v>
      </c>
      <c r="M1667" s="8"/>
      <c r="AK1667" s="9"/>
    </row>
    <row r="1668" ht="14.25" customHeight="1">
      <c r="A1668" s="5" t="s">
        <v>5032</v>
      </c>
      <c r="B1668" s="5">
        <v>9.0</v>
      </c>
      <c r="C1668" s="5" t="s">
        <v>7678</v>
      </c>
      <c r="D1668" s="10" t="s">
        <v>5890</v>
      </c>
      <c r="E1668" s="5">
        <v>2596.0</v>
      </c>
      <c r="F1668" s="5" t="s">
        <v>5891</v>
      </c>
      <c r="G1668" s="5" t="s">
        <v>5892</v>
      </c>
      <c r="H1668" s="5" t="s">
        <v>5893</v>
      </c>
      <c r="I1668" s="5" t="s">
        <v>641</v>
      </c>
      <c r="J1668" s="5" t="s">
        <v>5073</v>
      </c>
      <c r="K1668" s="5">
        <v>1.0</v>
      </c>
      <c r="L1668" s="5">
        <v>2999.0</v>
      </c>
      <c r="M1668" s="8"/>
      <c r="AK1668" s="9"/>
      <c r="AO1668" s="27"/>
    </row>
    <row r="1669" ht="14.25" customHeight="1">
      <c r="A1669" s="5" t="s">
        <v>5032</v>
      </c>
      <c r="B1669" s="5">
        <v>9.0</v>
      </c>
      <c r="C1669" s="5" t="s">
        <v>7678</v>
      </c>
      <c r="D1669" s="12" t="s">
        <v>5894</v>
      </c>
      <c r="E1669" s="5">
        <v>2614.0</v>
      </c>
      <c r="F1669" s="5" t="s">
        <v>5895</v>
      </c>
      <c r="G1669" s="5" t="s">
        <v>5896</v>
      </c>
      <c r="H1669" s="5" t="s">
        <v>5897</v>
      </c>
      <c r="I1669" s="5" t="s">
        <v>641</v>
      </c>
      <c r="J1669" s="5" t="s">
        <v>5073</v>
      </c>
      <c r="K1669" s="5">
        <v>1.0</v>
      </c>
      <c r="L1669" s="5">
        <v>3017.0</v>
      </c>
      <c r="M1669" s="8"/>
      <c r="AK1669" s="9"/>
      <c r="AO1669" s="27"/>
    </row>
    <row r="1670" ht="14.25" customHeight="1">
      <c r="A1670" s="5" t="s">
        <v>5032</v>
      </c>
      <c r="B1670" s="5">
        <v>9.0</v>
      </c>
      <c r="C1670" s="5" t="s">
        <v>7678</v>
      </c>
      <c r="D1670" s="10" t="s">
        <v>5898</v>
      </c>
      <c r="E1670" s="5">
        <v>1557.0</v>
      </c>
      <c r="F1670" s="5" t="s">
        <v>5899</v>
      </c>
      <c r="G1670" s="5" t="s">
        <v>5900</v>
      </c>
      <c r="H1670" s="5" t="s">
        <v>5901</v>
      </c>
      <c r="I1670" s="5" t="s">
        <v>641</v>
      </c>
      <c r="J1670" s="5" t="s">
        <v>5073</v>
      </c>
      <c r="K1670" s="5">
        <v>1.0</v>
      </c>
      <c r="L1670" s="5">
        <v>1960.0</v>
      </c>
      <c r="M1670" s="8"/>
      <c r="AK1670" s="9"/>
    </row>
    <row r="1671" ht="14.25" customHeight="1">
      <c r="A1671" s="5" t="s">
        <v>5032</v>
      </c>
      <c r="B1671" s="5">
        <v>9.0</v>
      </c>
      <c r="C1671" s="5" t="s">
        <v>7678</v>
      </c>
      <c r="D1671" s="10" t="s">
        <v>5902</v>
      </c>
      <c r="E1671" s="5">
        <v>1558.0</v>
      </c>
      <c r="F1671" s="5" t="s">
        <v>5903</v>
      </c>
      <c r="G1671" s="5" t="s">
        <v>5904</v>
      </c>
      <c r="H1671" s="5" t="s">
        <v>5905</v>
      </c>
      <c r="I1671" s="5" t="s">
        <v>641</v>
      </c>
      <c r="J1671" s="5" t="s">
        <v>5163</v>
      </c>
      <c r="K1671" s="5">
        <v>1.0</v>
      </c>
      <c r="L1671" s="5">
        <v>1961.0</v>
      </c>
      <c r="M1671" s="8"/>
      <c r="AK1671" s="9"/>
    </row>
    <row r="1672" ht="14.25" customHeight="1">
      <c r="A1672" s="5" t="s">
        <v>5032</v>
      </c>
      <c r="B1672" s="5">
        <v>9.0</v>
      </c>
      <c r="C1672" s="5" t="s">
        <v>7678</v>
      </c>
      <c r="D1672" s="10" t="s">
        <v>5906</v>
      </c>
      <c r="E1672" s="5">
        <v>12297.0</v>
      </c>
      <c r="F1672" s="5" t="s">
        <v>5907</v>
      </c>
      <c r="G1672" s="5" t="s">
        <v>5908</v>
      </c>
      <c r="H1672" s="5" t="s">
        <v>5909</v>
      </c>
      <c r="I1672" s="5" t="s">
        <v>641</v>
      </c>
      <c r="J1672" s="5" t="s">
        <v>5073</v>
      </c>
      <c r="K1672" s="5">
        <v>1.0</v>
      </c>
      <c r="L1672" s="5">
        <v>14352.0</v>
      </c>
      <c r="M1672" s="8"/>
      <c r="AK1672" s="9"/>
      <c r="AO1672" s="27"/>
    </row>
    <row r="1673" ht="14.25" customHeight="1">
      <c r="A1673" s="5" t="s">
        <v>5910</v>
      </c>
      <c r="B1673" s="5">
        <v>9.0</v>
      </c>
      <c r="C1673" s="5" t="s">
        <v>7678</v>
      </c>
      <c r="D1673" s="5" t="s">
        <v>5911</v>
      </c>
      <c r="E1673" s="5">
        <v>2589.0</v>
      </c>
      <c r="F1673" s="5" t="s">
        <v>5912</v>
      </c>
      <c r="G1673" s="5" t="s">
        <v>5913</v>
      </c>
      <c r="H1673" s="5" t="s">
        <v>5914</v>
      </c>
      <c r="I1673" s="5" t="s">
        <v>641</v>
      </c>
      <c r="J1673" s="5" t="s">
        <v>5037</v>
      </c>
      <c r="K1673" s="5">
        <v>1.0</v>
      </c>
      <c r="L1673" s="5">
        <v>2992.0</v>
      </c>
      <c r="M1673" s="8"/>
      <c r="AK1673" s="9"/>
    </row>
    <row r="1674" ht="14.25" customHeight="1">
      <c r="A1674" s="5" t="s">
        <v>5032</v>
      </c>
      <c r="B1674" s="5">
        <v>9.0</v>
      </c>
      <c r="C1674" s="5" t="s">
        <v>7678</v>
      </c>
      <c r="D1674" s="12" t="s">
        <v>5915</v>
      </c>
      <c r="E1674" s="5">
        <v>12300.0</v>
      </c>
      <c r="F1674" s="5" t="s">
        <v>5916</v>
      </c>
      <c r="G1674" s="5" t="s">
        <v>5917</v>
      </c>
      <c r="H1674" s="5" t="s">
        <v>5325</v>
      </c>
      <c r="I1674" s="5" t="s">
        <v>641</v>
      </c>
      <c r="J1674" s="5" t="s">
        <v>5073</v>
      </c>
      <c r="K1674" s="5">
        <v>1.0</v>
      </c>
      <c r="L1674" s="5">
        <v>14355.0</v>
      </c>
    </row>
    <row r="1675" ht="14.25" customHeight="1">
      <c r="A1675" s="5" t="s">
        <v>4980</v>
      </c>
      <c r="B1675" s="5">
        <v>9.0</v>
      </c>
      <c r="C1675" s="5" t="s">
        <v>7678</v>
      </c>
      <c r="D1675" s="10" t="s">
        <v>5918</v>
      </c>
      <c r="E1675" s="5">
        <v>2618.0</v>
      </c>
      <c r="F1675" s="5" t="s">
        <v>5919</v>
      </c>
      <c r="G1675" s="5" t="s">
        <v>5920</v>
      </c>
      <c r="H1675" s="5" t="s">
        <v>5921</v>
      </c>
      <c r="I1675" s="5" t="s">
        <v>641</v>
      </c>
      <c r="J1675" s="5" t="s">
        <v>5073</v>
      </c>
      <c r="K1675" s="5">
        <v>1.0</v>
      </c>
      <c r="L1675" s="5">
        <v>3021.0</v>
      </c>
    </row>
    <row r="1676" ht="14.25" customHeight="1">
      <c r="A1676" s="5" t="s">
        <v>5032</v>
      </c>
      <c r="B1676" s="5">
        <v>9.0</v>
      </c>
      <c r="C1676" s="5" t="s">
        <v>7678</v>
      </c>
      <c r="D1676" s="10" t="s">
        <v>5922</v>
      </c>
      <c r="E1676" s="5">
        <v>12309.0</v>
      </c>
      <c r="F1676" s="5" t="s">
        <v>5923</v>
      </c>
      <c r="G1676" s="5" t="s">
        <v>5924</v>
      </c>
      <c r="H1676" s="5" t="s">
        <v>5925</v>
      </c>
      <c r="I1676" s="5" t="s">
        <v>641</v>
      </c>
      <c r="J1676" s="5" t="s">
        <v>5078</v>
      </c>
      <c r="K1676" s="5">
        <v>1.0</v>
      </c>
      <c r="L1676" s="5">
        <v>14364.0</v>
      </c>
    </row>
    <row r="1677" ht="14.25" customHeight="1">
      <c r="A1677" s="11"/>
      <c r="B1677" s="11">
        <v>9.0</v>
      </c>
      <c r="C1677" s="11" t="s">
        <v>7678</v>
      </c>
      <c r="D1677" s="11" t="s">
        <v>5926</v>
      </c>
      <c r="E1677" s="11">
        <v>2592.0</v>
      </c>
      <c r="F1677" s="11" t="s">
        <v>5927</v>
      </c>
      <c r="G1677" s="11" t="s">
        <v>5928</v>
      </c>
      <c r="H1677" s="11" t="s">
        <v>5929</v>
      </c>
      <c r="I1677" s="11" t="s">
        <v>641</v>
      </c>
      <c r="J1677" s="11" t="s">
        <v>5083</v>
      </c>
      <c r="K1677" s="11">
        <v>1.0</v>
      </c>
      <c r="L1677" s="11">
        <v>2995.0</v>
      </c>
      <c r="M1677" s="11"/>
      <c r="N1677" s="11"/>
      <c r="O1677" s="11"/>
      <c r="P1677" s="11"/>
      <c r="Q1677" s="11"/>
      <c r="R1677" s="11"/>
      <c r="S1677" s="11"/>
      <c r="T1677" s="11"/>
      <c r="U1677" s="11"/>
      <c r="V1677" s="11"/>
      <c r="W1677" s="11"/>
      <c r="X1677" s="11"/>
      <c r="Y1677" s="11"/>
      <c r="Z1677" s="11"/>
      <c r="AA1677" s="11"/>
      <c r="AB1677" s="11"/>
      <c r="AC1677" s="11"/>
      <c r="AD1677" s="11"/>
      <c r="AE1677" s="11"/>
      <c r="AF1677" s="11"/>
      <c r="AI1677" s="11"/>
    </row>
    <row r="1678" ht="14.25" customHeight="1">
      <c r="A1678" s="5" t="s">
        <v>4968</v>
      </c>
      <c r="B1678" s="5">
        <v>9.0</v>
      </c>
      <c r="C1678" s="5" t="s">
        <v>7678</v>
      </c>
      <c r="D1678" s="10" t="s">
        <v>5930</v>
      </c>
      <c r="E1678" s="5">
        <v>12310.0</v>
      </c>
      <c r="F1678" s="10" t="s">
        <v>5931</v>
      </c>
      <c r="G1678" s="5" t="s">
        <v>5932</v>
      </c>
      <c r="H1678" s="5" t="s">
        <v>5325</v>
      </c>
      <c r="I1678" s="5" t="s">
        <v>641</v>
      </c>
      <c r="J1678" s="5" t="s">
        <v>5073</v>
      </c>
      <c r="K1678" s="5">
        <v>1.0</v>
      </c>
      <c r="L1678" s="5">
        <v>14365.0</v>
      </c>
    </row>
    <row r="1679" ht="14.25" customHeight="1">
      <c r="A1679" s="5" t="s">
        <v>5406</v>
      </c>
      <c r="B1679" s="5">
        <v>9.0</v>
      </c>
      <c r="C1679" s="10" t="s">
        <v>7681</v>
      </c>
      <c r="D1679" s="10" t="s">
        <v>5933</v>
      </c>
      <c r="E1679" s="5">
        <v>12949.0</v>
      </c>
      <c r="F1679" s="10" t="s">
        <v>5934</v>
      </c>
      <c r="G1679" s="10" t="s">
        <v>5409</v>
      </c>
      <c r="H1679" s="5" t="s">
        <v>4978</v>
      </c>
      <c r="I1679" s="5" t="s">
        <v>49</v>
      </c>
      <c r="J1679" s="5" t="s">
        <v>4979</v>
      </c>
      <c r="K1679" s="5">
        <v>1.0</v>
      </c>
      <c r="L1679" s="5">
        <v>14881.0</v>
      </c>
    </row>
    <row r="1680" ht="14.25" customHeight="1">
      <c r="A1680" s="6" t="s">
        <v>5935</v>
      </c>
      <c r="B1680" s="5">
        <v>9.0</v>
      </c>
      <c r="C1680" s="10" t="s">
        <v>7681</v>
      </c>
      <c r="D1680" s="10" t="s">
        <v>5936</v>
      </c>
      <c r="E1680" s="5">
        <v>12311.0</v>
      </c>
      <c r="F1680" s="10" t="s">
        <v>5937</v>
      </c>
      <c r="G1680" s="5" t="s">
        <v>5938</v>
      </c>
      <c r="H1680" s="5" t="s">
        <v>84</v>
      </c>
      <c r="I1680" s="5" t="s">
        <v>641</v>
      </c>
      <c r="K1680" s="5">
        <v>1.0</v>
      </c>
      <c r="L1680" s="5">
        <v>14366.0</v>
      </c>
    </row>
    <row r="1681" ht="14.25" customHeight="1">
      <c r="A1681" s="5" t="s">
        <v>5032</v>
      </c>
      <c r="B1681" s="5">
        <v>9.0</v>
      </c>
      <c r="C1681" s="5" t="s">
        <v>7678</v>
      </c>
      <c r="D1681" s="10" t="s">
        <v>5939</v>
      </c>
      <c r="E1681" s="5">
        <v>1563.0</v>
      </c>
      <c r="F1681" s="5" t="s">
        <v>5940</v>
      </c>
      <c r="G1681" s="5" t="s">
        <v>5941</v>
      </c>
      <c r="H1681" s="5" t="s">
        <v>5942</v>
      </c>
      <c r="I1681" s="5" t="s">
        <v>641</v>
      </c>
      <c r="J1681" s="5" t="s">
        <v>5073</v>
      </c>
      <c r="K1681" s="5">
        <v>1.0</v>
      </c>
      <c r="L1681" s="5">
        <v>1966.0</v>
      </c>
    </row>
    <row r="1682" ht="14.25" customHeight="1">
      <c r="A1682" s="5" t="s">
        <v>5032</v>
      </c>
      <c r="B1682" s="5">
        <v>9.0</v>
      </c>
      <c r="C1682" s="5" t="s">
        <v>7678</v>
      </c>
      <c r="D1682" s="10" t="s">
        <v>5943</v>
      </c>
      <c r="E1682" s="5">
        <v>2619.0</v>
      </c>
      <c r="F1682" s="5" t="s">
        <v>5944</v>
      </c>
      <c r="G1682" s="5" t="s">
        <v>5945</v>
      </c>
      <c r="H1682" s="5" t="s">
        <v>5946</v>
      </c>
      <c r="I1682" s="5" t="s">
        <v>641</v>
      </c>
      <c r="J1682" s="5" t="s">
        <v>5073</v>
      </c>
      <c r="K1682" s="5">
        <v>1.0</v>
      </c>
      <c r="L1682" s="5">
        <v>3022.0</v>
      </c>
    </row>
    <row r="1683" ht="14.25" customHeight="1">
      <c r="A1683" s="5" t="s">
        <v>5032</v>
      </c>
      <c r="B1683" s="5">
        <v>9.0</v>
      </c>
      <c r="C1683" s="5" t="s">
        <v>7678</v>
      </c>
      <c r="D1683" s="10" t="s">
        <v>5947</v>
      </c>
      <c r="E1683" s="5">
        <v>2648.0</v>
      </c>
      <c r="F1683" s="5" t="s">
        <v>5948</v>
      </c>
      <c r="G1683" s="5" t="s">
        <v>5949</v>
      </c>
      <c r="H1683" s="5" t="s">
        <v>5950</v>
      </c>
      <c r="I1683" s="5" t="s">
        <v>641</v>
      </c>
      <c r="J1683" s="5" t="s">
        <v>5198</v>
      </c>
      <c r="K1683" s="5">
        <v>1.0</v>
      </c>
      <c r="L1683" s="5">
        <v>3051.0</v>
      </c>
    </row>
    <row r="1684" ht="14.25" customHeight="1">
      <c r="A1684" s="5" t="s">
        <v>5032</v>
      </c>
      <c r="B1684" s="5">
        <v>9.0</v>
      </c>
      <c r="C1684" s="5" t="s">
        <v>7678</v>
      </c>
      <c r="D1684" s="10" t="s">
        <v>5951</v>
      </c>
      <c r="E1684" s="5">
        <v>1593.0</v>
      </c>
      <c r="F1684" s="5" t="s">
        <v>5952</v>
      </c>
      <c r="G1684" s="5" t="s">
        <v>5953</v>
      </c>
      <c r="H1684" s="5" t="s">
        <v>5954</v>
      </c>
      <c r="I1684" s="5" t="s">
        <v>641</v>
      </c>
      <c r="J1684" s="5" t="s">
        <v>5198</v>
      </c>
      <c r="K1684" s="5">
        <v>1.0</v>
      </c>
      <c r="L1684" s="5">
        <v>1996.0</v>
      </c>
    </row>
    <row r="1685" ht="14.25" customHeight="1">
      <c r="A1685" s="5" t="s">
        <v>5032</v>
      </c>
      <c r="B1685" s="5">
        <v>9.0</v>
      </c>
      <c r="C1685" s="5" t="s">
        <v>7678</v>
      </c>
      <c r="D1685" s="10" t="s">
        <v>5955</v>
      </c>
      <c r="E1685" s="5">
        <v>1589.0</v>
      </c>
      <c r="F1685" s="5" t="s">
        <v>5956</v>
      </c>
      <c r="G1685" s="5" t="s">
        <v>5957</v>
      </c>
      <c r="H1685" s="5" t="s">
        <v>5958</v>
      </c>
      <c r="I1685" s="5" t="s">
        <v>641</v>
      </c>
      <c r="J1685" s="5" t="s">
        <v>5198</v>
      </c>
      <c r="K1685" s="5">
        <v>1.0</v>
      </c>
      <c r="L1685" s="5">
        <v>1992.0</v>
      </c>
    </row>
    <row r="1686" ht="14.25" customHeight="1">
      <c r="A1686" s="5" t="s">
        <v>4968</v>
      </c>
      <c r="B1686" s="5">
        <v>9.0</v>
      </c>
      <c r="C1686" s="5" t="s">
        <v>7678</v>
      </c>
      <c r="D1686" s="12" t="s">
        <v>5959</v>
      </c>
      <c r="E1686" s="5">
        <v>1565.0</v>
      </c>
      <c r="F1686" s="10" t="s">
        <v>5960</v>
      </c>
      <c r="G1686" s="5" t="s">
        <v>5961</v>
      </c>
      <c r="H1686" s="5" t="s">
        <v>5962</v>
      </c>
      <c r="I1686" s="5" t="s">
        <v>641</v>
      </c>
      <c r="J1686" s="5" t="s">
        <v>5073</v>
      </c>
      <c r="K1686" s="5">
        <v>1.0</v>
      </c>
      <c r="L1686" s="5">
        <v>1968.0</v>
      </c>
    </row>
    <row r="1687" ht="14.25" customHeight="1">
      <c r="A1687" s="5" t="s">
        <v>5032</v>
      </c>
      <c r="B1687" s="5">
        <v>9.0</v>
      </c>
      <c r="C1687" s="5" t="s">
        <v>7678</v>
      </c>
      <c r="D1687" s="10" t="s">
        <v>5963</v>
      </c>
      <c r="E1687" s="5">
        <v>2585.0</v>
      </c>
      <c r="F1687" s="5" t="s">
        <v>5964</v>
      </c>
      <c r="G1687" s="5" t="s">
        <v>5965</v>
      </c>
      <c r="H1687" s="5" t="s">
        <v>5966</v>
      </c>
      <c r="I1687" s="5" t="s">
        <v>641</v>
      </c>
      <c r="J1687" s="5" t="s">
        <v>5048</v>
      </c>
      <c r="K1687" s="5">
        <v>1.0</v>
      </c>
      <c r="L1687" s="5">
        <v>2988.0</v>
      </c>
    </row>
    <row r="1688" ht="14.25" customHeight="1">
      <c r="A1688" s="5" t="s">
        <v>5032</v>
      </c>
      <c r="B1688" s="5">
        <v>9.0</v>
      </c>
      <c r="C1688" s="5" t="s">
        <v>7678</v>
      </c>
      <c r="D1688" s="10" t="s">
        <v>5967</v>
      </c>
      <c r="E1688" s="5">
        <v>2604.0</v>
      </c>
      <c r="F1688" s="5" t="s">
        <v>5968</v>
      </c>
      <c r="G1688" s="5" t="s">
        <v>5969</v>
      </c>
      <c r="H1688" s="5" t="s">
        <v>5970</v>
      </c>
      <c r="I1688" s="5" t="s">
        <v>641</v>
      </c>
      <c r="J1688" s="5" t="s">
        <v>5198</v>
      </c>
      <c r="K1688" s="5">
        <v>1.0</v>
      </c>
      <c r="L1688" s="5">
        <v>3007.0</v>
      </c>
    </row>
    <row r="1689" ht="14.25" customHeight="1">
      <c r="A1689" s="5" t="s">
        <v>5032</v>
      </c>
      <c r="B1689" s="5">
        <v>9.0</v>
      </c>
      <c r="C1689" s="5" t="s">
        <v>7678</v>
      </c>
      <c r="D1689" s="12" t="s">
        <v>5971</v>
      </c>
      <c r="E1689" s="5">
        <v>12324.0</v>
      </c>
      <c r="F1689" s="5" t="s">
        <v>5972</v>
      </c>
      <c r="G1689" s="5" t="s">
        <v>5973</v>
      </c>
      <c r="H1689" s="5" t="s">
        <v>5655</v>
      </c>
      <c r="I1689" s="5" t="s">
        <v>641</v>
      </c>
      <c r="J1689" s="5" t="s">
        <v>5073</v>
      </c>
      <c r="K1689" s="5">
        <v>1.0</v>
      </c>
      <c r="L1689" s="5">
        <v>14379.0</v>
      </c>
    </row>
    <row r="1690" ht="14.25" customHeight="1">
      <c r="A1690" s="89" t="s">
        <v>5974</v>
      </c>
      <c r="B1690" s="89">
        <v>9.0</v>
      </c>
      <c r="C1690" s="89" t="s">
        <v>7678</v>
      </c>
      <c r="D1690" s="89" t="s">
        <v>5291</v>
      </c>
      <c r="E1690" s="89">
        <v>12940.0</v>
      </c>
      <c r="F1690" s="89"/>
      <c r="G1690" s="89" t="s">
        <v>127</v>
      </c>
      <c r="H1690" s="89" t="s">
        <v>84</v>
      </c>
      <c r="I1690" s="89" t="s">
        <v>49</v>
      </c>
      <c r="J1690" s="89"/>
      <c r="K1690" s="89">
        <v>1.0</v>
      </c>
      <c r="L1690" s="89">
        <v>14872.0</v>
      </c>
      <c r="M1690" s="89"/>
      <c r="N1690" s="89"/>
      <c r="O1690" s="89"/>
      <c r="P1690" s="89"/>
      <c r="Q1690" s="89"/>
      <c r="R1690" s="89"/>
      <c r="S1690" s="89"/>
      <c r="T1690" s="89"/>
      <c r="U1690" s="89"/>
      <c r="V1690" s="89"/>
      <c r="W1690" s="89"/>
      <c r="X1690" s="89"/>
      <c r="Y1690" s="89"/>
      <c r="Z1690" s="89"/>
      <c r="AA1690" s="89"/>
      <c r="AB1690" s="89"/>
      <c r="AC1690" s="89"/>
      <c r="AD1690" s="89"/>
      <c r="AE1690" s="89"/>
      <c r="AF1690" s="89"/>
      <c r="AG1690" s="89"/>
      <c r="AH1690" s="89"/>
      <c r="AI1690" s="89"/>
      <c r="AJ1690" s="89"/>
      <c r="AK1690" s="89"/>
      <c r="AL1690" s="89"/>
      <c r="AM1690" s="89"/>
      <c r="AN1690" s="89"/>
      <c r="AO1690" s="89"/>
      <c r="AP1690" s="89"/>
      <c r="AQ1690" s="89"/>
      <c r="AR1690" s="89"/>
      <c r="AS1690" s="89"/>
      <c r="AT1690" s="89"/>
      <c r="AU1690" s="89"/>
      <c r="AV1690" s="89"/>
      <c r="AW1690" s="89"/>
      <c r="AX1690" s="89"/>
      <c r="AY1690" s="89"/>
      <c r="AZ1690" s="89"/>
      <c r="BA1690" s="89"/>
      <c r="BB1690" s="89"/>
      <c r="BC1690" s="89"/>
      <c r="BD1690" s="89"/>
      <c r="BE1690" s="89"/>
      <c r="BF1690" s="89"/>
      <c r="BG1690" s="89"/>
      <c r="BH1690" s="89"/>
      <c r="BI1690" s="89"/>
      <c r="BJ1690" s="89"/>
      <c r="BK1690" s="89"/>
      <c r="BL1690" s="89"/>
      <c r="BM1690" s="89"/>
      <c r="BN1690" s="89"/>
      <c r="BO1690" s="89"/>
      <c r="BP1690" s="89"/>
      <c r="BQ1690" s="89"/>
      <c r="BR1690" s="89"/>
      <c r="BS1690" s="89"/>
      <c r="BT1690" s="89"/>
    </row>
    <row r="1691" ht="14.25" customHeight="1">
      <c r="A1691" s="89" t="s">
        <v>5974</v>
      </c>
      <c r="B1691" s="89">
        <v>9.0</v>
      </c>
      <c r="C1691" s="89" t="s">
        <v>7678</v>
      </c>
      <c r="D1691" s="89" t="s">
        <v>5657</v>
      </c>
      <c r="E1691" s="89">
        <v>12942.0</v>
      </c>
      <c r="F1691" s="89"/>
      <c r="G1691" s="89" t="s">
        <v>127</v>
      </c>
      <c r="H1691" s="89" t="s">
        <v>84</v>
      </c>
      <c r="I1691" s="89" t="s">
        <v>49</v>
      </c>
      <c r="J1691" s="89"/>
      <c r="K1691" s="89">
        <v>1.0</v>
      </c>
      <c r="L1691" s="89">
        <v>14874.0</v>
      </c>
      <c r="M1691" s="89"/>
      <c r="N1691" s="89"/>
      <c r="O1691" s="89"/>
      <c r="P1691" s="89"/>
      <c r="Q1691" s="89"/>
      <c r="R1691" s="89"/>
      <c r="S1691" s="89"/>
      <c r="T1691" s="89"/>
      <c r="U1691" s="89"/>
      <c r="V1691" s="89"/>
      <c r="W1691" s="89"/>
      <c r="X1691" s="89"/>
      <c r="Y1691" s="89"/>
      <c r="Z1691" s="90"/>
      <c r="AA1691" s="89"/>
      <c r="AB1691" s="91"/>
      <c r="AC1691" s="89"/>
      <c r="AD1691" s="89"/>
      <c r="AE1691" s="89"/>
      <c r="AF1691" s="89"/>
      <c r="AG1691" s="89"/>
      <c r="AH1691" s="89"/>
      <c r="AI1691" s="89"/>
      <c r="AJ1691" s="89"/>
      <c r="AK1691" s="89"/>
      <c r="AL1691" s="89"/>
      <c r="AM1691" s="89"/>
      <c r="AN1691" s="89"/>
      <c r="AO1691" s="89"/>
      <c r="AP1691" s="89"/>
      <c r="AQ1691" s="89"/>
      <c r="AR1691" s="89"/>
      <c r="AS1691" s="89"/>
      <c r="AT1691" s="89"/>
      <c r="AU1691" s="89"/>
      <c r="AV1691" s="89"/>
      <c r="AW1691" s="89"/>
      <c r="AX1691" s="89"/>
      <c r="AY1691" s="89"/>
      <c r="AZ1691" s="89"/>
      <c r="BA1691" s="89"/>
      <c r="BB1691" s="89"/>
      <c r="BC1691" s="89"/>
      <c r="BD1691" s="89"/>
      <c r="BE1691" s="89"/>
      <c r="BF1691" s="89"/>
      <c r="BG1691" s="89"/>
      <c r="BH1691" s="89"/>
      <c r="BI1691" s="89"/>
      <c r="BJ1691" s="89"/>
      <c r="BK1691" s="89"/>
      <c r="BL1691" s="89"/>
      <c r="BM1691" s="89"/>
      <c r="BN1691" s="89"/>
      <c r="BO1691" s="89"/>
      <c r="BP1691" s="89"/>
      <c r="BQ1691" s="89"/>
      <c r="BR1691" s="89"/>
      <c r="BS1691" s="89"/>
      <c r="BT1691" s="89"/>
    </row>
    <row r="1692" ht="14.25" customHeight="1">
      <c r="A1692" s="5" t="s">
        <v>422</v>
      </c>
      <c r="B1692" s="5">
        <v>9.0</v>
      </c>
      <c r="C1692" s="5" t="s">
        <v>7678</v>
      </c>
      <c r="D1692" s="5" t="s">
        <v>5975</v>
      </c>
      <c r="E1692" s="5">
        <v>12945.0</v>
      </c>
      <c r="F1692" s="11"/>
      <c r="G1692" s="5" t="s">
        <v>127</v>
      </c>
      <c r="H1692" s="5" t="s">
        <v>84</v>
      </c>
      <c r="I1692" s="5" t="s">
        <v>49</v>
      </c>
      <c r="K1692" s="5">
        <v>1.0</v>
      </c>
      <c r="L1692" s="5">
        <v>14877.0</v>
      </c>
    </row>
    <row r="1693" ht="14.25" customHeight="1">
      <c r="A1693" s="5" t="s">
        <v>5976</v>
      </c>
      <c r="B1693" s="5">
        <v>9.0</v>
      </c>
      <c r="C1693" s="5" t="s">
        <v>7678</v>
      </c>
      <c r="D1693" s="5" t="s">
        <v>5799</v>
      </c>
      <c r="E1693" s="5">
        <v>12943.0</v>
      </c>
      <c r="F1693" s="11"/>
      <c r="G1693" s="5" t="s">
        <v>127</v>
      </c>
      <c r="H1693" s="5" t="s">
        <v>84</v>
      </c>
      <c r="I1693" s="5" t="s">
        <v>49</v>
      </c>
      <c r="K1693" s="5">
        <v>1.0</v>
      </c>
      <c r="L1693" s="5">
        <v>14875.0</v>
      </c>
    </row>
    <row r="1694" ht="14.25" customHeight="1">
      <c r="A1694" s="5" t="s">
        <v>138</v>
      </c>
      <c r="C1694" s="12" t="s">
        <v>5977</v>
      </c>
      <c r="D1694" s="12" t="s">
        <v>5978</v>
      </c>
      <c r="F1694" s="12" t="s">
        <v>5979</v>
      </c>
      <c r="G1694" s="12" t="s">
        <v>5980</v>
      </c>
      <c r="M1694" s="10">
        <v>49.23836</v>
      </c>
      <c r="N1694" s="10">
        <v>-121.77478</v>
      </c>
      <c r="O1694" s="10">
        <v>17.0</v>
      </c>
      <c r="P1694" s="10" t="s">
        <v>5981</v>
      </c>
      <c r="Q1694" s="10"/>
      <c r="R1694" s="10" t="s">
        <v>5982</v>
      </c>
      <c r="S1694" s="10"/>
      <c r="T1694" s="10" t="s">
        <v>5983</v>
      </c>
      <c r="U1694" s="10" t="s">
        <v>5984</v>
      </c>
    </row>
    <row r="1695" ht="14.25" customHeight="1">
      <c r="A1695" s="5" t="s">
        <v>328</v>
      </c>
      <c r="C1695" s="12" t="s">
        <v>5977</v>
      </c>
      <c r="D1695" s="12" t="s">
        <v>5985</v>
      </c>
      <c r="F1695" s="12" t="s">
        <v>301</v>
      </c>
      <c r="G1695" s="12" t="s">
        <v>5986</v>
      </c>
    </row>
    <row r="1696" ht="14.25" customHeight="1">
      <c r="A1696" s="5" t="s">
        <v>5987</v>
      </c>
      <c r="C1696" s="12" t="s">
        <v>5988</v>
      </c>
      <c r="D1696" s="12" t="s">
        <v>5989</v>
      </c>
      <c r="E1696" s="28"/>
      <c r="F1696" s="12" t="s">
        <v>5990</v>
      </c>
      <c r="G1696" s="12" t="s">
        <v>5991</v>
      </c>
      <c r="H1696" s="28"/>
      <c r="I1696" s="28"/>
      <c r="J1696" s="28"/>
      <c r="K1696" s="28"/>
      <c r="L1696" s="28"/>
    </row>
    <row r="1697" ht="14.25" customHeight="1">
      <c r="A1697" s="5" t="s">
        <v>422</v>
      </c>
      <c r="B1697" s="5">
        <v>14.0</v>
      </c>
      <c r="C1697" s="5" t="s">
        <v>7686</v>
      </c>
      <c r="D1697" s="5" t="s">
        <v>5993</v>
      </c>
      <c r="E1697" s="5">
        <v>2518.0</v>
      </c>
      <c r="F1697" s="5" t="s">
        <v>1680</v>
      </c>
      <c r="G1697" s="5" t="s">
        <v>5994</v>
      </c>
      <c r="H1697" s="5" t="s">
        <v>5995</v>
      </c>
      <c r="I1697" s="5" t="s">
        <v>1664</v>
      </c>
      <c r="J1697" s="5" t="s">
        <v>5996</v>
      </c>
      <c r="K1697" s="5">
        <v>1.0</v>
      </c>
      <c r="L1697" s="5">
        <v>2921.0</v>
      </c>
    </row>
    <row r="1698" ht="14.25" customHeight="1">
      <c r="A1698" s="5" t="s">
        <v>422</v>
      </c>
      <c r="B1698" s="5">
        <v>14.0</v>
      </c>
      <c r="C1698" s="5" t="s">
        <v>7686</v>
      </c>
      <c r="D1698" s="5" t="s">
        <v>5997</v>
      </c>
      <c r="E1698" s="5">
        <v>2520.0</v>
      </c>
      <c r="F1698" s="5" t="s">
        <v>5998</v>
      </c>
      <c r="G1698" s="5" t="s">
        <v>5999</v>
      </c>
      <c r="H1698" s="5" t="s">
        <v>6000</v>
      </c>
      <c r="I1698" s="5" t="s">
        <v>1664</v>
      </c>
      <c r="J1698" s="5" t="s">
        <v>5996</v>
      </c>
      <c r="K1698" s="5">
        <v>1.0</v>
      </c>
      <c r="L1698" s="5">
        <v>2923.0</v>
      </c>
    </row>
    <row r="1699" ht="14.25" customHeight="1">
      <c r="A1699" s="5" t="s">
        <v>422</v>
      </c>
      <c r="B1699" s="5">
        <v>14.0</v>
      </c>
      <c r="C1699" s="5" t="s">
        <v>7686</v>
      </c>
      <c r="D1699" s="5" t="s">
        <v>6001</v>
      </c>
      <c r="E1699" s="5">
        <v>2519.0</v>
      </c>
      <c r="F1699" s="5" t="s">
        <v>1685</v>
      </c>
      <c r="G1699" s="5" t="s">
        <v>6002</v>
      </c>
      <c r="H1699" s="5" t="s">
        <v>6000</v>
      </c>
      <c r="I1699" s="5" t="s">
        <v>1664</v>
      </c>
      <c r="J1699" s="5" t="s">
        <v>5996</v>
      </c>
      <c r="K1699" s="5">
        <v>1.0</v>
      </c>
      <c r="L1699" s="5">
        <v>2922.0</v>
      </c>
    </row>
    <row r="1700" ht="14.25" customHeight="1">
      <c r="A1700" s="5" t="s">
        <v>328</v>
      </c>
      <c r="B1700" s="5">
        <v>5.0</v>
      </c>
      <c r="C1700" s="51" t="s">
        <v>7687</v>
      </c>
      <c r="D1700" s="12" t="s">
        <v>6004</v>
      </c>
      <c r="F1700" s="12" t="s">
        <v>6005</v>
      </c>
      <c r="G1700" s="12" t="s">
        <v>6006</v>
      </c>
      <c r="M1700" s="11">
        <v>-122.485421</v>
      </c>
      <c r="N1700" s="11">
        <v>49.285665</v>
      </c>
      <c r="O1700" s="11">
        <v>129.0</v>
      </c>
      <c r="P1700" s="93" t="s">
        <v>6007</v>
      </c>
      <c r="Q1700" s="72">
        <v>3.0</v>
      </c>
      <c r="R1700" s="11" t="s">
        <v>6008</v>
      </c>
      <c r="S1700" s="11" t="s">
        <v>6009</v>
      </c>
    </row>
    <row r="1701" ht="14.25" customHeight="1">
      <c r="A1701" s="5" t="s">
        <v>1908</v>
      </c>
      <c r="B1701" s="5">
        <v>5.0</v>
      </c>
      <c r="C1701" s="5" t="s">
        <v>7688</v>
      </c>
      <c r="D1701" s="5" t="s">
        <v>6011</v>
      </c>
      <c r="E1701" s="5">
        <v>13100.0</v>
      </c>
      <c r="F1701" s="12" t="s">
        <v>6012</v>
      </c>
      <c r="G1701" s="12" t="s">
        <v>6013</v>
      </c>
      <c r="H1701" s="5" t="s">
        <v>6014</v>
      </c>
      <c r="I1701" s="5" t="s">
        <v>49</v>
      </c>
      <c r="J1701" s="5" t="s">
        <v>6015</v>
      </c>
      <c r="K1701" s="5">
        <v>1.0</v>
      </c>
      <c r="L1701" s="5">
        <v>15022.0</v>
      </c>
      <c r="M1701" s="10">
        <v>-122.1837</v>
      </c>
      <c r="N1701" s="10">
        <v>50.9724</v>
      </c>
      <c r="O1701" s="10">
        <v>558.0</v>
      </c>
      <c r="P1701" s="10" t="s">
        <v>6011</v>
      </c>
      <c r="Q1701" s="10"/>
      <c r="R1701" s="10" t="s">
        <v>6016</v>
      </c>
      <c r="S1701" s="55"/>
      <c r="T1701" s="55"/>
      <c r="U1701" s="55"/>
      <c r="V1701" s="55"/>
      <c r="W1701" s="55"/>
      <c r="X1701" s="55"/>
      <c r="Y1701" s="55"/>
      <c r="Z1701" s="55"/>
      <c r="AA1701" s="55"/>
      <c r="AB1701" s="55"/>
      <c r="AC1701" s="55"/>
      <c r="AD1701" s="55"/>
      <c r="AE1701" s="55"/>
      <c r="AF1701" s="55"/>
      <c r="AG1701" s="55"/>
      <c r="AH1701" s="55"/>
      <c r="AI1701" s="55"/>
      <c r="AJ1701" s="55"/>
      <c r="AK1701" s="55"/>
      <c r="AL1701" s="55"/>
      <c r="AM1701" s="55"/>
      <c r="AN1701" s="55"/>
      <c r="AO1701" s="55"/>
      <c r="AP1701" s="55"/>
      <c r="AQ1701" s="55"/>
      <c r="AR1701" s="55"/>
      <c r="AS1701" s="55"/>
      <c r="AT1701" s="55"/>
      <c r="AU1701" s="55"/>
      <c r="AV1701" s="55"/>
      <c r="AW1701" s="55"/>
      <c r="AX1701" s="55"/>
      <c r="AY1701" s="55"/>
      <c r="AZ1701" s="55"/>
      <c r="BA1701" s="55"/>
      <c r="BB1701" s="55"/>
      <c r="BC1701" s="55"/>
      <c r="BD1701" s="55"/>
      <c r="BE1701" s="55"/>
      <c r="BF1701" s="55"/>
      <c r="BG1701" s="55"/>
      <c r="BH1701" s="55"/>
      <c r="BI1701" s="55"/>
      <c r="BJ1701" s="55"/>
      <c r="BK1701" s="55"/>
      <c r="BL1701" s="55"/>
      <c r="BM1701" s="55"/>
      <c r="BN1701" s="55"/>
      <c r="BO1701" s="55"/>
      <c r="BP1701" s="55"/>
      <c r="BQ1701" s="55"/>
      <c r="BR1701" s="55"/>
      <c r="BS1701" s="55"/>
      <c r="BT1701" s="55"/>
    </row>
    <row r="1702" ht="14.25" customHeight="1">
      <c r="A1702" s="5" t="s">
        <v>1908</v>
      </c>
      <c r="B1702" s="5">
        <v>5.0</v>
      </c>
      <c r="C1702" s="5" t="s">
        <v>7688</v>
      </c>
      <c r="D1702" s="5" t="s">
        <v>6017</v>
      </c>
      <c r="E1702" s="5">
        <v>13115.0</v>
      </c>
      <c r="F1702" s="12" t="s">
        <v>6018</v>
      </c>
      <c r="G1702" s="10" t="s">
        <v>6019</v>
      </c>
      <c r="H1702" s="5" t="s">
        <v>6020</v>
      </c>
      <c r="I1702" s="5" t="s">
        <v>49</v>
      </c>
      <c r="J1702" s="5" t="s">
        <v>6021</v>
      </c>
      <c r="K1702" s="5">
        <v>1.0</v>
      </c>
      <c r="L1702" s="5">
        <v>15037.0</v>
      </c>
      <c r="M1702" s="10">
        <v>-126.109</v>
      </c>
      <c r="N1702" s="10">
        <v>49.70496</v>
      </c>
      <c r="O1702" s="10">
        <v>10.0</v>
      </c>
      <c r="P1702" s="10" t="s">
        <v>6017</v>
      </c>
      <c r="Q1702" s="10"/>
      <c r="R1702" s="10" t="s">
        <v>6022</v>
      </c>
      <c r="S1702" s="55"/>
      <c r="T1702" s="55"/>
      <c r="U1702" s="55"/>
      <c r="V1702" s="55"/>
      <c r="W1702" s="55"/>
      <c r="X1702" s="55"/>
      <c r="Y1702" s="55"/>
      <c r="Z1702" s="55"/>
      <c r="AA1702" s="55"/>
      <c r="AB1702" s="55"/>
      <c r="AC1702" s="55"/>
      <c r="AD1702" s="55"/>
      <c r="AE1702" s="55"/>
      <c r="AF1702" s="55"/>
      <c r="AG1702" s="55"/>
      <c r="AH1702" s="55"/>
      <c r="AI1702" s="55"/>
      <c r="AJ1702" s="55"/>
      <c r="AK1702" s="55"/>
      <c r="AL1702" s="55"/>
      <c r="AM1702" s="55"/>
      <c r="AN1702" s="55"/>
      <c r="AO1702" s="55"/>
      <c r="AP1702" s="55"/>
      <c r="AQ1702" s="55"/>
      <c r="AR1702" s="55"/>
      <c r="AS1702" s="55"/>
      <c r="AT1702" s="55"/>
      <c r="AU1702" s="55"/>
      <c r="AV1702" s="55"/>
      <c r="AW1702" s="55"/>
      <c r="AX1702" s="55"/>
      <c r="AY1702" s="55"/>
      <c r="AZ1702" s="55"/>
      <c r="BA1702" s="55"/>
      <c r="BB1702" s="55"/>
      <c r="BC1702" s="55"/>
      <c r="BD1702" s="55"/>
      <c r="BE1702" s="55"/>
      <c r="BF1702" s="55"/>
      <c r="BG1702" s="55"/>
      <c r="BH1702" s="55"/>
      <c r="BI1702" s="55"/>
      <c r="BJ1702" s="55"/>
      <c r="BK1702" s="55"/>
      <c r="BL1702" s="55"/>
      <c r="BM1702" s="55"/>
      <c r="BN1702" s="55"/>
      <c r="BO1702" s="55"/>
      <c r="BP1702" s="55"/>
      <c r="BQ1702" s="55"/>
      <c r="BR1702" s="55"/>
      <c r="BS1702" s="55"/>
      <c r="BT1702" s="55"/>
    </row>
    <row r="1703" ht="14.25" customHeight="1">
      <c r="A1703" s="5" t="s">
        <v>1908</v>
      </c>
      <c r="B1703" s="5">
        <v>5.0</v>
      </c>
      <c r="C1703" s="5" t="s">
        <v>7688</v>
      </c>
      <c r="D1703" s="5" t="s">
        <v>6023</v>
      </c>
      <c r="E1703" s="5">
        <v>13104.0</v>
      </c>
      <c r="F1703" s="12" t="s">
        <v>6024</v>
      </c>
      <c r="G1703" s="10" t="s">
        <v>6025</v>
      </c>
      <c r="H1703" s="5" t="s">
        <v>6026</v>
      </c>
      <c r="I1703" s="5" t="s">
        <v>49</v>
      </c>
      <c r="J1703" s="5" t="s">
        <v>6027</v>
      </c>
      <c r="K1703" s="5">
        <v>1.0</v>
      </c>
      <c r="L1703" s="5">
        <v>15026.0</v>
      </c>
      <c r="M1703" s="11">
        <v>-121.5798833</v>
      </c>
      <c r="N1703" s="11">
        <v>49.23275</v>
      </c>
      <c r="O1703" s="11">
        <v>1480.0</v>
      </c>
      <c r="P1703" s="5" t="s">
        <v>6023</v>
      </c>
      <c r="Q1703" s="72">
        <v>7.0</v>
      </c>
      <c r="R1703" s="11" t="s">
        <v>6028</v>
      </c>
      <c r="S1703" s="11" t="s">
        <v>6009</v>
      </c>
      <c r="U1703" s="55"/>
      <c r="V1703" s="55"/>
      <c r="W1703" s="55"/>
      <c r="X1703" s="55"/>
      <c r="Y1703" s="55"/>
      <c r="Z1703" s="55"/>
      <c r="AA1703" s="55"/>
      <c r="AB1703" s="55"/>
      <c r="AC1703" s="55"/>
      <c r="AD1703" s="55"/>
      <c r="AE1703" s="55"/>
      <c r="AF1703" s="55"/>
      <c r="AG1703" s="55"/>
      <c r="AH1703" s="55"/>
      <c r="AI1703" s="55"/>
      <c r="AJ1703" s="55"/>
      <c r="AK1703" s="55"/>
      <c r="AL1703" s="55"/>
      <c r="AM1703" s="55"/>
      <c r="AN1703" s="55"/>
      <c r="AO1703" s="55"/>
      <c r="AP1703" s="55"/>
      <c r="AQ1703" s="55"/>
      <c r="AR1703" s="55"/>
      <c r="AS1703" s="55"/>
      <c r="AT1703" s="55"/>
      <c r="AU1703" s="55"/>
      <c r="AV1703" s="55"/>
      <c r="AW1703" s="55"/>
      <c r="AX1703" s="55"/>
      <c r="AY1703" s="55"/>
      <c r="AZ1703" s="55"/>
      <c r="BA1703" s="55"/>
      <c r="BB1703" s="55"/>
      <c r="BC1703" s="55"/>
      <c r="BD1703" s="55"/>
      <c r="BE1703" s="55"/>
      <c r="BF1703" s="55"/>
      <c r="BG1703" s="55"/>
      <c r="BH1703" s="55"/>
      <c r="BI1703" s="55"/>
      <c r="BJ1703" s="55"/>
      <c r="BK1703" s="55"/>
      <c r="BL1703" s="55"/>
      <c r="BM1703" s="55"/>
      <c r="BN1703" s="55"/>
      <c r="BO1703" s="55"/>
      <c r="BP1703" s="55"/>
      <c r="BQ1703" s="55"/>
      <c r="BR1703" s="55"/>
      <c r="BS1703" s="55"/>
      <c r="BT1703" s="55"/>
    </row>
    <row r="1704" ht="14.25" customHeight="1">
      <c r="A1704" s="5" t="s">
        <v>2037</v>
      </c>
      <c r="B1704" s="5">
        <v>5.0</v>
      </c>
      <c r="C1704" s="5" t="s">
        <v>7688</v>
      </c>
      <c r="D1704" s="10" t="s">
        <v>6029</v>
      </c>
      <c r="E1704" s="5">
        <v>12350.0</v>
      </c>
      <c r="F1704" s="10" t="s">
        <v>6030</v>
      </c>
      <c r="G1704" s="5" t="s">
        <v>6031</v>
      </c>
      <c r="H1704" s="5" t="s">
        <v>6032</v>
      </c>
      <c r="I1704" s="5" t="s">
        <v>49</v>
      </c>
      <c r="J1704" s="5" t="s">
        <v>6033</v>
      </c>
      <c r="K1704" s="5">
        <v>1.0</v>
      </c>
      <c r="L1704" s="5">
        <v>14406.0</v>
      </c>
      <c r="M1704" s="11">
        <v>-120.83</v>
      </c>
      <c r="N1704" s="11">
        <v>56.23</v>
      </c>
      <c r="O1704" s="11">
        <v>686.0</v>
      </c>
      <c r="P1704" s="10" t="s">
        <v>6034</v>
      </c>
      <c r="Q1704" s="72">
        <v>2.0</v>
      </c>
      <c r="R1704" s="10" t="s">
        <v>6035</v>
      </c>
      <c r="S1704" s="11" t="s">
        <v>6036</v>
      </c>
    </row>
    <row r="1705" ht="14.25" customHeight="1">
      <c r="B1705" s="5">
        <v>5.0</v>
      </c>
      <c r="C1705" s="5" t="s">
        <v>7688</v>
      </c>
      <c r="D1705" s="5" t="s">
        <v>6037</v>
      </c>
      <c r="E1705" s="5">
        <v>2429.0</v>
      </c>
      <c r="F1705" s="5" t="s">
        <v>6038</v>
      </c>
      <c r="G1705" s="5" t="s">
        <v>6039</v>
      </c>
      <c r="H1705" s="5" t="s">
        <v>6040</v>
      </c>
      <c r="I1705" s="5" t="s">
        <v>1664</v>
      </c>
      <c r="J1705" s="5" t="s">
        <v>6041</v>
      </c>
      <c r="K1705" s="5">
        <v>1.0</v>
      </c>
      <c r="L1705" s="5">
        <v>2832.0</v>
      </c>
      <c r="M1705" s="11">
        <v>-125.7416667</v>
      </c>
      <c r="N1705" s="11">
        <v>56.43666667</v>
      </c>
      <c r="O1705" s="11">
        <v>970.0</v>
      </c>
      <c r="P1705" s="5" t="s">
        <v>6037</v>
      </c>
      <c r="Q1705" s="72">
        <v>3.0</v>
      </c>
      <c r="R1705" s="11" t="s">
        <v>6038</v>
      </c>
      <c r="S1705" s="11" t="s">
        <v>6009</v>
      </c>
    </row>
    <row r="1706" ht="14.25" customHeight="1">
      <c r="A1706" s="5" t="s">
        <v>1908</v>
      </c>
      <c r="B1706" s="5">
        <v>5.0</v>
      </c>
      <c r="C1706" s="5" t="s">
        <v>7688</v>
      </c>
      <c r="D1706" s="5" t="s">
        <v>6042</v>
      </c>
      <c r="E1706" s="5">
        <v>2428.0</v>
      </c>
      <c r="F1706" s="10" t="s">
        <v>6043</v>
      </c>
      <c r="G1706" s="10" t="s">
        <v>6044</v>
      </c>
      <c r="H1706" s="5" t="s">
        <v>6045</v>
      </c>
      <c r="I1706" s="5" t="s">
        <v>1664</v>
      </c>
      <c r="J1706" s="5" t="s">
        <v>6046</v>
      </c>
      <c r="K1706" s="5">
        <v>1.0</v>
      </c>
      <c r="L1706" s="5">
        <v>2831.0</v>
      </c>
      <c r="M1706" s="11">
        <v>-124.9042444</v>
      </c>
      <c r="N1706" s="11">
        <v>57.19119167</v>
      </c>
      <c r="O1706" s="11">
        <v>760.0</v>
      </c>
      <c r="P1706" s="5" t="s">
        <v>6042</v>
      </c>
      <c r="Q1706" s="72">
        <v>1.0</v>
      </c>
      <c r="R1706" s="11" t="s">
        <v>6047</v>
      </c>
      <c r="S1706" s="11" t="s">
        <v>6009</v>
      </c>
    </row>
    <row r="1707" ht="14.25" customHeight="1">
      <c r="A1707" s="5" t="s">
        <v>1908</v>
      </c>
      <c r="B1707" s="5">
        <v>5.0</v>
      </c>
      <c r="C1707" s="5" t="s">
        <v>7688</v>
      </c>
      <c r="D1707" s="5" t="s">
        <v>6048</v>
      </c>
      <c r="E1707" s="5">
        <v>2430.0</v>
      </c>
      <c r="F1707" s="10" t="s">
        <v>6049</v>
      </c>
      <c r="G1707" s="10" t="s">
        <v>6050</v>
      </c>
      <c r="H1707" s="5" t="s">
        <v>6040</v>
      </c>
      <c r="I1707" s="5" t="s">
        <v>1664</v>
      </c>
      <c r="J1707" s="5" t="s">
        <v>6051</v>
      </c>
      <c r="K1707" s="5">
        <v>1.0</v>
      </c>
      <c r="L1707" s="5">
        <v>2833.0</v>
      </c>
      <c r="M1707" s="11">
        <v>-122.4834361</v>
      </c>
      <c r="N1707" s="11">
        <v>49.28744167</v>
      </c>
      <c r="O1707" s="11">
        <v>125.0</v>
      </c>
      <c r="P1707" s="5" t="s">
        <v>6048</v>
      </c>
      <c r="Q1707" s="72">
        <v>3.0</v>
      </c>
      <c r="R1707" s="11" t="s">
        <v>6052</v>
      </c>
      <c r="S1707" s="11" t="s">
        <v>6009</v>
      </c>
    </row>
    <row r="1708" ht="14.25" customHeight="1">
      <c r="A1708" s="5" t="s">
        <v>2037</v>
      </c>
      <c r="B1708" s="5">
        <v>5.0</v>
      </c>
      <c r="C1708" s="5" t="s">
        <v>7688</v>
      </c>
      <c r="D1708" s="5" t="s">
        <v>6053</v>
      </c>
      <c r="E1708" s="5">
        <v>12343.0</v>
      </c>
      <c r="F1708" s="10" t="s">
        <v>6054</v>
      </c>
      <c r="G1708" s="5" t="s">
        <v>6055</v>
      </c>
      <c r="H1708" s="5" t="s">
        <v>6056</v>
      </c>
      <c r="I1708" s="5" t="s">
        <v>49</v>
      </c>
      <c r="J1708" s="5" t="s">
        <v>6057</v>
      </c>
      <c r="K1708" s="5">
        <v>1.0</v>
      </c>
      <c r="L1708" s="5">
        <v>14399.0</v>
      </c>
      <c r="M1708" s="10" t="str">
        <f t="shared" ref="M1708:M1710" si="4">NUMBERVALUE(LEFT(G1708,7))</f>
        <v>#NAME?</v>
      </c>
      <c r="N1708" s="10">
        <v>56.222</v>
      </c>
      <c r="O1708" s="10" t="str">
        <f t="shared" ref="O1708:O1710" si="5">NUMBERVALUE(LEFT(RIGHT(G1708,5),3))</f>
        <v>#NAME?</v>
      </c>
      <c r="P1708" s="10" t="str">
        <f t="shared" ref="P1708:P1710" si="6">D1708</f>
        <v>AFL</v>
      </c>
      <c r="Q1708" s="55"/>
      <c r="R1708" s="10" t="str">
        <f t="shared" ref="R1708:R1710" si="7">F1708</f>
        <v>Attachie Flat Lower Terrace</v>
      </c>
      <c r="S1708" s="55"/>
      <c r="T1708" s="55"/>
      <c r="U1708" s="55"/>
      <c r="V1708" s="55"/>
      <c r="W1708" s="55"/>
      <c r="X1708" s="55"/>
      <c r="Y1708" s="55"/>
      <c r="Z1708" s="55"/>
      <c r="AA1708" s="55"/>
      <c r="AB1708" s="55"/>
      <c r="AC1708" s="55"/>
      <c r="AD1708" s="55"/>
      <c r="AE1708" s="55"/>
      <c r="AF1708" s="55"/>
      <c r="AG1708" s="55"/>
      <c r="AH1708" s="55"/>
      <c r="AI1708" s="55"/>
      <c r="AJ1708" s="55"/>
      <c r="AK1708" s="55"/>
      <c r="AL1708" s="55"/>
      <c r="AM1708" s="55"/>
      <c r="AN1708" s="55"/>
      <c r="AO1708" s="55"/>
      <c r="AP1708" s="55"/>
      <c r="AQ1708" s="55"/>
      <c r="AR1708" s="55"/>
      <c r="AS1708" s="55"/>
      <c r="AT1708" s="55"/>
      <c r="AU1708" s="55"/>
      <c r="AV1708" s="55"/>
      <c r="AW1708" s="55"/>
      <c r="AX1708" s="55"/>
      <c r="AY1708" s="55"/>
      <c r="AZ1708" s="55"/>
      <c r="BA1708" s="55"/>
      <c r="BB1708" s="55"/>
      <c r="BC1708" s="55"/>
      <c r="BD1708" s="55"/>
      <c r="BE1708" s="55"/>
      <c r="BF1708" s="55"/>
      <c r="BG1708" s="55"/>
      <c r="BH1708" s="55"/>
      <c r="BI1708" s="55"/>
      <c r="BJ1708" s="55"/>
      <c r="BK1708" s="55"/>
      <c r="BL1708" s="55"/>
      <c r="BM1708" s="55"/>
      <c r="BN1708" s="55"/>
      <c r="BO1708" s="55"/>
      <c r="BP1708" s="55"/>
      <c r="BQ1708" s="55"/>
      <c r="BR1708" s="55"/>
      <c r="BS1708" s="55"/>
      <c r="BT1708" s="55"/>
    </row>
    <row r="1709" ht="14.25" customHeight="1">
      <c r="A1709" s="5" t="s">
        <v>2037</v>
      </c>
      <c r="B1709" s="5">
        <v>5.0</v>
      </c>
      <c r="C1709" s="5" t="s">
        <v>7688</v>
      </c>
      <c r="D1709" s="5" t="s">
        <v>6058</v>
      </c>
      <c r="E1709" s="5">
        <v>12342.0</v>
      </c>
      <c r="F1709" s="10" t="s">
        <v>6059</v>
      </c>
      <c r="G1709" s="5" t="s">
        <v>6060</v>
      </c>
      <c r="H1709" s="5" t="s">
        <v>6032</v>
      </c>
      <c r="I1709" s="5" t="s">
        <v>49</v>
      </c>
      <c r="J1709" s="5" t="s">
        <v>6061</v>
      </c>
      <c r="K1709" s="5">
        <v>1.0</v>
      </c>
      <c r="L1709" s="5">
        <v>14398.0</v>
      </c>
      <c r="M1709" s="10" t="str">
        <f t="shared" si="4"/>
        <v>#NAME?</v>
      </c>
      <c r="N1709" s="10">
        <v>56.231</v>
      </c>
      <c r="O1709" s="10" t="str">
        <f t="shared" si="5"/>
        <v>#NAME?</v>
      </c>
      <c r="P1709" s="10" t="str">
        <f t="shared" si="6"/>
        <v>AFU</v>
      </c>
      <c r="Q1709" s="55"/>
      <c r="R1709" s="10" t="str">
        <f t="shared" si="7"/>
        <v>Attachie Flat Upper Terrace</v>
      </c>
      <c r="S1709" s="55"/>
      <c r="T1709" s="55"/>
      <c r="U1709" s="55"/>
      <c r="V1709" s="55"/>
      <c r="W1709" s="55"/>
      <c r="X1709" s="55"/>
      <c r="Y1709" s="55"/>
      <c r="Z1709" s="55"/>
      <c r="AA1709" s="55"/>
      <c r="AB1709" s="55"/>
      <c r="AC1709" s="55"/>
      <c r="AD1709" s="55"/>
      <c r="AE1709" s="55"/>
      <c r="AF1709" s="55"/>
      <c r="AG1709" s="55"/>
      <c r="AH1709" s="55"/>
      <c r="AI1709" s="55"/>
      <c r="AJ1709" s="55"/>
      <c r="AK1709" s="55"/>
      <c r="AL1709" s="55"/>
      <c r="AM1709" s="55"/>
      <c r="AN1709" s="55"/>
      <c r="AO1709" s="55"/>
      <c r="AP1709" s="55"/>
      <c r="AQ1709" s="55"/>
      <c r="AR1709" s="55"/>
      <c r="AS1709" s="55"/>
      <c r="AT1709" s="55"/>
      <c r="AU1709" s="55"/>
      <c r="AV1709" s="55"/>
      <c r="AW1709" s="55"/>
      <c r="AX1709" s="55"/>
      <c r="AY1709" s="55"/>
      <c r="AZ1709" s="55"/>
      <c r="BA1709" s="55"/>
      <c r="BB1709" s="55"/>
      <c r="BC1709" s="55"/>
      <c r="BD1709" s="55"/>
      <c r="BE1709" s="55"/>
      <c r="BF1709" s="55"/>
      <c r="BG1709" s="55"/>
      <c r="BH1709" s="55"/>
      <c r="BI1709" s="55"/>
      <c r="BJ1709" s="55"/>
      <c r="BK1709" s="55"/>
      <c r="BL1709" s="55"/>
      <c r="BM1709" s="55"/>
      <c r="BN1709" s="55"/>
      <c r="BO1709" s="55"/>
      <c r="BP1709" s="55"/>
      <c r="BQ1709" s="55"/>
      <c r="BR1709" s="55"/>
      <c r="BS1709" s="55"/>
      <c r="BT1709" s="55"/>
    </row>
    <row r="1710" ht="14.25" customHeight="1">
      <c r="A1710" s="5" t="s">
        <v>2037</v>
      </c>
      <c r="B1710" s="5">
        <v>5.0</v>
      </c>
      <c r="C1710" s="5" t="s">
        <v>7688</v>
      </c>
      <c r="D1710" s="5" t="s">
        <v>6062</v>
      </c>
      <c r="E1710" s="5">
        <v>12344.0</v>
      </c>
      <c r="F1710" s="10" t="s">
        <v>6063</v>
      </c>
      <c r="G1710" s="5" t="s">
        <v>6064</v>
      </c>
      <c r="H1710" s="5" t="s">
        <v>6032</v>
      </c>
      <c r="I1710" s="5" t="s">
        <v>49</v>
      </c>
      <c r="J1710" s="5" t="s">
        <v>6065</v>
      </c>
      <c r="K1710" s="5">
        <v>1.0</v>
      </c>
      <c r="L1710" s="5">
        <v>14400.0</v>
      </c>
      <c r="M1710" s="10" t="str">
        <f t="shared" si="4"/>
        <v>#NAME?</v>
      </c>
      <c r="N1710" s="10">
        <v>56.233</v>
      </c>
      <c r="O1710" s="10" t="str">
        <f t="shared" si="5"/>
        <v>#NAME?</v>
      </c>
      <c r="P1710" s="10" t="str">
        <f t="shared" si="6"/>
        <v>ATP</v>
      </c>
      <c r="Q1710" s="55"/>
      <c r="R1710" s="10" t="str">
        <f t="shared" si="7"/>
        <v>Attachie Plateau</v>
      </c>
      <c r="S1710" s="55"/>
      <c r="T1710" s="55"/>
      <c r="U1710" s="55"/>
      <c r="V1710" s="55"/>
      <c r="W1710" s="55"/>
      <c r="X1710" s="55"/>
      <c r="Y1710" s="55"/>
      <c r="Z1710" s="55"/>
      <c r="AA1710" s="55"/>
      <c r="AB1710" s="55"/>
      <c r="AC1710" s="55"/>
      <c r="AD1710" s="55"/>
      <c r="AE1710" s="55"/>
      <c r="AF1710" s="55"/>
      <c r="AG1710" s="55"/>
      <c r="AH1710" s="55"/>
      <c r="AI1710" s="55"/>
      <c r="AJ1710" s="55"/>
      <c r="AK1710" s="55"/>
      <c r="AL1710" s="55"/>
      <c r="AM1710" s="55"/>
      <c r="AN1710" s="55"/>
      <c r="AO1710" s="55"/>
      <c r="AP1710" s="55"/>
      <c r="AQ1710" s="55"/>
      <c r="AR1710" s="55"/>
      <c r="AS1710" s="55"/>
      <c r="AT1710" s="55"/>
      <c r="AU1710" s="55"/>
      <c r="AV1710" s="55"/>
      <c r="AW1710" s="55"/>
      <c r="AX1710" s="55"/>
      <c r="AY1710" s="55"/>
      <c r="AZ1710" s="55"/>
      <c r="BA1710" s="55"/>
      <c r="BB1710" s="55"/>
      <c r="BC1710" s="55"/>
      <c r="BD1710" s="55"/>
      <c r="BE1710" s="55"/>
      <c r="BF1710" s="55"/>
      <c r="BG1710" s="55"/>
      <c r="BH1710" s="55"/>
      <c r="BI1710" s="55"/>
      <c r="BJ1710" s="55"/>
      <c r="BK1710" s="55"/>
      <c r="BL1710" s="55"/>
      <c r="BM1710" s="55"/>
      <c r="BN1710" s="55"/>
      <c r="BO1710" s="55"/>
      <c r="BP1710" s="55"/>
      <c r="BQ1710" s="55"/>
      <c r="BR1710" s="55"/>
      <c r="BS1710" s="55"/>
      <c r="BT1710" s="55"/>
    </row>
    <row r="1711" ht="14.25" customHeight="1">
      <c r="A1711" s="5" t="s">
        <v>1908</v>
      </c>
      <c r="B1711" s="5">
        <v>5.0</v>
      </c>
      <c r="C1711" s="5" t="s">
        <v>7688</v>
      </c>
      <c r="D1711" s="5" t="s">
        <v>6066</v>
      </c>
      <c r="E1711" s="5">
        <v>2432.0</v>
      </c>
      <c r="F1711" s="10" t="s">
        <v>6067</v>
      </c>
      <c r="G1711" s="10" t="s">
        <v>6068</v>
      </c>
      <c r="H1711" s="5" t="s">
        <v>6040</v>
      </c>
      <c r="I1711" s="5" t="s">
        <v>1664</v>
      </c>
      <c r="J1711" s="5" t="s">
        <v>6069</v>
      </c>
      <c r="K1711" s="5">
        <v>1.0</v>
      </c>
      <c r="L1711" s="5">
        <v>2835.0</v>
      </c>
      <c r="M1711" s="5">
        <v>-118.3511222</v>
      </c>
      <c r="N1711" s="5">
        <v>50.06855278</v>
      </c>
      <c r="O1711" s="5">
        <v>1620.0</v>
      </c>
      <c r="P1711" s="5" t="s">
        <v>6066</v>
      </c>
      <c r="Q1711" s="5">
        <v>5.0</v>
      </c>
      <c r="R1711" s="5" t="s">
        <v>6070</v>
      </c>
      <c r="S1711" s="5" t="s">
        <v>6009</v>
      </c>
    </row>
    <row r="1712" ht="14.25" customHeight="1">
      <c r="A1712" s="5" t="s">
        <v>1908</v>
      </c>
      <c r="B1712" s="5">
        <v>5.0</v>
      </c>
      <c r="C1712" s="5" t="s">
        <v>7688</v>
      </c>
      <c r="D1712" s="5" t="s">
        <v>6071</v>
      </c>
      <c r="E1712" s="5">
        <v>2433.0</v>
      </c>
      <c r="F1712" s="10" t="s">
        <v>6072</v>
      </c>
      <c r="G1712" s="10" t="s">
        <v>6073</v>
      </c>
      <c r="H1712" s="5" t="s">
        <v>6074</v>
      </c>
      <c r="I1712" s="5" t="s">
        <v>1664</v>
      </c>
      <c r="J1712" s="5" t="s">
        <v>6046</v>
      </c>
      <c r="K1712" s="5">
        <v>1.0</v>
      </c>
      <c r="L1712" s="5">
        <v>2836.0</v>
      </c>
      <c r="M1712" s="11">
        <v>-123.8964</v>
      </c>
      <c r="N1712" s="11">
        <v>48.50267778</v>
      </c>
      <c r="O1712" s="11">
        <v>419.0</v>
      </c>
      <c r="P1712" s="5" t="s">
        <v>6071</v>
      </c>
      <c r="Q1712" s="72">
        <v>6.0</v>
      </c>
      <c r="R1712" s="11" t="s">
        <v>6075</v>
      </c>
      <c r="S1712" s="11" t="s">
        <v>6009</v>
      </c>
    </row>
    <row r="1713" ht="14.25" customHeight="1">
      <c r="A1713" s="5" t="s">
        <v>2037</v>
      </c>
      <c r="B1713" s="5">
        <v>5.0</v>
      </c>
      <c r="C1713" s="5" t="s">
        <v>7688</v>
      </c>
      <c r="D1713" s="5" t="s">
        <v>6076</v>
      </c>
      <c r="E1713" s="5">
        <v>12345.0</v>
      </c>
      <c r="F1713" s="10" t="s">
        <v>6077</v>
      </c>
      <c r="G1713" s="5" t="s">
        <v>6078</v>
      </c>
      <c r="H1713" s="5" t="s">
        <v>6032</v>
      </c>
      <c r="I1713" s="5" t="s">
        <v>49</v>
      </c>
      <c r="J1713" s="5" t="s">
        <v>6057</v>
      </c>
      <c r="K1713" s="5">
        <v>1.0</v>
      </c>
      <c r="L1713" s="5">
        <v>14401.0</v>
      </c>
      <c r="M1713" s="10" t="str">
        <f>NUMBERVALUE(LEFT(G1713,7))</f>
        <v>#NAME?</v>
      </c>
      <c r="N1713" s="10" t="str">
        <f>NUMBERVALUE(RIGHT(LEFT(G1713,17),6))</f>
        <v>#NAME?</v>
      </c>
      <c r="O1713" s="10" t="str">
        <f>NUMBERVALUE(LEFT(RIGHT(G1713,5),3))</f>
        <v>#NAME?</v>
      </c>
      <c r="P1713" s="10" t="str">
        <f>D1713</f>
        <v>BEF</v>
      </c>
      <c r="Q1713" s="55"/>
      <c r="R1713" s="10" t="str">
        <f>F1713</f>
        <v>Bear Flat</v>
      </c>
      <c r="S1713" s="55"/>
      <c r="T1713" s="55"/>
      <c r="U1713" s="55"/>
      <c r="V1713" s="55"/>
      <c r="W1713" s="55"/>
      <c r="X1713" s="55"/>
      <c r="Y1713" s="55"/>
      <c r="Z1713" s="55"/>
      <c r="AA1713" s="55"/>
      <c r="AB1713" s="55"/>
      <c r="AC1713" s="55"/>
      <c r="AD1713" s="55"/>
      <c r="AE1713" s="55"/>
      <c r="AF1713" s="55"/>
      <c r="AG1713" s="55"/>
      <c r="AH1713" s="55"/>
      <c r="AI1713" s="55"/>
      <c r="AJ1713" s="55"/>
      <c r="AK1713" s="55"/>
      <c r="AL1713" s="55"/>
      <c r="AM1713" s="55"/>
      <c r="AN1713" s="55"/>
      <c r="AO1713" s="55"/>
      <c r="AP1713" s="55"/>
      <c r="AQ1713" s="55"/>
      <c r="AR1713" s="55"/>
      <c r="AS1713" s="55"/>
      <c r="AT1713" s="55"/>
      <c r="AU1713" s="55"/>
      <c r="AV1713" s="55"/>
      <c r="AW1713" s="55"/>
      <c r="AX1713" s="55"/>
      <c r="AY1713" s="55"/>
      <c r="AZ1713" s="55"/>
      <c r="BA1713" s="55"/>
      <c r="BB1713" s="55"/>
      <c r="BC1713" s="55"/>
      <c r="BD1713" s="55"/>
      <c r="BE1713" s="55"/>
      <c r="BF1713" s="55"/>
      <c r="BG1713" s="55"/>
      <c r="BH1713" s="55"/>
      <c r="BI1713" s="55"/>
      <c r="BJ1713" s="55"/>
      <c r="BK1713" s="55"/>
      <c r="BL1713" s="55"/>
      <c r="BM1713" s="55"/>
      <c r="BN1713" s="55"/>
      <c r="BO1713" s="55"/>
      <c r="BP1713" s="55"/>
      <c r="BQ1713" s="55"/>
      <c r="BR1713" s="55"/>
      <c r="BS1713" s="55"/>
      <c r="BT1713" s="55"/>
    </row>
    <row r="1714" ht="14.25" customHeight="1">
      <c r="A1714" s="5" t="s">
        <v>2037</v>
      </c>
      <c r="B1714" s="5">
        <v>5.0</v>
      </c>
      <c r="C1714" s="5" t="s">
        <v>7688</v>
      </c>
      <c r="D1714" s="5" t="s">
        <v>6079</v>
      </c>
      <c r="E1714" s="5">
        <v>2439.0</v>
      </c>
      <c r="F1714" s="10" t="s">
        <v>6080</v>
      </c>
      <c r="G1714" s="5" t="s">
        <v>6081</v>
      </c>
      <c r="H1714" s="5" t="s">
        <v>6082</v>
      </c>
      <c r="I1714" s="5" t="s">
        <v>1664</v>
      </c>
      <c r="J1714" s="5" t="s">
        <v>6046</v>
      </c>
      <c r="K1714" s="5">
        <v>1.0</v>
      </c>
      <c r="L1714" s="5">
        <v>2842.0</v>
      </c>
      <c r="U1714" s="55"/>
      <c r="V1714" s="55"/>
      <c r="W1714" s="55"/>
      <c r="X1714" s="55"/>
      <c r="Y1714" s="55"/>
      <c r="Z1714" s="55"/>
      <c r="AA1714" s="55"/>
      <c r="AB1714" s="55"/>
      <c r="AC1714" s="55"/>
      <c r="AD1714" s="55"/>
      <c r="AE1714" s="55"/>
      <c r="AF1714" s="55"/>
      <c r="AG1714" s="55"/>
      <c r="AH1714" s="55"/>
      <c r="AI1714" s="55"/>
      <c r="AJ1714" s="55"/>
      <c r="AK1714" s="55"/>
      <c r="AL1714" s="55"/>
      <c r="AM1714" s="55"/>
      <c r="AN1714" s="55"/>
      <c r="AO1714" s="55"/>
      <c r="AP1714" s="55"/>
      <c r="AQ1714" s="55"/>
      <c r="AR1714" s="55"/>
      <c r="AS1714" s="55"/>
      <c r="AT1714" s="55"/>
      <c r="AU1714" s="55"/>
      <c r="AV1714" s="55"/>
      <c r="AW1714" s="55"/>
      <c r="AX1714" s="55"/>
      <c r="AY1714" s="55"/>
      <c r="AZ1714" s="55"/>
      <c r="BA1714" s="55"/>
      <c r="BB1714" s="55"/>
      <c r="BC1714" s="55"/>
      <c r="BD1714" s="55"/>
      <c r="BE1714" s="55"/>
      <c r="BF1714" s="55"/>
      <c r="BG1714" s="55"/>
      <c r="BH1714" s="55"/>
      <c r="BI1714" s="55"/>
      <c r="BJ1714" s="55"/>
      <c r="BK1714" s="55"/>
      <c r="BL1714" s="55"/>
      <c r="BM1714" s="55"/>
      <c r="BN1714" s="55"/>
      <c r="BO1714" s="55"/>
      <c r="BP1714" s="55"/>
      <c r="BQ1714" s="55"/>
      <c r="BR1714" s="55"/>
      <c r="BS1714" s="55"/>
      <c r="BT1714" s="55"/>
    </row>
    <row r="1715" ht="14.25" customHeight="1">
      <c r="B1715" s="5">
        <v>5.0</v>
      </c>
      <c r="C1715" s="5" t="s">
        <v>7688</v>
      </c>
      <c r="D1715" s="5" t="s">
        <v>6083</v>
      </c>
      <c r="E1715" s="5">
        <v>13112.0</v>
      </c>
      <c r="F1715" s="5" t="s">
        <v>6084</v>
      </c>
      <c r="G1715" s="5" t="s">
        <v>6085</v>
      </c>
      <c r="H1715" s="5" t="s">
        <v>6086</v>
      </c>
      <c r="I1715" s="5" t="s">
        <v>49</v>
      </c>
      <c r="J1715" s="5" t="s">
        <v>6087</v>
      </c>
      <c r="K1715" s="5">
        <v>1.0</v>
      </c>
      <c r="L1715" s="5">
        <v>15034.0</v>
      </c>
      <c r="M1715" s="11">
        <v>-122.78881944444444</v>
      </c>
      <c r="N1715" s="11">
        <v>50.77518888888889</v>
      </c>
      <c r="O1715" s="11">
        <v>1382.0</v>
      </c>
      <c r="P1715" s="5" t="s">
        <v>6083</v>
      </c>
      <c r="Q1715" s="72">
        <v>5.0</v>
      </c>
      <c r="R1715" s="11" t="s">
        <v>6084</v>
      </c>
      <c r="S1715" s="11" t="s">
        <v>6009</v>
      </c>
    </row>
    <row r="1716" ht="14.25" customHeight="1">
      <c r="B1716" s="5">
        <v>5.0</v>
      </c>
      <c r="C1716" s="5" t="s">
        <v>7688</v>
      </c>
      <c r="D1716" s="5" t="s">
        <v>6088</v>
      </c>
      <c r="E1716" s="5">
        <v>2435.0</v>
      </c>
      <c r="F1716" s="10" t="s">
        <v>6089</v>
      </c>
      <c r="G1716" s="5" t="s">
        <v>6090</v>
      </c>
      <c r="H1716" s="5" t="s">
        <v>6091</v>
      </c>
      <c r="I1716" s="5" t="s">
        <v>1664</v>
      </c>
      <c r="J1716" s="5" t="s">
        <v>6046</v>
      </c>
      <c r="K1716" s="5">
        <v>1.0</v>
      </c>
      <c r="L1716" s="5">
        <v>2838.0</v>
      </c>
      <c r="M1716" s="10" t="str">
        <f t="shared" ref="M1716:M1717" si="8">NUMBERVALUE(LEFT(G1716,9))</f>
        <v>#NAME?</v>
      </c>
      <c r="N1716" s="10" t="str">
        <f>NUMBERVALUE(RIGHT(LEFT(G1716,20),8))</f>
        <v>#NAME?</v>
      </c>
      <c r="O1716" s="10" t="str">
        <f t="shared" ref="O1716:O1717" si="9">NUMBERVALUE(LEFT(RIGHT(G1716,5),3))</f>
        <v>#NAME?</v>
      </c>
      <c r="P1716" s="10" t="str">
        <f t="shared" ref="P1716:P1717" si="10">D1716</f>
        <v>BLN</v>
      </c>
      <c r="Q1716" s="55"/>
      <c r="R1716" s="10" t="str">
        <f t="shared" ref="R1716:R1717" si="11">F1716</f>
        <v>Bralorne Upper</v>
      </c>
      <c r="S1716" s="55"/>
      <c r="T1716" s="55"/>
      <c r="U1716" s="55"/>
      <c r="V1716" s="55"/>
      <c r="W1716" s="55"/>
      <c r="X1716" s="55"/>
      <c r="Y1716" s="55"/>
      <c r="Z1716" s="55"/>
      <c r="AA1716" s="55"/>
      <c r="AB1716" s="55"/>
      <c r="AC1716" s="55"/>
      <c r="AD1716" s="55"/>
      <c r="AE1716" s="55"/>
      <c r="AF1716" s="55"/>
      <c r="AG1716" s="55"/>
      <c r="AH1716" s="55"/>
      <c r="AI1716" s="55"/>
      <c r="AJ1716" s="55"/>
      <c r="AK1716" s="55"/>
      <c r="AL1716" s="55"/>
      <c r="AM1716" s="55"/>
      <c r="AN1716" s="55"/>
      <c r="AO1716" s="55"/>
      <c r="AP1716" s="55"/>
      <c r="AQ1716" s="55"/>
      <c r="AR1716" s="55"/>
      <c r="AS1716" s="55"/>
      <c r="AT1716" s="55"/>
      <c r="AU1716" s="55"/>
      <c r="AV1716" s="55"/>
      <c r="AW1716" s="55"/>
      <c r="AX1716" s="55"/>
      <c r="AY1716" s="55"/>
      <c r="AZ1716" s="55"/>
      <c r="BA1716" s="55"/>
      <c r="BB1716" s="55"/>
      <c r="BC1716" s="55"/>
      <c r="BD1716" s="55"/>
      <c r="BE1716" s="55"/>
      <c r="BF1716" s="55"/>
      <c r="BG1716" s="55"/>
      <c r="BH1716" s="55"/>
      <c r="BI1716" s="55"/>
      <c r="BJ1716" s="55"/>
      <c r="BK1716" s="55"/>
      <c r="BL1716" s="55"/>
      <c r="BM1716" s="55"/>
      <c r="BN1716" s="55"/>
      <c r="BO1716" s="55"/>
      <c r="BP1716" s="55"/>
      <c r="BQ1716" s="55"/>
      <c r="BR1716" s="55"/>
      <c r="BS1716" s="55"/>
      <c r="BT1716" s="55"/>
    </row>
    <row r="1717" ht="14.25" customHeight="1">
      <c r="A1717" s="5" t="s">
        <v>6092</v>
      </c>
      <c r="B1717" s="5">
        <v>5.0</v>
      </c>
      <c r="C1717" s="10" t="s">
        <v>7689</v>
      </c>
      <c r="D1717" s="5" t="s">
        <v>6094</v>
      </c>
      <c r="E1717" s="5">
        <v>2436.0</v>
      </c>
      <c r="F1717" s="5" t="s">
        <v>6095</v>
      </c>
      <c r="G1717" s="5" t="s">
        <v>6096</v>
      </c>
      <c r="H1717" s="5" t="s">
        <v>6097</v>
      </c>
      <c r="I1717" s="5" t="s">
        <v>1664</v>
      </c>
      <c r="J1717" s="5" t="s">
        <v>6041</v>
      </c>
      <c r="K1717" s="5">
        <v>1.0</v>
      </c>
      <c r="L1717" s="5">
        <v>2839.0</v>
      </c>
      <c r="M1717" s="10" t="str">
        <f t="shared" si="8"/>
        <v>#NAME?</v>
      </c>
      <c r="N1717" s="10" t="str">
        <f>NUMBERVALUE(RIGHT(LEFT(G1717,25),12))</f>
        <v>#NAME?</v>
      </c>
      <c r="O1717" s="10" t="str">
        <f t="shared" si="9"/>
        <v>#NAME?</v>
      </c>
      <c r="P1717" s="10" t="str">
        <f t="shared" si="10"/>
        <v>BMN</v>
      </c>
      <c r="Q1717" s="55"/>
      <c r="R1717" s="10" t="str">
        <f t="shared" si="11"/>
        <v>Brenda Mines</v>
      </c>
      <c r="S1717" s="55"/>
      <c r="T1717" s="55"/>
      <c r="U1717" s="55"/>
      <c r="V1717" s="55"/>
      <c r="W1717" s="55"/>
      <c r="X1717" s="55"/>
      <c r="Y1717" s="55"/>
      <c r="Z1717" s="55"/>
      <c r="AA1717" s="55"/>
      <c r="AB1717" s="55"/>
      <c r="AC1717" s="55"/>
      <c r="AD1717" s="55"/>
      <c r="AE1717" s="55"/>
      <c r="AF1717" s="55"/>
      <c r="AG1717" s="55"/>
      <c r="AH1717" s="55"/>
      <c r="AI1717" s="55"/>
      <c r="AJ1717" s="55"/>
      <c r="AK1717" s="55"/>
      <c r="AL1717" s="55"/>
      <c r="AM1717" s="55"/>
      <c r="AN1717" s="55"/>
      <c r="AO1717" s="55"/>
      <c r="AP1717" s="55"/>
      <c r="AQ1717" s="55"/>
      <c r="AR1717" s="55"/>
      <c r="AS1717" s="55"/>
      <c r="AT1717" s="55"/>
      <c r="AU1717" s="55"/>
      <c r="AV1717" s="55"/>
      <c r="AW1717" s="55"/>
      <c r="AX1717" s="55"/>
      <c r="AY1717" s="55"/>
      <c r="AZ1717" s="55"/>
      <c r="BA1717" s="55"/>
      <c r="BB1717" s="55"/>
      <c r="BC1717" s="55"/>
      <c r="BD1717" s="55"/>
      <c r="BE1717" s="55"/>
      <c r="BF1717" s="55"/>
      <c r="BG1717" s="55"/>
      <c r="BH1717" s="55"/>
      <c r="BI1717" s="55"/>
      <c r="BJ1717" s="55"/>
      <c r="BK1717" s="55"/>
      <c r="BL1717" s="55"/>
      <c r="BM1717" s="55"/>
      <c r="BN1717" s="55"/>
      <c r="BO1717" s="55"/>
      <c r="BP1717" s="55"/>
      <c r="BQ1717" s="55"/>
      <c r="BR1717" s="55"/>
      <c r="BS1717" s="55"/>
      <c r="BT1717" s="55"/>
    </row>
    <row r="1718" ht="14.25" customHeight="1">
      <c r="A1718" s="5" t="s">
        <v>6098</v>
      </c>
      <c r="C1718" s="10" t="s">
        <v>7690</v>
      </c>
      <c r="D1718" s="12" t="s">
        <v>6100</v>
      </c>
      <c r="F1718" s="10" t="s">
        <v>6095</v>
      </c>
      <c r="G1718" s="12" t="s">
        <v>6101</v>
      </c>
      <c r="M1718" s="10"/>
      <c r="N1718" s="10"/>
      <c r="O1718" s="10"/>
      <c r="P1718" s="10"/>
      <c r="Q1718" s="55"/>
      <c r="R1718" s="10"/>
      <c r="S1718" s="55"/>
      <c r="T1718" s="55"/>
      <c r="U1718" s="55"/>
      <c r="V1718" s="55"/>
      <c r="W1718" s="55"/>
      <c r="X1718" s="55"/>
      <c r="Y1718" s="55"/>
      <c r="Z1718" s="55"/>
      <c r="AA1718" s="55"/>
      <c r="AB1718" s="55"/>
      <c r="AC1718" s="55"/>
      <c r="AD1718" s="55"/>
      <c r="AE1718" s="55"/>
      <c r="AF1718" s="55"/>
      <c r="AG1718" s="55"/>
      <c r="AH1718" s="55"/>
      <c r="AI1718" s="55"/>
      <c r="AJ1718" s="55"/>
      <c r="AK1718" s="55"/>
      <c r="AL1718" s="55"/>
      <c r="AM1718" s="55"/>
      <c r="AN1718" s="55"/>
      <c r="AO1718" s="55"/>
      <c r="AP1718" s="55"/>
      <c r="AQ1718" s="55"/>
      <c r="AR1718" s="55"/>
      <c r="AS1718" s="55"/>
      <c r="AT1718" s="55"/>
      <c r="AU1718" s="55"/>
      <c r="AV1718" s="55"/>
      <c r="AW1718" s="55"/>
      <c r="AX1718" s="55"/>
      <c r="AY1718" s="55"/>
      <c r="AZ1718" s="55"/>
      <c r="BA1718" s="55"/>
      <c r="BB1718" s="55"/>
      <c r="BC1718" s="55"/>
      <c r="BD1718" s="55"/>
      <c r="BE1718" s="55"/>
      <c r="BF1718" s="55"/>
      <c r="BG1718" s="55"/>
      <c r="BH1718" s="55"/>
      <c r="BI1718" s="55"/>
      <c r="BJ1718" s="55"/>
      <c r="BK1718" s="55"/>
      <c r="BL1718" s="55"/>
      <c r="BM1718" s="55"/>
      <c r="BN1718" s="55"/>
      <c r="BO1718" s="55"/>
      <c r="BP1718" s="55"/>
      <c r="BQ1718" s="55"/>
      <c r="BR1718" s="55"/>
      <c r="BS1718" s="55"/>
      <c r="BT1718" s="55"/>
    </row>
    <row r="1719" ht="14.25" customHeight="1">
      <c r="B1719" s="5">
        <v>5.0</v>
      </c>
      <c r="C1719" s="5" t="s">
        <v>7688</v>
      </c>
      <c r="D1719" s="5" t="s">
        <v>6102</v>
      </c>
      <c r="E1719" s="5">
        <v>13210.0</v>
      </c>
      <c r="F1719" s="5" t="s">
        <v>6103</v>
      </c>
      <c r="G1719" s="5" t="s">
        <v>6104</v>
      </c>
      <c r="H1719" s="5" t="s">
        <v>6105</v>
      </c>
      <c r="I1719" s="5" t="s">
        <v>49</v>
      </c>
      <c r="J1719" s="5" t="s">
        <v>6087</v>
      </c>
      <c r="K1719" s="5">
        <v>1.0</v>
      </c>
      <c r="L1719" s="5">
        <v>15126.0</v>
      </c>
      <c r="M1719" s="11">
        <v>-123.486422</v>
      </c>
      <c r="N1719" s="11">
        <v>50.831492</v>
      </c>
      <c r="O1719" s="11">
        <v>1505.0</v>
      </c>
      <c r="P1719" s="5" t="s">
        <v>6102</v>
      </c>
      <c r="Q1719" s="72">
        <v>6.0</v>
      </c>
      <c r="R1719" s="11" t="s">
        <v>6103</v>
      </c>
      <c r="S1719" s="11" t="s">
        <v>6009</v>
      </c>
    </row>
    <row r="1720" ht="14.25" customHeight="1">
      <c r="A1720" s="5" t="s">
        <v>2037</v>
      </c>
      <c r="B1720" s="5">
        <v>5.0</v>
      </c>
      <c r="C1720" s="5" t="s">
        <v>7688</v>
      </c>
      <c r="D1720" s="5" t="s">
        <v>6106</v>
      </c>
      <c r="E1720" s="5">
        <v>2437.0</v>
      </c>
      <c r="F1720" s="10" t="s">
        <v>6107</v>
      </c>
      <c r="G1720" s="5" t="s">
        <v>6108</v>
      </c>
      <c r="H1720" s="5" t="s">
        <v>6109</v>
      </c>
      <c r="I1720" s="5" t="s">
        <v>1664</v>
      </c>
      <c r="J1720" s="5" t="s">
        <v>6046</v>
      </c>
      <c r="K1720" s="5">
        <v>1.0</v>
      </c>
      <c r="L1720" s="5">
        <v>2840.0</v>
      </c>
      <c r="M1720" s="10" t="str">
        <f t="shared" ref="M1720:M1721" si="12">NUMBERVALUE(LEFT(G1720,7))</f>
        <v>#NAME?</v>
      </c>
      <c r="N1720" s="10">
        <v>50.85611</v>
      </c>
      <c r="O1720" s="10" t="str">
        <f t="shared" ref="O1720:O1721" si="13">NUMBERVALUE(LEFT(RIGHT(G1720,5),3))</f>
        <v>#NAME?</v>
      </c>
      <c r="P1720" s="10" t="str">
        <f t="shared" ref="P1720:P1721" si="14">D1720</f>
        <v>BRI</v>
      </c>
      <c r="Q1720" s="55"/>
      <c r="R1720" s="10" t="s">
        <v>6110</v>
      </c>
      <c r="S1720" s="55"/>
      <c r="T1720" s="55"/>
      <c r="U1720" s="55"/>
      <c r="V1720" s="55"/>
      <c r="W1720" s="55"/>
      <c r="X1720" s="55"/>
      <c r="Y1720" s="55"/>
      <c r="Z1720" s="55"/>
      <c r="AA1720" s="55"/>
      <c r="AB1720" s="55"/>
      <c r="AC1720" s="55"/>
      <c r="AD1720" s="55"/>
      <c r="AE1720" s="55"/>
      <c r="AF1720" s="55"/>
      <c r="AG1720" s="55"/>
      <c r="AH1720" s="55"/>
      <c r="AI1720" s="55"/>
      <c r="AJ1720" s="55"/>
      <c r="AK1720" s="55"/>
      <c r="AL1720" s="55"/>
      <c r="AM1720" s="55"/>
      <c r="AN1720" s="55"/>
      <c r="AO1720" s="55"/>
      <c r="AP1720" s="55"/>
      <c r="AQ1720" s="55"/>
      <c r="AR1720" s="55"/>
      <c r="AS1720" s="55"/>
      <c r="AT1720" s="55"/>
      <c r="AU1720" s="55"/>
      <c r="AV1720" s="55"/>
      <c r="AW1720" s="55"/>
      <c r="AX1720" s="55"/>
      <c r="AY1720" s="55"/>
      <c r="AZ1720" s="55"/>
      <c r="BA1720" s="55"/>
      <c r="BB1720" s="55"/>
      <c r="BC1720" s="55"/>
      <c r="BD1720" s="55"/>
      <c r="BE1720" s="55"/>
      <c r="BF1720" s="55"/>
      <c r="BG1720" s="55"/>
      <c r="BH1720" s="55"/>
      <c r="BI1720" s="55"/>
      <c r="BJ1720" s="55"/>
      <c r="BK1720" s="55"/>
      <c r="BL1720" s="55"/>
      <c r="BM1720" s="55"/>
      <c r="BN1720" s="55"/>
      <c r="BO1720" s="55"/>
      <c r="BP1720" s="55"/>
      <c r="BQ1720" s="55"/>
      <c r="BR1720" s="55"/>
      <c r="BS1720" s="55"/>
      <c r="BT1720" s="55"/>
    </row>
    <row r="1721" ht="14.25" customHeight="1">
      <c r="A1721" s="5" t="s">
        <v>2037</v>
      </c>
      <c r="B1721" s="5">
        <v>5.0</v>
      </c>
      <c r="C1721" s="5" t="s">
        <v>7688</v>
      </c>
      <c r="D1721" s="5" t="s">
        <v>6111</v>
      </c>
      <c r="E1721" s="5">
        <v>12393.0</v>
      </c>
      <c r="F1721" s="10" t="s">
        <v>6112</v>
      </c>
      <c r="G1721" s="5" t="s">
        <v>6113</v>
      </c>
      <c r="H1721" s="5" t="s">
        <v>6114</v>
      </c>
      <c r="I1721" s="5" t="s">
        <v>641</v>
      </c>
      <c r="J1721" s="5" t="s">
        <v>6021</v>
      </c>
      <c r="K1721" s="5">
        <v>1.0</v>
      </c>
      <c r="L1721" s="5">
        <v>14415.0</v>
      </c>
      <c r="M1721" s="10" t="str">
        <f t="shared" si="12"/>
        <v>#NAME?</v>
      </c>
      <c r="N1721" s="10">
        <v>50.8212</v>
      </c>
      <c r="O1721" s="10" t="str">
        <f t="shared" si="13"/>
        <v>#NAME?</v>
      </c>
      <c r="P1721" s="10" t="str">
        <f t="shared" si="14"/>
        <v>DOW</v>
      </c>
      <c r="Q1721" s="55"/>
      <c r="R1721" s="10" t="str">
        <f>F1721</f>
        <v>Bridge River above Downton Lake</v>
      </c>
      <c r="S1721" s="55"/>
      <c r="T1721" s="55"/>
      <c r="U1721" s="55"/>
      <c r="V1721" s="55"/>
      <c r="W1721" s="55"/>
      <c r="X1721" s="55"/>
      <c r="Y1721" s="55"/>
      <c r="Z1721" s="55"/>
      <c r="AA1721" s="55"/>
      <c r="AB1721" s="55"/>
      <c r="AC1721" s="55"/>
      <c r="AD1721" s="55"/>
      <c r="AE1721" s="55"/>
      <c r="AF1721" s="55"/>
      <c r="AG1721" s="55"/>
      <c r="AH1721" s="55"/>
      <c r="AI1721" s="55"/>
      <c r="AJ1721" s="55"/>
      <c r="AK1721" s="55"/>
      <c r="AL1721" s="55"/>
      <c r="AM1721" s="55"/>
      <c r="AN1721" s="55"/>
      <c r="AO1721" s="55"/>
      <c r="AP1721" s="55"/>
      <c r="AQ1721" s="55"/>
      <c r="AR1721" s="55"/>
      <c r="AS1721" s="55"/>
      <c r="AT1721" s="55"/>
      <c r="AU1721" s="55"/>
      <c r="AV1721" s="55"/>
      <c r="AW1721" s="55"/>
      <c r="AX1721" s="55"/>
      <c r="AY1721" s="55"/>
      <c r="AZ1721" s="55"/>
      <c r="BA1721" s="55"/>
      <c r="BB1721" s="55"/>
      <c r="BC1721" s="55"/>
      <c r="BD1721" s="55"/>
      <c r="BE1721" s="55"/>
      <c r="BF1721" s="55"/>
      <c r="BG1721" s="55"/>
      <c r="BH1721" s="55"/>
      <c r="BI1721" s="55"/>
      <c r="BJ1721" s="55"/>
      <c r="BK1721" s="55"/>
      <c r="BL1721" s="55"/>
      <c r="BM1721" s="55"/>
      <c r="BN1721" s="55"/>
      <c r="BO1721" s="55"/>
      <c r="BP1721" s="55"/>
      <c r="BQ1721" s="55"/>
      <c r="BR1721" s="55"/>
      <c r="BS1721" s="55"/>
      <c r="BT1721" s="55"/>
    </row>
    <row r="1722" ht="14.25" customHeight="1">
      <c r="A1722" s="5" t="s">
        <v>2037</v>
      </c>
      <c r="B1722" s="5">
        <v>5.0</v>
      </c>
      <c r="C1722" s="5" t="s">
        <v>7688</v>
      </c>
      <c r="D1722" s="5" t="s">
        <v>6115</v>
      </c>
      <c r="E1722" s="5">
        <v>2438.0</v>
      </c>
      <c r="F1722" s="10" t="s">
        <v>6116</v>
      </c>
      <c r="G1722" s="5" t="s">
        <v>6117</v>
      </c>
      <c r="H1722" s="5" t="s">
        <v>6118</v>
      </c>
      <c r="I1722" s="5" t="s">
        <v>1664</v>
      </c>
      <c r="J1722" s="5" t="s">
        <v>6046</v>
      </c>
      <c r="K1722" s="5">
        <v>1.0</v>
      </c>
      <c r="L1722" s="5">
        <v>2841.0</v>
      </c>
      <c r="M1722" s="11">
        <v>-115.3639222</v>
      </c>
      <c r="N1722" s="11">
        <v>49.49325556</v>
      </c>
      <c r="O1722" s="11">
        <v>800.0</v>
      </c>
      <c r="P1722" s="5" t="s">
        <v>6115</v>
      </c>
      <c r="Q1722" s="72">
        <v>1.0</v>
      </c>
      <c r="R1722" s="11" t="s">
        <v>6119</v>
      </c>
      <c r="S1722" s="11" t="s">
        <v>6009</v>
      </c>
    </row>
    <row r="1723" ht="14.25" customHeight="1">
      <c r="B1723" s="5">
        <v>5.0</v>
      </c>
      <c r="C1723" s="5" t="s">
        <v>7688</v>
      </c>
      <c r="D1723" s="5" t="s">
        <v>6120</v>
      </c>
      <c r="E1723" s="5">
        <v>13092.0</v>
      </c>
      <c r="F1723" s="5" t="s">
        <v>6121</v>
      </c>
      <c r="G1723" s="5" t="s">
        <v>6122</v>
      </c>
      <c r="H1723" s="5" t="s">
        <v>6014</v>
      </c>
      <c r="I1723" s="5" t="s">
        <v>49</v>
      </c>
      <c r="J1723" s="5" t="s">
        <v>6087</v>
      </c>
      <c r="K1723" s="5">
        <v>1.0</v>
      </c>
      <c r="L1723" s="5">
        <v>15014.0</v>
      </c>
      <c r="M1723" s="11">
        <v>-123.102889</v>
      </c>
      <c r="N1723" s="11">
        <v>50.137056</v>
      </c>
      <c r="O1723" s="11">
        <v>1017.0</v>
      </c>
      <c r="P1723" s="5" t="s">
        <v>6120</v>
      </c>
      <c r="Q1723" s="72">
        <v>5.0</v>
      </c>
      <c r="R1723" s="11" t="s">
        <v>6121</v>
      </c>
      <c r="S1723" s="11" t="s">
        <v>6009</v>
      </c>
    </row>
    <row r="1724" ht="14.25" customHeight="1">
      <c r="B1724" s="5">
        <v>5.0</v>
      </c>
      <c r="C1724" s="5" t="s">
        <v>7688</v>
      </c>
      <c r="D1724" s="5" t="s">
        <v>6123</v>
      </c>
      <c r="E1724" s="5">
        <v>12416.0</v>
      </c>
      <c r="F1724" s="5" t="s">
        <v>6124</v>
      </c>
      <c r="G1724" s="5" t="s">
        <v>6125</v>
      </c>
      <c r="H1724" s="5" t="s">
        <v>6126</v>
      </c>
      <c r="I1724" s="5" t="s">
        <v>641</v>
      </c>
      <c r="J1724" s="5" t="s">
        <v>6127</v>
      </c>
      <c r="K1724" s="5">
        <v>1.0</v>
      </c>
      <c r="L1724" s="5">
        <v>14438.0</v>
      </c>
      <c r="M1724" s="11">
        <v>-117.2284167</v>
      </c>
      <c r="N1724" s="11">
        <v>51.10902778</v>
      </c>
      <c r="O1724" s="11">
        <v>2201.0</v>
      </c>
      <c r="P1724" s="5" t="s">
        <v>6123</v>
      </c>
      <c r="Q1724" s="72">
        <v>8.0</v>
      </c>
      <c r="R1724" s="11" t="s">
        <v>6124</v>
      </c>
      <c r="S1724" s="11" t="s">
        <v>6009</v>
      </c>
    </row>
    <row r="1725" ht="14.25" customHeight="1">
      <c r="A1725" s="5" t="s">
        <v>2037</v>
      </c>
      <c r="B1725" s="5">
        <v>5.0</v>
      </c>
      <c r="C1725" s="5" t="s">
        <v>7688</v>
      </c>
      <c r="D1725" s="5" t="s">
        <v>6128</v>
      </c>
      <c r="E1725" s="5">
        <v>2440.0</v>
      </c>
      <c r="F1725" s="10" t="s">
        <v>6129</v>
      </c>
      <c r="G1725" s="5" t="s">
        <v>6130</v>
      </c>
      <c r="H1725" s="5" t="s">
        <v>6131</v>
      </c>
      <c r="I1725" s="5" t="s">
        <v>1664</v>
      </c>
      <c r="J1725" s="5" t="s">
        <v>6046</v>
      </c>
      <c r="K1725" s="5">
        <v>1.0</v>
      </c>
      <c r="L1725" s="5">
        <v>2843.0</v>
      </c>
      <c r="M1725" s="10" t="str">
        <f>NUMBERVALUE(LEFT(G1725,7))</f>
        <v>#NAME?</v>
      </c>
      <c r="N1725" s="10">
        <v>50.07972</v>
      </c>
      <c r="O1725" s="10" t="str">
        <f>NUMBERVALUE(LEFT(RIGHT(G1725,5),3))</f>
        <v>#NAME?</v>
      </c>
      <c r="P1725" s="10" t="str">
        <f>D1725</f>
        <v>CHK</v>
      </c>
      <c r="Q1725" s="55"/>
      <c r="R1725" s="10" t="s">
        <v>6132</v>
      </c>
      <c r="S1725" s="55"/>
      <c r="T1725" s="55"/>
      <c r="U1725" s="55"/>
      <c r="V1725" s="55"/>
      <c r="W1725" s="55"/>
      <c r="X1725" s="55"/>
      <c r="Y1725" s="55"/>
      <c r="Z1725" s="55"/>
      <c r="AA1725" s="55"/>
      <c r="AB1725" s="55"/>
      <c r="AC1725" s="55"/>
      <c r="AD1725" s="55"/>
      <c r="AE1725" s="55"/>
      <c r="AF1725" s="55"/>
      <c r="AG1725" s="55"/>
      <c r="AH1725" s="55"/>
      <c r="AI1725" s="55"/>
      <c r="AJ1725" s="55"/>
      <c r="AK1725" s="55"/>
      <c r="AL1725" s="55"/>
      <c r="AM1725" s="55"/>
      <c r="AN1725" s="55"/>
      <c r="AO1725" s="55"/>
      <c r="AP1725" s="55"/>
      <c r="AQ1725" s="55"/>
      <c r="AR1725" s="55"/>
      <c r="AS1725" s="55"/>
      <c r="AT1725" s="55"/>
      <c r="AU1725" s="55"/>
      <c r="AV1725" s="55"/>
      <c r="AW1725" s="55"/>
      <c r="AX1725" s="55"/>
      <c r="AY1725" s="55"/>
      <c r="AZ1725" s="55"/>
      <c r="BA1725" s="55"/>
      <c r="BB1725" s="55"/>
      <c r="BC1725" s="55"/>
      <c r="BD1725" s="55"/>
      <c r="BE1725" s="55"/>
      <c r="BF1725" s="55"/>
      <c r="BG1725" s="55"/>
      <c r="BH1725" s="55"/>
      <c r="BI1725" s="55"/>
      <c r="BJ1725" s="55"/>
      <c r="BK1725" s="55"/>
      <c r="BL1725" s="55"/>
      <c r="BM1725" s="55"/>
      <c r="BN1725" s="55"/>
      <c r="BO1725" s="55"/>
      <c r="BP1725" s="55"/>
      <c r="BQ1725" s="55"/>
      <c r="BR1725" s="55"/>
      <c r="BS1725" s="55"/>
      <c r="BT1725" s="55"/>
    </row>
    <row r="1726" ht="14.25" customHeight="1">
      <c r="B1726" s="5">
        <v>5.0</v>
      </c>
      <c r="C1726" s="5" t="s">
        <v>7688</v>
      </c>
      <c r="D1726" s="5" t="s">
        <v>6133</v>
      </c>
      <c r="E1726" s="5">
        <v>2441.0</v>
      </c>
      <c r="F1726" s="5" t="s">
        <v>6134</v>
      </c>
      <c r="G1726" s="5" t="s">
        <v>6135</v>
      </c>
      <c r="H1726" s="5" t="s">
        <v>6136</v>
      </c>
      <c r="I1726" s="5" t="s">
        <v>1664</v>
      </c>
      <c r="J1726" s="5" t="s">
        <v>6041</v>
      </c>
      <c r="K1726" s="5">
        <v>1.0</v>
      </c>
      <c r="L1726" s="5">
        <v>2844.0</v>
      </c>
      <c r="M1726" s="11">
        <v>-122.7788667</v>
      </c>
      <c r="N1726" s="11">
        <v>56.63683333</v>
      </c>
      <c r="O1726" s="11">
        <v>1480.0</v>
      </c>
      <c r="P1726" s="5" t="s">
        <v>6133</v>
      </c>
      <c r="Q1726" s="72">
        <v>7.0</v>
      </c>
      <c r="R1726" s="11" t="s">
        <v>6134</v>
      </c>
      <c r="S1726" s="11" t="s">
        <v>6009</v>
      </c>
    </row>
    <row r="1727" ht="14.25" customHeight="1">
      <c r="A1727" s="5" t="s">
        <v>88</v>
      </c>
      <c r="B1727" s="5">
        <v>5.0</v>
      </c>
      <c r="C1727" s="5" t="s">
        <v>7688</v>
      </c>
      <c r="D1727" s="5" t="s">
        <v>6137</v>
      </c>
      <c r="E1727" s="5">
        <v>2442.0</v>
      </c>
      <c r="F1727" s="5" t="s">
        <v>6138</v>
      </c>
      <c r="G1727" s="10" t="s">
        <v>6139</v>
      </c>
      <c r="H1727" s="5" t="s">
        <v>6040</v>
      </c>
      <c r="I1727" s="5" t="s">
        <v>1664</v>
      </c>
      <c r="J1727" s="5" t="s">
        <v>6046</v>
      </c>
      <c r="K1727" s="5">
        <v>1.0</v>
      </c>
      <c r="L1727" s="5">
        <v>2845.0</v>
      </c>
      <c r="M1727" s="11">
        <v>-123.529025</v>
      </c>
      <c r="N1727" s="11">
        <v>49.71086667</v>
      </c>
      <c r="O1727" s="11">
        <v>10.0</v>
      </c>
      <c r="P1727" s="5" t="s">
        <v>6137</v>
      </c>
      <c r="Q1727" s="72">
        <v>1.0</v>
      </c>
      <c r="R1727" s="11" t="s">
        <v>6138</v>
      </c>
      <c r="S1727" s="11" t="s">
        <v>6009</v>
      </c>
    </row>
    <row r="1728" ht="14.25" customHeight="1">
      <c r="A1728" s="5" t="s">
        <v>2037</v>
      </c>
      <c r="B1728" s="5">
        <v>5.0</v>
      </c>
      <c r="C1728" s="5" t="s">
        <v>7688</v>
      </c>
      <c r="D1728" s="5" t="s">
        <v>6140</v>
      </c>
      <c r="E1728" s="5">
        <v>2443.0</v>
      </c>
      <c r="F1728" s="10" t="s">
        <v>6141</v>
      </c>
      <c r="G1728" s="5" t="s">
        <v>6142</v>
      </c>
      <c r="H1728" s="5" t="s">
        <v>6143</v>
      </c>
      <c r="I1728" s="5" t="s">
        <v>1664</v>
      </c>
      <c r="J1728" s="5" t="s">
        <v>6046</v>
      </c>
      <c r="K1728" s="5">
        <v>1.0</v>
      </c>
      <c r="L1728" s="5">
        <v>2846.0</v>
      </c>
      <c r="M1728" s="10">
        <v>-123.42028</v>
      </c>
      <c r="N1728" s="10">
        <v>49.78778</v>
      </c>
      <c r="O1728" s="10">
        <v>125.0</v>
      </c>
      <c r="P1728" s="10" t="s">
        <v>6140</v>
      </c>
      <c r="Q1728" s="55"/>
      <c r="R1728" s="10" t="s">
        <v>6144</v>
      </c>
      <c r="S1728" s="55"/>
      <c r="T1728" s="55"/>
      <c r="U1728" s="55"/>
      <c r="V1728" s="55"/>
      <c r="W1728" s="55"/>
      <c r="X1728" s="55"/>
      <c r="Y1728" s="55"/>
      <c r="Z1728" s="55"/>
      <c r="AA1728" s="55"/>
      <c r="AB1728" s="55"/>
      <c r="AC1728" s="55"/>
      <c r="AD1728" s="55"/>
      <c r="AE1728" s="55"/>
      <c r="AF1728" s="55"/>
      <c r="AG1728" s="55"/>
      <c r="AH1728" s="55"/>
      <c r="AI1728" s="55"/>
      <c r="AJ1728" s="55"/>
      <c r="AK1728" s="55"/>
      <c r="AL1728" s="55"/>
      <c r="AM1728" s="55"/>
      <c r="AN1728" s="55"/>
      <c r="AO1728" s="55"/>
      <c r="AP1728" s="55"/>
      <c r="AQ1728" s="55"/>
      <c r="AR1728" s="55"/>
      <c r="AS1728" s="55"/>
      <c r="AT1728" s="55"/>
      <c r="AU1728" s="55"/>
      <c r="AV1728" s="55"/>
      <c r="AW1728" s="55"/>
      <c r="AX1728" s="55"/>
      <c r="AY1728" s="55"/>
      <c r="AZ1728" s="55"/>
      <c r="BA1728" s="55"/>
      <c r="BB1728" s="55"/>
      <c r="BC1728" s="55"/>
      <c r="BD1728" s="55"/>
      <c r="BE1728" s="55"/>
      <c r="BF1728" s="55"/>
      <c r="BG1728" s="55"/>
      <c r="BH1728" s="55"/>
      <c r="BI1728" s="55"/>
      <c r="BJ1728" s="55"/>
      <c r="BK1728" s="55"/>
      <c r="BL1728" s="55"/>
      <c r="BM1728" s="55"/>
      <c r="BN1728" s="55"/>
      <c r="BO1728" s="55"/>
      <c r="BP1728" s="55"/>
      <c r="BQ1728" s="55"/>
      <c r="BR1728" s="55"/>
      <c r="BS1728" s="55"/>
      <c r="BT1728" s="55"/>
    </row>
    <row r="1729" ht="14.25" customHeight="1">
      <c r="B1729" s="5">
        <v>5.0</v>
      </c>
      <c r="C1729" s="5" t="s">
        <v>7688</v>
      </c>
      <c r="D1729" s="5" t="s">
        <v>6145</v>
      </c>
      <c r="E1729" s="5">
        <v>12388.0</v>
      </c>
      <c r="F1729" s="5" t="s">
        <v>6146</v>
      </c>
      <c r="G1729" s="5" t="s">
        <v>6147</v>
      </c>
      <c r="H1729" s="5" t="s">
        <v>6126</v>
      </c>
      <c r="I1729" s="5" t="s">
        <v>641</v>
      </c>
      <c r="J1729" s="5" t="s">
        <v>6087</v>
      </c>
      <c r="K1729" s="5">
        <v>1.0</v>
      </c>
      <c r="L1729" s="5">
        <v>14410.0</v>
      </c>
      <c r="M1729" s="11">
        <v>-117.6108611</v>
      </c>
      <c r="N1729" s="11">
        <v>51.60772222</v>
      </c>
      <c r="O1729" s="11">
        <v>2131.0</v>
      </c>
      <c r="P1729" s="5" t="s">
        <v>6145</v>
      </c>
      <c r="Q1729" s="72">
        <v>7.0</v>
      </c>
      <c r="R1729" s="11" t="s">
        <v>6146</v>
      </c>
      <c r="S1729" s="11" t="s">
        <v>6009</v>
      </c>
    </row>
    <row r="1730" ht="14.25" customHeight="1">
      <c r="A1730" s="5" t="s">
        <v>2037</v>
      </c>
      <c r="B1730" s="5">
        <v>5.0</v>
      </c>
      <c r="C1730" s="5" t="s">
        <v>7688</v>
      </c>
      <c r="D1730" s="5" t="s">
        <v>6148</v>
      </c>
      <c r="E1730" s="5">
        <v>2434.0</v>
      </c>
      <c r="F1730" s="10" t="s">
        <v>6149</v>
      </c>
      <c r="G1730" s="5" t="s">
        <v>6150</v>
      </c>
      <c r="H1730" s="5" t="s">
        <v>6151</v>
      </c>
      <c r="I1730" s="5" t="s">
        <v>1664</v>
      </c>
      <c r="J1730" s="5" t="s">
        <v>6046</v>
      </c>
      <c r="K1730" s="5">
        <v>1.0</v>
      </c>
      <c r="L1730" s="5">
        <v>2837.0</v>
      </c>
      <c r="M1730" s="10">
        <v>117.71639</v>
      </c>
      <c r="N1730" s="10">
        <v>49.177778</v>
      </c>
      <c r="O1730" s="10">
        <v>410.0</v>
      </c>
      <c r="P1730" s="10" t="s">
        <v>6148</v>
      </c>
      <c r="Q1730" s="55"/>
      <c r="R1730" s="10" t="s">
        <v>6152</v>
      </c>
      <c r="S1730" s="55"/>
      <c r="T1730" s="55"/>
      <c r="U1730" s="55"/>
      <c r="V1730" s="55"/>
      <c r="W1730" s="55"/>
      <c r="X1730" s="55"/>
      <c r="Y1730" s="55"/>
      <c r="Z1730" s="55"/>
      <c r="AA1730" s="55"/>
      <c r="AB1730" s="55"/>
      <c r="AC1730" s="55"/>
      <c r="AD1730" s="55"/>
      <c r="AE1730" s="55"/>
      <c r="AF1730" s="55"/>
      <c r="AG1730" s="55"/>
      <c r="AH1730" s="55"/>
      <c r="AI1730" s="55"/>
      <c r="AJ1730" s="55"/>
      <c r="AK1730" s="55"/>
      <c r="AL1730" s="55"/>
      <c r="AM1730" s="55"/>
      <c r="AN1730" s="55"/>
      <c r="AO1730" s="55"/>
      <c r="AP1730" s="55"/>
      <c r="AQ1730" s="55"/>
      <c r="AR1730" s="55"/>
      <c r="AS1730" s="55"/>
      <c r="AT1730" s="55"/>
      <c r="AU1730" s="55"/>
      <c r="AV1730" s="55"/>
      <c r="AW1730" s="55"/>
      <c r="AX1730" s="55"/>
      <c r="AY1730" s="55"/>
      <c r="AZ1730" s="55"/>
      <c r="BA1730" s="55"/>
      <c r="BB1730" s="55"/>
      <c r="BC1730" s="55"/>
      <c r="BD1730" s="55"/>
      <c r="BE1730" s="55"/>
      <c r="BF1730" s="55"/>
      <c r="BG1730" s="55"/>
      <c r="BH1730" s="55"/>
      <c r="BI1730" s="55"/>
      <c r="BJ1730" s="55"/>
      <c r="BK1730" s="55"/>
      <c r="BL1730" s="55"/>
      <c r="BM1730" s="55"/>
      <c r="BN1730" s="55"/>
      <c r="BO1730" s="55"/>
      <c r="BP1730" s="55"/>
      <c r="BQ1730" s="55"/>
      <c r="BR1730" s="55"/>
      <c r="BS1730" s="55"/>
      <c r="BT1730" s="55"/>
    </row>
    <row r="1731" ht="14.25" customHeight="1">
      <c r="B1731" s="5">
        <v>5.0</v>
      </c>
      <c r="C1731" s="5" t="s">
        <v>7688</v>
      </c>
      <c r="D1731" s="5" t="s">
        <v>6153</v>
      </c>
      <c r="E1731" s="5">
        <v>12392.0</v>
      </c>
      <c r="F1731" s="5" t="s">
        <v>6154</v>
      </c>
      <c r="G1731" s="5" t="s">
        <v>6155</v>
      </c>
      <c r="H1731" s="5" t="s">
        <v>6156</v>
      </c>
      <c r="I1731" s="5" t="s">
        <v>641</v>
      </c>
      <c r="J1731" s="5" t="s">
        <v>6021</v>
      </c>
      <c r="K1731" s="5">
        <v>1.0</v>
      </c>
      <c r="L1731" s="5">
        <v>14414.0</v>
      </c>
      <c r="M1731" s="11">
        <v>-117.1810139</v>
      </c>
      <c r="N1731" s="11">
        <v>51.48368056</v>
      </c>
      <c r="O1731" s="11">
        <v>770.0</v>
      </c>
      <c r="P1731" s="5" t="s">
        <v>6153</v>
      </c>
      <c r="Q1731" s="72">
        <v>1.0</v>
      </c>
      <c r="R1731" s="11" t="s">
        <v>6154</v>
      </c>
      <c r="S1731" s="11" t="s">
        <v>6009</v>
      </c>
    </row>
    <row r="1732" ht="14.25" customHeight="1">
      <c r="A1732" s="5" t="s">
        <v>88</v>
      </c>
      <c r="B1732" s="5">
        <v>5.0</v>
      </c>
      <c r="C1732" s="5" t="s">
        <v>7688</v>
      </c>
      <c r="D1732" s="5" t="s">
        <v>6157</v>
      </c>
      <c r="E1732" s="5">
        <v>2446.0</v>
      </c>
      <c r="F1732" s="5" t="s">
        <v>6158</v>
      </c>
      <c r="G1732" s="10" t="s">
        <v>6159</v>
      </c>
      <c r="H1732" s="5" t="s">
        <v>6074</v>
      </c>
      <c r="I1732" s="5" t="s">
        <v>1664</v>
      </c>
      <c r="J1732" s="5" t="s">
        <v>6046</v>
      </c>
      <c r="K1732" s="5">
        <v>1.0</v>
      </c>
      <c r="L1732" s="5">
        <v>2849.0</v>
      </c>
      <c r="M1732" s="11">
        <v>-125.0961111111111</v>
      </c>
      <c r="N1732" s="11">
        <v>49.643655555555554</v>
      </c>
      <c r="O1732" s="11">
        <v>138.0</v>
      </c>
      <c r="P1732" s="5" t="s">
        <v>6157</v>
      </c>
      <c r="Q1732" s="72">
        <v>3.0</v>
      </c>
      <c r="R1732" s="11" t="s">
        <v>6160</v>
      </c>
      <c r="S1732" s="11" t="s">
        <v>6009</v>
      </c>
    </row>
    <row r="1733" ht="14.25" customHeight="1">
      <c r="A1733" s="5" t="s">
        <v>2037</v>
      </c>
      <c r="B1733" s="5">
        <v>5.0</v>
      </c>
      <c r="C1733" s="5" t="s">
        <v>7688</v>
      </c>
      <c r="D1733" s="5" t="s">
        <v>6161</v>
      </c>
      <c r="E1733" s="5">
        <v>2448.0</v>
      </c>
      <c r="F1733" s="10" t="s">
        <v>6162</v>
      </c>
      <c r="G1733" s="5" t="s">
        <v>6163</v>
      </c>
      <c r="H1733" s="5" t="s">
        <v>6164</v>
      </c>
      <c r="I1733" s="5" t="s">
        <v>1664</v>
      </c>
      <c r="J1733" s="5" t="s">
        <v>6046</v>
      </c>
      <c r="K1733" s="5">
        <v>1.0</v>
      </c>
      <c r="L1733" s="5">
        <v>2851.0</v>
      </c>
      <c r="U1733" s="55"/>
      <c r="V1733" s="55"/>
      <c r="W1733" s="55"/>
      <c r="X1733" s="55"/>
      <c r="Y1733" s="55"/>
      <c r="Z1733" s="55"/>
      <c r="AA1733" s="55"/>
      <c r="AB1733" s="55"/>
      <c r="AC1733" s="55"/>
      <c r="AD1733" s="55"/>
      <c r="AE1733" s="55"/>
      <c r="AF1733" s="55"/>
      <c r="AG1733" s="55"/>
      <c r="AH1733" s="55"/>
      <c r="AI1733" s="55"/>
      <c r="AJ1733" s="55"/>
      <c r="AK1733" s="55"/>
      <c r="AL1733" s="55"/>
      <c r="AM1733" s="55"/>
      <c r="AN1733" s="55"/>
      <c r="AO1733" s="55"/>
      <c r="AP1733" s="55"/>
      <c r="AQ1733" s="55"/>
      <c r="AR1733" s="55"/>
      <c r="AS1733" s="55"/>
      <c r="AT1733" s="55"/>
      <c r="AU1733" s="55"/>
      <c r="AV1733" s="55"/>
      <c r="AW1733" s="55"/>
      <c r="AX1733" s="55"/>
      <c r="AY1733" s="55"/>
      <c r="AZ1733" s="55"/>
      <c r="BA1733" s="55"/>
      <c r="BB1733" s="55"/>
      <c r="BC1733" s="55"/>
      <c r="BD1733" s="55"/>
      <c r="BE1733" s="55"/>
      <c r="BF1733" s="55"/>
      <c r="BG1733" s="55"/>
      <c r="BH1733" s="55"/>
      <c r="BI1733" s="55"/>
      <c r="BJ1733" s="55"/>
      <c r="BK1733" s="55"/>
      <c r="BL1733" s="55"/>
      <c r="BM1733" s="55"/>
      <c r="BN1733" s="55"/>
      <c r="BO1733" s="55"/>
      <c r="BP1733" s="55"/>
      <c r="BQ1733" s="55"/>
      <c r="BR1733" s="55"/>
      <c r="BS1733" s="55"/>
      <c r="BT1733" s="55"/>
    </row>
    <row r="1734" ht="14.25" customHeight="1">
      <c r="B1734" s="5">
        <v>5.0</v>
      </c>
      <c r="C1734" s="5" t="s">
        <v>7688</v>
      </c>
      <c r="D1734" s="5" t="s">
        <v>6165</v>
      </c>
      <c r="E1734" s="5">
        <v>13097.0</v>
      </c>
      <c r="F1734" s="5" t="s">
        <v>6166</v>
      </c>
      <c r="G1734" s="5" t="s">
        <v>6167</v>
      </c>
      <c r="H1734" s="5" t="s">
        <v>6014</v>
      </c>
      <c r="I1734" s="5" t="s">
        <v>49</v>
      </c>
      <c r="J1734" s="5" t="s">
        <v>6168</v>
      </c>
      <c r="K1734" s="5">
        <v>1.0</v>
      </c>
      <c r="L1734" s="5">
        <v>15019.0</v>
      </c>
      <c r="M1734" s="11">
        <v>-116.93975</v>
      </c>
      <c r="N1734" s="11">
        <v>50.812033</v>
      </c>
      <c r="O1734" s="11">
        <v>2599.0</v>
      </c>
      <c r="P1734" s="5" t="s">
        <v>6165</v>
      </c>
      <c r="Q1734" s="72">
        <v>8.0</v>
      </c>
      <c r="R1734" s="11" t="s">
        <v>6166</v>
      </c>
      <c r="S1734" s="11" t="s">
        <v>6009</v>
      </c>
    </row>
    <row r="1735" ht="14.25" customHeight="1">
      <c r="B1735" s="5">
        <v>5.0</v>
      </c>
      <c r="C1735" s="5" t="s">
        <v>7688</v>
      </c>
      <c r="D1735" s="5" t="s">
        <v>6169</v>
      </c>
      <c r="E1735" s="5">
        <v>13113.0</v>
      </c>
      <c r="F1735" s="5" t="s">
        <v>6170</v>
      </c>
      <c r="G1735" s="5" t="s">
        <v>6171</v>
      </c>
      <c r="H1735" s="5" t="s">
        <v>6172</v>
      </c>
      <c r="I1735" s="5" t="s">
        <v>49</v>
      </c>
      <c r="J1735" s="5" t="s">
        <v>6021</v>
      </c>
      <c r="K1735" s="5">
        <v>1.0</v>
      </c>
      <c r="L1735" s="5">
        <v>15035.0</v>
      </c>
      <c r="M1735" s="11">
        <v>-122.774737</v>
      </c>
      <c r="N1735" s="11">
        <v>49.35415</v>
      </c>
      <c r="O1735" s="11">
        <v>152.0</v>
      </c>
      <c r="P1735" s="5" t="s">
        <v>6169</v>
      </c>
      <c r="Q1735" s="72">
        <v>2.0</v>
      </c>
      <c r="R1735" s="11" t="s">
        <v>6170</v>
      </c>
      <c r="S1735" s="11" t="s">
        <v>6009</v>
      </c>
    </row>
    <row r="1736" ht="14.25" customHeight="1">
      <c r="A1736" s="5" t="s">
        <v>2037</v>
      </c>
      <c r="B1736" s="5">
        <v>5.0</v>
      </c>
      <c r="C1736" s="5" t="s">
        <v>7688</v>
      </c>
      <c r="D1736" s="5" t="s">
        <v>6173</v>
      </c>
      <c r="E1736" s="5">
        <v>2447.0</v>
      </c>
      <c r="F1736" s="10" t="s">
        <v>6174</v>
      </c>
      <c r="G1736" s="5" t="s">
        <v>6175</v>
      </c>
      <c r="H1736" s="5" t="s">
        <v>6176</v>
      </c>
      <c r="I1736" s="5" t="s">
        <v>1664</v>
      </c>
      <c r="J1736" s="5" t="s">
        <v>6051</v>
      </c>
      <c r="K1736" s="5">
        <v>1.0</v>
      </c>
      <c r="L1736" s="5">
        <v>2850.0</v>
      </c>
      <c r="M1736" s="10">
        <v>122.779625</v>
      </c>
      <c r="N1736" s="10">
        <v>49.3558611</v>
      </c>
      <c r="O1736" s="10">
        <v>160.0</v>
      </c>
      <c r="P1736" s="10" t="s">
        <v>6173</v>
      </c>
      <c r="Q1736" s="55"/>
      <c r="R1736" s="10" t="str">
        <f t="shared" ref="R1736:R1737" si="15">F1736</f>
        <v>Coquitlam Lake forebay</v>
      </c>
      <c r="S1736" s="55"/>
      <c r="T1736" s="55"/>
      <c r="U1736" s="55"/>
      <c r="V1736" s="55"/>
      <c r="W1736" s="55"/>
      <c r="X1736" s="55"/>
      <c r="Y1736" s="55"/>
      <c r="Z1736" s="55"/>
      <c r="AA1736" s="55"/>
      <c r="AB1736" s="55"/>
      <c r="AC1736" s="55"/>
      <c r="AD1736" s="55"/>
      <c r="AE1736" s="55"/>
      <c r="AF1736" s="55"/>
      <c r="AG1736" s="55"/>
      <c r="AH1736" s="55"/>
      <c r="AI1736" s="55"/>
      <c r="AJ1736" s="55"/>
      <c r="AK1736" s="55"/>
      <c r="AL1736" s="55"/>
      <c r="AM1736" s="55"/>
      <c r="AN1736" s="55"/>
      <c r="AO1736" s="55"/>
      <c r="AP1736" s="55"/>
      <c r="AQ1736" s="55"/>
      <c r="AR1736" s="55"/>
      <c r="AS1736" s="55"/>
      <c r="AT1736" s="55"/>
      <c r="AU1736" s="55"/>
      <c r="AV1736" s="55"/>
      <c r="AW1736" s="55"/>
      <c r="AX1736" s="55"/>
      <c r="AY1736" s="55"/>
      <c r="AZ1736" s="55"/>
      <c r="BA1736" s="55"/>
      <c r="BB1736" s="55"/>
      <c r="BC1736" s="55"/>
      <c r="BD1736" s="55"/>
      <c r="BE1736" s="55"/>
      <c r="BF1736" s="55"/>
      <c r="BG1736" s="55"/>
      <c r="BH1736" s="55"/>
      <c r="BI1736" s="55"/>
      <c r="BJ1736" s="55"/>
      <c r="BK1736" s="55"/>
      <c r="BL1736" s="55"/>
      <c r="BM1736" s="55"/>
      <c r="BN1736" s="55"/>
      <c r="BO1736" s="55"/>
      <c r="BP1736" s="55"/>
      <c r="BQ1736" s="55"/>
      <c r="BR1736" s="55"/>
      <c r="BS1736" s="55"/>
      <c r="BT1736" s="55"/>
    </row>
    <row r="1737" ht="14.25" customHeight="1">
      <c r="A1737" s="5" t="s">
        <v>2037</v>
      </c>
      <c r="B1737" s="5">
        <v>5.0</v>
      </c>
      <c r="C1737" s="5" t="s">
        <v>7688</v>
      </c>
      <c r="D1737" s="5" t="s">
        <v>6177</v>
      </c>
      <c r="E1737" s="5">
        <v>2449.0</v>
      </c>
      <c r="F1737" s="10" t="s">
        <v>6178</v>
      </c>
      <c r="G1737" s="5" t="s">
        <v>6179</v>
      </c>
      <c r="H1737" s="5" t="s">
        <v>6176</v>
      </c>
      <c r="I1737" s="5" t="s">
        <v>1664</v>
      </c>
      <c r="J1737" s="5" t="s">
        <v>6046</v>
      </c>
      <c r="K1737" s="5">
        <v>1.0</v>
      </c>
      <c r="L1737" s="5">
        <v>2852.0</v>
      </c>
      <c r="M1737" s="10">
        <v>122.79249</v>
      </c>
      <c r="N1737" s="10">
        <v>49.28829</v>
      </c>
      <c r="O1737" s="10">
        <v>290.0</v>
      </c>
      <c r="P1737" s="10" t="s">
        <v>6180</v>
      </c>
      <c r="Q1737" s="55"/>
      <c r="R1737" s="10" t="str">
        <f t="shared" si="15"/>
        <v>Coquitlam R. ab Lake -&gt; Coquitlam River above Lake</v>
      </c>
      <c r="S1737" s="55"/>
      <c r="T1737" s="55"/>
      <c r="U1737" s="55"/>
      <c r="V1737" s="55"/>
      <c r="W1737" s="55"/>
      <c r="X1737" s="55"/>
      <c r="Y1737" s="55"/>
      <c r="Z1737" s="55"/>
      <c r="AA1737" s="55"/>
      <c r="AB1737" s="55"/>
      <c r="AC1737" s="55"/>
      <c r="AD1737" s="55"/>
      <c r="AE1737" s="55"/>
      <c r="AF1737" s="55"/>
      <c r="AG1737" s="55"/>
      <c r="AH1737" s="55"/>
      <c r="AI1737" s="55"/>
      <c r="AJ1737" s="55"/>
      <c r="AK1737" s="55"/>
      <c r="AL1737" s="55"/>
      <c r="AM1737" s="55"/>
      <c r="AN1737" s="55"/>
      <c r="AO1737" s="55"/>
      <c r="AP1737" s="55"/>
      <c r="AQ1737" s="55"/>
      <c r="AR1737" s="55"/>
      <c r="AS1737" s="55"/>
      <c r="AT1737" s="55"/>
      <c r="AU1737" s="55"/>
      <c r="AV1737" s="55"/>
      <c r="AW1737" s="55"/>
      <c r="AX1737" s="55"/>
      <c r="AY1737" s="55"/>
      <c r="AZ1737" s="55"/>
      <c r="BA1737" s="55"/>
      <c r="BB1737" s="55"/>
      <c r="BC1737" s="55"/>
      <c r="BD1737" s="55"/>
      <c r="BE1737" s="55"/>
      <c r="BF1737" s="55"/>
      <c r="BG1737" s="55"/>
      <c r="BH1737" s="55"/>
      <c r="BI1737" s="55"/>
      <c r="BJ1737" s="55"/>
      <c r="BK1737" s="55"/>
      <c r="BL1737" s="55"/>
      <c r="BM1737" s="55"/>
      <c r="BN1737" s="55"/>
      <c r="BO1737" s="55"/>
      <c r="BP1737" s="55"/>
      <c r="BQ1737" s="55"/>
      <c r="BR1737" s="55"/>
      <c r="BS1737" s="55"/>
      <c r="BT1737" s="55"/>
    </row>
    <row r="1738" ht="14.25" customHeight="1">
      <c r="B1738" s="5">
        <v>5.0</v>
      </c>
      <c r="C1738" s="5" t="s">
        <v>7688</v>
      </c>
      <c r="D1738" s="5" t="s">
        <v>6180</v>
      </c>
      <c r="E1738" s="5">
        <v>13125.0</v>
      </c>
      <c r="F1738" s="5" t="s">
        <v>6181</v>
      </c>
      <c r="G1738" s="5" t="s">
        <v>6182</v>
      </c>
      <c r="H1738" s="5" t="s">
        <v>6172</v>
      </c>
      <c r="I1738" s="5" t="s">
        <v>49</v>
      </c>
      <c r="J1738" s="5" t="s">
        <v>6021</v>
      </c>
      <c r="K1738" s="5">
        <v>1.0</v>
      </c>
      <c r="L1738" s="5">
        <v>15047.0</v>
      </c>
      <c r="M1738" s="11">
        <v>-122.793048</v>
      </c>
      <c r="N1738" s="11">
        <v>49.487775</v>
      </c>
      <c r="O1738" s="11">
        <v>290.0</v>
      </c>
      <c r="P1738" s="5" t="s">
        <v>6180</v>
      </c>
      <c r="Q1738" s="72">
        <v>2.0</v>
      </c>
      <c r="R1738" s="11" t="s">
        <v>6181</v>
      </c>
      <c r="S1738" s="11" t="s">
        <v>6009</v>
      </c>
    </row>
    <row r="1739" ht="14.25" customHeight="1">
      <c r="A1739" s="5" t="s">
        <v>2037</v>
      </c>
      <c r="B1739" s="5">
        <v>5.0</v>
      </c>
      <c r="C1739" s="5" t="s">
        <v>7688</v>
      </c>
      <c r="D1739" s="5" t="s">
        <v>6183</v>
      </c>
      <c r="E1739" s="5">
        <v>2451.0</v>
      </c>
      <c r="F1739" s="10" t="s">
        <v>6184</v>
      </c>
      <c r="G1739" s="5" t="s">
        <v>6185</v>
      </c>
      <c r="H1739" s="5" t="s">
        <v>6186</v>
      </c>
      <c r="I1739" s="5" t="s">
        <v>1664</v>
      </c>
      <c r="J1739" s="5" t="s">
        <v>6187</v>
      </c>
      <c r="K1739" s="5">
        <v>1.0</v>
      </c>
      <c r="L1739" s="5">
        <v>2854.0</v>
      </c>
      <c r="T1739" s="55"/>
      <c r="U1739" s="55"/>
      <c r="V1739" s="55"/>
      <c r="W1739" s="55"/>
      <c r="X1739" s="55"/>
      <c r="Y1739" s="55"/>
      <c r="Z1739" s="55"/>
      <c r="AA1739" s="55"/>
      <c r="AB1739" s="55"/>
      <c r="AC1739" s="55"/>
      <c r="AD1739" s="55"/>
      <c r="AE1739" s="55"/>
      <c r="AF1739" s="55"/>
      <c r="AG1739" s="55"/>
      <c r="AH1739" s="55"/>
      <c r="AI1739" s="55"/>
      <c r="AJ1739" s="55"/>
      <c r="AK1739" s="55"/>
      <c r="AL1739" s="55"/>
      <c r="AM1739" s="55"/>
      <c r="AN1739" s="55"/>
      <c r="AO1739" s="55"/>
      <c r="AP1739" s="55"/>
      <c r="AQ1739" s="55"/>
      <c r="AR1739" s="55"/>
      <c r="AS1739" s="55"/>
      <c r="AT1739" s="55"/>
      <c r="AU1739" s="55"/>
      <c r="AV1739" s="55"/>
      <c r="AW1739" s="55"/>
      <c r="AX1739" s="55"/>
      <c r="AY1739" s="55"/>
      <c r="AZ1739" s="55"/>
      <c r="BA1739" s="55"/>
      <c r="BB1739" s="55"/>
      <c r="BC1739" s="55"/>
      <c r="BD1739" s="55"/>
      <c r="BE1739" s="55"/>
      <c r="BF1739" s="55"/>
      <c r="BG1739" s="55"/>
      <c r="BH1739" s="55"/>
      <c r="BI1739" s="55"/>
      <c r="BJ1739" s="55"/>
      <c r="BK1739" s="55"/>
      <c r="BL1739" s="55"/>
      <c r="BM1739" s="55"/>
      <c r="BN1739" s="55"/>
      <c r="BO1739" s="55"/>
      <c r="BP1739" s="55"/>
      <c r="BQ1739" s="55"/>
      <c r="BR1739" s="55"/>
      <c r="BS1739" s="55"/>
      <c r="BT1739" s="55"/>
    </row>
    <row r="1740" ht="14.25" customHeight="1">
      <c r="A1740" s="5" t="s">
        <v>2037</v>
      </c>
      <c r="B1740" s="5">
        <v>5.0</v>
      </c>
      <c r="C1740" s="5" t="s">
        <v>7688</v>
      </c>
      <c r="D1740" s="5" t="s">
        <v>6188</v>
      </c>
      <c r="E1740" s="5">
        <v>2450.0</v>
      </c>
      <c r="F1740" s="10" t="s">
        <v>6189</v>
      </c>
      <c r="G1740" s="5" t="s">
        <v>6190</v>
      </c>
      <c r="H1740" s="5" t="s">
        <v>6191</v>
      </c>
      <c r="I1740" s="5" t="s">
        <v>1664</v>
      </c>
      <c r="J1740" s="5" t="s">
        <v>6046</v>
      </c>
      <c r="K1740" s="5">
        <v>1.0</v>
      </c>
      <c r="L1740" s="5">
        <v>2853.0</v>
      </c>
      <c r="M1740" s="10">
        <v>125.20083</v>
      </c>
      <c r="N1740" s="10">
        <v>49.57917</v>
      </c>
      <c r="O1740" s="10">
        <v>150.0</v>
      </c>
      <c r="P1740" s="10" t="s">
        <v>6188</v>
      </c>
      <c r="Q1740" s="55"/>
      <c r="R1740" s="10" t="str">
        <f>F1740</f>
        <v>Cruickshank R. nr the Mouth -&gt; Cruickshank River near the Mouth</v>
      </c>
      <c r="S1740" s="55"/>
      <c r="T1740" s="55"/>
      <c r="U1740" s="55"/>
      <c r="V1740" s="55"/>
      <c r="W1740" s="55"/>
      <c r="X1740" s="55"/>
      <c r="Y1740" s="55"/>
      <c r="Z1740" s="55"/>
      <c r="AA1740" s="55"/>
      <c r="AB1740" s="55"/>
      <c r="AC1740" s="55"/>
      <c r="AD1740" s="55"/>
      <c r="AE1740" s="55"/>
      <c r="AF1740" s="55"/>
      <c r="AG1740" s="55"/>
      <c r="AH1740" s="55"/>
      <c r="AI1740" s="55"/>
      <c r="AJ1740" s="55"/>
      <c r="AK1740" s="55"/>
      <c r="AL1740" s="55"/>
      <c r="AM1740" s="55"/>
      <c r="AN1740" s="55"/>
      <c r="AO1740" s="55"/>
      <c r="AP1740" s="55"/>
      <c r="AQ1740" s="55"/>
      <c r="AR1740" s="55"/>
      <c r="AS1740" s="55"/>
      <c r="AT1740" s="55"/>
      <c r="AU1740" s="55"/>
      <c r="AV1740" s="55"/>
      <c r="AW1740" s="55"/>
      <c r="AX1740" s="55"/>
      <c r="AY1740" s="55"/>
      <c r="AZ1740" s="55"/>
      <c r="BA1740" s="55"/>
      <c r="BB1740" s="55"/>
      <c r="BC1740" s="55"/>
      <c r="BD1740" s="55"/>
      <c r="BE1740" s="55"/>
      <c r="BF1740" s="55"/>
      <c r="BG1740" s="55"/>
      <c r="BH1740" s="55"/>
      <c r="BI1740" s="55"/>
      <c r="BJ1740" s="55"/>
      <c r="BK1740" s="55"/>
      <c r="BL1740" s="55"/>
      <c r="BM1740" s="55"/>
      <c r="BN1740" s="55"/>
      <c r="BO1740" s="55"/>
      <c r="BP1740" s="55"/>
      <c r="BQ1740" s="55"/>
      <c r="BR1740" s="55"/>
      <c r="BS1740" s="55"/>
      <c r="BT1740" s="55"/>
    </row>
    <row r="1741" ht="14.25" customHeight="1">
      <c r="B1741" s="5">
        <v>5.0</v>
      </c>
      <c r="C1741" s="5" t="s">
        <v>7688</v>
      </c>
      <c r="D1741" s="5" t="s">
        <v>6192</v>
      </c>
      <c r="E1741" s="5">
        <v>13211.0</v>
      </c>
      <c r="F1741" s="5" t="s">
        <v>6193</v>
      </c>
      <c r="G1741" s="5" t="s">
        <v>6194</v>
      </c>
      <c r="H1741" s="5" t="s">
        <v>6086</v>
      </c>
      <c r="I1741" s="5" t="s">
        <v>49</v>
      </c>
      <c r="J1741" s="5" t="s">
        <v>6021</v>
      </c>
      <c r="K1741" s="5">
        <v>1.0</v>
      </c>
      <c r="L1741" s="5">
        <v>15127.0</v>
      </c>
      <c r="M1741" s="11">
        <v>-125.2089</v>
      </c>
      <c r="N1741" s="11">
        <v>49.57840277777778</v>
      </c>
      <c r="O1741" s="11">
        <v>150.0</v>
      </c>
      <c r="P1741" s="5" t="s">
        <v>6192</v>
      </c>
      <c r="Q1741" s="72">
        <v>3.0</v>
      </c>
      <c r="R1741" s="11" t="s">
        <v>6193</v>
      </c>
      <c r="S1741" s="11" t="s">
        <v>6009</v>
      </c>
    </row>
    <row r="1742" ht="14.25" customHeight="1">
      <c r="B1742" s="5">
        <v>5.0</v>
      </c>
      <c r="C1742" s="5" t="s">
        <v>7688</v>
      </c>
      <c r="D1742" s="5" t="s">
        <v>6195</v>
      </c>
      <c r="E1742" s="5">
        <v>12389.0</v>
      </c>
      <c r="F1742" s="5" t="s">
        <v>6196</v>
      </c>
      <c r="G1742" s="5" t="s">
        <v>6197</v>
      </c>
      <c r="H1742" s="5" t="s">
        <v>6126</v>
      </c>
      <c r="I1742" s="5" t="s">
        <v>641</v>
      </c>
      <c r="J1742" s="5" t="s">
        <v>6087</v>
      </c>
      <c r="K1742" s="5">
        <v>1.0</v>
      </c>
      <c r="L1742" s="5">
        <v>14411.0</v>
      </c>
      <c r="M1742" s="11">
        <v>-122.8928333</v>
      </c>
      <c r="N1742" s="11">
        <v>56.38586111</v>
      </c>
      <c r="O1742" s="11">
        <v>1358.0</v>
      </c>
      <c r="P1742" s="5" t="s">
        <v>6195</v>
      </c>
      <c r="Q1742" s="72">
        <v>6.0</v>
      </c>
      <c r="R1742" s="11" t="s">
        <v>6196</v>
      </c>
      <c r="S1742" s="11" t="s">
        <v>6009</v>
      </c>
    </row>
    <row r="1743" ht="14.25" customHeight="1">
      <c r="B1743" s="5">
        <v>5.0</v>
      </c>
      <c r="C1743" s="5" t="s">
        <v>7688</v>
      </c>
      <c r="D1743" s="5" t="s">
        <v>6198</v>
      </c>
      <c r="E1743" s="5">
        <v>12390.0</v>
      </c>
      <c r="F1743" s="5" t="s">
        <v>6199</v>
      </c>
      <c r="G1743" s="5" t="s">
        <v>6200</v>
      </c>
      <c r="H1743" s="5" t="s">
        <v>6201</v>
      </c>
      <c r="I1743" s="5" t="s">
        <v>641</v>
      </c>
      <c r="J1743" s="5" t="s">
        <v>6021</v>
      </c>
      <c r="K1743" s="5">
        <v>1.0</v>
      </c>
      <c r="L1743" s="5">
        <v>14412.0</v>
      </c>
      <c r="M1743" s="11">
        <v>-123.1347222</v>
      </c>
      <c r="N1743" s="11">
        <v>49.975</v>
      </c>
      <c r="O1743" s="11">
        <v>390.0</v>
      </c>
      <c r="P1743" s="5" t="s">
        <v>6198</v>
      </c>
      <c r="Q1743" s="72">
        <v>3.0</v>
      </c>
      <c r="R1743" s="11" t="s">
        <v>6199</v>
      </c>
      <c r="S1743" s="11" t="s">
        <v>6009</v>
      </c>
    </row>
    <row r="1744" ht="14.25" customHeight="1">
      <c r="B1744" s="5">
        <v>5.0</v>
      </c>
      <c r="C1744" s="5" t="s">
        <v>7688</v>
      </c>
      <c r="D1744" s="5" t="s">
        <v>6202</v>
      </c>
      <c r="E1744" s="5">
        <v>2444.0</v>
      </c>
      <c r="F1744" s="10" t="s">
        <v>6203</v>
      </c>
      <c r="G1744" s="5" t="s">
        <v>6204</v>
      </c>
      <c r="H1744" s="5" t="s">
        <v>6205</v>
      </c>
      <c r="I1744" s="5" t="s">
        <v>1664</v>
      </c>
      <c r="J1744" s="5" t="s">
        <v>6187</v>
      </c>
      <c r="K1744" s="5">
        <v>1.0</v>
      </c>
      <c r="L1744" s="5">
        <v>2847.0</v>
      </c>
      <c r="U1744" s="55"/>
      <c r="V1744" s="55"/>
      <c r="W1744" s="55"/>
      <c r="X1744" s="55"/>
      <c r="Y1744" s="55"/>
      <c r="Z1744" s="55"/>
      <c r="AA1744" s="55"/>
      <c r="AB1744" s="55"/>
      <c r="AC1744" s="55"/>
      <c r="AD1744" s="55"/>
      <c r="AE1744" s="55"/>
      <c r="AF1744" s="55"/>
      <c r="AG1744" s="55"/>
      <c r="AH1744" s="55"/>
      <c r="AI1744" s="55"/>
      <c r="AJ1744" s="55"/>
      <c r="AK1744" s="55"/>
      <c r="AL1744" s="55"/>
      <c r="AM1744" s="55"/>
      <c r="AN1744" s="55"/>
      <c r="AO1744" s="55"/>
      <c r="AP1744" s="55"/>
      <c r="AQ1744" s="55"/>
      <c r="AR1744" s="55"/>
      <c r="AS1744" s="55"/>
      <c r="AT1744" s="55"/>
      <c r="AU1744" s="55"/>
      <c r="AV1744" s="55"/>
      <c r="AW1744" s="55"/>
      <c r="AX1744" s="55"/>
      <c r="AY1744" s="55"/>
      <c r="AZ1744" s="55"/>
      <c r="BA1744" s="55"/>
      <c r="BB1744" s="55"/>
      <c r="BC1744" s="55"/>
      <c r="BD1744" s="55"/>
      <c r="BE1744" s="55"/>
      <c r="BF1744" s="55"/>
      <c r="BG1744" s="55"/>
      <c r="BH1744" s="55"/>
      <c r="BI1744" s="55"/>
      <c r="BJ1744" s="55"/>
      <c r="BK1744" s="55"/>
      <c r="BL1744" s="55"/>
      <c r="BM1744" s="55"/>
      <c r="BN1744" s="55"/>
      <c r="BO1744" s="55"/>
      <c r="BP1744" s="55"/>
      <c r="BQ1744" s="55"/>
      <c r="BR1744" s="55"/>
      <c r="BS1744" s="55"/>
      <c r="BT1744" s="55"/>
    </row>
    <row r="1745" ht="14.25" customHeight="1">
      <c r="B1745" s="5">
        <v>5.0</v>
      </c>
      <c r="C1745" s="5" t="s">
        <v>7688</v>
      </c>
      <c r="D1745" s="5" t="s">
        <v>6206</v>
      </c>
      <c r="E1745" s="5">
        <v>13212.0</v>
      </c>
      <c r="F1745" s="5" t="s">
        <v>6207</v>
      </c>
      <c r="G1745" s="5" t="s">
        <v>6208</v>
      </c>
      <c r="H1745" s="5" t="s">
        <v>6209</v>
      </c>
      <c r="I1745" s="5" t="s">
        <v>49</v>
      </c>
      <c r="J1745" s="5" t="s">
        <v>6087</v>
      </c>
      <c r="K1745" s="5">
        <v>1.0</v>
      </c>
      <c r="L1745" s="5">
        <v>15128.0</v>
      </c>
      <c r="M1745" s="5">
        <v>-122.069649528712</v>
      </c>
      <c r="N1745" s="5">
        <v>49.3167043570429</v>
      </c>
      <c r="O1745" s="5">
        <v>1154.90087890625</v>
      </c>
      <c r="P1745" s="5" t="s">
        <v>6206</v>
      </c>
      <c r="Q1745" s="5">
        <v>6.0</v>
      </c>
      <c r="R1745" s="5" t="s">
        <v>6207</v>
      </c>
      <c r="S1745" s="5" t="s">
        <v>6009</v>
      </c>
    </row>
    <row r="1746" ht="14.25" customHeight="1">
      <c r="B1746" s="5">
        <v>5.0</v>
      </c>
      <c r="C1746" s="5" t="s">
        <v>7688</v>
      </c>
      <c r="D1746" s="5" t="s">
        <v>6210</v>
      </c>
      <c r="E1746" s="5">
        <v>12394.0</v>
      </c>
      <c r="F1746" s="5" t="s">
        <v>6211</v>
      </c>
      <c r="G1746" s="5" t="s">
        <v>6212</v>
      </c>
      <c r="H1746" s="5" t="s">
        <v>6126</v>
      </c>
      <c r="I1746" s="5" t="s">
        <v>641</v>
      </c>
      <c r="J1746" s="5" t="s">
        <v>6127</v>
      </c>
      <c r="K1746" s="5">
        <v>1.0</v>
      </c>
      <c r="L1746" s="5">
        <v>14416.0</v>
      </c>
      <c r="M1746" s="5">
        <v>-122.43625</v>
      </c>
      <c r="N1746" s="5">
        <v>55.82508333</v>
      </c>
      <c r="O1746" s="5">
        <v>1456.0</v>
      </c>
      <c r="P1746" s="5" t="s">
        <v>6210</v>
      </c>
      <c r="Q1746" s="5">
        <v>7.0</v>
      </c>
      <c r="R1746" s="5" t="s">
        <v>6211</v>
      </c>
      <c r="S1746" s="5" t="s">
        <v>6009</v>
      </c>
    </row>
    <row r="1747" ht="14.25" customHeight="1">
      <c r="B1747" s="5">
        <v>5.0</v>
      </c>
      <c r="C1747" s="5" t="s">
        <v>7688</v>
      </c>
      <c r="D1747" s="5" t="s">
        <v>6213</v>
      </c>
      <c r="E1747" s="5">
        <v>12391.0</v>
      </c>
      <c r="F1747" s="5" t="s">
        <v>6214</v>
      </c>
      <c r="G1747" s="5" t="s">
        <v>6215</v>
      </c>
      <c r="H1747" s="5" t="s">
        <v>6216</v>
      </c>
      <c r="I1747" s="5" t="s">
        <v>641</v>
      </c>
      <c r="J1747" s="5" t="s">
        <v>6127</v>
      </c>
      <c r="K1747" s="5">
        <v>1.0</v>
      </c>
      <c r="L1747" s="5">
        <v>14413.0</v>
      </c>
      <c r="M1747" s="5">
        <v>-123.1835</v>
      </c>
      <c r="N1747" s="5">
        <v>50.85933333</v>
      </c>
      <c r="O1747" s="5">
        <v>1829.0</v>
      </c>
      <c r="P1747" s="5" t="s">
        <v>6213</v>
      </c>
      <c r="Q1747" s="5">
        <v>8.0</v>
      </c>
      <c r="R1747" s="5" t="s">
        <v>6214</v>
      </c>
      <c r="S1747" s="5" t="s">
        <v>6009</v>
      </c>
    </row>
    <row r="1748" ht="14.25" customHeight="1">
      <c r="A1748" s="5" t="s">
        <v>88</v>
      </c>
      <c r="B1748" s="5">
        <v>5.0</v>
      </c>
      <c r="C1748" s="5" t="s">
        <v>7688</v>
      </c>
      <c r="D1748" s="5" t="s">
        <v>6217</v>
      </c>
      <c r="E1748" s="5">
        <v>13213.0</v>
      </c>
      <c r="F1748" s="5" t="s">
        <v>6218</v>
      </c>
      <c r="G1748" s="10" t="s">
        <v>6219</v>
      </c>
      <c r="H1748" s="5" t="s">
        <v>6014</v>
      </c>
      <c r="I1748" s="5" t="s">
        <v>49</v>
      </c>
      <c r="J1748" s="5" t="s">
        <v>6087</v>
      </c>
      <c r="K1748" s="5">
        <v>1.0</v>
      </c>
      <c r="L1748" s="5">
        <v>15129.0</v>
      </c>
      <c r="M1748" s="11">
        <v>-116.971343</v>
      </c>
      <c r="N1748" s="11">
        <v>50.238723</v>
      </c>
      <c r="O1748" s="11">
        <v>559.0</v>
      </c>
      <c r="P1748" s="5" t="s">
        <v>6217</v>
      </c>
      <c r="Q1748" s="72">
        <v>1.0</v>
      </c>
      <c r="R1748" s="11" t="s">
        <v>6218</v>
      </c>
      <c r="S1748" s="11" t="s">
        <v>6009</v>
      </c>
    </row>
    <row r="1749" ht="14.25" customHeight="1">
      <c r="A1749" s="5" t="s">
        <v>6220</v>
      </c>
      <c r="B1749" s="5">
        <v>5.0</v>
      </c>
      <c r="C1749" s="5" t="s">
        <v>7688</v>
      </c>
      <c r="D1749" s="28" t="s">
        <v>6221</v>
      </c>
      <c r="E1749" s="5">
        <v>2452.0</v>
      </c>
      <c r="F1749" s="10" t="s">
        <v>6222</v>
      </c>
      <c r="G1749" s="5" t="s">
        <v>6223</v>
      </c>
      <c r="H1749" s="5" t="s">
        <v>6224</v>
      </c>
      <c r="I1749" s="5" t="s">
        <v>1664</v>
      </c>
      <c r="J1749" s="5" t="s">
        <v>6046</v>
      </c>
      <c r="K1749" s="5">
        <v>1.0</v>
      </c>
      <c r="L1749" s="5">
        <v>2855.0</v>
      </c>
      <c r="M1749" s="11">
        <v>-117.04842222222221</v>
      </c>
      <c r="N1749" s="11">
        <v>50.638172222222224</v>
      </c>
      <c r="O1749" s="11">
        <v>590.0</v>
      </c>
      <c r="P1749" s="93" t="s">
        <v>6225</v>
      </c>
      <c r="Q1749" s="72">
        <v>1.0</v>
      </c>
      <c r="R1749" s="11" t="s">
        <v>6226</v>
      </c>
      <c r="S1749" s="11" t="s">
        <v>6009</v>
      </c>
    </row>
    <row r="1750" ht="14.25" customHeight="1">
      <c r="A1750" s="5" t="s">
        <v>2037</v>
      </c>
      <c r="B1750" s="5">
        <v>5.0</v>
      </c>
      <c r="C1750" s="5" t="s">
        <v>7688</v>
      </c>
      <c r="D1750" s="5" t="s">
        <v>6227</v>
      </c>
      <c r="E1750" s="5">
        <v>2453.0</v>
      </c>
      <c r="F1750" s="10" t="s">
        <v>6228</v>
      </c>
      <c r="G1750" s="5" t="s">
        <v>6229</v>
      </c>
      <c r="H1750" s="5" t="s">
        <v>6230</v>
      </c>
      <c r="I1750" s="5" t="s">
        <v>1664</v>
      </c>
      <c r="J1750" s="5" t="s">
        <v>6046</v>
      </c>
      <c r="K1750" s="5">
        <v>1.0</v>
      </c>
      <c r="L1750" s="5">
        <v>2856.0</v>
      </c>
      <c r="M1750" s="10">
        <v>-116.94833</v>
      </c>
      <c r="N1750" s="10">
        <v>50.255</v>
      </c>
      <c r="O1750" s="10">
        <v>580.0</v>
      </c>
      <c r="P1750" s="10" t="s">
        <v>6227</v>
      </c>
      <c r="Q1750" s="55"/>
      <c r="R1750" s="10" t="str">
        <f>F1750</f>
        <v>Duncan Res. @ Duncan Dam</v>
      </c>
      <c r="S1750" s="55"/>
      <c r="T1750" s="55"/>
      <c r="U1750" s="55"/>
      <c r="V1750" s="55"/>
      <c r="W1750" s="55"/>
      <c r="X1750" s="55"/>
      <c r="Y1750" s="55"/>
      <c r="Z1750" s="55"/>
      <c r="AA1750" s="55"/>
      <c r="AB1750" s="55"/>
      <c r="AC1750" s="55"/>
      <c r="AD1750" s="55"/>
      <c r="AE1750" s="55"/>
      <c r="AF1750" s="55"/>
      <c r="AG1750" s="55"/>
      <c r="AH1750" s="55"/>
      <c r="AI1750" s="55"/>
      <c r="AJ1750" s="55"/>
      <c r="AK1750" s="55"/>
      <c r="AL1750" s="55"/>
      <c r="AM1750" s="55"/>
      <c r="AN1750" s="55"/>
      <c r="AO1750" s="55"/>
      <c r="AP1750" s="55"/>
      <c r="AQ1750" s="55"/>
      <c r="AR1750" s="55"/>
      <c r="AS1750" s="55"/>
      <c r="AT1750" s="55"/>
      <c r="AU1750" s="55"/>
      <c r="AV1750" s="55"/>
      <c r="AW1750" s="55"/>
      <c r="AX1750" s="55"/>
      <c r="AY1750" s="55"/>
      <c r="AZ1750" s="55"/>
      <c r="BA1750" s="55"/>
      <c r="BB1750" s="55"/>
      <c r="BC1750" s="55"/>
      <c r="BD1750" s="55"/>
      <c r="BE1750" s="55"/>
      <c r="BF1750" s="55"/>
      <c r="BG1750" s="55"/>
      <c r="BH1750" s="55"/>
      <c r="BI1750" s="55"/>
      <c r="BJ1750" s="55"/>
      <c r="BK1750" s="55"/>
      <c r="BL1750" s="55"/>
      <c r="BM1750" s="55"/>
      <c r="BN1750" s="55"/>
      <c r="BO1750" s="55"/>
      <c r="BP1750" s="55"/>
      <c r="BQ1750" s="55"/>
      <c r="BR1750" s="55"/>
      <c r="BS1750" s="55"/>
      <c r="BT1750" s="55"/>
    </row>
    <row r="1751" ht="14.25" customHeight="1">
      <c r="A1751" s="5" t="s">
        <v>2037</v>
      </c>
      <c r="B1751" s="5">
        <v>5.0</v>
      </c>
      <c r="C1751" s="5" t="s">
        <v>7688</v>
      </c>
      <c r="D1751" s="5" t="s">
        <v>6231</v>
      </c>
      <c r="E1751" s="5">
        <v>2454.0</v>
      </c>
      <c r="F1751" s="10" t="s">
        <v>6232</v>
      </c>
      <c r="G1751" s="5" t="s">
        <v>6233</v>
      </c>
      <c r="H1751" s="5" t="s">
        <v>6040</v>
      </c>
      <c r="I1751" s="5" t="s">
        <v>1664</v>
      </c>
      <c r="J1751" s="5" t="s">
        <v>6069</v>
      </c>
      <c r="K1751" s="5">
        <v>1.0</v>
      </c>
      <c r="L1751" s="5">
        <v>2857.0</v>
      </c>
      <c r="M1751" s="11">
        <v>-116.9297333</v>
      </c>
      <c r="N1751" s="11">
        <v>50.6396</v>
      </c>
      <c r="O1751" s="11">
        <v>2030.0</v>
      </c>
      <c r="P1751" s="5" t="s">
        <v>6231</v>
      </c>
      <c r="Q1751" s="72">
        <v>7.0</v>
      </c>
      <c r="R1751" s="11" t="s">
        <v>6234</v>
      </c>
      <c r="S1751" s="11" t="s">
        <v>6009</v>
      </c>
    </row>
    <row r="1752" ht="14.25" customHeight="1">
      <c r="A1752" s="5" t="s">
        <v>2037</v>
      </c>
      <c r="B1752" s="5">
        <v>5.0</v>
      </c>
      <c r="C1752" s="5" t="s">
        <v>7688</v>
      </c>
      <c r="D1752" s="5" t="s">
        <v>6235</v>
      </c>
      <c r="E1752" s="5">
        <v>2456.0</v>
      </c>
      <c r="F1752" s="10" t="s">
        <v>6236</v>
      </c>
      <c r="G1752" s="5" t="s">
        <v>6237</v>
      </c>
      <c r="H1752" s="5" t="s">
        <v>6238</v>
      </c>
      <c r="I1752" s="5" t="s">
        <v>1664</v>
      </c>
      <c r="J1752" s="5" t="s">
        <v>6187</v>
      </c>
      <c r="K1752" s="5">
        <v>1.0</v>
      </c>
      <c r="L1752" s="5">
        <v>2859.0</v>
      </c>
      <c r="U1752" s="55"/>
      <c r="V1752" s="55"/>
      <c r="W1752" s="55"/>
      <c r="X1752" s="55"/>
      <c r="Y1752" s="55"/>
      <c r="Z1752" s="55"/>
      <c r="AA1752" s="55"/>
      <c r="AB1752" s="55"/>
      <c r="AC1752" s="55"/>
      <c r="AD1752" s="55"/>
      <c r="AE1752" s="55"/>
      <c r="AF1752" s="55"/>
      <c r="AG1752" s="55"/>
      <c r="AH1752" s="55"/>
      <c r="AI1752" s="55"/>
      <c r="AJ1752" s="55"/>
      <c r="AK1752" s="55"/>
      <c r="AL1752" s="55"/>
      <c r="AM1752" s="55"/>
      <c r="AN1752" s="55"/>
      <c r="AO1752" s="55"/>
      <c r="AP1752" s="55"/>
      <c r="AQ1752" s="55"/>
      <c r="AR1752" s="55"/>
      <c r="AS1752" s="55"/>
      <c r="AT1752" s="55"/>
      <c r="AU1752" s="55"/>
      <c r="AV1752" s="55"/>
      <c r="AW1752" s="55"/>
      <c r="AX1752" s="55"/>
      <c r="AY1752" s="55"/>
      <c r="AZ1752" s="55"/>
      <c r="BA1752" s="55"/>
      <c r="BB1752" s="55"/>
      <c r="BC1752" s="55"/>
      <c r="BD1752" s="55"/>
      <c r="BE1752" s="55"/>
      <c r="BF1752" s="55"/>
      <c r="BG1752" s="55"/>
      <c r="BH1752" s="55"/>
      <c r="BI1752" s="55"/>
      <c r="BJ1752" s="55"/>
      <c r="BK1752" s="55"/>
      <c r="BL1752" s="55"/>
      <c r="BM1752" s="55"/>
      <c r="BN1752" s="55"/>
      <c r="BO1752" s="55"/>
      <c r="BP1752" s="55"/>
      <c r="BQ1752" s="55"/>
      <c r="BR1752" s="55"/>
      <c r="BS1752" s="55"/>
      <c r="BT1752" s="55"/>
    </row>
    <row r="1753" ht="14.25" customHeight="1">
      <c r="A1753" s="5" t="s">
        <v>6239</v>
      </c>
      <c r="B1753" s="5">
        <v>5.0</v>
      </c>
      <c r="C1753" s="5" t="s">
        <v>7688</v>
      </c>
      <c r="D1753" s="5" t="s">
        <v>6240</v>
      </c>
      <c r="E1753" s="5">
        <v>2455.0</v>
      </c>
      <c r="F1753" s="10" t="s">
        <v>6241</v>
      </c>
      <c r="H1753" s="5" t="s">
        <v>6242</v>
      </c>
      <c r="I1753" s="5" t="s">
        <v>1664</v>
      </c>
      <c r="J1753" s="5" t="s">
        <v>6187</v>
      </c>
      <c r="K1753" s="5">
        <v>1.0</v>
      </c>
      <c r="L1753" s="5">
        <v>2858.0</v>
      </c>
      <c r="U1753" s="55"/>
      <c r="V1753" s="55"/>
      <c r="W1753" s="55"/>
      <c r="X1753" s="55"/>
      <c r="Y1753" s="55"/>
      <c r="Z1753" s="55"/>
      <c r="AA1753" s="55"/>
      <c r="AB1753" s="55"/>
      <c r="AC1753" s="55"/>
      <c r="AD1753" s="55"/>
      <c r="AE1753" s="55"/>
      <c r="AF1753" s="55"/>
      <c r="AG1753" s="55"/>
      <c r="AH1753" s="55"/>
      <c r="AI1753" s="55"/>
      <c r="AJ1753" s="55"/>
      <c r="AK1753" s="55"/>
      <c r="AL1753" s="55"/>
      <c r="AM1753" s="55"/>
      <c r="AN1753" s="55"/>
      <c r="AO1753" s="55"/>
      <c r="AP1753" s="55"/>
      <c r="AQ1753" s="55"/>
      <c r="AR1753" s="55"/>
      <c r="AS1753" s="55"/>
      <c r="AT1753" s="55"/>
      <c r="AU1753" s="55"/>
      <c r="AV1753" s="55"/>
      <c r="AW1753" s="55"/>
      <c r="AX1753" s="55"/>
      <c r="AY1753" s="55"/>
      <c r="AZ1753" s="55"/>
      <c r="BA1753" s="55"/>
      <c r="BB1753" s="55"/>
      <c r="BC1753" s="55"/>
      <c r="BD1753" s="55"/>
      <c r="BE1753" s="55"/>
      <c r="BF1753" s="55"/>
      <c r="BG1753" s="55"/>
      <c r="BH1753" s="55"/>
      <c r="BI1753" s="55"/>
      <c r="BJ1753" s="55"/>
      <c r="BK1753" s="55"/>
      <c r="BL1753" s="55"/>
      <c r="BM1753" s="55"/>
      <c r="BN1753" s="55"/>
      <c r="BO1753" s="55"/>
      <c r="BP1753" s="55"/>
      <c r="BQ1753" s="55"/>
      <c r="BR1753" s="55"/>
      <c r="BS1753" s="55"/>
      <c r="BT1753" s="55"/>
    </row>
    <row r="1754" ht="14.25" customHeight="1">
      <c r="B1754" s="5">
        <v>5.0</v>
      </c>
      <c r="C1754" s="5" t="s">
        <v>7688</v>
      </c>
      <c r="D1754" s="5" t="s">
        <v>6243</v>
      </c>
      <c r="E1754" s="5">
        <v>13103.0</v>
      </c>
      <c r="F1754" s="5" t="s">
        <v>6244</v>
      </c>
      <c r="G1754" s="5" t="s">
        <v>6245</v>
      </c>
      <c r="H1754" s="5" t="s">
        <v>6246</v>
      </c>
      <c r="I1754" s="5" t="s">
        <v>49</v>
      </c>
      <c r="J1754" s="5" t="s">
        <v>6021</v>
      </c>
      <c r="K1754" s="5">
        <v>1.0</v>
      </c>
      <c r="L1754" s="5">
        <v>15025.0</v>
      </c>
      <c r="M1754" s="11">
        <v>-125.8132639</v>
      </c>
      <c r="N1754" s="11">
        <v>49.85804722</v>
      </c>
      <c r="O1754" s="11">
        <v>270.0</v>
      </c>
      <c r="P1754" s="5" t="s">
        <v>6243</v>
      </c>
      <c r="Q1754" s="72">
        <v>5.0</v>
      </c>
      <c r="R1754" s="11" t="s">
        <v>6244</v>
      </c>
      <c r="S1754" s="11" t="s">
        <v>6009</v>
      </c>
    </row>
    <row r="1755" ht="14.25" customHeight="1">
      <c r="A1755" s="5" t="s">
        <v>1908</v>
      </c>
      <c r="B1755" s="5">
        <v>5.0</v>
      </c>
      <c r="C1755" s="5" t="s">
        <v>7688</v>
      </c>
      <c r="D1755" s="5" t="s">
        <v>6247</v>
      </c>
      <c r="E1755" s="5">
        <v>2431.0</v>
      </c>
      <c r="F1755" s="10" t="s">
        <v>6248</v>
      </c>
      <c r="G1755" s="10" t="s">
        <v>6249</v>
      </c>
      <c r="H1755" s="5" t="s">
        <v>6074</v>
      </c>
      <c r="I1755" s="5" t="s">
        <v>1664</v>
      </c>
      <c r="J1755" s="5" t="s">
        <v>6046</v>
      </c>
      <c r="K1755" s="5">
        <v>1.0</v>
      </c>
      <c r="L1755" s="5">
        <v>2834.0</v>
      </c>
      <c r="M1755" s="11">
        <v>-125.144125</v>
      </c>
      <c r="N1755" s="11">
        <v>49.44034722</v>
      </c>
      <c r="O1755" s="11">
        <v>340.0</v>
      </c>
      <c r="P1755" s="5" t="s">
        <v>6247</v>
      </c>
      <c r="Q1755" s="72">
        <v>5.0</v>
      </c>
      <c r="R1755" s="11" t="s">
        <v>6250</v>
      </c>
      <c r="S1755" s="11" t="s">
        <v>6009</v>
      </c>
    </row>
    <row r="1756" ht="14.25" customHeight="1">
      <c r="A1756" s="5" t="s">
        <v>2037</v>
      </c>
      <c r="B1756" s="5">
        <v>5.0</v>
      </c>
      <c r="C1756" s="5" t="s">
        <v>7688</v>
      </c>
      <c r="D1756" s="5" t="s">
        <v>6251</v>
      </c>
      <c r="E1756" s="5">
        <v>2457.0</v>
      </c>
      <c r="F1756" s="10" t="s">
        <v>6252</v>
      </c>
      <c r="G1756" s="5" t="s">
        <v>6253</v>
      </c>
      <c r="H1756" s="5" t="s">
        <v>6254</v>
      </c>
      <c r="I1756" s="5" t="s">
        <v>1664</v>
      </c>
      <c r="J1756" s="5" t="s">
        <v>6046</v>
      </c>
      <c r="K1756" s="5">
        <v>1.0</v>
      </c>
      <c r="L1756" s="5">
        <v>2860.0</v>
      </c>
      <c r="M1756" s="10">
        <v>-125.28817</v>
      </c>
      <c r="N1756" s="10">
        <v>49.6054</v>
      </c>
      <c r="O1756" s="10">
        <v>280.0</v>
      </c>
      <c r="P1756" s="10" t="s">
        <v>6251</v>
      </c>
      <c r="Q1756" s="55"/>
      <c r="R1756" s="10" t="str">
        <f>F1756</f>
        <v>Eric Ck -&gt; Rees Creek</v>
      </c>
      <c r="S1756" s="55"/>
      <c r="T1756" s="55"/>
      <c r="U1756" s="55"/>
      <c r="V1756" s="55"/>
      <c r="W1756" s="55"/>
      <c r="X1756" s="55"/>
      <c r="Y1756" s="55"/>
      <c r="Z1756" s="55"/>
      <c r="AA1756" s="55"/>
      <c r="AB1756" s="55"/>
      <c r="AC1756" s="55"/>
      <c r="AD1756" s="55"/>
      <c r="AE1756" s="55"/>
      <c r="AF1756" s="55"/>
      <c r="AG1756" s="55"/>
      <c r="AH1756" s="55"/>
      <c r="AI1756" s="55"/>
      <c r="AJ1756" s="55"/>
      <c r="AK1756" s="55"/>
      <c r="AL1756" s="55"/>
      <c r="AM1756" s="55"/>
      <c r="AN1756" s="55"/>
      <c r="AO1756" s="55"/>
      <c r="AP1756" s="55"/>
      <c r="AQ1756" s="55"/>
      <c r="AR1756" s="55"/>
      <c r="AS1756" s="55"/>
      <c r="AT1756" s="55"/>
      <c r="AU1756" s="55"/>
      <c r="AV1756" s="55"/>
      <c r="AW1756" s="55"/>
      <c r="AX1756" s="55"/>
      <c r="AY1756" s="55"/>
      <c r="AZ1756" s="55"/>
      <c r="BA1756" s="55"/>
      <c r="BB1756" s="55"/>
      <c r="BC1756" s="55"/>
      <c r="BD1756" s="55"/>
      <c r="BE1756" s="55"/>
      <c r="BF1756" s="55"/>
      <c r="BG1756" s="55"/>
      <c r="BH1756" s="55"/>
      <c r="BI1756" s="55"/>
      <c r="BJ1756" s="55"/>
      <c r="BK1756" s="55"/>
      <c r="BL1756" s="55"/>
      <c r="BM1756" s="55"/>
      <c r="BN1756" s="55"/>
      <c r="BO1756" s="55"/>
      <c r="BP1756" s="55"/>
      <c r="BQ1756" s="55"/>
      <c r="BR1756" s="55"/>
      <c r="BS1756" s="55"/>
      <c r="BT1756" s="55"/>
    </row>
    <row r="1757" ht="14.25" customHeight="1">
      <c r="A1757" s="5" t="s">
        <v>2037</v>
      </c>
      <c r="B1757" s="5">
        <v>5.0</v>
      </c>
      <c r="C1757" s="5" t="s">
        <v>7688</v>
      </c>
      <c r="D1757" s="5" t="s">
        <v>6255</v>
      </c>
      <c r="E1757" s="5">
        <v>12347.0</v>
      </c>
      <c r="F1757" s="10" t="s">
        <v>6256</v>
      </c>
      <c r="G1757" s="5" t="s">
        <v>6257</v>
      </c>
      <c r="H1757" s="5" t="s">
        <v>6032</v>
      </c>
      <c r="I1757" s="5" t="s">
        <v>49</v>
      </c>
      <c r="J1757" s="5" t="s">
        <v>6258</v>
      </c>
      <c r="K1757" s="5">
        <v>1.0</v>
      </c>
      <c r="L1757" s="5">
        <v>14403.0</v>
      </c>
      <c r="U1757" s="55"/>
      <c r="V1757" s="55"/>
      <c r="W1757" s="55"/>
      <c r="X1757" s="55"/>
      <c r="Y1757" s="55"/>
      <c r="Z1757" s="55"/>
      <c r="AA1757" s="55"/>
      <c r="AB1757" s="55"/>
      <c r="AC1757" s="55"/>
      <c r="AD1757" s="55"/>
      <c r="AE1757" s="55"/>
      <c r="AF1757" s="55"/>
      <c r="AG1757" s="55"/>
      <c r="AH1757" s="55"/>
      <c r="AI1757" s="55"/>
      <c r="AJ1757" s="55"/>
      <c r="AK1757" s="55"/>
      <c r="AL1757" s="55"/>
      <c r="AM1757" s="55"/>
      <c r="AN1757" s="55"/>
      <c r="AO1757" s="55"/>
      <c r="AP1757" s="55"/>
      <c r="AQ1757" s="55"/>
      <c r="AR1757" s="55"/>
      <c r="AS1757" s="55"/>
      <c r="AT1757" s="55"/>
      <c r="AU1757" s="55"/>
      <c r="AV1757" s="55"/>
      <c r="AW1757" s="55"/>
      <c r="AX1757" s="55"/>
      <c r="AY1757" s="55"/>
      <c r="AZ1757" s="55"/>
      <c r="BA1757" s="55"/>
      <c r="BB1757" s="55"/>
      <c r="BC1757" s="55"/>
      <c r="BD1757" s="55"/>
      <c r="BE1757" s="55"/>
      <c r="BF1757" s="55"/>
      <c r="BG1757" s="55"/>
      <c r="BH1757" s="55"/>
      <c r="BI1757" s="55"/>
      <c r="BJ1757" s="55"/>
      <c r="BK1757" s="55"/>
      <c r="BL1757" s="55"/>
      <c r="BM1757" s="55"/>
      <c r="BN1757" s="55"/>
      <c r="BO1757" s="55"/>
      <c r="BP1757" s="55"/>
      <c r="BQ1757" s="55"/>
      <c r="BR1757" s="55"/>
      <c r="BS1757" s="55"/>
      <c r="BT1757" s="55"/>
    </row>
    <row r="1758" ht="14.25" customHeight="1">
      <c r="A1758" s="6"/>
      <c r="B1758" s="5">
        <v>5.0</v>
      </c>
      <c r="C1758" s="5" t="s">
        <v>7688</v>
      </c>
      <c r="D1758" s="5" t="s">
        <v>6259</v>
      </c>
      <c r="E1758" s="5">
        <v>13099.0</v>
      </c>
      <c r="F1758" s="5" t="s">
        <v>6260</v>
      </c>
      <c r="G1758" s="5" t="s">
        <v>6261</v>
      </c>
      <c r="H1758" s="5" t="s">
        <v>6014</v>
      </c>
      <c r="I1758" s="5" t="s">
        <v>49</v>
      </c>
      <c r="J1758" s="5" t="s">
        <v>6262</v>
      </c>
      <c r="K1758" s="5">
        <v>1.0</v>
      </c>
      <c r="L1758" s="5">
        <v>15021.0</v>
      </c>
      <c r="M1758" s="11">
        <v>-118.074228</v>
      </c>
      <c r="N1758" s="11">
        <v>49.864182</v>
      </c>
      <c r="O1758" s="11">
        <v>519.0</v>
      </c>
      <c r="P1758" s="5" t="s">
        <v>6259</v>
      </c>
      <c r="Q1758" s="72">
        <v>1.0</v>
      </c>
      <c r="R1758" s="11" t="s">
        <v>6260</v>
      </c>
      <c r="S1758" s="11" t="s">
        <v>6009</v>
      </c>
    </row>
    <row r="1759" ht="14.25" customHeight="1">
      <c r="B1759" s="5">
        <v>5.0</v>
      </c>
      <c r="C1759" s="5" t="s">
        <v>7688</v>
      </c>
      <c r="D1759" s="5" t="s">
        <v>6263</v>
      </c>
      <c r="E1759" s="5">
        <v>12395.0</v>
      </c>
      <c r="F1759" s="5" t="s">
        <v>6264</v>
      </c>
      <c r="G1759" s="5" t="s">
        <v>6265</v>
      </c>
      <c r="H1759" s="5" t="s">
        <v>6156</v>
      </c>
      <c r="I1759" s="5" t="s">
        <v>641</v>
      </c>
      <c r="J1759" s="5" t="s">
        <v>6262</v>
      </c>
      <c r="K1759" s="5">
        <v>1.0</v>
      </c>
      <c r="L1759" s="5">
        <v>14417.0</v>
      </c>
      <c r="M1759" s="11">
        <v>-115.0726361</v>
      </c>
      <c r="N1759" s="11">
        <v>49.48843333</v>
      </c>
      <c r="O1759" s="11">
        <v>1101.0</v>
      </c>
      <c r="P1759" s="5" t="s">
        <v>6263</v>
      </c>
      <c r="Q1759" s="72">
        <v>2.0</v>
      </c>
      <c r="R1759" s="11" t="s">
        <v>6264</v>
      </c>
      <c r="S1759" s="11" t="s">
        <v>6009</v>
      </c>
    </row>
    <row r="1760" ht="14.25" customHeight="1">
      <c r="A1760" s="5" t="s">
        <v>6266</v>
      </c>
      <c r="B1760" s="5">
        <v>5.0</v>
      </c>
      <c r="C1760" s="5" t="s">
        <v>7688</v>
      </c>
      <c r="D1760" s="5" t="s">
        <v>6267</v>
      </c>
      <c r="E1760" s="5">
        <v>2458.0</v>
      </c>
      <c r="F1760" s="10" t="s">
        <v>6268</v>
      </c>
      <c r="G1760" s="5" t="s">
        <v>6269</v>
      </c>
      <c r="H1760" s="5" t="s">
        <v>6270</v>
      </c>
      <c r="I1760" s="5" t="s">
        <v>1664</v>
      </c>
      <c r="J1760" s="5" t="s">
        <v>6069</v>
      </c>
      <c r="K1760" s="5">
        <v>1.0</v>
      </c>
      <c r="L1760" s="5">
        <v>2861.0</v>
      </c>
      <c r="M1760" s="10">
        <v>-117.70062</v>
      </c>
      <c r="N1760" s="10">
        <v>51.2374</v>
      </c>
      <c r="O1760" s="10">
        <v>1800.0</v>
      </c>
      <c r="P1760" s="10" t="s">
        <v>6267</v>
      </c>
      <c r="Q1760" s="55"/>
      <c r="R1760" s="10" t="str">
        <f>F1760</f>
        <v>Fidelty Mtn. -&gt; Fidelity Mountain</v>
      </c>
      <c r="S1760" s="55"/>
      <c r="T1760" s="55"/>
      <c r="U1760" s="55"/>
      <c r="V1760" s="55"/>
      <c r="W1760" s="55"/>
      <c r="X1760" s="55"/>
      <c r="Y1760" s="55"/>
      <c r="Z1760" s="55"/>
      <c r="AA1760" s="55"/>
      <c r="AB1760" s="55"/>
      <c r="AC1760" s="55"/>
      <c r="AD1760" s="55"/>
      <c r="AE1760" s="55"/>
      <c r="AF1760" s="55"/>
      <c r="AG1760" s="55"/>
      <c r="AH1760" s="55"/>
      <c r="AI1760" s="55"/>
      <c r="AJ1760" s="55"/>
      <c r="AK1760" s="55"/>
      <c r="AL1760" s="55"/>
      <c r="AM1760" s="55"/>
      <c r="AN1760" s="55"/>
      <c r="AO1760" s="55"/>
      <c r="AP1760" s="55"/>
      <c r="AQ1760" s="55"/>
      <c r="AR1760" s="55"/>
      <c r="AS1760" s="55"/>
      <c r="AT1760" s="55"/>
      <c r="AU1760" s="55"/>
      <c r="AV1760" s="55"/>
      <c r="AW1760" s="55"/>
      <c r="AX1760" s="55"/>
      <c r="AY1760" s="55"/>
      <c r="AZ1760" s="55"/>
      <c r="BA1760" s="55"/>
      <c r="BB1760" s="55"/>
      <c r="BC1760" s="55"/>
      <c r="BD1760" s="55"/>
      <c r="BE1760" s="55"/>
      <c r="BF1760" s="55"/>
      <c r="BG1760" s="55"/>
      <c r="BH1760" s="55"/>
      <c r="BI1760" s="55"/>
      <c r="BJ1760" s="55"/>
      <c r="BK1760" s="55"/>
      <c r="BL1760" s="55"/>
      <c r="BM1760" s="55"/>
      <c r="BN1760" s="55"/>
      <c r="BO1760" s="55"/>
      <c r="BP1760" s="55"/>
      <c r="BQ1760" s="55"/>
      <c r="BR1760" s="55"/>
      <c r="BS1760" s="55"/>
      <c r="BT1760" s="55"/>
    </row>
    <row r="1761" ht="14.25" customHeight="1">
      <c r="A1761" s="5" t="s">
        <v>1908</v>
      </c>
      <c r="B1761" s="5">
        <v>5.0</v>
      </c>
      <c r="C1761" s="5" t="s">
        <v>7688</v>
      </c>
      <c r="D1761" s="5" t="s">
        <v>6271</v>
      </c>
      <c r="E1761" s="5">
        <v>2459.0</v>
      </c>
      <c r="F1761" s="10" t="s">
        <v>6272</v>
      </c>
      <c r="G1761" s="10" t="s">
        <v>6273</v>
      </c>
      <c r="H1761" s="5" t="s">
        <v>6040</v>
      </c>
      <c r="I1761" s="5" t="s">
        <v>1664</v>
      </c>
      <c r="J1761" s="5" t="s">
        <v>6046</v>
      </c>
      <c r="K1761" s="5">
        <v>1.0</v>
      </c>
      <c r="L1761" s="5">
        <v>2862.0</v>
      </c>
      <c r="M1761" s="11">
        <v>-125.2528472</v>
      </c>
      <c r="N1761" s="11">
        <v>57.12144167</v>
      </c>
      <c r="O1761" s="11">
        <v>711.0</v>
      </c>
      <c r="P1761" s="5" t="s">
        <v>6271</v>
      </c>
      <c r="Q1761" s="72">
        <v>1.0</v>
      </c>
      <c r="R1761" s="11" t="s">
        <v>6274</v>
      </c>
      <c r="S1761" s="11" t="s">
        <v>6009</v>
      </c>
    </row>
    <row r="1762" ht="14.25" customHeight="1">
      <c r="B1762" s="5">
        <v>5.0</v>
      </c>
      <c r="C1762" s="5" t="s">
        <v>7688</v>
      </c>
      <c r="D1762" s="5" t="s">
        <v>6275</v>
      </c>
      <c r="E1762" s="5">
        <v>2460.0</v>
      </c>
      <c r="F1762" s="5" t="s">
        <v>6276</v>
      </c>
      <c r="G1762" s="5" t="s">
        <v>6277</v>
      </c>
      <c r="H1762" s="5" t="s">
        <v>6278</v>
      </c>
      <c r="I1762" s="5" t="s">
        <v>1664</v>
      </c>
      <c r="J1762" s="5" t="s">
        <v>6041</v>
      </c>
      <c r="K1762" s="5">
        <v>1.0</v>
      </c>
      <c r="L1762" s="5">
        <v>2863.0</v>
      </c>
      <c r="M1762" s="11">
        <v>-116.1371167</v>
      </c>
      <c r="N1762" s="11">
        <v>51.05991667</v>
      </c>
      <c r="O1762" s="11">
        <v>2090.0</v>
      </c>
      <c r="P1762" s="5" t="s">
        <v>6275</v>
      </c>
      <c r="Q1762" s="72">
        <v>7.0</v>
      </c>
      <c r="R1762" s="11" t="s">
        <v>6279</v>
      </c>
      <c r="S1762" s="11" t="s">
        <v>6009</v>
      </c>
    </row>
    <row r="1763" ht="14.25" customHeight="1">
      <c r="B1763" s="5">
        <v>5.0</v>
      </c>
      <c r="C1763" s="5" t="s">
        <v>7688</v>
      </c>
      <c r="D1763" s="5" t="s">
        <v>6280</v>
      </c>
      <c r="E1763" s="5">
        <v>13215.0</v>
      </c>
      <c r="F1763" s="5" t="s">
        <v>1232</v>
      </c>
      <c r="G1763" s="5" t="s">
        <v>6281</v>
      </c>
      <c r="H1763" s="5" t="s">
        <v>6282</v>
      </c>
      <c r="I1763" s="5" t="s">
        <v>49</v>
      </c>
      <c r="J1763" s="5" t="s">
        <v>6087</v>
      </c>
      <c r="K1763" s="5">
        <v>1.0</v>
      </c>
      <c r="L1763" s="5">
        <v>15131.0</v>
      </c>
      <c r="M1763" s="11">
        <v>-118.58594</v>
      </c>
      <c r="N1763" s="11">
        <v>52.05381</v>
      </c>
      <c r="O1763" s="11">
        <v>577.0</v>
      </c>
      <c r="P1763" s="5" t="s">
        <v>6280</v>
      </c>
      <c r="Q1763" s="72">
        <v>1.0</v>
      </c>
      <c r="R1763" s="11" t="s">
        <v>1232</v>
      </c>
      <c r="S1763" s="11" t="s">
        <v>6009</v>
      </c>
    </row>
    <row r="1764" ht="14.25" customHeight="1">
      <c r="B1764" s="5">
        <v>5.0</v>
      </c>
      <c r="C1764" s="5" t="s">
        <v>7688</v>
      </c>
      <c r="D1764" s="5" t="s">
        <v>6283</v>
      </c>
      <c r="E1764" s="5">
        <v>13216.0</v>
      </c>
      <c r="F1764" s="5" t="s">
        <v>6284</v>
      </c>
      <c r="G1764" s="5" t="s">
        <v>6285</v>
      </c>
      <c r="H1764" s="5" t="s">
        <v>6209</v>
      </c>
      <c r="I1764" s="5" t="s">
        <v>49</v>
      </c>
      <c r="J1764" s="5" t="s">
        <v>6087</v>
      </c>
      <c r="K1764" s="5">
        <v>1.0</v>
      </c>
      <c r="L1764" s="5">
        <v>15132.0</v>
      </c>
      <c r="M1764" s="5">
        <v>-126.520716</v>
      </c>
      <c r="N1764" s="5">
        <v>56.948458</v>
      </c>
      <c r="O1764" s="5">
        <v>1326.0</v>
      </c>
      <c r="P1764" s="5" t="s">
        <v>6283</v>
      </c>
      <c r="Q1764" s="5">
        <v>5.0</v>
      </c>
      <c r="R1764" s="5" t="s">
        <v>6284</v>
      </c>
      <c r="S1764" s="5" t="s">
        <v>6009</v>
      </c>
    </row>
    <row r="1765" ht="14.25" customHeight="1">
      <c r="B1765" s="5">
        <v>5.0</v>
      </c>
      <c r="C1765" s="5" t="s">
        <v>7688</v>
      </c>
      <c r="D1765" s="5" t="s">
        <v>6286</v>
      </c>
      <c r="E1765" s="5">
        <v>12415.0</v>
      </c>
      <c r="F1765" s="5" t="s">
        <v>6287</v>
      </c>
      <c r="G1765" s="5" t="s">
        <v>6288</v>
      </c>
      <c r="H1765" s="5" t="s">
        <v>6289</v>
      </c>
      <c r="I1765" s="5" t="s">
        <v>641</v>
      </c>
      <c r="J1765" s="5" t="s">
        <v>6262</v>
      </c>
      <c r="K1765" s="5">
        <v>1.0</v>
      </c>
      <c r="L1765" s="5">
        <v>14437.0</v>
      </c>
      <c r="M1765" s="5">
        <v>-124.7014444</v>
      </c>
      <c r="N1765" s="5">
        <v>55.78552778</v>
      </c>
      <c r="O1765" s="5">
        <v>766.0</v>
      </c>
      <c r="P1765" s="5" t="s">
        <v>6286</v>
      </c>
      <c r="Q1765" s="5">
        <v>2.0</v>
      </c>
      <c r="R1765" s="5" t="s">
        <v>6287</v>
      </c>
      <c r="S1765" s="5" t="s">
        <v>6009</v>
      </c>
    </row>
    <row r="1766" ht="14.25" customHeight="1">
      <c r="A1766" s="5" t="s">
        <v>1908</v>
      </c>
      <c r="B1766" s="5">
        <v>5.0</v>
      </c>
      <c r="C1766" s="5" t="s">
        <v>7688</v>
      </c>
      <c r="D1766" s="5" t="s">
        <v>6290</v>
      </c>
      <c r="E1766" s="5">
        <v>2466.0</v>
      </c>
      <c r="F1766" s="10" t="s">
        <v>6291</v>
      </c>
      <c r="G1766" s="10" t="s">
        <v>6292</v>
      </c>
      <c r="H1766" s="5" t="s">
        <v>6293</v>
      </c>
      <c r="I1766" s="5" t="s">
        <v>1664</v>
      </c>
      <c r="J1766" s="5" t="s">
        <v>6041</v>
      </c>
      <c r="K1766" s="5">
        <v>1.0</v>
      </c>
      <c r="L1766" s="5">
        <v>2869.0</v>
      </c>
      <c r="M1766" s="5">
        <v>-117.5110083</v>
      </c>
      <c r="N1766" s="5">
        <v>51.27072222</v>
      </c>
      <c r="O1766" s="5">
        <v>1182.0</v>
      </c>
      <c r="P1766" s="5" t="s">
        <v>6290</v>
      </c>
      <c r="Q1766" s="5">
        <v>3.0</v>
      </c>
      <c r="R1766" s="5" t="s">
        <v>6294</v>
      </c>
      <c r="S1766" s="5" t="s">
        <v>6009</v>
      </c>
    </row>
    <row r="1767" ht="14.25" customHeight="1">
      <c r="A1767" s="5" t="s">
        <v>2037</v>
      </c>
      <c r="B1767" s="5">
        <v>5.0</v>
      </c>
      <c r="C1767" s="5" t="s">
        <v>7688</v>
      </c>
      <c r="D1767" s="5" t="s">
        <v>6295</v>
      </c>
      <c r="E1767" s="5">
        <v>2492.0</v>
      </c>
      <c r="F1767" s="10" t="s">
        <v>6296</v>
      </c>
      <c r="G1767" s="5" t="s">
        <v>6297</v>
      </c>
      <c r="H1767" s="5" t="s">
        <v>6298</v>
      </c>
      <c r="I1767" s="5" t="s">
        <v>1664</v>
      </c>
      <c r="J1767" s="5" t="s">
        <v>6046</v>
      </c>
      <c r="K1767" s="5">
        <v>1.0</v>
      </c>
      <c r="L1767" s="5">
        <v>2895.0</v>
      </c>
      <c r="M1767" s="10">
        <v>-122.1835</v>
      </c>
      <c r="N1767" s="10">
        <v>56.0125</v>
      </c>
      <c r="O1767" s="10">
        <v>720.0</v>
      </c>
      <c r="P1767" s="10" t="s">
        <v>6295</v>
      </c>
      <c r="Q1767" s="55"/>
      <c r="R1767" s="10" t="str">
        <f>F1767</f>
        <v>GMS Hudson's Hope</v>
      </c>
      <c r="S1767" s="55"/>
      <c r="T1767" s="55"/>
      <c r="U1767" s="55"/>
      <c r="V1767" s="55"/>
      <c r="W1767" s="55"/>
      <c r="X1767" s="55"/>
      <c r="Y1767" s="55"/>
      <c r="Z1767" s="55"/>
      <c r="AA1767" s="55"/>
      <c r="AB1767" s="55"/>
      <c r="AC1767" s="55"/>
      <c r="AD1767" s="55"/>
      <c r="AE1767" s="55"/>
      <c r="AF1767" s="55"/>
      <c r="AG1767" s="55"/>
      <c r="AH1767" s="55"/>
      <c r="AI1767" s="55"/>
      <c r="AJ1767" s="55"/>
      <c r="AK1767" s="55"/>
      <c r="AL1767" s="55"/>
      <c r="AM1767" s="55"/>
      <c r="AN1767" s="55"/>
      <c r="AO1767" s="55"/>
      <c r="AP1767" s="55"/>
      <c r="AQ1767" s="55"/>
      <c r="AR1767" s="55"/>
      <c r="AS1767" s="55"/>
      <c r="AT1767" s="55"/>
      <c r="AU1767" s="55"/>
      <c r="AV1767" s="55"/>
      <c r="AW1767" s="55"/>
      <c r="AX1767" s="55"/>
      <c r="AY1767" s="55"/>
      <c r="AZ1767" s="55"/>
      <c r="BA1767" s="55"/>
      <c r="BB1767" s="55"/>
      <c r="BC1767" s="55"/>
      <c r="BD1767" s="55"/>
      <c r="BE1767" s="55"/>
      <c r="BF1767" s="55"/>
      <c r="BG1767" s="55"/>
      <c r="BH1767" s="55"/>
      <c r="BI1767" s="55"/>
      <c r="BJ1767" s="55"/>
      <c r="BK1767" s="55"/>
      <c r="BL1767" s="55"/>
      <c r="BM1767" s="55"/>
      <c r="BN1767" s="55"/>
      <c r="BO1767" s="55"/>
      <c r="BP1767" s="55"/>
      <c r="BQ1767" s="55"/>
      <c r="BR1767" s="55"/>
      <c r="BS1767" s="55"/>
      <c r="BT1767" s="55"/>
    </row>
    <row r="1768" ht="14.25" customHeight="1">
      <c r="B1768" s="5">
        <v>5.0</v>
      </c>
      <c r="C1768" s="5" t="s">
        <v>7688</v>
      </c>
      <c r="D1768" s="5" t="s">
        <v>6299</v>
      </c>
      <c r="E1768" s="5">
        <v>2463.0</v>
      </c>
      <c r="F1768" s="5" t="s">
        <v>6300</v>
      </c>
      <c r="G1768" s="5" t="s">
        <v>6301</v>
      </c>
      <c r="H1768" s="5" t="s">
        <v>6040</v>
      </c>
      <c r="I1768" s="5" t="s">
        <v>1664</v>
      </c>
      <c r="J1768" s="5" t="s">
        <v>6046</v>
      </c>
      <c r="K1768" s="5">
        <v>1.0</v>
      </c>
      <c r="L1768" s="5">
        <v>2866.0</v>
      </c>
      <c r="M1768" s="11">
        <v>-122.4773611</v>
      </c>
      <c r="N1768" s="11">
        <v>49.44655556</v>
      </c>
      <c r="O1768" s="11">
        <v>794.0</v>
      </c>
      <c r="P1768" s="5" t="s">
        <v>6299</v>
      </c>
      <c r="Q1768" s="72">
        <v>4.0</v>
      </c>
      <c r="R1768" s="11" t="s">
        <v>6302</v>
      </c>
      <c r="S1768" s="11" t="s">
        <v>6009</v>
      </c>
    </row>
    <row r="1769" ht="14.25" customHeight="1">
      <c r="A1769" s="5" t="s">
        <v>2037</v>
      </c>
      <c r="B1769" s="5">
        <v>5.0</v>
      </c>
      <c r="C1769" s="5" t="s">
        <v>7688</v>
      </c>
      <c r="D1769" s="5" t="s">
        <v>6303</v>
      </c>
      <c r="E1769" s="5">
        <v>2462.0</v>
      </c>
      <c r="F1769" s="10" t="s">
        <v>6304</v>
      </c>
      <c r="G1769" s="5" t="s">
        <v>6305</v>
      </c>
      <c r="H1769" s="5" t="s">
        <v>6306</v>
      </c>
      <c r="I1769" s="5" t="s">
        <v>1664</v>
      </c>
      <c r="J1769" s="5" t="s">
        <v>6046</v>
      </c>
      <c r="K1769" s="5">
        <v>1.0</v>
      </c>
      <c r="L1769" s="5">
        <v>2865.0</v>
      </c>
      <c r="M1769" s="10">
        <v>-126.1061</v>
      </c>
      <c r="N1769" s="10">
        <v>49.7058</v>
      </c>
      <c r="O1769" s="10">
        <v>10.0</v>
      </c>
      <c r="P1769" s="10" t="s">
        <v>6303</v>
      </c>
      <c r="Q1769" s="55"/>
      <c r="R1769" s="10" t="str">
        <f>F1769</f>
        <v>Gold R. nr Ucona R. -&gt; Gold River near Ucona River</v>
      </c>
      <c r="S1769" s="55"/>
      <c r="U1769" s="55"/>
      <c r="V1769" s="55"/>
      <c r="W1769" s="55"/>
      <c r="X1769" s="55"/>
      <c r="Y1769" s="55"/>
      <c r="Z1769" s="55"/>
      <c r="AA1769" s="55"/>
      <c r="AB1769" s="55"/>
      <c r="AC1769" s="55"/>
      <c r="AD1769" s="55"/>
      <c r="AE1769" s="55"/>
      <c r="AF1769" s="55"/>
      <c r="AG1769" s="55"/>
      <c r="AH1769" s="55"/>
      <c r="AI1769" s="55"/>
      <c r="AJ1769" s="55"/>
      <c r="AK1769" s="55"/>
      <c r="AL1769" s="55"/>
      <c r="AM1769" s="55"/>
      <c r="AN1769" s="55"/>
      <c r="AO1769" s="55"/>
      <c r="AP1769" s="55"/>
      <c r="AQ1769" s="55"/>
      <c r="AR1769" s="55"/>
      <c r="AS1769" s="55"/>
      <c r="AT1769" s="55"/>
      <c r="AU1769" s="55"/>
      <c r="AV1769" s="55"/>
      <c r="AW1769" s="55"/>
      <c r="AX1769" s="55"/>
      <c r="AY1769" s="55"/>
      <c r="AZ1769" s="55"/>
      <c r="BA1769" s="55"/>
      <c r="BB1769" s="55"/>
      <c r="BC1769" s="55"/>
      <c r="BD1769" s="55"/>
      <c r="BE1769" s="55"/>
      <c r="BF1769" s="55"/>
      <c r="BG1769" s="55"/>
      <c r="BH1769" s="55"/>
      <c r="BI1769" s="55"/>
      <c r="BJ1769" s="55"/>
      <c r="BK1769" s="55"/>
      <c r="BL1769" s="55"/>
      <c r="BM1769" s="55"/>
      <c r="BN1769" s="55"/>
      <c r="BO1769" s="55"/>
      <c r="BP1769" s="55"/>
      <c r="BQ1769" s="55"/>
      <c r="BR1769" s="55"/>
      <c r="BS1769" s="55"/>
      <c r="BT1769" s="55"/>
    </row>
    <row r="1770" ht="14.25" customHeight="1">
      <c r="A1770" s="5" t="s">
        <v>6307</v>
      </c>
      <c r="B1770" s="5">
        <v>5.0</v>
      </c>
      <c r="C1770" s="12" t="s">
        <v>7687</v>
      </c>
      <c r="D1770" s="12" t="s">
        <v>6308</v>
      </c>
      <c r="E1770" s="10"/>
      <c r="F1770" s="12" t="s">
        <v>6309</v>
      </c>
      <c r="G1770" s="12" t="s">
        <v>7691</v>
      </c>
    </row>
    <row r="1771" ht="14.25" customHeight="1">
      <c r="A1771" s="5" t="s">
        <v>2037</v>
      </c>
      <c r="B1771" s="5">
        <v>5.0</v>
      </c>
      <c r="C1771" s="5" t="s">
        <v>7688</v>
      </c>
      <c r="D1771" s="5" t="s">
        <v>6311</v>
      </c>
      <c r="E1771" s="5">
        <v>2464.0</v>
      </c>
      <c r="F1771" s="10" t="s">
        <v>6312</v>
      </c>
      <c r="G1771" s="5" t="s">
        <v>6313</v>
      </c>
      <c r="H1771" s="5" t="s">
        <v>6314</v>
      </c>
      <c r="I1771" s="5" t="s">
        <v>1664</v>
      </c>
      <c r="J1771" s="5" t="s">
        <v>6046</v>
      </c>
      <c r="K1771" s="5">
        <v>1.0</v>
      </c>
      <c r="L1771" s="5">
        <v>2867.0</v>
      </c>
      <c r="M1771" s="10">
        <v>118.597</v>
      </c>
      <c r="N1771" s="10">
        <v>51.6684</v>
      </c>
      <c r="O1771" s="10">
        <v>600.0</v>
      </c>
      <c r="P1771" s="10" t="s">
        <v>6311</v>
      </c>
      <c r="Q1771" s="55"/>
      <c r="R1771" s="10" t="str">
        <f>F1771</f>
        <v>Goldstream R. blw Old Camp Ck - Goldstream River Below Old Camp Creek</v>
      </c>
      <c r="S1771" s="55"/>
      <c r="T1771" s="55"/>
      <c r="U1771" s="55"/>
      <c r="V1771" s="55"/>
      <c r="W1771" s="55"/>
      <c r="X1771" s="55"/>
      <c r="Y1771" s="55"/>
      <c r="Z1771" s="55"/>
      <c r="AA1771" s="55"/>
      <c r="AB1771" s="55"/>
      <c r="AC1771" s="55"/>
      <c r="AD1771" s="55"/>
      <c r="AE1771" s="55"/>
      <c r="AF1771" s="55"/>
      <c r="AG1771" s="55"/>
      <c r="AH1771" s="55"/>
      <c r="AI1771" s="55"/>
      <c r="AJ1771" s="55"/>
      <c r="AK1771" s="55"/>
      <c r="AL1771" s="55"/>
      <c r="AM1771" s="55"/>
      <c r="AN1771" s="55"/>
      <c r="AO1771" s="55"/>
      <c r="AP1771" s="55"/>
      <c r="AQ1771" s="55"/>
      <c r="AR1771" s="55"/>
      <c r="AS1771" s="55"/>
      <c r="AT1771" s="55"/>
      <c r="AU1771" s="55"/>
      <c r="AV1771" s="55"/>
      <c r="AW1771" s="55"/>
      <c r="AX1771" s="55"/>
      <c r="AY1771" s="55"/>
      <c r="AZ1771" s="55"/>
      <c r="BA1771" s="55"/>
      <c r="BB1771" s="55"/>
      <c r="BC1771" s="55"/>
      <c r="BD1771" s="55"/>
      <c r="BE1771" s="55"/>
      <c r="BF1771" s="55"/>
      <c r="BG1771" s="55"/>
      <c r="BH1771" s="55"/>
      <c r="BI1771" s="55"/>
      <c r="BJ1771" s="55"/>
      <c r="BK1771" s="55"/>
      <c r="BL1771" s="55"/>
      <c r="BM1771" s="55"/>
      <c r="BN1771" s="55"/>
      <c r="BO1771" s="55"/>
      <c r="BP1771" s="55"/>
      <c r="BQ1771" s="55"/>
      <c r="BR1771" s="55"/>
      <c r="BS1771" s="55"/>
      <c r="BT1771" s="55"/>
    </row>
    <row r="1772" ht="14.25" customHeight="1">
      <c r="B1772" s="5">
        <v>5.0</v>
      </c>
      <c r="C1772" s="5" t="s">
        <v>7688</v>
      </c>
      <c r="D1772" s="5" t="s">
        <v>6315</v>
      </c>
      <c r="E1772" s="5">
        <v>13122.0</v>
      </c>
      <c r="F1772" s="5" t="s">
        <v>6316</v>
      </c>
      <c r="G1772" s="5" t="s">
        <v>6317</v>
      </c>
      <c r="H1772" s="5" t="s">
        <v>6172</v>
      </c>
      <c r="I1772" s="5" t="s">
        <v>49</v>
      </c>
      <c r="J1772" s="5" t="s">
        <v>6021</v>
      </c>
      <c r="K1772" s="5">
        <v>1.0</v>
      </c>
      <c r="L1772" s="5">
        <v>15044.0</v>
      </c>
      <c r="M1772" s="11">
        <v>-118.596055</v>
      </c>
      <c r="N1772" s="11">
        <v>51.669195</v>
      </c>
      <c r="O1772" s="11">
        <v>617.0</v>
      </c>
      <c r="P1772" s="5" t="s">
        <v>6315</v>
      </c>
      <c r="Q1772" s="72">
        <v>1.0</v>
      </c>
      <c r="R1772" s="11" t="s">
        <v>6316</v>
      </c>
      <c r="S1772" s="11" t="s">
        <v>6009</v>
      </c>
    </row>
    <row r="1773" ht="14.25" customHeight="1">
      <c r="B1773" s="5">
        <v>5.0</v>
      </c>
      <c r="C1773" s="5" t="s">
        <v>7688</v>
      </c>
      <c r="D1773" s="5" t="s">
        <v>6318</v>
      </c>
      <c r="E1773" s="5">
        <v>2465.0</v>
      </c>
      <c r="F1773" s="5" t="s">
        <v>6319</v>
      </c>
      <c r="G1773" s="5" t="s">
        <v>6320</v>
      </c>
      <c r="H1773" s="5" t="s">
        <v>6321</v>
      </c>
      <c r="I1773" s="5" t="s">
        <v>1664</v>
      </c>
      <c r="J1773" s="5" t="s">
        <v>6069</v>
      </c>
      <c r="K1773" s="5">
        <v>1.0</v>
      </c>
      <c r="L1773" s="5">
        <v>2868.0</v>
      </c>
      <c r="M1773" s="5">
        <v>-122.9246111</v>
      </c>
      <c r="N1773" s="5">
        <v>50.79558333</v>
      </c>
      <c r="O1773" s="5">
        <v>1780.0</v>
      </c>
      <c r="P1773" s="5" t="s">
        <v>6318</v>
      </c>
      <c r="Q1773" s="5">
        <v>7.0</v>
      </c>
      <c r="R1773" s="5" t="s">
        <v>6322</v>
      </c>
      <c r="S1773" s="5" t="s">
        <v>6009</v>
      </c>
    </row>
    <row r="1774" ht="14.25" customHeight="1">
      <c r="A1774" s="5" t="s">
        <v>2037</v>
      </c>
      <c r="B1774" s="5">
        <v>5.0</v>
      </c>
      <c r="C1774" s="5" t="s">
        <v>7688</v>
      </c>
      <c r="D1774" s="5" t="s">
        <v>6323</v>
      </c>
      <c r="E1774" s="5">
        <v>2469.0</v>
      </c>
      <c r="F1774" s="10" t="s">
        <v>6324</v>
      </c>
      <c r="G1774" s="5" t="s">
        <v>6325</v>
      </c>
      <c r="H1774" s="5" t="s">
        <v>6326</v>
      </c>
      <c r="I1774" s="5" t="s">
        <v>1664</v>
      </c>
      <c r="J1774" s="5" t="s">
        <v>6046</v>
      </c>
      <c r="K1774" s="5">
        <v>1.0</v>
      </c>
      <c r="L1774" s="5">
        <v>2872.0</v>
      </c>
      <c r="M1774" s="11">
        <v>-121.6248694</v>
      </c>
      <c r="N1774" s="11">
        <v>56.25129444</v>
      </c>
      <c r="O1774" s="11">
        <v>480.0</v>
      </c>
      <c r="P1774" s="5" t="s">
        <v>6323</v>
      </c>
      <c r="Q1774" s="72">
        <v>1.0</v>
      </c>
      <c r="R1774" s="11" t="s">
        <v>6327</v>
      </c>
      <c r="S1774" s="11" t="s">
        <v>6009</v>
      </c>
    </row>
    <row r="1775" ht="14.25" customHeight="1">
      <c r="A1775" s="5" t="s">
        <v>2037</v>
      </c>
      <c r="B1775" s="5">
        <v>5.0</v>
      </c>
      <c r="C1775" s="5" t="s">
        <v>7688</v>
      </c>
      <c r="D1775" s="5" t="s">
        <v>6328</v>
      </c>
      <c r="E1775" s="5">
        <v>13095.0</v>
      </c>
      <c r="F1775" s="5" t="s">
        <v>6329</v>
      </c>
      <c r="G1775" s="5" t="s">
        <v>6330</v>
      </c>
      <c r="H1775" s="5" t="s">
        <v>6014</v>
      </c>
      <c r="I1775" s="5" t="s">
        <v>49</v>
      </c>
      <c r="J1775" s="5" t="s">
        <v>6021</v>
      </c>
      <c r="K1775" s="5">
        <v>1.0</v>
      </c>
      <c r="L1775" s="5">
        <v>15017.0</v>
      </c>
      <c r="M1775" s="11">
        <v>-122.2410972</v>
      </c>
      <c r="N1775" s="11">
        <v>56.50833611</v>
      </c>
      <c r="O1775" s="11">
        <v>657.0</v>
      </c>
      <c r="P1775" s="5" t="s">
        <v>6328</v>
      </c>
      <c r="Q1775" s="72">
        <v>1.0</v>
      </c>
      <c r="R1775" s="11" t="s">
        <v>6329</v>
      </c>
      <c r="S1775" s="11" t="s">
        <v>6009</v>
      </c>
    </row>
    <row r="1776" ht="14.25" customHeight="1">
      <c r="A1776" s="5" t="s">
        <v>2037</v>
      </c>
      <c r="B1776" s="5">
        <v>5.0</v>
      </c>
      <c r="C1776" s="5" t="s">
        <v>7688</v>
      </c>
      <c r="D1776" s="5" t="s">
        <v>6331</v>
      </c>
      <c r="E1776" s="5">
        <v>2468.0</v>
      </c>
      <c r="F1776" s="10" t="s">
        <v>6332</v>
      </c>
      <c r="G1776" s="5" t="s">
        <v>6333</v>
      </c>
      <c r="H1776" s="5" t="s">
        <v>6334</v>
      </c>
      <c r="I1776" s="5" t="s">
        <v>1664</v>
      </c>
      <c r="J1776" s="5" t="s">
        <v>6187</v>
      </c>
      <c r="K1776" s="5">
        <v>1.0</v>
      </c>
      <c r="L1776" s="5">
        <v>2871.0</v>
      </c>
      <c r="M1776" s="10">
        <v>-125.98639</v>
      </c>
      <c r="N1776" s="10">
        <v>49.8153</v>
      </c>
      <c r="O1776" s="10">
        <v>215.0</v>
      </c>
      <c r="P1776" s="10" t="s">
        <v>6331</v>
      </c>
      <c r="Q1776" s="55"/>
      <c r="R1776" s="10" t="str">
        <f>F1776</f>
        <v>Heber R. nr Gold R. -&gt; Heber River near Gold River</v>
      </c>
      <c r="S1776" s="55"/>
      <c r="T1776" s="55"/>
      <c r="U1776" s="55"/>
      <c r="V1776" s="55"/>
      <c r="W1776" s="55"/>
      <c r="X1776" s="55"/>
      <c r="Y1776" s="55"/>
      <c r="Z1776" s="55"/>
      <c r="AA1776" s="55"/>
      <c r="AB1776" s="55"/>
      <c r="AC1776" s="55"/>
      <c r="AD1776" s="55"/>
      <c r="AE1776" s="55"/>
      <c r="AF1776" s="55"/>
      <c r="AG1776" s="55"/>
      <c r="AH1776" s="55"/>
      <c r="AI1776" s="55"/>
      <c r="AJ1776" s="55"/>
      <c r="AK1776" s="55"/>
      <c r="AL1776" s="55"/>
      <c r="AM1776" s="55"/>
      <c r="AN1776" s="55"/>
      <c r="AO1776" s="55"/>
      <c r="AP1776" s="55"/>
      <c r="AQ1776" s="55"/>
      <c r="AR1776" s="55"/>
      <c r="AS1776" s="55"/>
      <c r="AT1776" s="55"/>
      <c r="AU1776" s="55"/>
      <c r="AV1776" s="55"/>
      <c r="AW1776" s="55"/>
      <c r="AX1776" s="55"/>
      <c r="AY1776" s="55"/>
      <c r="AZ1776" s="55"/>
      <c r="BA1776" s="55"/>
      <c r="BB1776" s="55"/>
      <c r="BC1776" s="55"/>
      <c r="BD1776" s="55"/>
      <c r="BE1776" s="55"/>
      <c r="BF1776" s="55"/>
      <c r="BG1776" s="55"/>
      <c r="BH1776" s="55"/>
      <c r="BI1776" s="55"/>
      <c r="BJ1776" s="55"/>
      <c r="BK1776" s="55"/>
      <c r="BL1776" s="55"/>
      <c r="BM1776" s="55"/>
      <c r="BN1776" s="55"/>
      <c r="BO1776" s="55"/>
      <c r="BP1776" s="55"/>
      <c r="BQ1776" s="55"/>
      <c r="BR1776" s="55"/>
      <c r="BS1776" s="55"/>
      <c r="BT1776" s="55"/>
    </row>
    <row r="1777" ht="14.25" customHeight="1">
      <c r="B1777" s="5">
        <v>5.0</v>
      </c>
      <c r="C1777" s="5" t="s">
        <v>7688</v>
      </c>
      <c r="D1777" s="5" t="s">
        <v>6335</v>
      </c>
      <c r="E1777" s="5">
        <v>2470.0</v>
      </c>
      <c r="F1777" s="5" t="s">
        <v>6336</v>
      </c>
      <c r="G1777" s="5" t="s">
        <v>6337</v>
      </c>
      <c r="H1777" s="5" t="s">
        <v>6338</v>
      </c>
      <c r="I1777" s="5" t="s">
        <v>1664</v>
      </c>
      <c r="J1777" s="5" t="s">
        <v>6041</v>
      </c>
      <c r="K1777" s="5">
        <v>1.0</v>
      </c>
      <c r="L1777" s="5">
        <v>2873.0</v>
      </c>
      <c r="M1777" s="11">
        <v>-123.606</v>
      </c>
      <c r="N1777" s="11">
        <v>56.73476667</v>
      </c>
      <c r="O1777" s="11">
        <v>1450.0</v>
      </c>
      <c r="P1777" s="5" t="s">
        <v>6335</v>
      </c>
      <c r="Q1777" s="72">
        <v>7.0</v>
      </c>
      <c r="R1777" s="11" t="s">
        <v>6339</v>
      </c>
      <c r="S1777" s="11" t="s">
        <v>6009</v>
      </c>
    </row>
    <row r="1778" ht="14.25" customHeight="1">
      <c r="A1778" s="5" t="s">
        <v>2037</v>
      </c>
      <c r="B1778" s="5">
        <v>5.0</v>
      </c>
      <c r="C1778" s="5" t="s">
        <v>7688</v>
      </c>
      <c r="D1778" s="5" t="s">
        <v>6340</v>
      </c>
      <c r="E1778" s="5">
        <v>2471.0</v>
      </c>
      <c r="F1778" s="10" t="s">
        <v>6341</v>
      </c>
      <c r="G1778" s="5" t="s">
        <v>6342</v>
      </c>
      <c r="H1778" s="5" t="s">
        <v>6343</v>
      </c>
      <c r="I1778" s="5" t="s">
        <v>1664</v>
      </c>
      <c r="J1778" s="5" t="s">
        <v>6046</v>
      </c>
      <c r="K1778" s="5">
        <v>1.0</v>
      </c>
      <c r="L1778" s="5">
        <v>2874.0</v>
      </c>
      <c r="M1778" s="10">
        <v>-122.94216</v>
      </c>
      <c r="N1778" s="10">
        <v>50.73049</v>
      </c>
      <c r="O1778" s="10">
        <v>990.0</v>
      </c>
      <c r="P1778" s="10" t="s">
        <v>6340</v>
      </c>
      <c r="Q1778" s="55"/>
      <c r="R1778" s="10" t="str">
        <f>F1778</f>
        <v>Hurley R. ab Lone Goat Ck -&gt; Hurley River above Lone Goat Creek</v>
      </c>
      <c r="S1778" s="55"/>
      <c r="T1778" s="55"/>
      <c r="U1778" s="55"/>
      <c r="V1778" s="55"/>
      <c r="W1778" s="55"/>
      <c r="X1778" s="55"/>
      <c r="Y1778" s="55"/>
      <c r="Z1778" s="55"/>
      <c r="AA1778" s="55"/>
      <c r="AB1778" s="55"/>
      <c r="AC1778" s="55"/>
      <c r="AD1778" s="55"/>
      <c r="AE1778" s="55"/>
      <c r="AF1778" s="55"/>
      <c r="AG1778" s="55"/>
      <c r="AH1778" s="55"/>
      <c r="AI1778" s="55"/>
      <c r="AJ1778" s="55"/>
      <c r="AK1778" s="55"/>
      <c r="AL1778" s="55"/>
      <c r="AM1778" s="55"/>
      <c r="AN1778" s="55"/>
      <c r="AO1778" s="55"/>
      <c r="AP1778" s="55"/>
      <c r="AQ1778" s="55"/>
      <c r="AR1778" s="55"/>
      <c r="AS1778" s="55"/>
      <c r="AT1778" s="55"/>
      <c r="AU1778" s="55"/>
      <c r="AV1778" s="55"/>
      <c r="AW1778" s="55"/>
      <c r="AX1778" s="55"/>
      <c r="AY1778" s="55"/>
      <c r="AZ1778" s="55"/>
      <c r="BA1778" s="55"/>
      <c r="BB1778" s="55"/>
      <c r="BC1778" s="55"/>
      <c r="BD1778" s="55"/>
      <c r="BE1778" s="55"/>
      <c r="BF1778" s="55"/>
      <c r="BG1778" s="55"/>
      <c r="BH1778" s="55"/>
      <c r="BI1778" s="55"/>
      <c r="BJ1778" s="55"/>
      <c r="BK1778" s="55"/>
      <c r="BL1778" s="55"/>
      <c r="BM1778" s="55"/>
      <c r="BN1778" s="55"/>
      <c r="BO1778" s="55"/>
      <c r="BP1778" s="55"/>
      <c r="BQ1778" s="55"/>
      <c r="BR1778" s="55"/>
      <c r="BS1778" s="55"/>
      <c r="BT1778" s="55"/>
    </row>
    <row r="1779" ht="14.25" customHeight="1">
      <c r="B1779" s="5">
        <v>5.0</v>
      </c>
      <c r="C1779" s="5" t="s">
        <v>7688</v>
      </c>
      <c r="D1779" s="5" t="s">
        <v>6344</v>
      </c>
      <c r="E1779" s="5">
        <v>13120.0</v>
      </c>
      <c r="F1779" s="5" t="s">
        <v>6345</v>
      </c>
      <c r="G1779" s="5" t="s">
        <v>7692</v>
      </c>
      <c r="H1779" s="5" t="s">
        <v>6347</v>
      </c>
      <c r="I1779" s="5" t="s">
        <v>49</v>
      </c>
      <c r="J1779" s="5" t="s">
        <v>6021</v>
      </c>
      <c r="K1779" s="5">
        <v>1.0</v>
      </c>
      <c r="L1779" s="5">
        <v>15042.0</v>
      </c>
      <c r="M1779" s="11">
        <v>-122.942242</v>
      </c>
      <c r="N1779" s="11">
        <v>50.730979</v>
      </c>
      <c r="O1779" s="11">
        <v>1012.0</v>
      </c>
      <c r="P1779" s="5" t="s">
        <v>6344</v>
      </c>
      <c r="Q1779" s="72">
        <v>3.0</v>
      </c>
      <c r="R1779" s="11" t="s">
        <v>6345</v>
      </c>
      <c r="S1779" s="11" t="s">
        <v>6009</v>
      </c>
    </row>
    <row r="1780" ht="14.25" customHeight="1">
      <c r="A1780" s="5" t="s">
        <v>2037</v>
      </c>
      <c r="B1780" s="5">
        <v>5.0</v>
      </c>
      <c r="C1780" s="5" t="s">
        <v>7688</v>
      </c>
      <c r="D1780" s="5" t="s">
        <v>6348</v>
      </c>
      <c r="E1780" s="5">
        <v>2472.0</v>
      </c>
      <c r="F1780" s="10" t="s">
        <v>6349</v>
      </c>
      <c r="G1780" s="5" t="s">
        <v>6350</v>
      </c>
      <c r="H1780" s="5" t="s">
        <v>6351</v>
      </c>
      <c r="I1780" s="5" t="s">
        <v>1664</v>
      </c>
      <c r="J1780" s="5" t="s">
        <v>6046</v>
      </c>
      <c r="K1780" s="5">
        <v>1.0</v>
      </c>
      <c r="L1780" s="5">
        <v>2875.0</v>
      </c>
      <c r="M1780" s="10">
        <v>-118.08273</v>
      </c>
      <c r="N1780" s="10">
        <v>51.0133</v>
      </c>
      <c r="O1780" s="10">
        <v>500.0</v>
      </c>
      <c r="P1780" s="10" t="s">
        <v>6348</v>
      </c>
      <c r="Q1780" s="55"/>
      <c r="R1780" s="10" t="s">
        <v>6352</v>
      </c>
      <c r="S1780" s="55"/>
      <c r="T1780" s="55"/>
      <c r="U1780" s="55"/>
      <c r="V1780" s="55"/>
      <c r="W1780" s="55"/>
      <c r="X1780" s="55"/>
      <c r="Y1780" s="55"/>
      <c r="Z1780" s="55"/>
      <c r="AA1780" s="55"/>
      <c r="AB1780" s="55"/>
      <c r="AC1780" s="55"/>
      <c r="AD1780" s="55"/>
      <c r="AE1780" s="55"/>
      <c r="AF1780" s="55"/>
      <c r="AG1780" s="55"/>
      <c r="AH1780" s="55"/>
      <c r="AI1780" s="55"/>
      <c r="AJ1780" s="55"/>
      <c r="AK1780" s="55"/>
      <c r="AL1780" s="55"/>
      <c r="AM1780" s="55"/>
      <c r="AN1780" s="55"/>
      <c r="AO1780" s="55"/>
      <c r="AP1780" s="55"/>
      <c r="AQ1780" s="55"/>
      <c r="AR1780" s="55"/>
      <c r="AS1780" s="55"/>
      <c r="AT1780" s="55"/>
      <c r="AU1780" s="55"/>
      <c r="AV1780" s="55"/>
      <c r="AW1780" s="55"/>
      <c r="AX1780" s="55"/>
      <c r="AY1780" s="55"/>
      <c r="AZ1780" s="55"/>
      <c r="BA1780" s="55"/>
      <c r="BB1780" s="55"/>
      <c r="BC1780" s="55"/>
      <c r="BD1780" s="55"/>
      <c r="BE1780" s="55"/>
      <c r="BF1780" s="55"/>
      <c r="BG1780" s="55"/>
      <c r="BH1780" s="55"/>
      <c r="BI1780" s="55"/>
      <c r="BJ1780" s="55"/>
      <c r="BK1780" s="55"/>
      <c r="BL1780" s="55"/>
      <c r="BM1780" s="55"/>
      <c r="BN1780" s="55"/>
      <c r="BO1780" s="55"/>
      <c r="BP1780" s="55"/>
      <c r="BQ1780" s="55"/>
      <c r="BR1780" s="55"/>
      <c r="BS1780" s="55"/>
      <c r="BT1780" s="55"/>
    </row>
    <row r="1781" ht="14.25" customHeight="1">
      <c r="A1781" s="5" t="s">
        <v>1908</v>
      </c>
      <c r="B1781" s="5">
        <v>5.0</v>
      </c>
      <c r="C1781" s="5" t="s">
        <v>7688</v>
      </c>
      <c r="D1781" s="5" t="s">
        <v>6353</v>
      </c>
      <c r="E1781" s="5">
        <v>2473.0</v>
      </c>
      <c r="F1781" s="10" t="s">
        <v>6354</v>
      </c>
      <c r="G1781" s="10" t="s">
        <v>6355</v>
      </c>
      <c r="H1781" s="5" t="s">
        <v>6040</v>
      </c>
      <c r="I1781" s="5" t="s">
        <v>1664</v>
      </c>
      <c r="J1781" s="5" t="s">
        <v>6046</v>
      </c>
      <c r="K1781" s="5">
        <v>1.0</v>
      </c>
      <c r="L1781" s="5">
        <v>2876.0</v>
      </c>
      <c r="M1781" s="11">
        <v>-125.1116083</v>
      </c>
      <c r="N1781" s="11">
        <v>56.72735556</v>
      </c>
      <c r="O1781" s="11">
        <v>711.0</v>
      </c>
      <c r="P1781" s="5" t="s">
        <v>6353</v>
      </c>
      <c r="Q1781" s="72">
        <v>1.0</v>
      </c>
      <c r="R1781" s="11" t="s">
        <v>6356</v>
      </c>
      <c r="S1781" s="11" t="s">
        <v>6009</v>
      </c>
    </row>
    <row r="1782" ht="14.25" customHeight="1">
      <c r="A1782" s="96" t="s">
        <v>6357</v>
      </c>
      <c r="B1782" s="96">
        <v>5.0</v>
      </c>
      <c r="C1782" s="96" t="s">
        <v>7688</v>
      </c>
      <c r="D1782" s="96" t="s">
        <v>6358</v>
      </c>
      <c r="E1782" s="96">
        <v>13217.0</v>
      </c>
      <c r="F1782" s="96" t="s">
        <v>6359</v>
      </c>
      <c r="G1782" s="96" t="s">
        <v>6360</v>
      </c>
      <c r="H1782" s="5" t="s">
        <v>6361</v>
      </c>
      <c r="I1782" s="5" t="s">
        <v>49</v>
      </c>
      <c r="J1782" s="5" t="s">
        <v>6087</v>
      </c>
      <c r="K1782" s="5">
        <v>1.0</v>
      </c>
      <c r="L1782" s="5">
        <v>15133.0</v>
      </c>
      <c r="M1782" s="97">
        <v>-126.19401</v>
      </c>
      <c r="N1782" s="97">
        <v>56.605415</v>
      </c>
      <c r="O1782" s="97">
        <v>1467.0</v>
      </c>
      <c r="P1782" s="97" t="s">
        <v>6358</v>
      </c>
      <c r="Q1782" s="98">
        <v>6.0</v>
      </c>
      <c r="R1782" s="97" t="s">
        <v>6359</v>
      </c>
      <c r="S1782" s="97" t="s">
        <v>6009</v>
      </c>
      <c r="T1782" s="96"/>
      <c r="U1782" s="97"/>
      <c r="V1782" s="97"/>
      <c r="W1782" s="97"/>
      <c r="X1782" s="97"/>
      <c r="Y1782" s="97"/>
      <c r="Z1782" s="97"/>
      <c r="AA1782" s="97"/>
      <c r="AB1782" s="97"/>
      <c r="AC1782" s="97"/>
      <c r="AD1782" s="97"/>
      <c r="AE1782" s="97"/>
      <c r="AF1782" s="96"/>
      <c r="AG1782" s="96"/>
      <c r="AH1782" s="96"/>
      <c r="AI1782" s="97"/>
      <c r="AJ1782" s="97"/>
      <c r="AK1782" s="97"/>
      <c r="AL1782" s="97"/>
      <c r="AM1782" s="97"/>
      <c r="AN1782" s="97"/>
      <c r="AO1782" s="97"/>
      <c r="AP1782" s="97"/>
      <c r="AQ1782" s="97"/>
      <c r="AR1782" s="97"/>
      <c r="AS1782" s="97"/>
      <c r="AT1782" s="97"/>
      <c r="AU1782" s="97"/>
      <c r="AV1782" s="97"/>
      <c r="AW1782" s="97"/>
      <c r="AX1782" s="97"/>
      <c r="AY1782" s="97"/>
      <c r="AZ1782" s="97"/>
      <c r="BA1782" s="97"/>
      <c r="BB1782" s="97"/>
      <c r="BC1782" s="97"/>
      <c r="BD1782" s="97"/>
      <c r="BE1782" s="97"/>
      <c r="BF1782" s="97"/>
      <c r="BG1782" s="97"/>
      <c r="BH1782" s="97"/>
      <c r="BI1782" s="97"/>
      <c r="BJ1782" s="97"/>
      <c r="BK1782" s="97"/>
      <c r="BL1782" s="97"/>
      <c r="BM1782" s="97"/>
      <c r="BN1782" s="97"/>
      <c r="BO1782" s="97"/>
      <c r="BP1782" s="97"/>
      <c r="BQ1782" s="97"/>
      <c r="BR1782" s="97"/>
      <c r="BS1782" s="97"/>
      <c r="BT1782" s="97"/>
    </row>
    <row r="1783" ht="14.25" customHeight="1">
      <c r="A1783" s="97" t="s">
        <v>6362</v>
      </c>
      <c r="B1783" s="96">
        <v>5.0</v>
      </c>
      <c r="C1783" s="96" t="s">
        <v>7688</v>
      </c>
      <c r="D1783" s="96" t="s">
        <v>6358</v>
      </c>
      <c r="E1783" s="96">
        <v>13128.0</v>
      </c>
      <c r="F1783" s="96"/>
      <c r="G1783" s="96" t="s">
        <v>127</v>
      </c>
      <c r="H1783" s="5" t="s">
        <v>6363</v>
      </c>
      <c r="I1783" s="5" t="s">
        <v>49</v>
      </c>
      <c r="J1783" s="5" t="s">
        <v>6087</v>
      </c>
      <c r="K1783" s="5">
        <v>1.0</v>
      </c>
      <c r="L1783" s="5">
        <v>15050.0</v>
      </c>
      <c r="M1783" s="97"/>
      <c r="N1783" s="97"/>
      <c r="O1783" s="97"/>
      <c r="P1783" s="97"/>
      <c r="Q1783" s="97"/>
      <c r="R1783" s="97"/>
      <c r="S1783" s="97"/>
      <c r="T1783" s="97"/>
      <c r="U1783" s="97"/>
      <c r="V1783" s="97"/>
      <c r="W1783" s="97"/>
      <c r="X1783" s="97"/>
      <c r="Y1783" s="97"/>
      <c r="Z1783" s="97"/>
      <c r="AA1783" s="97"/>
      <c r="AB1783" s="97"/>
      <c r="AC1783" s="97"/>
      <c r="AD1783" s="97"/>
      <c r="AE1783" s="97"/>
      <c r="AF1783" s="96"/>
      <c r="AG1783" s="96"/>
      <c r="AH1783" s="96"/>
      <c r="AI1783" s="97"/>
      <c r="AJ1783" s="97"/>
      <c r="AK1783" s="97"/>
      <c r="AL1783" s="97"/>
      <c r="AM1783" s="97"/>
      <c r="AN1783" s="97"/>
      <c r="AO1783" s="97"/>
      <c r="AP1783" s="97"/>
      <c r="AQ1783" s="97"/>
      <c r="AR1783" s="97"/>
      <c r="AS1783" s="97"/>
      <c r="AT1783" s="97"/>
      <c r="AU1783" s="97"/>
      <c r="AV1783" s="97"/>
      <c r="AW1783" s="97"/>
      <c r="AX1783" s="97"/>
      <c r="AY1783" s="97"/>
      <c r="AZ1783" s="97"/>
      <c r="BA1783" s="97"/>
      <c r="BB1783" s="97"/>
      <c r="BC1783" s="97"/>
      <c r="BD1783" s="97"/>
      <c r="BE1783" s="97"/>
      <c r="BF1783" s="97"/>
      <c r="BG1783" s="97"/>
      <c r="BH1783" s="97"/>
      <c r="BI1783" s="97"/>
      <c r="BJ1783" s="97"/>
      <c r="BK1783" s="97"/>
      <c r="BL1783" s="97"/>
      <c r="BM1783" s="97"/>
      <c r="BN1783" s="97"/>
      <c r="BO1783" s="97"/>
      <c r="BP1783" s="97"/>
      <c r="BQ1783" s="97"/>
      <c r="BR1783" s="97"/>
      <c r="BS1783" s="97"/>
      <c r="BT1783" s="97"/>
    </row>
    <row r="1784" ht="14.25" customHeight="1">
      <c r="B1784" s="5">
        <v>5.0</v>
      </c>
      <c r="C1784" s="5" t="s">
        <v>7688</v>
      </c>
      <c r="D1784" s="5" t="s">
        <v>6364</v>
      </c>
      <c r="E1784" s="5">
        <v>2474.0</v>
      </c>
      <c r="F1784" s="5" t="s">
        <v>6365</v>
      </c>
      <c r="G1784" s="5" t="s">
        <v>6366</v>
      </c>
      <c r="H1784" s="5" t="s">
        <v>6367</v>
      </c>
      <c r="I1784" s="5" t="s">
        <v>1664</v>
      </c>
      <c r="J1784" s="5" t="s">
        <v>6046</v>
      </c>
      <c r="K1784" s="5">
        <v>1.0</v>
      </c>
      <c r="L1784" s="5">
        <v>2877.0</v>
      </c>
      <c r="M1784" s="11">
        <v>-125.3086111</v>
      </c>
      <c r="N1784" s="11">
        <v>50.04333333</v>
      </c>
      <c r="O1784" s="11">
        <v>15.0</v>
      </c>
      <c r="P1784" s="5" t="s">
        <v>6364</v>
      </c>
      <c r="Q1784" s="72">
        <v>1.0</v>
      </c>
      <c r="R1784" s="11" t="s">
        <v>6368</v>
      </c>
      <c r="S1784" s="11" t="s">
        <v>6009</v>
      </c>
    </row>
    <row r="1785" ht="14.25" customHeight="1">
      <c r="B1785" s="5">
        <v>5.0</v>
      </c>
      <c r="C1785" s="5" t="s">
        <v>7688</v>
      </c>
      <c r="D1785" s="5" t="s">
        <v>6369</v>
      </c>
      <c r="E1785" s="5">
        <v>13098.0</v>
      </c>
      <c r="F1785" s="5" t="s">
        <v>6370</v>
      </c>
      <c r="G1785" s="5" t="s">
        <v>6371</v>
      </c>
      <c r="H1785" s="5" t="s">
        <v>6014</v>
      </c>
      <c r="I1785" s="5" t="s">
        <v>49</v>
      </c>
      <c r="J1785" s="5" t="s">
        <v>6262</v>
      </c>
      <c r="K1785" s="5">
        <v>1.0</v>
      </c>
      <c r="L1785" s="5">
        <v>15020.0</v>
      </c>
      <c r="M1785" s="5">
        <v>-116.92827777777778</v>
      </c>
      <c r="N1785" s="5">
        <v>49.903749999999995</v>
      </c>
      <c r="O1785" s="5">
        <v>717.0</v>
      </c>
      <c r="P1785" s="5" t="s">
        <v>6369</v>
      </c>
      <c r="Q1785" s="5">
        <v>1.0</v>
      </c>
      <c r="R1785" s="5" t="s">
        <v>6370</v>
      </c>
      <c r="S1785" s="5" t="s">
        <v>6009</v>
      </c>
    </row>
    <row r="1786" ht="14.25" customHeight="1">
      <c r="B1786" s="5">
        <v>5.0</v>
      </c>
      <c r="C1786" s="5" t="s">
        <v>7688</v>
      </c>
      <c r="D1786" s="5" t="s">
        <v>6372</v>
      </c>
      <c r="E1786" s="5">
        <v>13101.0</v>
      </c>
      <c r="F1786" s="5" t="s">
        <v>6373</v>
      </c>
      <c r="G1786" s="5" t="s">
        <v>6374</v>
      </c>
      <c r="H1786" s="5" t="s">
        <v>6014</v>
      </c>
      <c r="I1786" s="5" t="s">
        <v>49</v>
      </c>
      <c r="J1786" s="5" t="s">
        <v>6087</v>
      </c>
      <c r="K1786" s="5">
        <v>1.0</v>
      </c>
      <c r="L1786" s="5">
        <v>15023.0</v>
      </c>
      <c r="M1786" s="5">
        <v>-126.2975972</v>
      </c>
      <c r="N1786" s="5">
        <v>56.02119167</v>
      </c>
      <c r="O1786" s="5">
        <v>1257.0</v>
      </c>
      <c r="P1786" s="5" t="s">
        <v>6372</v>
      </c>
      <c r="Q1786" s="5">
        <v>6.0</v>
      </c>
      <c r="R1786" s="5" t="s">
        <v>6373</v>
      </c>
      <c r="S1786" s="5" t="s">
        <v>6009</v>
      </c>
    </row>
    <row r="1787" ht="14.25" customHeight="1">
      <c r="B1787" s="5">
        <v>5.0</v>
      </c>
      <c r="C1787" s="5" t="s">
        <v>7688</v>
      </c>
      <c r="D1787" s="5" t="s">
        <v>6375</v>
      </c>
      <c r="E1787" s="5">
        <v>12399.0</v>
      </c>
      <c r="F1787" s="5" t="s">
        <v>6376</v>
      </c>
      <c r="G1787" s="5" t="s">
        <v>6377</v>
      </c>
      <c r="H1787" s="5" t="s">
        <v>6289</v>
      </c>
      <c r="I1787" s="5" t="s">
        <v>641</v>
      </c>
      <c r="J1787" s="5" t="s">
        <v>6127</v>
      </c>
      <c r="K1787" s="5">
        <v>1.0</v>
      </c>
      <c r="L1787" s="5">
        <v>14421.0</v>
      </c>
      <c r="M1787" s="5">
        <v>-118.3606556</v>
      </c>
      <c r="N1787" s="5">
        <v>51.41128889</v>
      </c>
      <c r="O1787" s="5">
        <v>1840.0</v>
      </c>
      <c r="P1787" s="5" t="s">
        <v>6375</v>
      </c>
      <c r="Q1787" s="5">
        <v>6.0</v>
      </c>
      <c r="R1787" s="5" t="s">
        <v>6376</v>
      </c>
      <c r="S1787" s="5" t="s">
        <v>6009</v>
      </c>
    </row>
    <row r="1788" ht="14.25" customHeight="1">
      <c r="A1788" s="5" t="s">
        <v>2037</v>
      </c>
      <c r="B1788" s="5">
        <v>5.0</v>
      </c>
      <c r="C1788" s="5" t="s">
        <v>7688</v>
      </c>
      <c r="D1788" s="5" t="s">
        <v>6378</v>
      </c>
      <c r="E1788" s="5">
        <v>2467.0</v>
      </c>
      <c r="F1788" s="10" t="s">
        <v>6379</v>
      </c>
      <c r="G1788" s="5" t="s">
        <v>6380</v>
      </c>
      <c r="H1788" s="5" t="s">
        <v>6381</v>
      </c>
      <c r="I1788" s="5" t="s">
        <v>1664</v>
      </c>
      <c r="J1788" s="5" t="s">
        <v>6046</v>
      </c>
      <c r="K1788" s="5">
        <v>1.0</v>
      </c>
      <c r="L1788" s="5">
        <v>2870.0</v>
      </c>
      <c r="M1788" s="10">
        <v>-117.87831</v>
      </c>
      <c r="N1788" s="10">
        <v>51.8771</v>
      </c>
      <c r="O1788" s="10">
        <v>770.0</v>
      </c>
      <c r="P1788" s="10" t="s">
        <v>6378</v>
      </c>
      <c r="Q1788" s="55"/>
      <c r="R1788" s="10" t="s">
        <v>6382</v>
      </c>
      <c r="S1788" s="55"/>
      <c r="T1788" s="55"/>
      <c r="U1788" s="55"/>
      <c r="V1788" s="55"/>
      <c r="W1788" s="55"/>
      <c r="X1788" s="55"/>
      <c r="Y1788" s="55"/>
      <c r="Z1788" s="55"/>
      <c r="AA1788" s="55"/>
      <c r="AB1788" s="55"/>
      <c r="AC1788" s="55"/>
      <c r="AD1788" s="55"/>
      <c r="AE1788" s="55"/>
      <c r="AF1788" s="55"/>
      <c r="AG1788" s="55"/>
      <c r="AH1788" s="55"/>
      <c r="AI1788" s="55"/>
      <c r="AJ1788" s="55"/>
      <c r="AK1788" s="55"/>
      <c r="AL1788" s="55"/>
      <c r="AM1788" s="55"/>
      <c r="AN1788" s="55"/>
      <c r="AO1788" s="55"/>
      <c r="AP1788" s="55"/>
      <c r="AQ1788" s="55"/>
      <c r="AR1788" s="55"/>
      <c r="AS1788" s="55"/>
      <c r="AT1788" s="55"/>
      <c r="AU1788" s="55"/>
      <c r="AV1788" s="55"/>
      <c r="AW1788" s="55"/>
      <c r="AX1788" s="55"/>
      <c r="AY1788" s="55"/>
      <c r="AZ1788" s="55"/>
      <c r="BA1788" s="55"/>
      <c r="BB1788" s="55"/>
      <c r="BC1788" s="55"/>
      <c r="BD1788" s="55"/>
      <c r="BE1788" s="55"/>
      <c r="BF1788" s="55"/>
      <c r="BG1788" s="55"/>
      <c r="BH1788" s="55"/>
      <c r="BI1788" s="55"/>
      <c r="BJ1788" s="55"/>
      <c r="BK1788" s="55"/>
      <c r="BL1788" s="55"/>
      <c r="BM1788" s="55"/>
      <c r="BN1788" s="55"/>
      <c r="BO1788" s="55"/>
      <c r="BP1788" s="55"/>
      <c r="BQ1788" s="55"/>
      <c r="BR1788" s="55"/>
      <c r="BS1788" s="55"/>
      <c r="BT1788" s="55"/>
    </row>
    <row r="1789" ht="14.25" customHeight="1">
      <c r="A1789" s="5" t="s">
        <v>2037</v>
      </c>
      <c r="B1789" s="5">
        <v>5.0</v>
      </c>
      <c r="C1789" s="5" t="s">
        <v>7688</v>
      </c>
      <c r="D1789" s="5" t="s">
        <v>6383</v>
      </c>
      <c r="E1789" s="5">
        <v>2461.0</v>
      </c>
      <c r="F1789" s="10" t="s">
        <v>6384</v>
      </c>
      <c r="G1789" s="5" t="s">
        <v>6385</v>
      </c>
      <c r="H1789" s="5" t="s">
        <v>6386</v>
      </c>
      <c r="I1789" s="5" t="s">
        <v>1664</v>
      </c>
      <c r="J1789" s="5" t="s">
        <v>6046</v>
      </c>
      <c r="K1789" s="5">
        <v>1.0</v>
      </c>
      <c r="L1789" s="5">
        <v>2864.0</v>
      </c>
      <c r="M1789" s="10">
        <v>-115.63461</v>
      </c>
      <c r="N1789" s="10">
        <v>49.61122</v>
      </c>
      <c r="O1789" s="10">
        <v>770.0</v>
      </c>
      <c r="P1789" s="10" t="s">
        <v>6383</v>
      </c>
      <c r="Q1789" s="55"/>
      <c r="R1789" s="10" t="s">
        <v>6387</v>
      </c>
      <c r="S1789" s="55"/>
      <c r="T1789" s="55"/>
      <c r="U1789" s="55"/>
      <c r="V1789" s="55"/>
      <c r="W1789" s="55"/>
      <c r="X1789" s="55"/>
      <c r="Y1789" s="55"/>
      <c r="Z1789" s="55"/>
      <c r="AA1789" s="55"/>
      <c r="AB1789" s="55"/>
      <c r="AC1789" s="55"/>
      <c r="AD1789" s="55"/>
      <c r="AE1789" s="55"/>
      <c r="AF1789" s="55"/>
      <c r="AG1789" s="55"/>
      <c r="AH1789" s="55"/>
      <c r="AI1789" s="55"/>
      <c r="AJ1789" s="55"/>
      <c r="AK1789" s="55"/>
      <c r="AL1789" s="55"/>
      <c r="AM1789" s="55"/>
      <c r="AN1789" s="55"/>
      <c r="AO1789" s="55"/>
      <c r="AP1789" s="55"/>
      <c r="AQ1789" s="55"/>
      <c r="AR1789" s="55"/>
      <c r="AS1789" s="55"/>
      <c r="AT1789" s="55"/>
      <c r="AU1789" s="55"/>
      <c r="AV1789" s="55"/>
      <c r="AW1789" s="55"/>
      <c r="AX1789" s="55"/>
      <c r="AY1789" s="55"/>
      <c r="AZ1789" s="55"/>
      <c r="BA1789" s="55"/>
      <c r="BB1789" s="55"/>
      <c r="BC1789" s="55"/>
      <c r="BD1789" s="55"/>
      <c r="BE1789" s="55"/>
      <c r="BF1789" s="55"/>
      <c r="BG1789" s="55"/>
      <c r="BH1789" s="55"/>
      <c r="BI1789" s="55"/>
      <c r="BJ1789" s="55"/>
      <c r="BK1789" s="55"/>
      <c r="BL1789" s="55"/>
      <c r="BM1789" s="55"/>
      <c r="BN1789" s="55"/>
      <c r="BO1789" s="55"/>
      <c r="BP1789" s="55"/>
      <c r="BQ1789" s="55"/>
      <c r="BR1789" s="55"/>
      <c r="BS1789" s="55"/>
      <c r="BT1789" s="55"/>
    </row>
    <row r="1790" ht="14.25" customHeight="1">
      <c r="A1790" s="5" t="s">
        <v>2037</v>
      </c>
      <c r="B1790" s="5">
        <v>5.0</v>
      </c>
      <c r="C1790" s="5" t="s">
        <v>7688</v>
      </c>
      <c r="D1790" s="5" t="s">
        <v>6388</v>
      </c>
      <c r="E1790" s="5">
        <v>2475.0</v>
      </c>
      <c r="F1790" s="10" t="s">
        <v>6389</v>
      </c>
      <c r="G1790" s="5" t="s">
        <v>6390</v>
      </c>
      <c r="H1790" s="5" t="s">
        <v>6391</v>
      </c>
      <c r="I1790" s="5" t="s">
        <v>1664</v>
      </c>
      <c r="J1790" s="5" t="s">
        <v>6041</v>
      </c>
      <c r="K1790" s="5">
        <v>1.0</v>
      </c>
      <c r="L1790" s="5">
        <v>2878.0</v>
      </c>
      <c r="M1790" s="11">
        <v>-125.0731667</v>
      </c>
      <c r="N1790" s="11">
        <v>57.62333333</v>
      </c>
      <c r="O1790" s="11">
        <v>1554.0</v>
      </c>
      <c r="P1790" s="5" t="s">
        <v>6388</v>
      </c>
      <c r="Q1790" s="72">
        <v>6.0</v>
      </c>
      <c r="R1790" s="11" t="s">
        <v>6392</v>
      </c>
      <c r="S1790" s="11" t="s">
        <v>6009</v>
      </c>
    </row>
    <row r="1791" ht="14.25" customHeight="1">
      <c r="A1791" s="5" t="s">
        <v>2037</v>
      </c>
      <c r="B1791" s="5">
        <v>5.0</v>
      </c>
      <c r="C1791" s="5" t="s">
        <v>7688</v>
      </c>
      <c r="D1791" s="5" t="s">
        <v>6393</v>
      </c>
      <c r="E1791" s="5">
        <v>2476.0</v>
      </c>
      <c r="F1791" s="10" t="s">
        <v>6394</v>
      </c>
      <c r="G1791" s="5" t="s">
        <v>6395</v>
      </c>
      <c r="H1791" s="5" t="s">
        <v>6396</v>
      </c>
      <c r="I1791" s="5" t="s">
        <v>1664</v>
      </c>
      <c r="J1791" s="5" t="s">
        <v>6187</v>
      </c>
      <c r="K1791" s="5">
        <v>1.0</v>
      </c>
      <c r="L1791" s="5">
        <v>2879.0</v>
      </c>
      <c r="M1791" s="10">
        <v>-123.1835</v>
      </c>
      <c r="N1791" s="10">
        <v>50.8593</v>
      </c>
      <c r="O1791" s="10">
        <v>1829.0</v>
      </c>
      <c r="P1791" s="10" t="s">
        <v>6393</v>
      </c>
      <c r="Q1791" s="55"/>
      <c r="R1791" s="10" t="s">
        <v>6397</v>
      </c>
      <c r="S1791" s="55"/>
      <c r="T1791" s="55"/>
      <c r="U1791" s="55"/>
      <c r="V1791" s="55"/>
      <c r="W1791" s="55"/>
      <c r="X1791" s="55"/>
      <c r="Y1791" s="55"/>
      <c r="Z1791" s="55"/>
      <c r="AA1791" s="55"/>
      <c r="AB1791" s="55"/>
      <c r="AC1791" s="55"/>
      <c r="AD1791" s="55"/>
      <c r="AE1791" s="55"/>
      <c r="AF1791" s="55"/>
      <c r="AG1791" s="55"/>
      <c r="AH1791" s="55"/>
      <c r="AI1791" s="55"/>
      <c r="AJ1791" s="55"/>
      <c r="AK1791" s="55"/>
      <c r="AL1791" s="55"/>
      <c r="AM1791" s="55"/>
      <c r="AN1791" s="55"/>
      <c r="AO1791" s="55"/>
      <c r="AP1791" s="55"/>
      <c r="AQ1791" s="55"/>
      <c r="AR1791" s="55"/>
      <c r="AS1791" s="55"/>
      <c r="AT1791" s="55"/>
      <c r="AU1791" s="55"/>
      <c r="AV1791" s="55"/>
      <c r="AW1791" s="55"/>
      <c r="AX1791" s="55"/>
      <c r="AY1791" s="55"/>
      <c r="AZ1791" s="55"/>
      <c r="BA1791" s="55"/>
      <c r="BB1791" s="55"/>
      <c r="BC1791" s="55"/>
      <c r="BD1791" s="55"/>
      <c r="BE1791" s="55"/>
      <c r="BF1791" s="55"/>
      <c r="BG1791" s="55"/>
      <c r="BH1791" s="55"/>
      <c r="BI1791" s="55"/>
      <c r="BJ1791" s="55"/>
      <c r="BK1791" s="55"/>
      <c r="BL1791" s="55"/>
      <c r="BM1791" s="55"/>
      <c r="BN1791" s="55"/>
      <c r="BO1791" s="55"/>
      <c r="BP1791" s="55"/>
      <c r="BQ1791" s="55"/>
      <c r="BR1791" s="55"/>
      <c r="BS1791" s="55"/>
      <c r="BT1791" s="55"/>
    </row>
    <row r="1792" ht="14.25" customHeight="1">
      <c r="B1792" s="5">
        <v>5.0</v>
      </c>
      <c r="C1792" s="5" t="s">
        <v>7688</v>
      </c>
      <c r="D1792" s="5" t="s">
        <v>6398</v>
      </c>
      <c r="E1792" s="5">
        <v>13105.0</v>
      </c>
      <c r="F1792" s="5" t="s">
        <v>6399</v>
      </c>
      <c r="G1792" s="5" t="s">
        <v>6400</v>
      </c>
      <c r="H1792" s="5" t="s">
        <v>6401</v>
      </c>
      <c r="I1792" s="5" t="s">
        <v>49</v>
      </c>
      <c r="J1792" s="5" t="s">
        <v>6087</v>
      </c>
      <c r="K1792" s="5">
        <v>1.0</v>
      </c>
      <c r="L1792" s="5">
        <v>15027.0</v>
      </c>
      <c r="M1792" s="5">
        <v>-122.314283</v>
      </c>
      <c r="N1792" s="5">
        <v>49.581909</v>
      </c>
      <c r="O1792" s="5">
        <v>1208.0</v>
      </c>
      <c r="P1792" s="5" t="s">
        <v>6398</v>
      </c>
      <c r="Q1792" s="5">
        <v>6.0</v>
      </c>
      <c r="R1792" s="5" t="s">
        <v>6402</v>
      </c>
      <c r="S1792" s="5" t="s">
        <v>6009</v>
      </c>
    </row>
    <row r="1793" ht="14.25" customHeight="1">
      <c r="B1793" s="5">
        <v>5.0</v>
      </c>
      <c r="C1793" s="5" t="s">
        <v>7688</v>
      </c>
      <c r="D1793" s="5" t="s">
        <v>6403</v>
      </c>
      <c r="E1793" s="5">
        <v>13121.0</v>
      </c>
      <c r="F1793" s="5" t="s">
        <v>6404</v>
      </c>
      <c r="G1793" s="5" t="s">
        <v>6405</v>
      </c>
      <c r="H1793" s="5" t="s">
        <v>6172</v>
      </c>
      <c r="I1793" s="5" t="s">
        <v>49</v>
      </c>
      <c r="J1793" s="5" t="s">
        <v>6127</v>
      </c>
      <c r="K1793" s="5">
        <v>1.0</v>
      </c>
      <c r="L1793" s="5">
        <v>15043.0</v>
      </c>
      <c r="M1793" s="5">
        <v>-122.62537499999999</v>
      </c>
      <c r="N1793" s="5">
        <v>50.69855555555555</v>
      </c>
      <c r="O1793" s="5">
        <v>1718.0</v>
      </c>
      <c r="P1793" s="5" t="s">
        <v>6403</v>
      </c>
      <c r="Q1793" s="5">
        <v>7.0</v>
      </c>
      <c r="R1793" s="5" t="s">
        <v>6404</v>
      </c>
      <c r="S1793" s="5" t="s">
        <v>6009</v>
      </c>
    </row>
    <row r="1794" ht="14.25" customHeight="1">
      <c r="B1794" s="5">
        <v>5.0</v>
      </c>
      <c r="C1794" s="5" t="s">
        <v>7688</v>
      </c>
      <c r="D1794" s="5" t="s">
        <v>6406</v>
      </c>
      <c r="E1794" s="5">
        <v>2478.0</v>
      </c>
      <c r="F1794" s="5" t="s">
        <v>6407</v>
      </c>
      <c r="G1794" s="5" t="s">
        <v>6408</v>
      </c>
      <c r="H1794" s="5" t="s">
        <v>6409</v>
      </c>
      <c r="I1794" s="5" t="s">
        <v>1664</v>
      </c>
      <c r="J1794" s="5" t="s">
        <v>6041</v>
      </c>
      <c r="K1794" s="5">
        <v>1.0</v>
      </c>
      <c r="L1794" s="5">
        <v>2881.0</v>
      </c>
      <c r="M1794" s="5">
        <v>-123.4041667</v>
      </c>
      <c r="N1794" s="5">
        <v>56.9815</v>
      </c>
      <c r="O1794" s="5">
        <v>1200.0</v>
      </c>
      <c r="P1794" s="5" t="s">
        <v>6406</v>
      </c>
      <c r="Q1794" s="5">
        <v>4.0</v>
      </c>
      <c r="R1794" s="5" t="s">
        <v>6407</v>
      </c>
      <c r="S1794" s="5" t="s">
        <v>6009</v>
      </c>
    </row>
    <row r="1795" ht="14.25" customHeight="1">
      <c r="A1795" s="5" t="s">
        <v>2037</v>
      </c>
      <c r="B1795" s="5">
        <v>5.0</v>
      </c>
      <c r="C1795" s="5" t="s">
        <v>7688</v>
      </c>
      <c r="D1795" s="5" t="s">
        <v>6410</v>
      </c>
      <c r="E1795" s="5">
        <v>2511.0</v>
      </c>
      <c r="F1795" s="10" t="s">
        <v>6411</v>
      </c>
      <c r="G1795" s="5" t="s">
        <v>6412</v>
      </c>
      <c r="H1795" s="5" t="s">
        <v>6413</v>
      </c>
      <c r="I1795" s="5" t="s">
        <v>1664</v>
      </c>
      <c r="J1795" s="5" t="s">
        <v>6187</v>
      </c>
      <c r="K1795" s="5">
        <v>1.0</v>
      </c>
      <c r="L1795" s="5">
        <v>2914.0</v>
      </c>
      <c r="M1795" s="10">
        <v>-124.6442</v>
      </c>
      <c r="N1795" s="10">
        <v>56.245</v>
      </c>
      <c r="O1795" s="10">
        <v>728.0</v>
      </c>
      <c r="P1795" s="10" t="s">
        <v>6410</v>
      </c>
      <c r="Q1795" s="55"/>
      <c r="R1795" s="10" t="s">
        <v>6414</v>
      </c>
      <c r="S1795" s="55"/>
      <c r="T1795" s="55"/>
      <c r="U1795" s="55"/>
      <c r="V1795" s="55"/>
      <c r="W1795" s="55"/>
      <c r="X1795" s="55"/>
      <c r="Y1795" s="55"/>
      <c r="Z1795" s="55"/>
      <c r="AA1795" s="55"/>
      <c r="AB1795" s="55"/>
      <c r="AC1795" s="55"/>
      <c r="AD1795" s="55"/>
      <c r="AE1795" s="55"/>
      <c r="AF1795" s="55"/>
      <c r="AG1795" s="55"/>
      <c r="AH1795" s="55"/>
      <c r="AI1795" s="55"/>
      <c r="AJ1795" s="55"/>
      <c r="AK1795" s="55"/>
      <c r="AL1795" s="55"/>
      <c r="AM1795" s="55"/>
      <c r="AN1795" s="55"/>
      <c r="AO1795" s="55"/>
      <c r="AP1795" s="55"/>
      <c r="AQ1795" s="55"/>
      <c r="AR1795" s="55"/>
      <c r="AS1795" s="55"/>
      <c r="AT1795" s="55"/>
      <c r="AU1795" s="55"/>
      <c r="AV1795" s="55"/>
      <c r="AW1795" s="55"/>
      <c r="AX1795" s="55"/>
      <c r="AY1795" s="55"/>
      <c r="AZ1795" s="55"/>
      <c r="BA1795" s="55"/>
      <c r="BB1795" s="55"/>
      <c r="BC1795" s="55"/>
      <c r="BD1795" s="55"/>
      <c r="BE1795" s="55"/>
      <c r="BF1795" s="55"/>
      <c r="BG1795" s="55"/>
      <c r="BH1795" s="55"/>
      <c r="BI1795" s="55"/>
      <c r="BJ1795" s="55"/>
      <c r="BK1795" s="55"/>
      <c r="BL1795" s="55"/>
      <c r="BM1795" s="55"/>
      <c r="BN1795" s="55"/>
      <c r="BO1795" s="55"/>
      <c r="BP1795" s="55"/>
      <c r="BQ1795" s="55"/>
      <c r="BR1795" s="55"/>
      <c r="BS1795" s="55"/>
      <c r="BT1795" s="55"/>
    </row>
    <row r="1796" ht="14.25" customHeight="1">
      <c r="B1796" s="5">
        <v>5.0</v>
      </c>
      <c r="C1796" s="5" t="s">
        <v>7688</v>
      </c>
      <c r="D1796" s="5" t="s">
        <v>6415</v>
      </c>
      <c r="E1796" s="5">
        <v>2479.0</v>
      </c>
      <c r="F1796" s="5" t="s">
        <v>6416</v>
      </c>
      <c r="G1796" s="5" t="s">
        <v>6417</v>
      </c>
      <c r="H1796" s="5" t="s">
        <v>6418</v>
      </c>
      <c r="I1796" s="5" t="s">
        <v>1664</v>
      </c>
      <c r="J1796" s="5" t="s">
        <v>6041</v>
      </c>
      <c r="K1796" s="5">
        <v>1.0</v>
      </c>
      <c r="L1796" s="5">
        <v>2882.0</v>
      </c>
      <c r="M1796" s="5">
        <v>-122.2076944</v>
      </c>
      <c r="N1796" s="5">
        <v>50.76255556</v>
      </c>
      <c r="O1796" s="5">
        <v>1850.0</v>
      </c>
      <c r="P1796" s="5" t="s">
        <v>6415</v>
      </c>
      <c r="Q1796" s="5">
        <v>8.0</v>
      </c>
      <c r="R1796" s="5" t="s">
        <v>6416</v>
      </c>
      <c r="S1796" s="5" t="s">
        <v>6009</v>
      </c>
    </row>
    <row r="1797" ht="14.25" customHeight="1">
      <c r="A1797" s="5" t="s">
        <v>1908</v>
      </c>
      <c r="B1797" s="5">
        <v>5.0</v>
      </c>
      <c r="C1797" s="5" t="s">
        <v>7688</v>
      </c>
      <c r="D1797" s="5" t="s">
        <v>6419</v>
      </c>
      <c r="E1797" s="5">
        <v>2480.0</v>
      </c>
      <c r="F1797" s="10" t="s">
        <v>6420</v>
      </c>
      <c r="G1797" s="10" t="s">
        <v>6421</v>
      </c>
      <c r="H1797" s="5" t="s">
        <v>6422</v>
      </c>
      <c r="I1797" s="5" t="s">
        <v>1664</v>
      </c>
      <c r="J1797" s="5" t="s">
        <v>6046</v>
      </c>
      <c r="K1797" s="5">
        <v>1.0</v>
      </c>
      <c r="L1797" s="5">
        <v>2883.0</v>
      </c>
      <c r="M1797" s="11">
        <v>-121.3471528</v>
      </c>
      <c r="N1797" s="11">
        <v>56.09306667</v>
      </c>
      <c r="O1797" s="11">
        <v>600.0</v>
      </c>
      <c r="P1797" s="5" t="s">
        <v>6419</v>
      </c>
      <c r="Q1797" s="72">
        <v>1.0</v>
      </c>
      <c r="R1797" s="11" t="s">
        <v>6423</v>
      </c>
      <c r="S1797" s="11" t="s">
        <v>6009</v>
      </c>
    </row>
    <row r="1798" ht="14.25" customHeight="1">
      <c r="A1798" s="5" t="s">
        <v>1908</v>
      </c>
      <c r="B1798" s="5">
        <v>5.0</v>
      </c>
      <c r="C1798" s="5" t="s">
        <v>7688</v>
      </c>
      <c r="D1798" s="5" t="s">
        <v>6424</v>
      </c>
      <c r="E1798" s="5">
        <v>2481.0</v>
      </c>
      <c r="F1798" s="10" t="s">
        <v>6425</v>
      </c>
      <c r="G1798" s="10" t="s">
        <v>6426</v>
      </c>
      <c r="H1798" s="5" t="s">
        <v>6427</v>
      </c>
      <c r="I1798" s="5" t="s">
        <v>1664</v>
      </c>
      <c r="J1798" s="5" t="s">
        <v>6041</v>
      </c>
      <c r="K1798" s="5">
        <v>1.0</v>
      </c>
      <c r="L1798" s="5">
        <v>2884.0</v>
      </c>
      <c r="M1798" s="11">
        <v>-118.2258333</v>
      </c>
      <c r="N1798" s="11">
        <v>52.22055556</v>
      </c>
      <c r="O1798" s="11">
        <v>1935.0</v>
      </c>
      <c r="P1798" s="5" t="s">
        <v>6424</v>
      </c>
      <c r="Q1798" s="72">
        <v>7.0</v>
      </c>
      <c r="R1798" s="11" t="s">
        <v>6428</v>
      </c>
      <c r="S1798" s="11" t="s">
        <v>6009</v>
      </c>
    </row>
    <row r="1799" ht="14.25" customHeight="1">
      <c r="B1799" s="5">
        <v>5.0</v>
      </c>
      <c r="C1799" s="5" t="s">
        <v>7688</v>
      </c>
      <c r="D1799" s="5" t="s">
        <v>6429</v>
      </c>
      <c r="E1799" s="5">
        <v>13119.0</v>
      </c>
      <c r="F1799" s="5" t="s">
        <v>6430</v>
      </c>
      <c r="G1799" s="5" t="s">
        <v>6431</v>
      </c>
      <c r="H1799" s="5" t="s">
        <v>6432</v>
      </c>
      <c r="I1799" s="5" t="s">
        <v>6433</v>
      </c>
      <c r="J1799" s="5" t="s">
        <v>6087</v>
      </c>
      <c r="K1799" s="5">
        <v>1.0</v>
      </c>
      <c r="L1799" s="5">
        <v>15041.0</v>
      </c>
      <c r="M1799" s="5">
        <v>-121.23169722222222</v>
      </c>
      <c r="N1799" s="5">
        <v>54.72528055555556</v>
      </c>
      <c r="O1799" s="5">
        <v>1570.0</v>
      </c>
      <c r="P1799" s="5" t="s">
        <v>6429</v>
      </c>
      <c r="Q1799" s="5">
        <v>7.0</v>
      </c>
      <c r="R1799" s="5" t="s">
        <v>6430</v>
      </c>
      <c r="S1799" s="5" t="s">
        <v>6009</v>
      </c>
    </row>
    <row r="1800" ht="14.25" customHeight="1">
      <c r="B1800" s="5">
        <v>5.0</v>
      </c>
      <c r="C1800" s="5" t="s">
        <v>7688</v>
      </c>
      <c r="D1800" s="5" t="s">
        <v>6434</v>
      </c>
      <c r="E1800" s="5">
        <v>2482.0</v>
      </c>
      <c r="F1800" s="5" t="s">
        <v>6435</v>
      </c>
      <c r="G1800" s="5" t="s">
        <v>6436</v>
      </c>
      <c r="H1800" s="5" t="s">
        <v>6437</v>
      </c>
      <c r="I1800" s="5" t="s">
        <v>1664</v>
      </c>
      <c r="J1800" s="5" t="s">
        <v>6069</v>
      </c>
      <c r="K1800" s="5">
        <v>1.0</v>
      </c>
      <c r="L1800" s="5">
        <v>2885.0</v>
      </c>
      <c r="M1800" s="5">
        <v>-114.975</v>
      </c>
      <c r="N1800" s="5">
        <v>49.44722222</v>
      </c>
      <c r="O1800" s="5">
        <v>1860.0</v>
      </c>
      <c r="P1800" s="5" t="s">
        <v>6434</v>
      </c>
      <c r="Q1800" s="5">
        <v>6.0</v>
      </c>
      <c r="R1800" s="5" t="s">
        <v>6435</v>
      </c>
      <c r="S1800" s="5" t="s">
        <v>6009</v>
      </c>
    </row>
    <row r="1801" ht="14.25" customHeight="1">
      <c r="B1801" s="5">
        <v>5.0</v>
      </c>
      <c r="C1801" s="5" t="s">
        <v>7688</v>
      </c>
      <c r="D1801" s="5" t="s">
        <v>6438</v>
      </c>
      <c r="E1801" s="5">
        <v>13091.0</v>
      </c>
      <c r="F1801" s="5" t="s">
        <v>6439</v>
      </c>
      <c r="G1801" s="5" t="s">
        <v>6440</v>
      </c>
      <c r="H1801" s="5" t="s">
        <v>6014</v>
      </c>
      <c r="I1801" s="5" t="s">
        <v>6433</v>
      </c>
      <c r="J1801" s="5" t="s">
        <v>6087</v>
      </c>
      <c r="K1801" s="5">
        <v>1.0</v>
      </c>
      <c r="L1801" s="5">
        <v>15013.0</v>
      </c>
      <c r="M1801" s="5">
        <v>-121.80416666666666</v>
      </c>
      <c r="N1801" s="5">
        <v>54.526666666666664</v>
      </c>
      <c r="O1801" s="5">
        <v>1484.0</v>
      </c>
      <c r="P1801" s="5" t="s">
        <v>6438</v>
      </c>
      <c r="Q1801" s="5">
        <v>7.0</v>
      </c>
      <c r="R1801" s="5" t="s">
        <v>6439</v>
      </c>
      <c r="S1801" s="5" t="s">
        <v>6009</v>
      </c>
    </row>
    <row r="1802" ht="14.25" customHeight="1">
      <c r="A1802" s="5" t="s">
        <v>1908</v>
      </c>
      <c r="B1802" s="5">
        <v>5.0</v>
      </c>
      <c r="C1802" s="5" t="s">
        <v>7688</v>
      </c>
      <c r="D1802" s="5" t="s">
        <v>6441</v>
      </c>
      <c r="E1802" s="5">
        <v>2483.0</v>
      </c>
      <c r="F1802" s="10" t="s">
        <v>6442</v>
      </c>
      <c r="G1802" s="10" t="s">
        <v>6443</v>
      </c>
      <c r="H1802" s="5" t="s">
        <v>6278</v>
      </c>
      <c r="I1802" s="5" t="s">
        <v>1664</v>
      </c>
      <c r="J1802" s="5" t="s">
        <v>6041</v>
      </c>
      <c r="K1802" s="5">
        <v>1.0</v>
      </c>
      <c r="L1802" s="5">
        <v>2886.0</v>
      </c>
      <c r="M1802" s="11">
        <v>-118.1516028</v>
      </c>
      <c r="N1802" s="11">
        <v>51.03634167</v>
      </c>
      <c r="O1802" s="11">
        <v>1850.0</v>
      </c>
      <c r="P1802" s="5" t="s">
        <v>6441</v>
      </c>
      <c r="Q1802" s="72">
        <v>6.0</v>
      </c>
      <c r="R1802" s="11" t="s">
        <v>6444</v>
      </c>
      <c r="S1802" s="11" t="s">
        <v>6009</v>
      </c>
    </row>
    <row r="1803" ht="14.25" customHeight="1">
      <c r="B1803" s="5">
        <v>5.0</v>
      </c>
      <c r="C1803" s="5" t="s">
        <v>7688</v>
      </c>
      <c r="D1803" s="5" t="s">
        <v>6445</v>
      </c>
      <c r="E1803" s="5">
        <v>12400.0</v>
      </c>
      <c r="F1803" s="5" t="s">
        <v>6446</v>
      </c>
      <c r="G1803" s="5" t="s">
        <v>6447</v>
      </c>
      <c r="H1803" s="5" t="s">
        <v>6289</v>
      </c>
      <c r="I1803" s="5" t="s">
        <v>641</v>
      </c>
      <c r="J1803" s="5" t="s">
        <v>6087</v>
      </c>
      <c r="K1803" s="5">
        <v>1.0</v>
      </c>
      <c r="L1803" s="5">
        <v>14422.0</v>
      </c>
      <c r="M1803" s="5">
        <v>-123.1063889</v>
      </c>
      <c r="N1803" s="5">
        <v>56.78138889</v>
      </c>
      <c r="O1803" s="5">
        <v>1196.0</v>
      </c>
      <c r="P1803" s="5" t="s">
        <v>6445</v>
      </c>
      <c r="Q1803" s="5">
        <v>5.0</v>
      </c>
      <c r="R1803" s="5" t="s">
        <v>6446</v>
      </c>
      <c r="S1803" s="5" t="s">
        <v>6009</v>
      </c>
    </row>
    <row r="1804" ht="14.25" customHeight="1">
      <c r="A1804" s="5" t="s">
        <v>1908</v>
      </c>
      <c r="B1804" s="5">
        <v>5.0</v>
      </c>
      <c r="C1804" s="5" t="s">
        <v>7688</v>
      </c>
      <c r="D1804" s="5" t="s">
        <v>6448</v>
      </c>
      <c r="E1804" s="5">
        <v>2484.0</v>
      </c>
      <c r="F1804" s="10" t="s">
        <v>6449</v>
      </c>
      <c r="G1804" s="10" t="s">
        <v>6450</v>
      </c>
      <c r="H1804" s="5" t="s">
        <v>6451</v>
      </c>
      <c r="I1804" s="5" t="s">
        <v>1664</v>
      </c>
      <c r="J1804" s="5" t="s">
        <v>6046</v>
      </c>
      <c r="K1804" s="5">
        <v>1.0</v>
      </c>
      <c r="L1804" s="5">
        <v>2887.0</v>
      </c>
      <c r="M1804" s="11">
        <v>-123.6212389</v>
      </c>
      <c r="N1804" s="11">
        <v>55.43404722</v>
      </c>
      <c r="O1804" s="11">
        <v>725.0</v>
      </c>
      <c r="P1804" s="5" t="s">
        <v>6448</v>
      </c>
      <c r="Q1804" s="72">
        <v>1.0</v>
      </c>
      <c r="R1804" s="11" t="s">
        <v>6452</v>
      </c>
      <c r="S1804" s="11" t="s">
        <v>6009</v>
      </c>
    </row>
    <row r="1805" ht="14.25" customHeight="1">
      <c r="B1805" s="5">
        <v>5.0</v>
      </c>
      <c r="C1805" s="5" t="s">
        <v>7688</v>
      </c>
      <c r="D1805" s="5" t="s">
        <v>6453</v>
      </c>
      <c r="E1805" s="5">
        <v>13093.0</v>
      </c>
      <c r="F1805" s="5" t="s">
        <v>6454</v>
      </c>
      <c r="G1805" s="5" t="s">
        <v>6455</v>
      </c>
      <c r="H1805" s="5" t="s">
        <v>6014</v>
      </c>
      <c r="I1805" s="5" t="s">
        <v>49</v>
      </c>
      <c r="J1805" s="5" t="s">
        <v>6262</v>
      </c>
      <c r="K1805" s="5">
        <v>1.0</v>
      </c>
      <c r="L1805" s="5">
        <v>15015.0</v>
      </c>
      <c r="M1805" s="5">
        <v>-117.358372</v>
      </c>
      <c r="N1805" s="5">
        <v>49.996657</v>
      </c>
      <c r="O1805" s="5">
        <v>653.0</v>
      </c>
      <c r="P1805" s="5" t="s">
        <v>6453</v>
      </c>
      <c r="Q1805" s="5">
        <v>1.0</v>
      </c>
      <c r="R1805" s="5" t="s">
        <v>6454</v>
      </c>
      <c r="S1805" s="5" t="s">
        <v>6009</v>
      </c>
    </row>
    <row r="1806" ht="14.25" customHeight="1">
      <c r="A1806" s="5" t="s">
        <v>1908</v>
      </c>
      <c r="B1806" s="5">
        <v>5.0</v>
      </c>
      <c r="C1806" s="5" t="s">
        <v>7688</v>
      </c>
      <c r="D1806" s="5" t="s">
        <v>6456</v>
      </c>
      <c r="E1806" s="5">
        <v>2485.0</v>
      </c>
      <c r="F1806" s="10" t="s">
        <v>6457</v>
      </c>
      <c r="G1806" s="10" t="s">
        <v>6458</v>
      </c>
      <c r="H1806" s="5" t="s">
        <v>6459</v>
      </c>
      <c r="I1806" s="5" t="s">
        <v>1664</v>
      </c>
      <c r="J1806" s="5" t="s">
        <v>6069</v>
      </c>
      <c r="K1806" s="5">
        <v>1.0</v>
      </c>
      <c r="L1806" s="5">
        <v>2888.0</v>
      </c>
      <c r="M1806" s="11">
        <v>-122.7855833</v>
      </c>
      <c r="N1806" s="11">
        <v>51.14752778</v>
      </c>
      <c r="O1806" s="11">
        <v>1969.0</v>
      </c>
      <c r="P1806" s="5" t="s">
        <v>6456</v>
      </c>
      <c r="Q1806" s="72">
        <v>8.0</v>
      </c>
      <c r="R1806" s="11" t="s">
        <v>6460</v>
      </c>
      <c r="S1806" s="11" t="s">
        <v>6009</v>
      </c>
    </row>
    <row r="1807" ht="14.25" customHeight="1">
      <c r="A1807" s="5" t="s">
        <v>6461</v>
      </c>
      <c r="B1807" s="5">
        <v>5.0</v>
      </c>
      <c r="C1807" s="5" t="s">
        <v>7688</v>
      </c>
      <c r="D1807" s="5" t="s">
        <v>6462</v>
      </c>
      <c r="E1807" s="5">
        <v>2486.0</v>
      </c>
      <c r="F1807" s="10" t="s">
        <v>6463</v>
      </c>
      <c r="G1807" s="5" t="s">
        <v>6464</v>
      </c>
      <c r="H1807" s="5" t="s">
        <v>6465</v>
      </c>
      <c r="I1807" s="5" t="s">
        <v>1664</v>
      </c>
      <c r="J1807" s="5" t="s">
        <v>6187</v>
      </c>
      <c r="K1807" s="5">
        <v>1.0</v>
      </c>
      <c r="L1807" s="5">
        <v>2889.0</v>
      </c>
      <c r="V1807" s="55"/>
      <c r="W1807" s="55"/>
      <c r="X1807" s="55"/>
      <c r="Y1807" s="55"/>
      <c r="Z1807" s="55"/>
      <c r="AA1807" s="55"/>
      <c r="AB1807" s="55"/>
      <c r="AC1807" s="55"/>
      <c r="AD1807" s="55"/>
      <c r="AE1807" s="55"/>
      <c r="AF1807" s="55"/>
      <c r="AG1807" s="55"/>
      <c r="AH1807" s="55"/>
      <c r="AI1807" s="55"/>
      <c r="AJ1807" s="55"/>
      <c r="AK1807" s="55"/>
      <c r="AL1807" s="55"/>
      <c r="AM1807" s="55"/>
      <c r="AN1807" s="55"/>
      <c r="AO1807" s="55"/>
      <c r="AP1807" s="55"/>
      <c r="AQ1807" s="55"/>
      <c r="AR1807" s="55"/>
      <c r="AS1807" s="55"/>
      <c r="AT1807" s="55"/>
      <c r="AU1807" s="55"/>
      <c r="AV1807" s="55"/>
      <c r="AW1807" s="55"/>
      <c r="AX1807" s="55"/>
      <c r="AY1807" s="55"/>
      <c r="AZ1807" s="55"/>
      <c r="BA1807" s="55"/>
      <c r="BB1807" s="55"/>
      <c r="BC1807" s="55"/>
      <c r="BD1807" s="55"/>
      <c r="BE1807" s="55"/>
      <c r="BF1807" s="55"/>
      <c r="BG1807" s="55"/>
      <c r="BH1807" s="55"/>
      <c r="BI1807" s="55"/>
      <c r="BJ1807" s="55"/>
      <c r="BK1807" s="55"/>
      <c r="BL1807" s="55"/>
      <c r="BM1807" s="55"/>
      <c r="BN1807" s="55"/>
      <c r="BO1807" s="55"/>
      <c r="BP1807" s="55"/>
      <c r="BQ1807" s="55"/>
      <c r="BR1807" s="55"/>
      <c r="BS1807" s="55"/>
      <c r="BT1807" s="55"/>
    </row>
    <row r="1808" ht="14.25" customHeight="1">
      <c r="A1808" s="5" t="s">
        <v>1908</v>
      </c>
      <c r="B1808" s="5">
        <v>5.0</v>
      </c>
      <c r="C1808" s="5" t="s">
        <v>7688</v>
      </c>
      <c r="D1808" s="5" t="s">
        <v>6466</v>
      </c>
      <c r="E1808" s="5">
        <v>2487.0</v>
      </c>
      <c r="F1808" s="10" t="s">
        <v>6467</v>
      </c>
      <c r="G1808" s="10" t="s">
        <v>6468</v>
      </c>
      <c r="H1808" s="5" t="s">
        <v>6469</v>
      </c>
      <c r="I1808" s="5" t="s">
        <v>1664</v>
      </c>
      <c r="J1808" s="5" t="s">
        <v>6046</v>
      </c>
      <c r="K1808" s="5">
        <v>1.0</v>
      </c>
      <c r="L1808" s="5">
        <v>2890.0</v>
      </c>
      <c r="M1808" s="11">
        <v>-124.8006972</v>
      </c>
      <c r="N1808" s="11">
        <v>56.12661389</v>
      </c>
      <c r="O1808" s="11">
        <v>775.0</v>
      </c>
      <c r="P1808" s="5" t="s">
        <v>6466</v>
      </c>
      <c r="Q1808" s="72">
        <v>2.0</v>
      </c>
      <c r="R1808" s="11" t="s">
        <v>6470</v>
      </c>
      <c r="S1808" s="11" t="s">
        <v>6009</v>
      </c>
    </row>
    <row r="1809" ht="14.25" customHeight="1">
      <c r="A1809" s="5" t="s">
        <v>6461</v>
      </c>
      <c r="B1809" s="5">
        <v>5.0</v>
      </c>
      <c r="C1809" s="5" t="s">
        <v>7688</v>
      </c>
      <c r="D1809" s="5" t="s">
        <v>6471</v>
      </c>
      <c r="E1809" s="5">
        <v>2488.0</v>
      </c>
      <c r="F1809" s="10" t="s">
        <v>6472</v>
      </c>
      <c r="G1809" s="5" t="s">
        <v>6473</v>
      </c>
      <c r="H1809" s="5" t="s">
        <v>6474</v>
      </c>
      <c r="I1809" s="5" t="s">
        <v>1664</v>
      </c>
      <c r="J1809" s="5" t="s">
        <v>6187</v>
      </c>
      <c r="K1809" s="5">
        <v>1.0</v>
      </c>
      <c r="L1809" s="5">
        <v>2891.0</v>
      </c>
      <c r="V1809" s="55"/>
      <c r="W1809" s="55"/>
      <c r="X1809" s="55"/>
      <c r="Y1809" s="55"/>
      <c r="Z1809" s="55"/>
      <c r="AA1809" s="55"/>
      <c r="AB1809" s="55"/>
      <c r="AC1809" s="55"/>
      <c r="AD1809" s="55"/>
      <c r="AE1809" s="55"/>
      <c r="AF1809" s="55"/>
      <c r="AG1809" s="55"/>
      <c r="AH1809" s="55"/>
      <c r="AI1809" s="55"/>
      <c r="AJ1809" s="55"/>
      <c r="AK1809" s="55"/>
      <c r="AL1809" s="55"/>
      <c r="AM1809" s="55"/>
      <c r="AN1809" s="55"/>
      <c r="AO1809" s="55"/>
      <c r="AP1809" s="55"/>
      <c r="AQ1809" s="55"/>
      <c r="AR1809" s="55"/>
      <c r="AS1809" s="55"/>
      <c r="AT1809" s="55"/>
      <c r="AU1809" s="55"/>
      <c r="AV1809" s="55"/>
      <c r="AW1809" s="55"/>
      <c r="AX1809" s="55"/>
      <c r="AY1809" s="55"/>
      <c r="AZ1809" s="55"/>
      <c r="BA1809" s="55"/>
      <c r="BB1809" s="55"/>
      <c r="BC1809" s="55"/>
      <c r="BD1809" s="55"/>
      <c r="BE1809" s="55"/>
      <c r="BF1809" s="55"/>
      <c r="BG1809" s="55"/>
      <c r="BH1809" s="55"/>
      <c r="BI1809" s="55"/>
      <c r="BJ1809" s="55"/>
      <c r="BK1809" s="55"/>
      <c r="BL1809" s="55"/>
      <c r="BM1809" s="55"/>
      <c r="BN1809" s="55"/>
      <c r="BO1809" s="55"/>
      <c r="BP1809" s="55"/>
      <c r="BQ1809" s="55"/>
      <c r="BR1809" s="55"/>
      <c r="BS1809" s="55"/>
      <c r="BT1809" s="55"/>
    </row>
    <row r="1810" ht="14.25" customHeight="1">
      <c r="A1810" s="5" t="s">
        <v>2037</v>
      </c>
      <c r="B1810" s="5">
        <v>5.0</v>
      </c>
      <c r="C1810" s="5" t="s">
        <v>7688</v>
      </c>
      <c r="D1810" s="5" t="s">
        <v>6475</v>
      </c>
      <c r="E1810" s="5">
        <v>2489.0</v>
      </c>
      <c r="F1810" s="10" t="s">
        <v>6476</v>
      </c>
      <c r="G1810" s="5" t="s">
        <v>6477</v>
      </c>
      <c r="H1810" s="5" t="s">
        <v>6040</v>
      </c>
      <c r="I1810" s="5" t="s">
        <v>1664</v>
      </c>
      <c r="J1810" s="5" t="s">
        <v>6046</v>
      </c>
      <c r="K1810" s="5">
        <v>1.0</v>
      </c>
      <c r="L1810" s="5">
        <v>2892.0</v>
      </c>
      <c r="M1810" s="11">
        <v>-123.0364472</v>
      </c>
      <c r="N1810" s="11">
        <v>54.99717778</v>
      </c>
      <c r="O1810" s="11">
        <v>675.0</v>
      </c>
      <c r="P1810" s="5" t="s">
        <v>6475</v>
      </c>
      <c r="Q1810" s="72">
        <v>1.0</v>
      </c>
      <c r="R1810" s="11" t="s">
        <v>6478</v>
      </c>
      <c r="S1810" s="11" t="s">
        <v>6009</v>
      </c>
    </row>
    <row r="1811" ht="14.25" customHeight="1">
      <c r="A1811" s="5" t="s">
        <v>1908</v>
      </c>
      <c r="B1811" s="5">
        <v>5.0</v>
      </c>
      <c r="C1811" s="5" t="s">
        <v>7688</v>
      </c>
      <c r="D1811" s="5" t="s">
        <v>6479</v>
      </c>
      <c r="E1811" s="5">
        <v>2494.0</v>
      </c>
      <c r="F1811" s="10" t="s">
        <v>6480</v>
      </c>
      <c r="G1811" s="10" t="s">
        <v>6481</v>
      </c>
      <c r="H1811" s="5" t="s">
        <v>6482</v>
      </c>
      <c r="I1811" s="5" t="s">
        <v>1664</v>
      </c>
      <c r="J1811" s="5" t="s">
        <v>6046</v>
      </c>
      <c r="K1811" s="5">
        <v>1.0</v>
      </c>
      <c r="L1811" s="5">
        <v>2897.0</v>
      </c>
      <c r="M1811" s="11">
        <v>-122.9161</v>
      </c>
      <c r="N1811" s="11">
        <v>55.08346944</v>
      </c>
      <c r="O1811" s="11">
        <v>700.0</v>
      </c>
      <c r="P1811" s="5" t="s">
        <v>6479</v>
      </c>
      <c r="Q1811" s="72">
        <v>1.0</v>
      </c>
      <c r="R1811" s="11" t="s">
        <v>6483</v>
      </c>
      <c r="S1811" s="11" t="s">
        <v>6009</v>
      </c>
    </row>
    <row r="1812" ht="14.25" customHeight="1">
      <c r="A1812" s="5" t="s">
        <v>88</v>
      </c>
      <c r="B1812" s="5">
        <v>5.0</v>
      </c>
      <c r="C1812" s="5" t="s">
        <v>7688</v>
      </c>
      <c r="D1812" s="5" t="s">
        <v>6484</v>
      </c>
      <c r="E1812" s="5">
        <v>2490.0</v>
      </c>
      <c r="F1812" s="5" t="s">
        <v>6485</v>
      </c>
      <c r="G1812" s="10" t="s">
        <v>6486</v>
      </c>
      <c r="H1812" s="5" t="s">
        <v>6040</v>
      </c>
      <c r="I1812" s="5" t="s">
        <v>1664</v>
      </c>
      <c r="J1812" s="5" t="s">
        <v>6041</v>
      </c>
      <c r="K1812" s="5">
        <v>1.0</v>
      </c>
      <c r="L1812" s="5">
        <v>2893.0</v>
      </c>
      <c r="M1812" s="11">
        <v>-122.1375833</v>
      </c>
      <c r="N1812" s="11">
        <v>54.60555556</v>
      </c>
      <c r="O1812" s="11">
        <v>790.0</v>
      </c>
      <c r="P1812" s="5" t="s">
        <v>6484</v>
      </c>
      <c r="Q1812" s="72">
        <v>2.0</v>
      </c>
      <c r="R1812" s="11" t="s">
        <v>6485</v>
      </c>
      <c r="S1812" s="11" t="s">
        <v>6009</v>
      </c>
    </row>
    <row r="1813" ht="14.25" customHeight="1">
      <c r="B1813" s="5">
        <v>5.0</v>
      </c>
      <c r="C1813" s="5" t="s">
        <v>7688</v>
      </c>
      <c r="D1813" s="5" t="s">
        <v>6487</v>
      </c>
      <c r="E1813" s="5">
        <v>12387.0</v>
      </c>
      <c r="F1813" s="5" t="s">
        <v>6488</v>
      </c>
      <c r="G1813" s="5" t="s">
        <v>6489</v>
      </c>
      <c r="H1813" s="5" t="s">
        <v>6490</v>
      </c>
      <c r="I1813" s="5" t="s">
        <v>641</v>
      </c>
      <c r="J1813" s="5" t="s">
        <v>6015</v>
      </c>
      <c r="K1813" s="5">
        <v>1.0</v>
      </c>
      <c r="L1813" s="5">
        <v>14409.0</v>
      </c>
      <c r="M1813" s="11"/>
      <c r="N1813" s="11"/>
      <c r="O1813" s="11"/>
      <c r="Q1813" s="72"/>
      <c r="R1813" s="11"/>
      <c r="S1813" s="11"/>
    </row>
    <row r="1814" ht="14.25" customHeight="1">
      <c r="B1814" s="5">
        <v>5.0</v>
      </c>
      <c r="C1814" s="5" t="s">
        <v>7688</v>
      </c>
      <c r="D1814" s="5" t="s">
        <v>6491</v>
      </c>
      <c r="E1814" s="5">
        <v>13118.0</v>
      </c>
      <c r="F1814" s="5" t="s">
        <v>6492</v>
      </c>
      <c r="G1814" s="5" t="s">
        <v>6493</v>
      </c>
      <c r="H1814" s="5" t="s">
        <v>6086</v>
      </c>
      <c r="I1814" s="5" t="s">
        <v>49</v>
      </c>
      <c r="J1814" s="5" t="s">
        <v>6087</v>
      </c>
      <c r="K1814" s="5">
        <v>1.0</v>
      </c>
      <c r="L1814" s="5">
        <v>15040.0</v>
      </c>
      <c r="M1814" s="5">
        <v>-123.897927</v>
      </c>
      <c r="N1814" s="5">
        <v>55.1238</v>
      </c>
      <c r="O1814" s="5">
        <v>1028.0</v>
      </c>
      <c r="P1814" s="5" t="s">
        <v>6491</v>
      </c>
      <c r="Q1814" s="5">
        <v>4.0</v>
      </c>
      <c r="R1814" s="5" t="s">
        <v>6492</v>
      </c>
      <c r="S1814" s="5" t="s">
        <v>6009</v>
      </c>
    </row>
    <row r="1815" ht="14.25" customHeight="1">
      <c r="B1815" s="5">
        <v>5.0</v>
      </c>
      <c r="C1815" s="5" t="s">
        <v>7688</v>
      </c>
      <c r="D1815" s="5" t="s">
        <v>6494</v>
      </c>
      <c r="E1815" s="5">
        <v>2496.0</v>
      </c>
      <c r="F1815" s="5" t="s">
        <v>6495</v>
      </c>
      <c r="G1815" s="5" t="s">
        <v>6496</v>
      </c>
      <c r="H1815" s="5" t="s">
        <v>6497</v>
      </c>
      <c r="I1815" s="5" t="s">
        <v>1664</v>
      </c>
      <c r="J1815" s="5" t="s">
        <v>6041</v>
      </c>
      <c r="K1815" s="5">
        <v>1.0</v>
      </c>
      <c r="L1815" s="5">
        <v>2899.0</v>
      </c>
      <c r="M1815" s="11">
        <v>-122.6373333</v>
      </c>
      <c r="N1815" s="11">
        <v>55.353</v>
      </c>
      <c r="O1815" s="11">
        <v>1400.0</v>
      </c>
      <c r="P1815" s="5" t="s">
        <v>6494</v>
      </c>
      <c r="Q1815" s="72">
        <v>7.0</v>
      </c>
      <c r="R1815" s="11" t="s">
        <v>6495</v>
      </c>
      <c r="S1815" s="11" t="s">
        <v>6009</v>
      </c>
    </row>
    <row r="1816" ht="14.25" customHeight="1">
      <c r="B1816" s="5">
        <v>5.0</v>
      </c>
      <c r="C1816" s="5" t="s">
        <v>7688</v>
      </c>
      <c r="D1816" s="5" t="s">
        <v>6498</v>
      </c>
      <c r="E1816" s="5">
        <v>12404.0</v>
      </c>
      <c r="F1816" s="5" t="s">
        <v>6499</v>
      </c>
      <c r="G1816" s="5" t="s">
        <v>6500</v>
      </c>
      <c r="H1816" s="5" t="s">
        <v>6289</v>
      </c>
      <c r="I1816" s="5" t="s">
        <v>641</v>
      </c>
      <c r="J1816" s="5" t="s">
        <v>6021</v>
      </c>
      <c r="K1816" s="5">
        <v>1.0</v>
      </c>
      <c r="L1816" s="5">
        <v>14426.0</v>
      </c>
      <c r="M1816" s="11">
        <v>-122.8647222</v>
      </c>
      <c r="N1816" s="11">
        <v>57.06166667</v>
      </c>
      <c r="O1816" s="11">
        <v>1755.0</v>
      </c>
      <c r="P1816" s="5" t="s">
        <v>6498</v>
      </c>
      <c r="Q1816" s="72">
        <v>8.0</v>
      </c>
      <c r="R1816" s="11" t="s">
        <v>6499</v>
      </c>
      <c r="S1816" s="11" t="s">
        <v>6009</v>
      </c>
    </row>
    <row r="1817" ht="14.25" customHeight="1">
      <c r="A1817" s="5" t="s">
        <v>6501</v>
      </c>
      <c r="B1817" s="5">
        <v>5.0</v>
      </c>
      <c r="C1817" s="5" t="s">
        <v>7688</v>
      </c>
      <c r="D1817" s="5" t="s">
        <v>6502</v>
      </c>
      <c r="E1817" s="5">
        <v>2493.0</v>
      </c>
      <c r="F1817" s="10" t="s">
        <v>6503</v>
      </c>
      <c r="G1817" s="5" t="s">
        <v>6504</v>
      </c>
      <c r="H1817" s="5" t="s">
        <v>6505</v>
      </c>
      <c r="I1817" s="5" t="s">
        <v>1664</v>
      </c>
      <c r="J1817" s="5" t="s">
        <v>6046</v>
      </c>
      <c r="K1817" s="5">
        <v>1.0</v>
      </c>
      <c r="L1817" s="5">
        <v>2896.0</v>
      </c>
      <c r="M1817" s="11">
        <v>-122.3535</v>
      </c>
      <c r="N1817" s="11">
        <v>57.00196667</v>
      </c>
      <c r="O1817" s="11">
        <v>1204.0</v>
      </c>
      <c r="P1817" s="5" t="s">
        <v>6502</v>
      </c>
      <c r="Q1817" s="72">
        <v>8.0</v>
      </c>
      <c r="R1817" s="11" t="s">
        <v>6506</v>
      </c>
      <c r="S1817" s="11" t="s">
        <v>6009</v>
      </c>
    </row>
    <row r="1818" ht="14.25" customHeight="1">
      <c r="B1818" s="5">
        <v>5.0</v>
      </c>
      <c r="C1818" s="5" t="s">
        <v>7688</v>
      </c>
      <c r="D1818" s="5" t="s">
        <v>6507</v>
      </c>
      <c r="E1818" s="5">
        <v>13094.0</v>
      </c>
      <c r="F1818" s="5" t="s">
        <v>6508</v>
      </c>
      <c r="G1818" s="5" t="s">
        <v>6509</v>
      </c>
      <c r="H1818" s="5" t="s">
        <v>6014</v>
      </c>
      <c r="I1818" s="5" t="s">
        <v>49</v>
      </c>
      <c r="J1818" s="5" t="s">
        <v>6087</v>
      </c>
      <c r="K1818" s="5">
        <v>1.0</v>
      </c>
      <c r="L1818" s="5">
        <v>15016.0</v>
      </c>
      <c r="M1818" s="11">
        <v>-122.1829</v>
      </c>
      <c r="N1818" s="11">
        <v>56.0131</v>
      </c>
      <c r="O1818" s="11">
        <v>720.0</v>
      </c>
      <c r="P1818" s="5" t="s">
        <v>6507</v>
      </c>
      <c r="Q1818" s="72">
        <v>1.0</v>
      </c>
      <c r="R1818" s="11" t="s">
        <v>6508</v>
      </c>
      <c r="S1818" s="11" t="s">
        <v>6009</v>
      </c>
    </row>
    <row r="1819" ht="14.25" customHeight="1">
      <c r="A1819" s="5" t="s">
        <v>6501</v>
      </c>
      <c r="B1819" s="5">
        <v>5.0</v>
      </c>
      <c r="C1819" s="5" t="s">
        <v>7688</v>
      </c>
      <c r="D1819" s="5" t="s">
        <v>6510</v>
      </c>
      <c r="E1819" s="5">
        <v>2495.0</v>
      </c>
      <c r="F1819" s="10" t="s">
        <v>6511</v>
      </c>
      <c r="G1819" s="5" t="s">
        <v>6512</v>
      </c>
      <c r="H1819" s="5" t="s">
        <v>6513</v>
      </c>
      <c r="I1819" s="5" t="s">
        <v>1664</v>
      </c>
      <c r="J1819" s="5" t="s">
        <v>6041</v>
      </c>
      <c r="K1819" s="5">
        <v>1.0</v>
      </c>
      <c r="L1819" s="5">
        <v>2898.0</v>
      </c>
      <c r="M1819" s="11">
        <v>-126.7483139</v>
      </c>
      <c r="N1819" s="11">
        <v>57.54858333</v>
      </c>
      <c r="O1819" s="11">
        <v>1311.0</v>
      </c>
      <c r="P1819" s="5" t="s">
        <v>6510</v>
      </c>
      <c r="Q1819" s="72">
        <v>5.0</v>
      </c>
      <c r="R1819" s="11" t="s">
        <v>6514</v>
      </c>
      <c r="S1819" s="11" t="s">
        <v>6009</v>
      </c>
    </row>
    <row r="1820" ht="14.25" customHeight="1">
      <c r="A1820" s="5" t="s">
        <v>2037</v>
      </c>
      <c r="B1820" s="5">
        <v>5.0</v>
      </c>
      <c r="C1820" s="5" t="s">
        <v>7688</v>
      </c>
      <c r="D1820" s="5" t="s">
        <v>6515</v>
      </c>
      <c r="E1820" s="5">
        <v>2497.0</v>
      </c>
      <c r="F1820" s="38" t="s">
        <v>6516</v>
      </c>
      <c r="G1820" s="29" t="s">
        <v>6517</v>
      </c>
      <c r="H1820" s="5" t="s">
        <v>6518</v>
      </c>
      <c r="I1820" s="5" t="s">
        <v>1664</v>
      </c>
      <c r="J1820" s="5" t="s">
        <v>6046</v>
      </c>
      <c r="K1820" s="5">
        <v>1.0</v>
      </c>
      <c r="L1820" s="5">
        <v>2900.0</v>
      </c>
      <c r="M1820" s="10">
        <v>-116.92972</v>
      </c>
      <c r="N1820" s="10">
        <v>49.5444</v>
      </c>
      <c r="O1820" s="10">
        <v>545.0</v>
      </c>
      <c r="P1820" s="10" t="s">
        <v>6515</v>
      </c>
      <c r="Q1820" s="10"/>
      <c r="R1820" s="10" t="s">
        <v>6519</v>
      </c>
      <c r="S1820" s="55"/>
      <c r="T1820" s="55"/>
      <c r="U1820" s="99"/>
      <c r="V1820" s="99"/>
      <c r="W1820" s="99"/>
      <c r="X1820" s="99"/>
      <c r="Y1820" s="99"/>
      <c r="Z1820" s="99"/>
      <c r="AA1820" s="99"/>
      <c r="AB1820" s="99"/>
      <c r="AC1820" s="99"/>
      <c r="AD1820" s="99"/>
      <c r="AE1820" s="99"/>
      <c r="AF1820" s="99"/>
      <c r="AG1820" s="99"/>
      <c r="AH1820" s="99"/>
      <c r="AI1820" s="99"/>
      <c r="AJ1820" s="99"/>
      <c r="AK1820" s="99"/>
      <c r="AL1820" s="99"/>
      <c r="AM1820" s="99"/>
      <c r="AN1820" s="99"/>
      <c r="AO1820" s="99"/>
      <c r="AP1820" s="99"/>
      <c r="AQ1820" s="99"/>
      <c r="AR1820" s="99"/>
      <c r="AS1820" s="99"/>
      <c r="AT1820" s="99"/>
      <c r="AU1820" s="99"/>
      <c r="AV1820" s="99"/>
      <c r="AW1820" s="99"/>
      <c r="AX1820" s="99"/>
      <c r="AY1820" s="99"/>
      <c r="AZ1820" s="99"/>
      <c r="BA1820" s="99"/>
      <c r="BB1820" s="99"/>
      <c r="BC1820" s="99"/>
      <c r="BD1820" s="99"/>
      <c r="BE1820" s="99"/>
      <c r="BF1820" s="99"/>
      <c r="BG1820" s="99"/>
      <c r="BH1820" s="99"/>
      <c r="BI1820" s="99"/>
      <c r="BJ1820" s="99"/>
      <c r="BK1820" s="99"/>
      <c r="BL1820" s="99"/>
      <c r="BM1820" s="99"/>
      <c r="BN1820" s="99"/>
      <c r="BO1820" s="99"/>
      <c r="BP1820" s="99"/>
      <c r="BQ1820" s="99"/>
      <c r="BR1820" s="99"/>
      <c r="BS1820" s="99"/>
      <c r="BT1820" s="99"/>
    </row>
    <row r="1821" ht="14.25" customHeight="1">
      <c r="A1821" s="5" t="s">
        <v>1908</v>
      </c>
      <c r="B1821" s="5">
        <v>5.0</v>
      </c>
      <c r="C1821" s="5" t="s">
        <v>7688</v>
      </c>
      <c r="D1821" s="5" t="s">
        <v>6520</v>
      </c>
      <c r="E1821" s="5">
        <v>2498.0</v>
      </c>
      <c r="F1821" s="10" t="s">
        <v>6521</v>
      </c>
      <c r="G1821" s="10" t="s">
        <v>6522</v>
      </c>
      <c r="H1821" s="5" t="s">
        <v>6523</v>
      </c>
      <c r="I1821" s="5" t="s">
        <v>1664</v>
      </c>
      <c r="J1821" s="5" t="s">
        <v>6187</v>
      </c>
      <c r="K1821" s="5">
        <v>1.0</v>
      </c>
      <c r="L1821" s="5">
        <v>2901.0</v>
      </c>
    </row>
    <row r="1822" ht="14.25" customHeight="1">
      <c r="A1822" s="5" t="s">
        <v>2037</v>
      </c>
      <c r="B1822" s="5">
        <v>5.0</v>
      </c>
      <c r="C1822" s="5" t="s">
        <v>7688</v>
      </c>
      <c r="D1822" s="5" t="s">
        <v>6524</v>
      </c>
      <c r="E1822" s="5">
        <v>2499.0</v>
      </c>
      <c r="F1822" s="10" t="s">
        <v>6525</v>
      </c>
      <c r="G1822" s="5" t="s">
        <v>6526</v>
      </c>
      <c r="H1822" s="5" t="s">
        <v>6527</v>
      </c>
      <c r="I1822" s="5" t="s">
        <v>1664</v>
      </c>
      <c r="J1822" s="5" t="s">
        <v>6187</v>
      </c>
      <c r="K1822" s="5">
        <v>1.0</v>
      </c>
      <c r="L1822" s="5">
        <v>2902.0</v>
      </c>
      <c r="X1822" s="55"/>
      <c r="Y1822" s="55"/>
      <c r="Z1822" s="55"/>
      <c r="AA1822" s="55"/>
      <c r="AB1822" s="55"/>
      <c r="AC1822" s="55"/>
      <c r="AD1822" s="55"/>
      <c r="AE1822" s="55"/>
      <c r="AF1822" s="55"/>
      <c r="AG1822" s="55"/>
      <c r="AH1822" s="55"/>
      <c r="AI1822" s="55"/>
      <c r="AJ1822" s="55"/>
      <c r="AK1822" s="55"/>
      <c r="AL1822" s="55"/>
      <c r="AM1822" s="55"/>
      <c r="AN1822" s="55"/>
      <c r="AO1822" s="55"/>
      <c r="AP1822" s="55"/>
      <c r="AQ1822" s="55"/>
      <c r="AR1822" s="55"/>
      <c r="AS1822" s="55"/>
      <c r="AT1822" s="55"/>
      <c r="AU1822" s="55"/>
      <c r="AV1822" s="55"/>
      <c r="AW1822" s="55"/>
      <c r="AX1822" s="55"/>
      <c r="AY1822" s="55"/>
      <c r="AZ1822" s="55"/>
      <c r="BA1822" s="55"/>
      <c r="BB1822" s="55"/>
      <c r="BC1822" s="55"/>
      <c r="BD1822" s="55"/>
      <c r="BE1822" s="55"/>
      <c r="BF1822" s="55"/>
      <c r="BG1822" s="55"/>
      <c r="BH1822" s="55"/>
      <c r="BI1822" s="55"/>
      <c r="BJ1822" s="55"/>
      <c r="BK1822" s="55"/>
      <c r="BL1822" s="55"/>
      <c r="BM1822" s="55"/>
      <c r="BN1822" s="55"/>
      <c r="BO1822" s="55"/>
      <c r="BP1822" s="55"/>
      <c r="BQ1822" s="55"/>
      <c r="BR1822" s="55"/>
      <c r="BS1822" s="55"/>
      <c r="BT1822" s="55"/>
    </row>
    <row r="1823" ht="14.25" customHeight="1">
      <c r="B1823" s="5">
        <v>5.0</v>
      </c>
      <c r="C1823" s="5" t="s">
        <v>7688</v>
      </c>
      <c r="D1823" s="5" t="s">
        <v>6528</v>
      </c>
      <c r="E1823" s="5">
        <v>13218.0</v>
      </c>
      <c r="F1823" s="29" t="s">
        <v>6529</v>
      </c>
      <c r="G1823" s="5" t="s">
        <v>6530</v>
      </c>
      <c r="H1823" s="5" t="s">
        <v>6531</v>
      </c>
      <c r="I1823" s="5" t="s">
        <v>49</v>
      </c>
      <c r="J1823" s="5" t="s">
        <v>6021</v>
      </c>
      <c r="K1823" s="5">
        <v>1.0</v>
      </c>
      <c r="L1823" s="5">
        <v>15134.0</v>
      </c>
      <c r="M1823" s="38">
        <v>-125.51</v>
      </c>
      <c r="N1823" s="38">
        <v>49.93002</v>
      </c>
      <c r="O1823" s="38">
        <v>280.0</v>
      </c>
      <c r="P1823" s="38" t="s">
        <v>6528</v>
      </c>
      <c r="Q1823" s="38"/>
      <c r="R1823" s="38"/>
      <c r="S1823" s="99"/>
      <c r="T1823" s="99"/>
      <c r="U1823" s="99"/>
      <c r="V1823" s="99"/>
      <c r="W1823" s="99"/>
      <c r="X1823" s="99"/>
      <c r="Y1823" s="99"/>
      <c r="Z1823" s="99"/>
      <c r="AA1823" s="99"/>
      <c r="AB1823" s="99"/>
      <c r="AC1823" s="99"/>
      <c r="AD1823" s="99"/>
      <c r="AE1823" s="99"/>
      <c r="AF1823" s="99"/>
      <c r="AG1823" s="99"/>
      <c r="AH1823" s="99"/>
      <c r="AI1823" s="99"/>
      <c r="AJ1823" s="99"/>
      <c r="AK1823" s="99"/>
      <c r="AL1823" s="99"/>
      <c r="AM1823" s="99"/>
      <c r="AN1823" s="99"/>
      <c r="AO1823" s="99"/>
      <c r="AP1823" s="99"/>
      <c r="AQ1823" s="99"/>
      <c r="AR1823" s="99"/>
      <c r="AS1823" s="99"/>
      <c r="AT1823" s="99"/>
      <c r="AU1823" s="99"/>
      <c r="AV1823" s="99"/>
      <c r="AW1823" s="99"/>
      <c r="AX1823" s="99"/>
      <c r="AY1823" s="99"/>
      <c r="AZ1823" s="99"/>
      <c r="BA1823" s="99"/>
      <c r="BB1823" s="99"/>
      <c r="BC1823" s="99"/>
      <c r="BD1823" s="99"/>
      <c r="BE1823" s="99"/>
      <c r="BF1823" s="99"/>
      <c r="BG1823" s="99"/>
      <c r="BH1823" s="99"/>
      <c r="BI1823" s="99"/>
      <c r="BJ1823" s="99"/>
      <c r="BK1823" s="99"/>
      <c r="BL1823" s="99"/>
      <c r="BM1823" s="99"/>
      <c r="BN1823" s="99"/>
      <c r="BO1823" s="99"/>
      <c r="BP1823" s="99"/>
      <c r="BQ1823" s="99"/>
      <c r="BR1823" s="99"/>
      <c r="BS1823" s="99"/>
      <c r="BT1823" s="99"/>
    </row>
    <row r="1824" ht="14.25" customHeight="1">
      <c r="A1824" s="5" t="s">
        <v>422</v>
      </c>
      <c r="B1824" s="5">
        <v>5.0</v>
      </c>
      <c r="C1824" s="5" t="s">
        <v>7693</v>
      </c>
      <c r="D1824" s="5" t="s">
        <v>6533</v>
      </c>
      <c r="E1824" s="5">
        <v>13123.0</v>
      </c>
      <c r="F1824" s="5" t="s">
        <v>6534</v>
      </c>
      <c r="G1824" s="5" t="s">
        <v>127</v>
      </c>
      <c r="H1824" s="5" t="s">
        <v>6535</v>
      </c>
      <c r="I1824" s="5" t="s">
        <v>49</v>
      </c>
      <c r="J1824" s="5" t="s">
        <v>6262</v>
      </c>
      <c r="K1824" s="5">
        <v>1.0</v>
      </c>
      <c r="L1824" s="5">
        <v>15045.0</v>
      </c>
      <c r="M1824" s="10">
        <v>50.62289722</v>
      </c>
      <c r="N1824" s="10">
        <v>-116.0627083</v>
      </c>
      <c r="O1824" s="10">
        <v>1009.0</v>
      </c>
      <c r="P1824" s="10" t="s">
        <v>6536</v>
      </c>
      <c r="Q1824" s="10"/>
      <c r="R1824" s="10" t="s">
        <v>6534</v>
      </c>
      <c r="S1824" s="55" t="s">
        <v>6537</v>
      </c>
      <c r="T1824" s="55"/>
      <c r="U1824" s="55"/>
      <c r="V1824" s="55"/>
      <c r="W1824" s="55"/>
      <c r="X1824" s="55"/>
      <c r="Y1824" s="55"/>
      <c r="Z1824" s="55"/>
      <c r="AA1824" s="55"/>
      <c r="AB1824" s="55"/>
      <c r="AC1824" s="55"/>
      <c r="AD1824" s="55"/>
      <c r="AE1824" s="55"/>
      <c r="AF1824" s="55"/>
      <c r="AG1824" s="55"/>
      <c r="AH1824" s="55"/>
      <c r="AI1824" s="55"/>
      <c r="AJ1824" s="55"/>
      <c r="AK1824" s="55"/>
      <c r="AL1824" s="55"/>
      <c r="AM1824" s="55"/>
      <c r="AN1824" s="55"/>
      <c r="AO1824" s="55"/>
      <c r="AP1824" s="55"/>
      <c r="AQ1824" s="55"/>
      <c r="AR1824" s="55"/>
      <c r="AS1824" s="55"/>
      <c r="AT1824" s="55"/>
      <c r="AU1824" s="55"/>
      <c r="AV1824" s="55"/>
      <c r="AW1824" s="55"/>
      <c r="AX1824" s="55"/>
      <c r="AY1824" s="55"/>
      <c r="AZ1824" s="55"/>
      <c r="BA1824" s="55"/>
      <c r="BB1824" s="55"/>
      <c r="BC1824" s="55"/>
      <c r="BD1824" s="55"/>
      <c r="BE1824" s="55"/>
      <c r="BF1824" s="55"/>
      <c r="BG1824" s="55"/>
      <c r="BH1824" s="55"/>
      <c r="BI1824" s="55"/>
      <c r="BJ1824" s="55"/>
      <c r="BK1824" s="55"/>
      <c r="BL1824" s="55"/>
      <c r="BM1824" s="55"/>
      <c r="BN1824" s="55"/>
      <c r="BO1824" s="55"/>
      <c r="BP1824" s="55"/>
      <c r="BQ1824" s="55"/>
      <c r="BR1824" s="55"/>
      <c r="BS1824" s="55"/>
      <c r="BT1824" s="55"/>
    </row>
    <row r="1825" ht="14.25" customHeight="1">
      <c r="A1825" s="5" t="s">
        <v>2037</v>
      </c>
      <c r="B1825" s="5">
        <v>5.0</v>
      </c>
      <c r="C1825" s="5" t="s">
        <v>7688</v>
      </c>
      <c r="D1825" s="5" t="s">
        <v>6538</v>
      </c>
      <c r="E1825" s="5">
        <v>2500.0</v>
      </c>
      <c r="F1825" s="10" t="s">
        <v>6539</v>
      </c>
      <c r="G1825" s="5" t="s">
        <v>6540</v>
      </c>
      <c r="H1825" s="5" t="s">
        <v>6541</v>
      </c>
      <c r="I1825" s="5" t="s">
        <v>1664</v>
      </c>
      <c r="J1825" s="5" t="s">
        <v>6187</v>
      </c>
      <c r="K1825" s="5">
        <v>1.0</v>
      </c>
      <c r="L1825" s="5">
        <v>2903.0</v>
      </c>
      <c r="M1825" s="36"/>
      <c r="N1825" s="36"/>
      <c r="O1825" s="37"/>
      <c r="R1825" s="36"/>
      <c r="U1825" s="55"/>
      <c r="V1825" s="55"/>
      <c r="W1825" s="55"/>
      <c r="X1825" s="55"/>
      <c r="Y1825" s="55"/>
      <c r="Z1825" s="55"/>
      <c r="AA1825" s="55"/>
      <c r="AB1825" s="55"/>
      <c r="AC1825" s="55"/>
      <c r="AD1825" s="55"/>
      <c r="AE1825" s="55"/>
      <c r="AF1825" s="55"/>
      <c r="AG1825" s="55"/>
      <c r="AH1825" s="55"/>
      <c r="AI1825" s="55"/>
      <c r="AJ1825" s="55"/>
      <c r="AK1825" s="55"/>
      <c r="AL1825" s="55"/>
      <c r="AM1825" s="55"/>
      <c r="AN1825" s="55"/>
      <c r="AO1825" s="55"/>
      <c r="AP1825" s="55"/>
      <c r="AQ1825" s="55"/>
      <c r="AR1825" s="55"/>
      <c r="AS1825" s="55"/>
      <c r="AT1825" s="55"/>
      <c r="AU1825" s="55"/>
      <c r="AV1825" s="55"/>
      <c r="AW1825" s="55"/>
      <c r="AX1825" s="55"/>
      <c r="AY1825" s="55"/>
      <c r="AZ1825" s="55"/>
      <c r="BA1825" s="55"/>
      <c r="BB1825" s="55"/>
      <c r="BC1825" s="55"/>
      <c r="BD1825" s="55"/>
      <c r="BE1825" s="55"/>
      <c r="BF1825" s="55"/>
      <c r="BG1825" s="55"/>
      <c r="BH1825" s="55"/>
      <c r="BI1825" s="55"/>
      <c r="BJ1825" s="55"/>
      <c r="BK1825" s="55"/>
      <c r="BL1825" s="55"/>
      <c r="BM1825" s="55"/>
      <c r="BN1825" s="55"/>
      <c r="BO1825" s="55"/>
      <c r="BP1825" s="55"/>
      <c r="BQ1825" s="55"/>
      <c r="BR1825" s="55"/>
      <c r="BS1825" s="55"/>
      <c r="BT1825" s="55"/>
    </row>
    <row r="1826" ht="14.25" customHeight="1">
      <c r="B1826" s="5">
        <v>5.0</v>
      </c>
      <c r="C1826" s="5" t="s">
        <v>7688</v>
      </c>
      <c r="D1826" s="5" t="s">
        <v>6542</v>
      </c>
      <c r="E1826" s="5">
        <v>13124.0</v>
      </c>
      <c r="F1826" s="29" t="s">
        <v>6543</v>
      </c>
      <c r="G1826" s="5" t="s">
        <v>7694</v>
      </c>
      <c r="H1826" s="5" t="s">
        <v>6545</v>
      </c>
      <c r="I1826" s="5" t="s">
        <v>49</v>
      </c>
      <c r="J1826" s="5" t="s">
        <v>6021</v>
      </c>
      <c r="K1826" s="5">
        <v>1.0</v>
      </c>
      <c r="L1826" s="5">
        <v>15046.0</v>
      </c>
      <c r="M1826" s="29">
        <v>-125.669767</v>
      </c>
      <c r="N1826" s="29">
        <v>50.093619</v>
      </c>
      <c r="O1826" s="29">
        <v>226.0</v>
      </c>
      <c r="P1826" s="29" t="s">
        <v>6542</v>
      </c>
      <c r="Q1826" s="101">
        <v>2.0</v>
      </c>
      <c r="R1826" s="29" t="s">
        <v>6543</v>
      </c>
      <c r="S1826" s="29" t="s">
        <v>6009</v>
      </c>
      <c r="T1826" s="29"/>
      <c r="U1826" s="29"/>
      <c r="V1826" s="29"/>
      <c r="W1826" s="29"/>
      <c r="X1826" s="29"/>
      <c r="Y1826" s="29"/>
      <c r="Z1826" s="29"/>
      <c r="AA1826" s="29"/>
      <c r="AB1826" s="29"/>
      <c r="AC1826" s="29"/>
      <c r="AD1826" s="29"/>
      <c r="AE1826" s="29"/>
      <c r="AF1826" s="29"/>
      <c r="AG1826" s="29"/>
      <c r="AH1826" s="29"/>
      <c r="AI1826" s="29"/>
      <c r="AJ1826" s="29"/>
      <c r="AK1826" s="29"/>
      <c r="AL1826" s="29"/>
      <c r="AM1826" s="29"/>
      <c r="AN1826" s="29"/>
      <c r="AO1826" s="29"/>
      <c r="AP1826" s="29"/>
      <c r="AQ1826" s="29"/>
      <c r="AR1826" s="29"/>
      <c r="AS1826" s="29"/>
      <c r="AT1826" s="29"/>
      <c r="AU1826" s="29"/>
      <c r="AV1826" s="29"/>
      <c r="AW1826" s="29"/>
      <c r="AX1826" s="29"/>
      <c r="AY1826" s="29"/>
      <c r="AZ1826" s="29"/>
      <c r="BA1826" s="29"/>
      <c r="BB1826" s="29"/>
      <c r="BC1826" s="29"/>
      <c r="BD1826" s="29"/>
      <c r="BE1826" s="29"/>
      <c r="BF1826" s="29"/>
      <c r="BG1826" s="29"/>
      <c r="BH1826" s="29"/>
      <c r="BI1826" s="29"/>
      <c r="BJ1826" s="29"/>
      <c r="BK1826" s="29"/>
      <c r="BL1826" s="29"/>
      <c r="BM1826" s="29"/>
      <c r="BN1826" s="29"/>
      <c r="BO1826" s="29"/>
      <c r="BP1826" s="29"/>
      <c r="BQ1826" s="29"/>
      <c r="BR1826" s="29"/>
      <c r="BS1826" s="29"/>
      <c r="BT1826" s="29"/>
    </row>
    <row r="1827" ht="14.25" customHeight="1">
      <c r="B1827" s="5">
        <v>5.0</v>
      </c>
      <c r="C1827" s="5" t="s">
        <v>7688</v>
      </c>
      <c r="D1827" s="5" t="s">
        <v>6546</v>
      </c>
      <c r="E1827" s="5">
        <v>12406.0</v>
      </c>
      <c r="F1827" s="5" t="s">
        <v>6547</v>
      </c>
      <c r="G1827" s="5" t="s">
        <v>6548</v>
      </c>
      <c r="H1827" s="5" t="s">
        <v>6201</v>
      </c>
      <c r="I1827" s="5" t="s">
        <v>641</v>
      </c>
      <c r="J1827" s="5" t="s">
        <v>6021</v>
      </c>
      <c r="K1827" s="5">
        <v>1.0</v>
      </c>
      <c r="L1827" s="5">
        <v>14428.0</v>
      </c>
      <c r="M1827" s="36">
        <v>-122.2423833</v>
      </c>
      <c r="N1827" s="36">
        <v>50.72808056</v>
      </c>
      <c r="O1827" s="37">
        <v>290.0</v>
      </c>
      <c r="P1827" s="5" t="s">
        <v>6546</v>
      </c>
      <c r="Q1827" s="72">
        <v>1.0</v>
      </c>
      <c r="R1827" s="36" t="s">
        <v>6547</v>
      </c>
      <c r="S1827" s="11" t="s">
        <v>6009</v>
      </c>
    </row>
    <row r="1828" ht="14.25" customHeight="1">
      <c r="B1828" s="5">
        <v>5.0</v>
      </c>
      <c r="C1828" s="5" t="s">
        <v>7688</v>
      </c>
      <c r="D1828" s="5" t="s">
        <v>6549</v>
      </c>
      <c r="E1828" s="5">
        <v>2504.0</v>
      </c>
      <c r="F1828" s="29" t="s">
        <v>6547</v>
      </c>
      <c r="G1828" s="5" t="s">
        <v>6550</v>
      </c>
      <c r="H1828" s="5" t="s">
        <v>6396</v>
      </c>
      <c r="I1828" s="5" t="s">
        <v>1664</v>
      </c>
      <c r="J1828" s="5" t="s">
        <v>6187</v>
      </c>
      <c r="K1828" s="5">
        <v>1.0</v>
      </c>
      <c r="L1828" s="5">
        <v>2907.0</v>
      </c>
      <c r="M1828" s="29"/>
      <c r="N1828" s="29"/>
      <c r="O1828" s="29"/>
      <c r="P1828" s="29"/>
      <c r="Q1828" s="29"/>
      <c r="R1828" s="29"/>
      <c r="S1828" s="29"/>
      <c r="T1828" s="29"/>
      <c r="U1828" s="29"/>
      <c r="V1828" s="99"/>
      <c r="W1828" s="99"/>
      <c r="X1828" s="99"/>
      <c r="Y1828" s="99"/>
      <c r="Z1828" s="99"/>
      <c r="AA1828" s="99"/>
      <c r="AB1828" s="99"/>
      <c r="AC1828" s="99"/>
      <c r="AD1828" s="99"/>
      <c r="AE1828" s="99"/>
      <c r="AF1828" s="99"/>
      <c r="AG1828" s="99"/>
      <c r="AH1828" s="99"/>
      <c r="AI1828" s="99"/>
      <c r="AJ1828" s="99"/>
      <c r="AK1828" s="99"/>
      <c r="AL1828" s="99"/>
      <c r="AM1828" s="99"/>
      <c r="AN1828" s="99"/>
      <c r="AO1828" s="99"/>
      <c r="AP1828" s="99"/>
      <c r="AQ1828" s="99"/>
      <c r="AR1828" s="99"/>
      <c r="AS1828" s="99"/>
      <c r="AT1828" s="99"/>
      <c r="AU1828" s="99"/>
      <c r="AV1828" s="99"/>
      <c r="AW1828" s="99"/>
      <c r="AX1828" s="99"/>
      <c r="AY1828" s="99"/>
      <c r="AZ1828" s="99"/>
      <c r="BA1828" s="99"/>
      <c r="BB1828" s="99"/>
      <c r="BC1828" s="99"/>
      <c r="BD1828" s="99"/>
      <c r="BE1828" s="99"/>
      <c r="BF1828" s="99"/>
      <c r="BG1828" s="99"/>
      <c r="BH1828" s="99"/>
      <c r="BI1828" s="99"/>
      <c r="BJ1828" s="99"/>
      <c r="BK1828" s="99"/>
      <c r="BL1828" s="99"/>
      <c r="BM1828" s="99"/>
      <c r="BN1828" s="99"/>
      <c r="BO1828" s="99"/>
      <c r="BP1828" s="99"/>
      <c r="BQ1828" s="99"/>
      <c r="BR1828" s="99"/>
      <c r="BS1828" s="99"/>
      <c r="BT1828" s="99"/>
    </row>
    <row r="1829" ht="14.25" customHeight="1">
      <c r="B1829" s="5">
        <v>5.0</v>
      </c>
      <c r="C1829" s="5" t="s">
        <v>7688</v>
      </c>
      <c r="D1829" s="5" t="s">
        <v>6551</v>
      </c>
      <c r="E1829" s="5">
        <v>13089.0</v>
      </c>
      <c r="F1829" s="5" t="s">
        <v>6552</v>
      </c>
      <c r="G1829" s="5" t="s">
        <v>6553</v>
      </c>
      <c r="H1829" s="5" t="s">
        <v>6246</v>
      </c>
      <c r="I1829" s="5" t="s">
        <v>49</v>
      </c>
      <c r="J1829" s="5" t="s">
        <v>6087</v>
      </c>
      <c r="K1829" s="5">
        <v>1.0</v>
      </c>
      <c r="L1829" s="5">
        <v>15011.0</v>
      </c>
      <c r="M1829" s="29">
        <v>-124.1319806</v>
      </c>
      <c r="N1829" s="29">
        <v>57.26375556</v>
      </c>
      <c r="O1829" s="29">
        <v>1387.0</v>
      </c>
      <c r="P1829" s="29" t="s">
        <v>6551</v>
      </c>
      <c r="Q1829" s="29">
        <v>5.0</v>
      </c>
      <c r="R1829" s="29" t="s">
        <v>6552</v>
      </c>
      <c r="S1829" s="29" t="s">
        <v>6009</v>
      </c>
      <c r="T1829" s="29"/>
      <c r="U1829" s="29"/>
      <c r="V1829" s="29"/>
      <c r="W1829" s="29"/>
      <c r="X1829" s="29"/>
      <c r="Y1829" s="29"/>
      <c r="Z1829" s="29"/>
      <c r="AA1829" s="29"/>
      <c r="AB1829" s="29"/>
      <c r="AC1829" s="29"/>
      <c r="AD1829" s="29"/>
      <c r="AE1829" s="29"/>
      <c r="AF1829" s="29"/>
      <c r="AG1829" s="29"/>
      <c r="AH1829" s="29"/>
      <c r="AI1829" s="29"/>
      <c r="AJ1829" s="29"/>
      <c r="AK1829" s="29"/>
      <c r="AL1829" s="29"/>
      <c r="AM1829" s="29"/>
      <c r="AN1829" s="29"/>
      <c r="AO1829" s="29"/>
      <c r="AP1829" s="29"/>
      <c r="AQ1829" s="29"/>
      <c r="AR1829" s="29"/>
      <c r="AS1829" s="29"/>
      <c r="AT1829" s="29"/>
      <c r="AU1829" s="29"/>
      <c r="AV1829" s="29"/>
      <c r="AW1829" s="29"/>
      <c r="AX1829" s="29"/>
      <c r="AY1829" s="29"/>
      <c r="AZ1829" s="29"/>
      <c r="BA1829" s="29"/>
      <c r="BB1829" s="29"/>
      <c r="BC1829" s="29"/>
      <c r="BD1829" s="29"/>
      <c r="BE1829" s="29"/>
      <c r="BF1829" s="29"/>
      <c r="BG1829" s="29"/>
      <c r="BH1829" s="29"/>
      <c r="BI1829" s="29"/>
      <c r="BJ1829" s="29"/>
      <c r="BK1829" s="29"/>
      <c r="BL1829" s="29"/>
      <c r="BM1829" s="29"/>
      <c r="BN1829" s="29"/>
      <c r="BO1829" s="29"/>
      <c r="BP1829" s="29"/>
      <c r="BQ1829" s="29"/>
      <c r="BR1829" s="29"/>
      <c r="BS1829" s="29"/>
      <c r="BT1829" s="29"/>
    </row>
    <row r="1830" ht="14.25" customHeight="1">
      <c r="A1830" s="5" t="s">
        <v>2037</v>
      </c>
      <c r="B1830" s="5">
        <v>5.0</v>
      </c>
      <c r="C1830" s="5" t="s">
        <v>7688</v>
      </c>
      <c r="D1830" s="5" t="s">
        <v>6554</v>
      </c>
      <c r="E1830" s="5">
        <v>12349.0</v>
      </c>
      <c r="F1830" s="10" t="s">
        <v>6555</v>
      </c>
      <c r="G1830" s="5" t="s">
        <v>6556</v>
      </c>
      <c r="H1830" s="5" t="s">
        <v>6032</v>
      </c>
      <c r="I1830" s="5" t="s">
        <v>49</v>
      </c>
      <c r="J1830" s="5" t="s">
        <v>6258</v>
      </c>
      <c r="K1830" s="5">
        <v>1.0</v>
      </c>
      <c r="L1830" s="5">
        <v>14405.0</v>
      </c>
      <c r="M1830" s="39">
        <v>120.902</v>
      </c>
      <c r="N1830" s="39">
        <v>56.203</v>
      </c>
      <c r="O1830" s="102">
        <v>583.0</v>
      </c>
      <c r="P1830" s="10" t="s">
        <v>6554</v>
      </c>
      <c r="Q1830" s="10"/>
      <c r="R1830" s="39" t="s">
        <v>6555</v>
      </c>
      <c r="W1830" s="55"/>
      <c r="X1830" s="55"/>
      <c r="Y1830" s="55"/>
      <c r="Z1830" s="55"/>
      <c r="AA1830" s="55"/>
      <c r="AB1830" s="55"/>
      <c r="AC1830" s="55"/>
      <c r="AD1830" s="55"/>
      <c r="AE1830" s="55"/>
      <c r="AF1830" s="55"/>
      <c r="AG1830" s="55"/>
      <c r="AH1830" s="55"/>
      <c r="AI1830" s="55"/>
      <c r="AJ1830" s="55"/>
      <c r="AK1830" s="55"/>
      <c r="AL1830" s="55"/>
      <c r="AM1830" s="55"/>
      <c r="AN1830" s="55"/>
      <c r="AO1830" s="55"/>
      <c r="AP1830" s="55"/>
      <c r="AQ1830" s="55"/>
      <c r="AR1830" s="55"/>
      <c r="AS1830" s="55"/>
      <c r="AT1830" s="55"/>
      <c r="AU1830" s="55"/>
      <c r="AV1830" s="55"/>
      <c r="AW1830" s="55"/>
      <c r="AX1830" s="55"/>
      <c r="AY1830" s="55"/>
      <c r="AZ1830" s="55"/>
      <c r="BA1830" s="55"/>
      <c r="BB1830" s="55"/>
      <c r="BC1830" s="55"/>
      <c r="BD1830" s="55"/>
      <c r="BE1830" s="55"/>
      <c r="BF1830" s="55"/>
      <c r="BG1830" s="55"/>
      <c r="BH1830" s="55"/>
      <c r="BI1830" s="55"/>
      <c r="BJ1830" s="55"/>
      <c r="BK1830" s="55"/>
      <c r="BL1830" s="55"/>
      <c r="BM1830" s="55"/>
      <c r="BN1830" s="55"/>
      <c r="BO1830" s="55"/>
      <c r="BP1830" s="55"/>
      <c r="BQ1830" s="55"/>
      <c r="BR1830" s="55"/>
      <c r="BS1830" s="55"/>
      <c r="BT1830" s="55"/>
    </row>
    <row r="1831" ht="14.25" customHeight="1">
      <c r="B1831" s="5">
        <v>5.0</v>
      </c>
      <c r="C1831" s="5" t="s">
        <v>7688</v>
      </c>
      <c r="D1831" s="5" t="s">
        <v>6557</v>
      </c>
      <c r="E1831" s="5">
        <v>2503.0</v>
      </c>
      <c r="F1831" s="29" t="s">
        <v>6558</v>
      </c>
      <c r="G1831" s="5" t="s">
        <v>6559</v>
      </c>
      <c r="H1831" s="5" t="s">
        <v>6278</v>
      </c>
      <c r="I1831" s="5" t="s">
        <v>1664</v>
      </c>
      <c r="J1831" s="5" t="s">
        <v>6069</v>
      </c>
      <c r="K1831" s="5">
        <v>1.0</v>
      </c>
      <c r="L1831" s="5">
        <v>2906.0</v>
      </c>
      <c r="M1831" s="29">
        <v>-117.7012139</v>
      </c>
      <c r="N1831" s="29">
        <v>50.43417222</v>
      </c>
      <c r="O1831" s="29">
        <v>1800.0</v>
      </c>
      <c r="P1831" s="29" t="s">
        <v>6557</v>
      </c>
      <c r="Q1831" s="29">
        <v>6.0</v>
      </c>
      <c r="R1831" s="29" t="s">
        <v>6560</v>
      </c>
      <c r="S1831" s="29" t="s">
        <v>6009</v>
      </c>
      <c r="T1831" s="29"/>
      <c r="U1831" s="29"/>
      <c r="V1831" s="29"/>
      <c r="W1831" s="29"/>
      <c r="X1831" s="29"/>
      <c r="Y1831" s="29"/>
      <c r="Z1831" s="29"/>
      <c r="AA1831" s="29"/>
      <c r="AB1831" s="29"/>
      <c r="AC1831" s="29"/>
      <c r="AD1831" s="29"/>
      <c r="AE1831" s="29"/>
      <c r="AF1831" s="29"/>
      <c r="AG1831" s="29"/>
      <c r="AH1831" s="29"/>
      <c r="AI1831" s="29"/>
      <c r="AJ1831" s="29"/>
      <c r="AK1831" s="29"/>
      <c r="AL1831" s="29"/>
      <c r="AM1831" s="29"/>
      <c r="AN1831" s="29"/>
      <c r="AO1831" s="29"/>
      <c r="AP1831" s="29"/>
      <c r="AQ1831" s="29"/>
      <c r="AR1831" s="29"/>
      <c r="AS1831" s="29"/>
      <c r="AT1831" s="29"/>
      <c r="AU1831" s="29"/>
      <c r="AV1831" s="29"/>
      <c r="AW1831" s="29"/>
      <c r="AX1831" s="29"/>
      <c r="AY1831" s="29"/>
      <c r="AZ1831" s="29"/>
      <c r="BA1831" s="29"/>
      <c r="BB1831" s="29"/>
      <c r="BC1831" s="29"/>
      <c r="BD1831" s="29"/>
      <c r="BE1831" s="29"/>
      <c r="BF1831" s="29"/>
      <c r="BG1831" s="29"/>
      <c r="BH1831" s="29"/>
      <c r="BI1831" s="29"/>
      <c r="BJ1831" s="29"/>
      <c r="BK1831" s="29"/>
      <c r="BL1831" s="29"/>
      <c r="BM1831" s="29"/>
      <c r="BN1831" s="29"/>
      <c r="BO1831" s="29"/>
      <c r="BP1831" s="29"/>
      <c r="BQ1831" s="29"/>
      <c r="BR1831" s="29"/>
      <c r="BS1831" s="29"/>
      <c r="BT1831" s="29"/>
    </row>
    <row r="1832" ht="14.25" customHeight="1">
      <c r="A1832" s="5" t="s">
        <v>2037</v>
      </c>
      <c r="B1832" s="5">
        <v>5.0</v>
      </c>
      <c r="C1832" s="5" t="s">
        <v>7688</v>
      </c>
      <c r="D1832" s="5" t="s">
        <v>6561</v>
      </c>
      <c r="E1832" s="5">
        <v>2505.0</v>
      </c>
      <c r="F1832" s="10" t="s">
        <v>6562</v>
      </c>
      <c r="G1832" s="5" t="s">
        <v>6563</v>
      </c>
      <c r="H1832" s="5" t="s">
        <v>6564</v>
      </c>
      <c r="I1832" s="5" t="s">
        <v>1664</v>
      </c>
      <c r="J1832" s="5" t="s">
        <v>6046</v>
      </c>
      <c r="K1832" s="5">
        <v>1.0</v>
      </c>
      <c r="L1832" s="5">
        <v>2908.0</v>
      </c>
      <c r="M1832" s="39">
        <v>122.3294</v>
      </c>
      <c r="N1832" s="39">
        <v>49.5561</v>
      </c>
      <c r="O1832" s="102">
        <v>330.0</v>
      </c>
      <c r="P1832" s="39" t="s">
        <v>6561</v>
      </c>
      <c r="Q1832" s="10"/>
      <c r="R1832" s="39" t="s">
        <v>6565</v>
      </c>
      <c r="S1832" s="55"/>
      <c r="T1832" s="55"/>
      <c r="U1832" s="55"/>
      <c r="V1832" s="55"/>
      <c r="W1832" s="55"/>
      <c r="X1832" s="55"/>
      <c r="Y1832" s="55"/>
      <c r="Z1832" s="55"/>
      <c r="AA1832" s="55"/>
      <c r="AB1832" s="55"/>
      <c r="AC1832" s="55"/>
      <c r="AD1832" s="55"/>
      <c r="AE1832" s="55"/>
      <c r="AF1832" s="55"/>
      <c r="AG1832" s="55"/>
      <c r="AH1832" s="55"/>
      <c r="AI1832" s="55"/>
      <c r="AJ1832" s="55"/>
      <c r="AK1832" s="55"/>
      <c r="AL1832" s="55"/>
      <c r="AM1832" s="55"/>
      <c r="AN1832" s="55"/>
      <c r="AO1832" s="55"/>
      <c r="AP1832" s="55"/>
      <c r="AQ1832" s="55"/>
      <c r="AR1832" s="55"/>
      <c r="AS1832" s="55"/>
      <c r="AT1832" s="55"/>
      <c r="AU1832" s="55"/>
      <c r="AV1832" s="55"/>
      <c r="AW1832" s="55"/>
      <c r="AX1832" s="55"/>
      <c r="AY1832" s="55"/>
      <c r="AZ1832" s="55"/>
      <c r="BA1832" s="55"/>
      <c r="BB1832" s="55"/>
      <c r="BC1832" s="55"/>
      <c r="BD1832" s="55"/>
      <c r="BE1832" s="55"/>
      <c r="BF1832" s="55"/>
      <c r="BG1832" s="55"/>
      <c r="BH1832" s="55"/>
      <c r="BI1832" s="55"/>
      <c r="BJ1832" s="55"/>
      <c r="BK1832" s="55"/>
      <c r="BL1832" s="55"/>
      <c r="BM1832" s="55"/>
      <c r="BN1832" s="55"/>
      <c r="BO1832" s="55"/>
      <c r="BP1832" s="55"/>
      <c r="BQ1832" s="55"/>
      <c r="BR1832" s="55"/>
      <c r="BS1832" s="55"/>
      <c r="BT1832" s="55"/>
    </row>
    <row r="1833" ht="14.25" customHeight="1">
      <c r="B1833" s="5">
        <v>5.0</v>
      </c>
      <c r="C1833" s="5" t="s">
        <v>7688</v>
      </c>
      <c r="D1833" s="5" t="s">
        <v>6566</v>
      </c>
      <c r="E1833" s="5">
        <v>2506.0</v>
      </c>
      <c r="F1833" s="5" t="s">
        <v>6567</v>
      </c>
      <c r="G1833" s="5" t="s">
        <v>6568</v>
      </c>
      <c r="H1833" s="5" t="s">
        <v>6040</v>
      </c>
      <c r="I1833" s="5" t="s">
        <v>1664</v>
      </c>
      <c r="J1833" s="5" t="s">
        <v>6046</v>
      </c>
      <c r="K1833" s="5">
        <v>1.0</v>
      </c>
      <c r="L1833" s="5">
        <v>2909.0</v>
      </c>
      <c r="M1833" s="11">
        <v>-122.4020556</v>
      </c>
      <c r="N1833" s="11">
        <v>49.62366667</v>
      </c>
      <c r="O1833" s="11">
        <v>930.0</v>
      </c>
      <c r="P1833" s="5" t="s">
        <v>6566</v>
      </c>
      <c r="Q1833" s="72">
        <v>5.0</v>
      </c>
      <c r="R1833" s="11" t="s">
        <v>6569</v>
      </c>
      <c r="S1833" s="11" t="s">
        <v>6009</v>
      </c>
    </row>
    <row r="1834" ht="14.25" customHeight="1">
      <c r="B1834" s="5">
        <v>5.0</v>
      </c>
      <c r="C1834" s="5" t="s">
        <v>7688</v>
      </c>
      <c r="D1834" s="5" t="s">
        <v>6570</v>
      </c>
      <c r="E1834" s="5">
        <v>2501.0</v>
      </c>
      <c r="F1834" s="5" t="s">
        <v>6571</v>
      </c>
      <c r="G1834" s="5" t="s">
        <v>6572</v>
      </c>
      <c r="H1834" s="5" t="s">
        <v>6573</v>
      </c>
      <c r="I1834" s="5" t="s">
        <v>1664</v>
      </c>
      <c r="J1834" s="5" t="s">
        <v>6187</v>
      </c>
      <c r="K1834" s="5">
        <v>1.0</v>
      </c>
      <c r="L1834" s="5">
        <v>2904.0</v>
      </c>
    </row>
    <row r="1835" ht="14.25" customHeight="1">
      <c r="B1835" s="5">
        <v>5.0</v>
      </c>
      <c r="C1835" s="5" t="s">
        <v>7688</v>
      </c>
      <c r="D1835" s="5" t="s">
        <v>6574</v>
      </c>
      <c r="E1835" s="5">
        <v>13219.0</v>
      </c>
      <c r="F1835" s="5" t="s">
        <v>6575</v>
      </c>
      <c r="G1835" s="5" t="s">
        <v>6576</v>
      </c>
      <c r="H1835" s="5" t="s">
        <v>6209</v>
      </c>
      <c r="I1835" s="5" t="s">
        <v>49</v>
      </c>
      <c r="J1835" s="5" t="s">
        <v>6021</v>
      </c>
      <c r="K1835" s="5">
        <v>1.0</v>
      </c>
      <c r="L1835" s="5">
        <v>15135.0</v>
      </c>
      <c r="M1835" s="11">
        <v>-117.541639</v>
      </c>
      <c r="N1835" s="11">
        <v>51.716141</v>
      </c>
      <c r="O1835" s="11">
        <v>800.0</v>
      </c>
      <c r="P1835" s="5" t="s">
        <v>6574</v>
      </c>
      <c r="Q1835" s="72">
        <v>1.0</v>
      </c>
      <c r="R1835" s="11" t="s">
        <v>6575</v>
      </c>
      <c r="S1835" s="11" t="s">
        <v>6009</v>
      </c>
    </row>
    <row r="1836" ht="14.25" customHeight="1">
      <c r="A1836" s="5" t="s">
        <v>2037</v>
      </c>
      <c r="B1836" s="5">
        <v>5.0</v>
      </c>
      <c r="C1836" s="5" t="s">
        <v>7688</v>
      </c>
      <c r="D1836" s="5" t="s">
        <v>6577</v>
      </c>
      <c r="E1836" s="5">
        <v>2502.0</v>
      </c>
      <c r="F1836" s="38" t="s">
        <v>6578</v>
      </c>
      <c r="G1836" s="5" t="s">
        <v>6579</v>
      </c>
      <c r="H1836" s="5" t="s">
        <v>6580</v>
      </c>
      <c r="I1836" s="5" t="s">
        <v>1664</v>
      </c>
      <c r="J1836" s="5" t="s">
        <v>6046</v>
      </c>
      <c r="K1836" s="5">
        <v>1.0</v>
      </c>
      <c r="L1836" s="5">
        <v>2905.0</v>
      </c>
      <c r="M1836" s="28">
        <v>-188.53</v>
      </c>
      <c r="N1836" s="28">
        <v>50.35</v>
      </c>
      <c r="O1836" s="28">
        <v>675.0</v>
      </c>
      <c r="P1836" s="28" t="s">
        <v>6577</v>
      </c>
      <c r="Q1836" s="28"/>
      <c r="R1836" s="28" t="s">
        <v>6581</v>
      </c>
      <c r="S1836" s="55"/>
      <c r="T1836" s="55"/>
      <c r="U1836" s="99"/>
      <c r="V1836" s="99"/>
      <c r="W1836" s="99"/>
      <c r="X1836" s="99"/>
      <c r="Y1836" s="99"/>
      <c r="Z1836" s="99"/>
      <c r="AA1836" s="99"/>
      <c r="AB1836" s="99"/>
      <c r="AC1836" s="99"/>
      <c r="AD1836" s="99"/>
      <c r="AE1836" s="99"/>
      <c r="AF1836" s="99"/>
      <c r="AG1836" s="99"/>
      <c r="AH1836" s="99"/>
      <c r="AI1836" s="99"/>
      <c r="AJ1836" s="99"/>
      <c r="AK1836" s="99"/>
      <c r="AL1836" s="99"/>
      <c r="AM1836" s="99"/>
      <c r="AN1836" s="99"/>
      <c r="AO1836" s="99"/>
      <c r="AP1836" s="99"/>
      <c r="AQ1836" s="99"/>
      <c r="AR1836" s="99"/>
      <c r="AS1836" s="99"/>
      <c r="AT1836" s="99"/>
      <c r="AU1836" s="99"/>
      <c r="AV1836" s="99"/>
      <c r="AW1836" s="99"/>
      <c r="AX1836" s="99"/>
      <c r="AY1836" s="99"/>
      <c r="AZ1836" s="99"/>
      <c r="BA1836" s="99"/>
      <c r="BB1836" s="99"/>
      <c r="BC1836" s="99"/>
      <c r="BD1836" s="99"/>
      <c r="BE1836" s="99"/>
      <c r="BF1836" s="99"/>
      <c r="BG1836" s="99"/>
      <c r="BH1836" s="99"/>
      <c r="BI1836" s="99"/>
      <c r="BJ1836" s="99"/>
      <c r="BK1836" s="99"/>
      <c r="BL1836" s="99"/>
      <c r="BM1836" s="99"/>
      <c r="BN1836" s="99"/>
      <c r="BO1836" s="99"/>
      <c r="BP1836" s="99"/>
      <c r="BQ1836" s="99"/>
      <c r="BR1836" s="99"/>
      <c r="BS1836" s="99"/>
      <c r="BT1836" s="99"/>
    </row>
    <row r="1837" ht="14.25" customHeight="1">
      <c r="B1837" s="5">
        <v>5.0</v>
      </c>
      <c r="C1837" s="5" t="s">
        <v>7688</v>
      </c>
      <c r="D1837" s="5" t="s">
        <v>6582</v>
      </c>
      <c r="E1837" s="5">
        <v>12352.0</v>
      </c>
      <c r="F1837" s="5" t="s">
        <v>6583</v>
      </c>
      <c r="G1837" s="5" t="s">
        <v>6584</v>
      </c>
      <c r="H1837" s="5" t="s">
        <v>6585</v>
      </c>
      <c r="I1837" s="5" t="s">
        <v>49</v>
      </c>
      <c r="J1837" s="5" t="s">
        <v>6258</v>
      </c>
      <c r="K1837" s="5">
        <v>1.0</v>
      </c>
      <c r="L1837" s="5">
        <v>14408.0</v>
      </c>
      <c r="V1837" s="55"/>
      <c r="W1837" s="55"/>
      <c r="X1837" s="55"/>
      <c r="Y1837" s="55"/>
      <c r="Z1837" s="55"/>
      <c r="AA1837" s="55"/>
      <c r="AB1837" s="55"/>
      <c r="AC1837" s="55"/>
      <c r="AD1837" s="55"/>
      <c r="AE1837" s="55"/>
      <c r="AF1837" s="55"/>
      <c r="AG1837" s="55"/>
      <c r="AH1837" s="55"/>
      <c r="AI1837" s="55"/>
      <c r="AJ1837" s="55"/>
      <c r="AK1837" s="55"/>
      <c r="AL1837" s="55"/>
      <c r="AM1837" s="55"/>
      <c r="AN1837" s="55"/>
      <c r="AO1837" s="55"/>
      <c r="AP1837" s="55"/>
      <c r="AQ1837" s="55"/>
      <c r="AR1837" s="55"/>
      <c r="AS1837" s="55"/>
      <c r="AT1837" s="55"/>
      <c r="AU1837" s="55"/>
      <c r="AV1837" s="55"/>
      <c r="AW1837" s="55"/>
      <c r="AX1837" s="55"/>
      <c r="AY1837" s="55"/>
      <c r="AZ1837" s="55"/>
      <c r="BA1837" s="55"/>
      <c r="BB1837" s="55"/>
      <c r="BC1837" s="55"/>
      <c r="BD1837" s="55"/>
      <c r="BE1837" s="55"/>
      <c r="BF1837" s="55"/>
      <c r="BG1837" s="55"/>
      <c r="BH1837" s="55"/>
      <c r="BI1837" s="55"/>
      <c r="BJ1837" s="55"/>
      <c r="BK1837" s="55"/>
      <c r="BL1837" s="55"/>
      <c r="BM1837" s="55"/>
      <c r="BN1837" s="55"/>
      <c r="BO1837" s="55"/>
      <c r="BP1837" s="55"/>
      <c r="BQ1837" s="55"/>
      <c r="BR1837" s="55"/>
      <c r="BS1837" s="55"/>
      <c r="BT1837" s="55"/>
    </row>
    <row r="1838" ht="14.25" customHeight="1">
      <c r="B1838" s="5">
        <v>5.0</v>
      </c>
      <c r="C1838" s="5" t="s">
        <v>7688</v>
      </c>
      <c r="D1838" s="5" t="s">
        <v>6586</v>
      </c>
      <c r="E1838" s="5">
        <v>12351.0</v>
      </c>
      <c r="F1838" s="29" t="s">
        <v>6587</v>
      </c>
      <c r="G1838" s="5" t="s">
        <v>6588</v>
      </c>
      <c r="H1838" s="5" t="s">
        <v>6589</v>
      </c>
      <c r="I1838" s="5" t="s">
        <v>49</v>
      </c>
      <c r="J1838" s="5" t="s">
        <v>6057</v>
      </c>
      <c r="K1838" s="5">
        <v>1.0</v>
      </c>
      <c r="L1838" s="5">
        <v>14407.0</v>
      </c>
      <c r="M1838" s="29"/>
      <c r="N1838" s="29"/>
      <c r="O1838" s="29"/>
      <c r="P1838" s="29"/>
      <c r="Q1838" s="29"/>
      <c r="R1838" s="29"/>
      <c r="S1838" s="29"/>
      <c r="T1838" s="29"/>
      <c r="U1838" s="29"/>
      <c r="V1838" s="99"/>
      <c r="W1838" s="99"/>
      <c r="X1838" s="99"/>
      <c r="Y1838" s="99"/>
      <c r="Z1838" s="99"/>
      <c r="AA1838" s="99"/>
      <c r="AB1838" s="99"/>
      <c r="AC1838" s="99"/>
      <c r="AD1838" s="99"/>
      <c r="AE1838" s="99"/>
      <c r="AF1838" s="99"/>
      <c r="AG1838" s="99"/>
      <c r="AH1838" s="99"/>
      <c r="AI1838" s="99"/>
      <c r="AJ1838" s="99"/>
      <c r="AK1838" s="99"/>
      <c r="AL1838" s="99"/>
      <c r="AM1838" s="99"/>
      <c r="AN1838" s="99"/>
      <c r="AO1838" s="99"/>
      <c r="AP1838" s="99"/>
      <c r="AQ1838" s="99"/>
      <c r="AR1838" s="99"/>
      <c r="AS1838" s="99"/>
      <c r="AT1838" s="99"/>
      <c r="AU1838" s="99"/>
      <c r="AV1838" s="99"/>
      <c r="AW1838" s="99"/>
      <c r="AX1838" s="99"/>
      <c r="AY1838" s="99"/>
      <c r="AZ1838" s="99"/>
      <c r="BA1838" s="99"/>
      <c r="BB1838" s="99"/>
      <c r="BC1838" s="99"/>
      <c r="BD1838" s="99"/>
      <c r="BE1838" s="99"/>
      <c r="BF1838" s="99"/>
      <c r="BG1838" s="99"/>
      <c r="BH1838" s="99"/>
      <c r="BI1838" s="99"/>
      <c r="BJ1838" s="99"/>
      <c r="BK1838" s="99"/>
      <c r="BL1838" s="99"/>
      <c r="BM1838" s="99"/>
      <c r="BN1838" s="99"/>
      <c r="BO1838" s="99"/>
      <c r="BP1838" s="99"/>
      <c r="BQ1838" s="99"/>
      <c r="BR1838" s="99"/>
      <c r="BS1838" s="99"/>
      <c r="BT1838" s="99"/>
    </row>
    <row r="1839" ht="14.25" customHeight="1">
      <c r="A1839" s="5" t="s">
        <v>88</v>
      </c>
      <c r="B1839" s="5">
        <v>5.0</v>
      </c>
      <c r="C1839" s="5" t="s">
        <v>7688</v>
      </c>
      <c r="D1839" s="5" t="s">
        <v>6590</v>
      </c>
      <c r="E1839" s="5">
        <v>12409.0</v>
      </c>
      <c r="F1839" s="29" t="s">
        <v>6591</v>
      </c>
      <c r="G1839" s="10" t="s">
        <v>6592</v>
      </c>
      <c r="H1839" s="5" t="s">
        <v>6289</v>
      </c>
      <c r="I1839" s="5" t="s">
        <v>641</v>
      </c>
      <c r="J1839" s="5" t="s">
        <v>6021</v>
      </c>
      <c r="K1839" s="5">
        <v>1.0</v>
      </c>
      <c r="L1839" s="5">
        <v>14431.0</v>
      </c>
      <c r="M1839" s="11">
        <v>-122.2397222</v>
      </c>
      <c r="N1839" s="11">
        <v>56.83</v>
      </c>
      <c r="O1839" s="11">
        <v>1011.0</v>
      </c>
      <c r="P1839" s="5" t="s">
        <v>6590</v>
      </c>
      <c r="Q1839" s="72">
        <v>8.0</v>
      </c>
      <c r="R1839" s="11" t="s">
        <v>6591</v>
      </c>
      <c r="S1839" s="11" t="s">
        <v>6009</v>
      </c>
      <c r="T1839" s="29"/>
      <c r="U1839" s="29"/>
      <c r="V1839" s="29"/>
      <c r="W1839" s="29"/>
      <c r="X1839" s="29"/>
      <c r="Y1839" s="29"/>
      <c r="Z1839" s="29"/>
      <c r="AA1839" s="29"/>
      <c r="AB1839" s="29"/>
      <c r="AC1839" s="29"/>
      <c r="AD1839" s="29"/>
      <c r="AE1839" s="29"/>
      <c r="AF1839" s="29"/>
      <c r="AG1839" s="29"/>
      <c r="AH1839" s="29"/>
      <c r="AI1839" s="29"/>
      <c r="AJ1839" s="29"/>
      <c r="AK1839" s="29"/>
      <c r="AL1839" s="29"/>
      <c r="AM1839" s="29"/>
      <c r="AN1839" s="29"/>
      <c r="AO1839" s="29"/>
      <c r="AP1839" s="29"/>
      <c r="AQ1839" s="29"/>
      <c r="AR1839" s="29"/>
      <c r="AS1839" s="29"/>
      <c r="AT1839" s="29"/>
      <c r="AU1839" s="29"/>
      <c r="AV1839" s="29"/>
      <c r="AW1839" s="29"/>
      <c r="AX1839" s="29"/>
      <c r="AY1839" s="29"/>
      <c r="AZ1839" s="29"/>
      <c r="BA1839" s="29"/>
      <c r="BB1839" s="29"/>
      <c r="BC1839" s="29"/>
      <c r="BD1839" s="29"/>
      <c r="BE1839" s="29"/>
      <c r="BF1839" s="29"/>
      <c r="BG1839" s="29"/>
      <c r="BH1839" s="29"/>
      <c r="BI1839" s="29"/>
      <c r="BJ1839" s="29"/>
      <c r="BK1839" s="29"/>
      <c r="BL1839" s="29"/>
      <c r="BM1839" s="29"/>
      <c r="BN1839" s="29"/>
      <c r="BO1839" s="29"/>
      <c r="BP1839" s="29"/>
      <c r="BQ1839" s="29"/>
      <c r="BR1839" s="29"/>
      <c r="BS1839" s="29"/>
      <c r="BT1839" s="29"/>
    </row>
    <row r="1840" ht="14.25" customHeight="1">
      <c r="B1840" s="5">
        <v>5.0</v>
      </c>
      <c r="C1840" s="5" t="s">
        <v>7688</v>
      </c>
      <c r="D1840" s="5" t="s">
        <v>6593</v>
      </c>
      <c r="E1840" s="5">
        <v>13117.0</v>
      </c>
      <c r="F1840" s="5" t="s">
        <v>6594</v>
      </c>
      <c r="G1840" s="5" t="s">
        <v>7695</v>
      </c>
      <c r="H1840" s="5" t="s">
        <v>6086</v>
      </c>
      <c r="I1840" s="5" t="s">
        <v>49</v>
      </c>
      <c r="J1840" s="5" t="s">
        <v>6087</v>
      </c>
      <c r="K1840" s="5">
        <v>1.0</v>
      </c>
      <c r="L1840" s="5">
        <v>15039.0</v>
      </c>
      <c r="M1840" s="11">
        <v>-124.096333</v>
      </c>
      <c r="N1840" s="11">
        <v>55.41635</v>
      </c>
      <c r="O1840" s="11">
        <v>1189.0</v>
      </c>
      <c r="P1840" s="5" t="s">
        <v>6593</v>
      </c>
      <c r="Q1840" s="72">
        <v>5.0</v>
      </c>
      <c r="R1840" s="11" t="s">
        <v>6594</v>
      </c>
      <c r="S1840" s="11" t="s">
        <v>6009</v>
      </c>
    </row>
    <row r="1841" ht="14.25" customHeight="1">
      <c r="B1841" s="5">
        <v>5.0</v>
      </c>
      <c r="C1841" s="5" t="s">
        <v>7688</v>
      </c>
      <c r="D1841" s="5" t="s">
        <v>6596</v>
      </c>
      <c r="E1841" s="5">
        <v>12410.0</v>
      </c>
      <c r="F1841" s="5" t="s">
        <v>6597</v>
      </c>
      <c r="G1841" s="5" t="s">
        <v>6598</v>
      </c>
      <c r="H1841" s="5" t="s">
        <v>6201</v>
      </c>
      <c r="I1841" s="5" t="s">
        <v>641</v>
      </c>
      <c r="J1841" s="5" t="s">
        <v>6021</v>
      </c>
      <c r="K1841" s="5">
        <v>1.0</v>
      </c>
      <c r="L1841" s="5">
        <v>14432.0</v>
      </c>
      <c r="M1841" s="11">
        <v>-125.5844333</v>
      </c>
      <c r="N1841" s="11">
        <v>49.97266667</v>
      </c>
      <c r="O1841" s="11">
        <v>249.0</v>
      </c>
      <c r="P1841" s="5" t="s">
        <v>6596</v>
      </c>
      <c r="Q1841" s="72">
        <v>4.0</v>
      </c>
      <c r="R1841" s="11" t="s">
        <v>6597</v>
      </c>
      <c r="S1841" s="11" t="s">
        <v>6009</v>
      </c>
    </row>
    <row r="1842" ht="14.25" customHeight="1">
      <c r="B1842" s="5">
        <v>5.0</v>
      </c>
      <c r="C1842" s="5" t="s">
        <v>7688</v>
      </c>
      <c r="D1842" s="5" t="s">
        <v>6599</v>
      </c>
      <c r="E1842" s="5">
        <v>2445.0</v>
      </c>
      <c r="F1842" s="5" t="s">
        <v>6600</v>
      </c>
      <c r="G1842" s="5" t="s">
        <v>6601</v>
      </c>
      <c r="H1842" s="5" t="s">
        <v>6040</v>
      </c>
      <c r="I1842" s="5" t="s">
        <v>1664</v>
      </c>
      <c r="J1842" s="5" t="s">
        <v>6046</v>
      </c>
      <c r="K1842" s="5">
        <v>1.0</v>
      </c>
      <c r="L1842" s="5">
        <v>2848.0</v>
      </c>
      <c r="M1842" s="10">
        <v>-123.13333</v>
      </c>
      <c r="N1842" s="10">
        <v>50.1222</v>
      </c>
      <c r="O1842" s="10">
        <v>880.0</v>
      </c>
      <c r="P1842" s="10" t="s">
        <v>6602</v>
      </c>
      <c r="Q1842" s="10"/>
      <c r="R1842" s="10" t="s">
        <v>6600</v>
      </c>
      <c r="S1842" s="55"/>
      <c r="T1842" s="55"/>
      <c r="U1842" s="55"/>
      <c r="V1842" s="55"/>
      <c r="W1842" s="55"/>
      <c r="X1842" s="55"/>
      <c r="Y1842" s="55"/>
      <c r="Z1842" s="55"/>
      <c r="AA1842" s="55"/>
      <c r="AB1842" s="55"/>
      <c r="AC1842" s="55"/>
      <c r="AD1842" s="55"/>
      <c r="AE1842" s="55"/>
      <c r="AF1842" s="55"/>
      <c r="AG1842" s="55"/>
      <c r="AH1842" s="55"/>
      <c r="AI1842" s="55"/>
      <c r="AJ1842" s="55"/>
      <c r="AK1842" s="55"/>
      <c r="AL1842" s="55"/>
      <c r="AM1842" s="55"/>
      <c r="AN1842" s="55"/>
      <c r="AO1842" s="55"/>
      <c r="AP1842" s="55"/>
      <c r="AQ1842" s="55"/>
      <c r="AR1842" s="55"/>
      <c r="AS1842" s="55"/>
      <c r="AT1842" s="55"/>
      <c r="AU1842" s="55"/>
      <c r="AV1842" s="55"/>
      <c r="AW1842" s="55"/>
      <c r="AX1842" s="55"/>
      <c r="AY1842" s="55"/>
      <c r="AZ1842" s="55"/>
      <c r="BA1842" s="55"/>
      <c r="BB1842" s="55"/>
      <c r="BC1842" s="55"/>
      <c r="BD1842" s="55"/>
      <c r="BE1842" s="55"/>
      <c r="BF1842" s="55"/>
      <c r="BG1842" s="55"/>
      <c r="BH1842" s="55"/>
      <c r="BI1842" s="55"/>
      <c r="BJ1842" s="55"/>
      <c r="BK1842" s="55"/>
      <c r="BL1842" s="55"/>
      <c r="BM1842" s="55"/>
      <c r="BN1842" s="55"/>
      <c r="BO1842" s="55"/>
      <c r="BP1842" s="55"/>
      <c r="BQ1842" s="55"/>
      <c r="BR1842" s="55"/>
      <c r="BS1842" s="55"/>
      <c r="BT1842" s="55"/>
    </row>
    <row r="1843" ht="14.25" customHeight="1">
      <c r="A1843" s="5" t="s">
        <v>2037</v>
      </c>
      <c r="B1843" s="5">
        <v>5.0</v>
      </c>
      <c r="C1843" s="5" t="s">
        <v>7688</v>
      </c>
      <c r="D1843" s="5" t="s">
        <v>6603</v>
      </c>
      <c r="E1843" s="5">
        <v>2507.0</v>
      </c>
      <c r="F1843" s="10" t="s">
        <v>6604</v>
      </c>
      <c r="G1843" s="5" t="s">
        <v>6605</v>
      </c>
      <c r="H1843" s="5" t="s">
        <v>6040</v>
      </c>
      <c r="I1843" s="5" t="s">
        <v>1664</v>
      </c>
      <c r="J1843" s="5" t="s">
        <v>6046</v>
      </c>
      <c r="K1843" s="5">
        <v>1.0</v>
      </c>
      <c r="L1843" s="5">
        <v>2910.0</v>
      </c>
      <c r="M1843" s="11">
        <v>-121.6186111</v>
      </c>
      <c r="N1843" s="11">
        <v>49.23194444</v>
      </c>
      <c r="O1843" s="11">
        <v>641.0</v>
      </c>
      <c r="P1843" s="5" t="s">
        <v>6603</v>
      </c>
      <c r="Q1843" s="72">
        <v>4.0</v>
      </c>
      <c r="R1843" s="11" t="s">
        <v>6606</v>
      </c>
      <c r="S1843" s="11" t="s">
        <v>6009</v>
      </c>
    </row>
    <row r="1844" ht="14.25" customHeight="1">
      <c r="B1844" s="5">
        <v>5.0</v>
      </c>
      <c r="C1844" s="5" t="s">
        <v>7688</v>
      </c>
      <c r="D1844" s="5" t="s">
        <v>6607</v>
      </c>
      <c r="E1844" s="5">
        <v>13090.0</v>
      </c>
      <c r="F1844" s="5" t="s">
        <v>6608</v>
      </c>
      <c r="G1844" s="5" t="s">
        <v>6609</v>
      </c>
      <c r="H1844" s="5" t="s">
        <v>6014</v>
      </c>
      <c r="I1844" s="5" t="s">
        <v>49</v>
      </c>
      <c r="J1844" s="5" t="s">
        <v>6610</v>
      </c>
      <c r="K1844" s="5">
        <v>1.0</v>
      </c>
      <c r="L1844" s="5">
        <v>15012.0</v>
      </c>
      <c r="M1844" s="5">
        <v>-125.6773389</v>
      </c>
      <c r="N1844" s="5">
        <v>57.40755556</v>
      </c>
      <c r="O1844" s="5">
        <v>971.0</v>
      </c>
      <c r="P1844" s="5" t="s">
        <v>6607</v>
      </c>
      <c r="Q1844" s="5">
        <v>2.0</v>
      </c>
      <c r="R1844" s="5" t="s">
        <v>6608</v>
      </c>
      <c r="S1844" s="5" t="s">
        <v>6009</v>
      </c>
    </row>
    <row r="1845" ht="14.25" customHeight="1">
      <c r="B1845" s="5">
        <v>5.0</v>
      </c>
      <c r="C1845" s="5" t="s">
        <v>7688</v>
      </c>
      <c r="D1845" s="5" t="s">
        <v>6611</v>
      </c>
      <c r="E1845" s="5">
        <v>12414.0</v>
      </c>
      <c r="F1845" s="5" t="s">
        <v>6612</v>
      </c>
      <c r="G1845" s="5" t="s">
        <v>6613</v>
      </c>
      <c r="H1845" s="5" t="s">
        <v>6289</v>
      </c>
      <c r="I1845" s="5" t="s">
        <v>641</v>
      </c>
      <c r="J1845" s="5" t="s">
        <v>6087</v>
      </c>
      <c r="K1845" s="5">
        <v>1.0</v>
      </c>
      <c r="L1845" s="5">
        <v>14436.0</v>
      </c>
      <c r="M1845" s="5">
        <v>-125.7004694</v>
      </c>
      <c r="N1845" s="5">
        <v>57.39618056</v>
      </c>
      <c r="O1845" s="5">
        <v>1565.0</v>
      </c>
      <c r="P1845" s="5" t="s">
        <v>6611</v>
      </c>
      <c r="Q1845" s="5">
        <v>7.0</v>
      </c>
      <c r="R1845" s="5" t="s">
        <v>6612</v>
      </c>
      <c r="S1845" s="5" t="s">
        <v>6009</v>
      </c>
    </row>
    <row r="1846" ht="14.25" customHeight="1">
      <c r="B1846" s="5">
        <v>5.0</v>
      </c>
      <c r="C1846" s="5" t="s">
        <v>7688</v>
      </c>
      <c r="D1846" s="5" t="s">
        <v>6614</v>
      </c>
      <c r="E1846" s="5">
        <v>12411.0</v>
      </c>
      <c r="F1846" s="5" t="s">
        <v>6615</v>
      </c>
      <c r="G1846" s="5" t="s">
        <v>6616</v>
      </c>
      <c r="H1846" s="5" t="s">
        <v>6289</v>
      </c>
      <c r="I1846" s="5" t="s">
        <v>641</v>
      </c>
      <c r="J1846" s="5" t="s">
        <v>6127</v>
      </c>
      <c r="K1846" s="5">
        <v>1.0</v>
      </c>
      <c r="L1846" s="5">
        <v>14433.0</v>
      </c>
      <c r="M1846" s="5">
        <v>-116.6294111</v>
      </c>
      <c r="N1846" s="5">
        <v>51.69630278</v>
      </c>
      <c r="O1846" s="5">
        <v>2122.0</v>
      </c>
      <c r="P1846" s="5" t="s">
        <v>6614</v>
      </c>
      <c r="Q1846" s="5">
        <v>7.0</v>
      </c>
      <c r="R1846" s="5" t="s">
        <v>6615</v>
      </c>
      <c r="S1846" s="5" t="s">
        <v>6009</v>
      </c>
    </row>
    <row r="1847" ht="14.25" customHeight="1">
      <c r="A1847" s="5" t="s">
        <v>772</v>
      </c>
      <c r="B1847" s="5">
        <v>5.0</v>
      </c>
      <c r="C1847" s="5" t="s">
        <v>7688</v>
      </c>
      <c r="D1847" s="5" t="s">
        <v>6617</v>
      </c>
      <c r="E1847" s="5">
        <v>2477.0</v>
      </c>
      <c r="F1847" s="38" t="s">
        <v>6618</v>
      </c>
      <c r="G1847" s="10" t="s">
        <v>6619</v>
      </c>
      <c r="H1847" s="5" t="s">
        <v>6620</v>
      </c>
      <c r="I1847" s="5" t="s">
        <v>1664</v>
      </c>
      <c r="J1847" s="5" t="s">
        <v>6046</v>
      </c>
      <c r="K1847" s="5">
        <v>1.0</v>
      </c>
      <c r="L1847" s="5">
        <v>2880.0</v>
      </c>
      <c r="M1847" s="5">
        <v>-123.74819</v>
      </c>
      <c r="N1847" s="5">
        <v>56.04997</v>
      </c>
      <c r="O1847" s="5">
        <v>712.0</v>
      </c>
      <c r="P1847" s="5" t="s">
        <v>6617</v>
      </c>
      <c r="Q1847" s="5">
        <v>1.0</v>
      </c>
      <c r="R1847" s="5" t="s">
        <v>6621</v>
      </c>
      <c r="S1847" s="5" t="s">
        <v>6009</v>
      </c>
      <c r="U1847" s="29"/>
      <c r="V1847" s="29"/>
      <c r="W1847" s="29"/>
      <c r="X1847" s="29"/>
      <c r="Y1847" s="29"/>
      <c r="Z1847" s="29"/>
      <c r="AA1847" s="29"/>
      <c r="AB1847" s="29"/>
      <c r="AC1847" s="29"/>
      <c r="AD1847" s="29"/>
      <c r="AE1847" s="29"/>
      <c r="AF1847" s="29"/>
      <c r="AG1847" s="29"/>
      <c r="AH1847" s="29"/>
      <c r="AI1847" s="29"/>
      <c r="AJ1847" s="29"/>
      <c r="AK1847" s="29"/>
      <c r="AL1847" s="29"/>
      <c r="AM1847" s="29"/>
      <c r="AN1847" s="29"/>
      <c r="AO1847" s="29"/>
      <c r="AP1847" s="29"/>
      <c r="AQ1847" s="29"/>
      <c r="AR1847" s="29"/>
      <c r="AS1847" s="29"/>
      <c r="AT1847" s="29"/>
      <c r="AU1847" s="29"/>
      <c r="AV1847" s="29"/>
      <c r="AW1847" s="29"/>
      <c r="AX1847" s="29"/>
      <c r="AY1847" s="29"/>
      <c r="AZ1847" s="29"/>
      <c r="BA1847" s="29"/>
      <c r="BB1847" s="29"/>
      <c r="BC1847" s="29"/>
      <c r="BD1847" s="29"/>
      <c r="BE1847" s="29"/>
      <c r="BF1847" s="29"/>
      <c r="BG1847" s="29"/>
      <c r="BH1847" s="29"/>
      <c r="BI1847" s="29"/>
      <c r="BJ1847" s="29"/>
      <c r="BK1847" s="29"/>
      <c r="BL1847" s="29"/>
      <c r="BM1847" s="29"/>
      <c r="BN1847" s="29"/>
      <c r="BO1847" s="29"/>
      <c r="BP1847" s="29"/>
      <c r="BQ1847" s="29"/>
      <c r="BR1847" s="29"/>
      <c r="BS1847" s="29"/>
      <c r="BT1847" s="29"/>
    </row>
    <row r="1848" ht="14.25" customHeight="1">
      <c r="A1848" s="5" t="s">
        <v>2037</v>
      </c>
      <c r="B1848" s="5">
        <v>5.0</v>
      </c>
      <c r="C1848" s="5" t="s">
        <v>7688</v>
      </c>
      <c r="D1848" s="5" t="s">
        <v>6622</v>
      </c>
      <c r="E1848" s="5">
        <v>2510.0</v>
      </c>
      <c r="F1848" s="10" t="s">
        <v>6623</v>
      </c>
      <c r="G1848" s="5" t="s">
        <v>6624</v>
      </c>
      <c r="H1848" s="5" t="s">
        <v>6625</v>
      </c>
      <c r="I1848" s="5" t="s">
        <v>1664</v>
      </c>
      <c r="J1848" s="5" t="s">
        <v>6046</v>
      </c>
      <c r="K1848" s="5">
        <v>1.0</v>
      </c>
      <c r="L1848" s="5">
        <v>2913.0</v>
      </c>
      <c r="M1848" s="104">
        <v>122.715833</v>
      </c>
      <c r="N1848" s="104">
        <v>56.1061</v>
      </c>
      <c r="O1848" s="105">
        <v>676.0</v>
      </c>
      <c r="P1848" s="55" t="s">
        <v>6622</v>
      </c>
      <c r="Q1848" s="55"/>
      <c r="R1848" s="104" t="s">
        <v>6626</v>
      </c>
      <c r="S1848" s="55"/>
      <c r="T1848" s="55"/>
      <c r="U1848" s="55"/>
      <c r="V1848" s="55"/>
      <c r="W1848" s="55"/>
      <c r="X1848" s="55"/>
      <c r="Y1848" s="55"/>
      <c r="Z1848" s="55"/>
      <c r="AA1848" s="55"/>
      <c r="AB1848" s="55"/>
      <c r="AC1848" s="55"/>
      <c r="AD1848" s="55"/>
      <c r="AE1848" s="55"/>
      <c r="AF1848" s="55"/>
      <c r="AG1848" s="55"/>
      <c r="AH1848" s="55"/>
      <c r="AI1848" s="55"/>
      <c r="AJ1848" s="55"/>
      <c r="AK1848" s="55"/>
      <c r="AL1848" s="55"/>
      <c r="AM1848" s="55"/>
      <c r="AN1848" s="55"/>
      <c r="AO1848" s="55"/>
      <c r="AP1848" s="55"/>
      <c r="AQ1848" s="55"/>
      <c r="AR1848" s="55"/>
      <c r="AS1848" s="55"/>
      <c r="AT1848" s="55"/>
      <c r="AU1848" s="55"/>
      <c r="AV1848" s="55"/>
      <c r="AW1848" s="55"/>
      <c r="AX1848" s="55"/>
      <c r="AY1848" s="55"/>
      <c r="AZ1848" s="55"/>
      <c r="BA1848" s="55"/>
      <c r="BB1848" s="55"/>
      <c r="BC1848" s="55"/>
      <c r="BD1848" s="55"/>
      <c r="BE1848" s="55"/>
      <c r="BF1848" s="55"/>
      <c r="BG1848" s="55"/>
      <c r="BH1848" s="55"/>
      <c r="BI1848" s="55"/>
      <c r="BJ1848" s="55"/>
      <c r="BK1848" s="55"/>
      <c r="BL1848" s="55"/>
      <c r="BM1848" s="55"/>
      <c r="BN1848" s="55"/>
      <c r="BO1848" s="55"/>
      <c r="BP1848" s="55"/>
      <c r="BQ1848" s="55"/>
      <c r="BR1848" s="55"/>
      <c r="BS1848" s="55"/>
      <c r="BT1848" s="55"/>
    </row>
    <row r="1849" ht="14.25" customHeight="1">
      <c r="A1849" s="5" t="s">
        <v>1908</v>
      </c>
      <c r="B1849" s="5">
        <v>5.0</v>
      </c>
      <c r="C1849" s="5" t="s">
        <v>7688</v>
      </c>
      <c r="D1849" s="5" t="s">
        <v>6627</v>
      </c>
      <c r="E1849" s="5">
        <v>2508.0</v>
      </c>
      <c r="F1849" s="38" t="s">
        <v>6628</v>
      </c>
      <c r="G1849" s="10" t="s">
        <v>6629</v>
      </c>
      <c r="H1849" s="5" t="s">
        <v>6630</v>
      </c>
      <c r="I1849" s="5" t="s">
        <v>1664</v>
      </c>
      <c r="J1849" s="5" t="s">
        <v>6069</v>
      </c>
      <c r="K1849" s="5">
        <v>1.0</v>
      </c>
      <c r="L1849" s="5">
        <v>2911.0</v>
      </c>
      <c r="M1849" s="11">
        <v>-125.67925</v>
      </c>
      <c r="N1849" s="11">
        <v>49.70413889</v>
      </c>
      <c r="O1849" s="11">
        <v>1490.0</v>
      </c>
      <c r="P1849" s="5" t="s">
        <v>6627</v>
      </c>
      <c r="Q1849" s="72">
        <v>8.0</v>
      </c>
      <c r="R1849" s="11" t="s">
        <v>6631</v>
      </c>
      <c r="S1849" s="11" t="s">
        <v>6009</v>
      </c>
      <c r="U1849" s="29"/>
      <c r="V1849" s="29"/>
      <c r="W1849" s="29"/>
      <c r="X1849" s="29"/>
      <c r="Y1849" s="29"/>
      <c r="Z1849" s="29"/>
      <c r="AA1849" s="29"/>
      <c r="AB1849" s="29"/>
      <c r="AC1849" s="29"/>
      <c r="AD1849" s="29"/>
      <c r="AE1849" s="29"/>
      <c r="AF1849" s="29"/>
      <c r="AG1849" s="29"/>
      <c r="AH1849" s="29"/>
      <c r="AI1849" s="29"/>
      <c r="AJ1849" s="29"/>
      <c r="AK1849" s="29"/>
      <c r="AL1849" s="29"/>
      <c r="AM1849" s="29"/>
      <c r="AN1849" s="29"/>
      <c r="AO1849" s="29"/>
      <c r="AP1849" s="29"/>
      <c r="AQ1849" s="29"/>
      <c r="AR1849" s="29"/>
      <c r="AS1849" s="29"/>
      <c r="AT1849" s="29"/>
      <c r="AU1849" s="29"/>
      <c r="AV1849" s="29"/>
      <c r="AW1849" s="29"/>
      <c r="AX1849" s="29"/>
      <c r="AY1849" s="29"/>
      <c r="AZ1849" s="29"/>
      <c r="BA1849" s="29"/>
      <c r="BB1849" s="29"/>
      <c r="BC1849" s="29"/>
      <c r="BD1849" s="29"/>
      <c r="BE1849" s="29"/>
      <c r="BF1849" s="29"/>
      <c r="BG1849" s="29"/>
      <c r="BH1849" s="29"/>
      <c r="BI1849" s="29"/>
      <c r="BJ1849" s="29"/>
      <c r="BK1849" s="29"/>
      <c r="BL1849" s="29"/>
      <c r="BM1849" s="29"/>
      <c r="BN1849" s="29"/>
      <c r="BO1849" s="29"/>
      <c r="BP1849" s="29"/>
      <c r="BQ1849" s="29"/>
      <c r="BR1849" s="29"/>
      <c r="BS1849" s="29"/>
      <c r="BT1849" s="29"/>
    </row>
    <row r="1850" ht="14.25" customHeight="1">
      <c r="A1850" s="5" t="s">
        <v>88</v>
      </c>
      <c r="B1850" s="5">
        <v>5.0</v>
      </c>
      <c r="C1850" s="5" t="s">
        <v>7688</v>
      </c>
      <c r="D1850" s="5" t="s">
        <v>6632</v>
      </c>
      <c r="E1850" s="5">
        <v>2509.0</v>
      </c>
      <c r="F1850" s="5" t="s">
        <v>6633</v>
      </c>
      <c r="G1850" s="10" t="s">
        <v>6634</v>
      </c>
      <c r="H1850" s="5" t="s">
        <v>6635</v>
      </c>
      <c r="I1850" s="5" t="s">
        <v>1664</v>
      </c>
      <c r="J1850" s="5" t="s">
        <v>6046</v>
      </c>
      <c r="K1850" s="5">
        <v>1.0</v>
      </c>
      <c r="L1850" s="5">
        <v>2912.0</v>
      </c>
      <c r="M1850" s="11">
        <v>-121.1381111</v>
      </c>
      <c r="N1850" s="11">
        <v>56.72893056</v>
      </c>
      <c r="O1850" s="11">
        <v>925.0</v>
      </c>
      <c r="P1850" s="5" t="s">
        <v>6632</v>
      </c>
      <c r="Q1850" s="72">
        <v>7.0</v>
      </c>
      <c r="R1850" s="11" t="s">
        <v>6633</v>
      </c>
      <c r="S1850" s="11" t="s">
        <v>6009</v>
      </c>
    </row>
    <row r="1851" ht="14.25" customHeight="1">
      <c r="A1851" s="5" t="s">
        <v>5043</v>
      </c>
      <c r="B1851" s="5">
        <v>14.0</v>
      </c>
      <c r="C1851" s="5" t="s">
        <v>7696</v>
      </c>
      <c r="D1851" s="5" t="s">
        <v>6637</v>
      </c>
      <c r="E1851" s="5">
        <v>2569.0</v>
      </c>
      <c r="F1851" s="5" t="s">
        <v>6038</v>
      </c>
      <c r="G1851" s="5" t="s">
        <v>6638</v>
      </c>
      <c r="H1851" s="5" t="s">
        <v>6639</v>
      </c>
      <c r="I1851" s="5" t="s">
        <v>1664</v>
      </c>
      <c r="J1851" s="5" t="s">
        <v>6640</v>
      </c>
      <c r="K1851" s="5">
        <v>1.0</v>
      </c>
      <c r="L1851" s="5">
        <v>2972.0</v>
      </c>
    </row>
    <row r="1852" ht="14.25" customHeight="1">
      <c r="B1852" s="5">
        <v>14.0</v>
      </c>
      <c r="C1852" s="5" t="s">
        <v>7690</v>
      </c>
      <c r="D1852" s="5" t="s">
        <v>6641</v>
      </c>
      <c r="E1852" s="5">
        <v>2535.0</v>
      </c>
      <c r="F1852" s="5" t="s">
        <v>6642</v>
      </c>
      <c r="G1852" s="5" t="s">
        <v>6643</v>
      </c>
      <c r="H1852" s="5" t="s">
        <v>6644</v>
      </c>
      <c r="I1852" s="5" t="s">
        <v>1664</v>
      </c>
      <c r="J1852" s="5" t="s">
        <v>6645</v>
      </c>
      <c r="K1852" s="5">
        <v>1.0</v>
      </c>
      <c r="L1852" s="5">
        <v>2938.0</v>
      </c>
      <c r="M1852" s="11">
        <v>-119.7238333</v>
      </c>
      <c r="N1852" s="11">
        <v>52.59566667</v>
      </c>
      <c r="O1852" s="11">
        <v>1620.0</v>
      </c>
      <c r="P1852" s="16" t="s">
        <v>6641</v>
      </c>
      <c r="Q1852" s="72">
        <v>5.0</v>
      </c>
      <c r="R1852" s="11" t="s">
        <v>6642</v>
      </c>
      <c r="S1852" s="11" t="s">
        <v>6646</v>
      </c>
    </row>
    <row r="1853" ht="14.25" customHeight="1">
      <c r="B1853" s="5">
        <v>14.0</v>
      </c>
      <c r="C1853" s="5" t="s">
        <v>7690</v>
      </c>
      <c r="D1853" s="5" t="s">
        <v>6647</v>
      </c>
      <c r="E1853" s="5">
        <v>2514.0</v>
      </c>
      <c r="F1853" s="5" t="s">
        <v>6648</v>
      </c>
      <c r="G1853" s="5" t="s">
        <v>6649</v>
      </c>
      <c r="H1853" s="5" t="s">
        <v>6650</v>
      </c>
      <c r="I1853" s="5" t="s">
        <v>1664</v>
      </c>
      <c r="J1853" s="5" t="s">
        <v>6645</v>
      </c>
      <c r="K1853" s="5">
        <v>1.0</v>
      </c>
      <c r="L1853" s="5">
        <v>2917.0</v>
      </c>
      <c r="M1853" s="11">
        <v>-121.491</v>
      </c>
      <c r="N1853" s="11">
        <v>53.05683333</v>
      </c>
      <c r="O1853" s="11">
        <v>1480.0</v>
      </c>
      <c r="P1853" s="16" t="s">
        <v>6647</v>
      </c>
      <c r="Q1853" s="72">
        <v>4.0</v>
      </c>
      <c r="R1853" s="11" t="s">
        <v>6648</v>
      </c>
      <c r="S1853" s="11" t="s">
        <v>6646</v>
      </c>
    </row>
    <row r="1854" ht="14.25" customHeight="1">
      <c r="A1854" s="5" t="s">
        <v>6651</v>
      </c>
      <c r="B1854" s="5">
        <v>14.0</v>
      </c>
      <c r="C1854" s="10" t="s">
        <v>7696</v>
      </c>
      <c r="D1854" s="5" t="s">
        <v>6652</v>
      </c>
      <c r="E1854" s="5">
        <v>2545.0</v>
      </c>
      <c r="F1854" s="5" t="s">
        <v>6070</v>
      </c>
      <c r="G1854" s="5" t="s">
        <v>6653</v>
      </c>
      <c r="H1854" s="5" t="s">
        <v>6654</v>
      </c>
      <c r="I1854" s="5" t="s">
        <v>1664</v>
      </c>
      <c r="J1854" s="5" t="s">
        <v>5996</v>
      </c>
      <c r="K1854" s="5">
        <v>1.0</v>
      </c>
      <c r="L1854" s="5">
        <v>2948.0</v>
      </c>
      <c r="M1854" s="29"/>
      <c r="N1854" s="29"/>
      <c r="O1854" s="29"/>
      <c r="P1854" s="29"/>
      <c r="Q1854" s="29"/>
      <c r="R1854" s="29"/>
      <c r="S1854" s="29"/>
      <c r="T1854" s="29"/>
      <c r="U1854" s="29"/>
      <c r="V1854" s="29"/>
      <c r="W1854" s="29"/>
      <c r="X1854" s="29"/>
      <c r="Y1854" s="29"/>
      <c r="Z1854" s="29"/>
      <c r="AA1854" s="29"/>
      <c r="AB1854" s="29"/>
      <c r="AC1854" s="29"/>
      <c r="AD1854" s="29"/>
      <c r="AE1854" s="29"/>
      <c r="AF1854" s="29"/>
      <c r="AG1854" s="29"/>
      <c r="AH1854" s="29"/>
      <c r="AI1854" s="29"/>
      <c r="AJ1854" s="29"/>
      <c r="AK1854" s="29"/>
      <c r="AL1854" s="29"/>
      <c r="AM1854" s="29"/>
      <c r="AN1854" s="29"/>
      <c r="AO1854" s="29"/>
      <c r="AP1854" s="29"/>
      <c r="AQ1854" s="29"/>
      <c r="AR1854" s="29"/>
      <c r="AS1854" s="29"/>
      <c r="AT1854" s="29"/>
      <c r="AU1854" s="29"/>
      <c r="AV1854" s="29"/>
      <c r="AW1854" s="29"/>
      <c r="AX1854" s="29"/>
      <c r="AY1854" s="29"/>
      <c r="AZ1854" s="29"/>
      <c r="BA1854" s="29"/>
      <c r="BB1854" s="29"/>
      <c r="BC1854" s="29"/>
      <c r="BD1854" s="29"/>
      <c r="BE1854" s="29"/>
      <c r="BF1854" s="29"/>
      <c r="BG1854" s="29"/>
      <c r="BH1854" s="29"/>
      <c r="BI1854" s="29"/>
      <c r="BJ1854" s="29"/>
      <c r="BK1854" s="29"/>
      <c r="BL1854" s="29"/>
      <c r="BM1854" s="29"/>
      <c r="BN1854" s="29"/>
      <c r="BO1854" s="29"/>
      <c r="BP1854" s="29"/>
      <c r="BQ1854" s="29"/>
      <c r="BR1854" s="29"/>
      <c r="BS1854" s="29"/>
      <c r="BT1854" s="29"/>
    </row>
    <row r="1855" ht="14.25" customHeight="1">
      <c r="B1855" s="5">
        <v>14.0</v>
      </c>
      <c r="C1855" s="5" t="s">
        <v>7690</v>
      </c>
      <c r="D1855" s="5" t="s">
        <v>6655</v>
      </c>
      <c r="E1855" s="5">
        <v>2556.0</v>
      </c>
      <c r="F1855" s="5" t="s">
        <v>6656</v>
      </c>
      <c r="G1855" s="5" t="s">
        <v>6657</v>
      </c>
      <c r="H1855" s="5" t="s">
        <v>6658</v>
      </c>
      <c r="I1855" s="5" t="s">
        <v>1664</v>
      </c>
      <c r="J1855" s="5" t="s">
        <v>6645</v>
      </c>
      <c r="K1855" s="5">
        <v>1.0</v>
      </c>
      <c r="L1855" s="5">
        <v>2959.0</v>
      </c>
      <c r="M1855" s="29">
        <v>-120.7705</v>
      </c>
      <c r="N1855" s="29">
        <v>49.0945</v>
      </c>
      <c r="O1855" s="29">
        <v>1940.0</v>
      </c>
      <c r="P1855" s="29" t="s">
        <v>6655</v>
      </c>
      <c r="Q1855" s="101">
        <v>8.0</v>
      </c>
      <c r="R1855" s="29" t="s">
        <v>6656</v>
      </c>
      <c r="S1855" s="29" t="s">
        <v>6646</v>
      </c>
      <c r="U1855" s="29"/>
      <c r="V1855" s="29"/>
      <c r="W1855" s="29"/>
      <c r="X1855" s="29"/>
      <c r="Y1855" s="29"/>
      <c r="Z1855" s="29"/>
      <c r="AA1855" s="29"/>
      <c r="AB1855" s="29"/>
      <c r="AC1855" s="29"/>
      <c r="AD1855" s="29"/>
      <c r="AE1855" s="29"/>
      <c r="AF1855" s="29"/>
      <c r="AG1855" s="29"/>
      <c r="AH1855" s="29"/>
      <c r="AI1855" s="29"/>
      <c r="AJ1855" s="29"/>
      <c r="AK1855" s="29"/>
      <c r="AL1855" s="29"/>
      <c r="AM1855" s="29"/>
      <c r="AN1855" s="29"/>
      <c r="AO1855" s="29"/>
      <c r="AP1855" s="29"/>
      <c r="AQ1855" s="29"/>
      <c r="AR1855" s="29"/>
      <c r="AS1855" s="29"/>
      <c r="AT1855" s="29"/>
      <c r="AU1855" s="29"/>
      <c r="AV1855" s="29"/>
      <c r="AW1855" s="29"/>
      <c r="AX1855" s="29"/>
      <c r="AY1855" s="29"/>
      <c r="AZ1855" s="29"/>
      <c r="BA1855" s="29"/>
      <c r="BB1855" s="29"/>
      <c r="BC1855" s="29"/>
      <c r="BD1855" s="29"/>
      <c r="BE1855" s="29"/>
      <c r="BF1855" s="29"/>
      <c r="BG1855" s="29"/>
      <c r="BH1855" s="29"/>
      <c r="BI1855" s="29"/>
      <c r="BJ1855" s="29"/>
      <c r="BK1855" s="29"/>
      <c r="BL1855" s="29"/>
      <c r="BM1855" s="29"/>
      <c r="BN1855" s="29"/>
      <c r="BO1855" s="29"/>
      <c r="BP1855" s="29"/>
      <c r="BQ1855" s="29"/>
      <c r="BR1855" s="29"/>
      <c r="BS1855" s="29"/>
      <c r="BT1855" s="29"/>
    </row>
    <row r="1856" ht="14.25" customHeight="1">
      <c r="B1856" s="5">
        <v>14.0</v>
      </c>
      <c r="C1856" s="5" t="s">
        <v>7690</v>
      </c>
      <c r="D1856" s="5" t="s">
        <v>6659</v>
      </c>
      <c r="E1856" s="5">
        <v>2576.0</v>
      </c>
      <c r="F1856" s="29" t="s">
        <v>6660</v>
      </c>
      <c r="G1856" s="5" t="s">
        <v>6661</v>
      </c>
      <c r="H1856" s="5" t="s">
        <v>6662</v>
      </c>
      <c r="I1856" s="5" t="s">
        <v>1664</v>
      </c>
      <c r="J1856" s="5" t="s">
        <v>6663</v>
      </c>
      <c r="K1856" s="5">
        <v>1.0</v>
      </c>
      <c r="L1856" s="5">
        <v>2979.0</v>
      </c>
      <c r="M1856" s="29"/>
      <c r="N1856" s="29"/>
      <c r="O1856" s="29"/>
      <c r="P1856" s="29"/>
      <c r="Q1856" s="29"/>
      <c r="R1856" s="29"/>
      <c r="S1856" s="29"/>
      <c r="T1856" s="29"/>
      <c r="U1856" s="29"/>
      <c r="V1856" s="29"/>
      <c r="W1856" s="29"/>
      <c r="X1856" s="29"/>
      <c r="Y1856" s="29"/>
      <c r="Z1856" s="29"/>
      <c r="AA1856" s="29"/>
      <c r="AB1856" s="29"/>
      <c r="AC1856" s="29"/>
      <c r="AD1856" s="29"/>
      <c r="AE1856" s="29"/>
      <c r="AF1856" s="29"/>
      <c r="AG1856" s="29"/>
      <c r="AH1856" s="29"/>
      <c r="AI1856" s="29"/>
      <c r="AJ1856" s="29"/>
      <c r="AK1856" s="29"/>
      <c r="AL1856" s="29"/>
      <c r="AM1856" s="29"/>
      <c r="AN1856" s="29"/>
      <c r="AO1856" s="29"/>
      <c r="AP1856" s="29"/>
      <c r="AQ1856" s="29"/>
      <c r="AR1856" s="29"/>
      <c r="AS1856" s="29"/>
      <c r="AT1856" s="29"/>
      <c r="AU1856" s="29"/>
      <c r="AV1856" s="29"/>
      <c r="AW1856" s="29"/>
      <c r="AX1856" s="29"/>
      <c r="AY1856" s="29"/>
      <c r="AZ1856" s="29"/>
      <c r="BA1856" s="29"/>
      <c r="BB1856" s="29"/>
      <c r="BC1856" s="29"/>
      <c r="BD1856" s="29"/>
      <c r="BE1856" s="29"/>
      <c r="BF1856" s="29"/>
      <c r="BG1856" s="29"/>
      <c r="BH1856" s="29"/>
      <c r="BI1856" s="29"/>
      <c r="BJ1856" s="29"/>
      <c r="BK1856" s="29"/>
      <c r="BL1856" s="29"/>
      <c r="BM1856" s="29"/>
      <c r="BN1856" s="29"/>
      <c r="BO1856" s="29"/>
      <c r="BP1856" s="29"/>
      <c r="BQ1856" s="29"/>
      <c r="BR1856" s="29"/>
      <c r="BS1856" s="29"/>
      <c r="BT1856" s="29"/>
    </row>
    <row r="1857" ht="14.25" customHeight="1">
      <c r="B1857" s="5">
        <v>14.0</v>
      </c>
      <c r="C1857" s="5" t="s">
        <v>7690</v>
      </c>
      <c r="D1857" s="5" t="s">
        <v>6664</v>
      </c>
      <c r="E1857" s="5">
        <v>2523.0</v>
      </c>
      <c r="F1857" s="5" t="s">
        <v>6665</v>
      </c>
      <c r="G1857" s="5" t="s">
        <v>6666</v>
      </c>
      <c r="H1857" s="5" t="s">
        <v>6667</v>
      </c>
      <c r="I1857" s="5" t="s">
        <v>1664</v>
      </c>
      <c r="J1857" s="5" t="s">
        <v>6645</v>
      </c>
      <c r="K1857" s="5">
        <v>1.0</v>
      </c>
      <c r="L1857" s="5">
        <v>2926.0</v>
      </c>
      <c r="M1857" s="11">
        <v>-120.8675</v>
      </c>
      <c r="N1857" s="11">
        <v>52.10683333</v>
      </c>
      <c r="O1857" s="11">
        <v>1460.0</v>
      </c>
      <c r="P1857" s="11" t="s">
        <v>6664</v>
      </c>
      <c r="Q1857" s="72">
        <v>4.0</v>
      </c>
      <c r="R1857" s="11" t="s">
        <v>6665</v>
      </c>
      <c r="S1857" s="11" t="s">
        <v>6646</v>
      </c>
    </row>
    <row r="1858" ht="14.25" customHeight="1">
      <c r="B1858" s="5">
        <v>14.0</v>
      </c>
      <c r="C1858" s="5" t="s">
        <v>7690</v>
      </c>
      <c r="D1858" s="5" t="s">
        <v>6668</v>
      </c>
      <c r="E1858" s="5">
        <v>2528.0</v>
      </c>
      <c r="F1858" s="5" t="s">
        <v>6669</v>
      </c>
      <c r="G1858" s="5" t="s">
        <v>6670</v>
      </c>
      <c r="H1858" s="5" t="s">
        <v>6671</v>
      </c>
      <c r="I1858" s="5" t="s">
        <v>1664</v>
      </c>
      <c r="J1858" s="5" t="s">
        <v>6672</v>
      </c>
      <c r="K1858" s="5">
        <v>1.0</v>
      </c>
      <c r="L1858" s="5">
        <v>2931.0</v>
      </c>
    </row>
    <row r="1859" ht="14.25" customHeight="1">
      <c r="B1859" s="5">
        <v>14.0</v>
      </c>
      <c r="C1859" s="5" t="s">
        <v>7690</v>
      </c>
      <c r="D1859" s="5" t="s">
        <v>6673</v>
      </c>
      <c r="E1859" s="5">
        <v>2527.0</v>
      </c>
      <c r="F1859" s="5" t="s">
        <v>6674</v>
      </c>
      <c r="G1859" s="5" t="s">
        <v>6675</v>
      </c>
      <c r="H1859" s="5" t="s">
        <v>6676</v>
      </c>
      <c r="I1859" s="5" t="s">
        <v>1664</v>
      </c>
      <c r="J1859" s="5" t="s">
        <v>6677</v>
      </c>
      <c r="K1859" s="5">
        <v>1.0</v>
      </c>
      <c r="L1859" s="5">
        <v>2930.0</v>
      </c>
    </row>
    <row r="1860" ht="14.25" customHeight="1">
      <c r="B1860" s="5">
        <v>14.0</v>
      </c>
      <c r="C1860" s="5" t="s">
        <v>7690</v>
      </c>
      <c r="D1860" s="5" t="s">
        <v>6678</v>
      </c>
      <c r="E1860" s="5">
        <v>2555.0</v>
      </c>
      <c r="F1860" s="5" t="s">
        <v>956</v>
      </c>
      <c r="G1860" s="5" t="s">
        <v>6679</v>
      </c>
      <c r="H1860" s="5" t="s">
        <v>6654</v>
      </c>
      <c r="I1860" s="5" t="s">
        <v>1664</v>
      </c>
      <c r="J1860" s="5" t="s">
        <v>5996</v>
      </c>
      <c r="K1860" s="5">
        <v>1.0</v>
      </c>
      <c r="L1860" s="5">
        <v>2958.0</v>
      </c>
      <c r="M1860" s="11">
        <v>-119.9821111</v>
      </c>
      <c r="N1860" s="11">
        <v>49.86236111</v>
      </c>
      <c r="O1860" s="11">
        <v>1460.0</v>
      </c>
      <c r="P1860" s="11" t="s">
        <v>6678</v>
      </c>
      <c r="Q1860" s="72">
        <v>6.0</v>
      </c>
      <c r="R1860" s="11" t="s">
        <v>6095</v>
      </c>
      <c r="S1860" s="11" t="s">
        <v>6646</v>
      </c>
    </row>
    <row r="1861" ht="14.25" customHeight="1">
      <c r="B1861" s="5">
        <v>14.0</v>
      </c>
      <c r="C1861" s="5" t="s">
        <v>7690</v>
      </c>
      <c r="D1861" s="5" t="s">
        <v>6680</v>
      </c>
      <c r="E1861" s="5">
        <v>2564.0</v>
      </c>
      <c r="F1861" s="5" t="s">
        <v>6681</v>
      </c>
      <c r="G1861" s="5" t="s">
        <v>6682</v>
      </c>
      <c r="H1861" s="5" t="s">
        <v>6683</v>
      </c>
      <c r="I1861" s="5" t="s">
        <v>1664</v>
      </c>
      <c r="J1861" s="5" t="s">
        <v>6645</v>
      </c>
      <c r="K1861" s="5">
        <v>1.0</v>
      </c>
      <c r="L1861" s="5">
        <v>2967.0</v>
      </c>
      <c r="M1861" s="11">
        <v>-126.248</v>
      </c>
      <c r="N1861" s="11">
        <v>52.481</v>
      </c>
      <c r="O1861" s="11">
        <v>1330.0</v>
      </c>
      <c r="P1861" s="11" t="s">
        <v>6680</v>
      </c>
      <c r="Q1861" s="72">
        <v>7.0</v>
      </c>
      <c r="R1861" s="11" t="s">
        <v>6681</v>
      </c>
      <c r="S1861" s="11" t="s">
        <v>6646</v>
      </c>
    </row>
    <row r="1862" ht="14.25" customHeight="1">
      <c r="A1862" s="29"/>
      <c r="B1862" s="29">
        <v>14.0</v>
      </c>
      <c r="C1862" s="29" t="s">
        <v>7690</v>
      </c>
      <c r="D1862" s="29" t="s">
        <v>6684</v>
      </c>
      <c r="E1862" s="29">
        <v>2574.0</v>
      </c>
      <c r="F1862" s="29" t="s">
        <v>6685</v>
      </c>
      <c r="G1862" s="29" t="s">
        <v>6686</v>
      </c>
      <c r="H1862" s="5" t="s">
        <v>6687</v>
      </c>
      <c r="I1862" s="5" t="s">
        <v>1664</v>
      </c>
      <c r="J1862" s="5" t="s">
        <v>6645</v>
      </c>
      <c r="K1862" s="5">
        <v>1.0</v>
      </c>
      <c r="L1862" s="5">
        <v>2977.0</v>
      </c>
      <c r="M1862" s="29"/>
      <c r="N1862" s="29"/>
      <c r="O1862" s="29"/>
      <c r="P1862" s="29"/>
      <c r="Q1862" s="29"/>
      <c r="R1862" s="29"/>
      <c r="S1862" s="29"/>
      <c r="T1862" s="29"/>
      <c r="U1862" s="29"/>
      <c r="V1862" s="29"/>
      <c r="W1862" s="29"/>
      <c r="X1862" s="29"/>
      <c r="Y1862" s="29"/>
      <c r="Z1862" s="29"/>
      <c r="AA1862" s="29"/>
      <c r="AB1862" s="29"/>
      <c r="AC1862" s="29"/>
      <c r="AD1862" s="29"/>
      <c r="AE1862" s="29"/>
      <c r="AF1862" s="29"/>
      <c r="AG1862" s="29"/>
      <c r="AH1862" s="29"/>
      <c r="AI1862" s="29"/>
      <c r="AJ1862" s="29"/>
      <c r="AK1862" s="29"/>
      <c r="AL1862" s="29"/>
      <c r="AM1862" s="29"/>
      <c r="AN1862" s="29"/>
      <c r="AO1862" s="29"/>
      <c r="AP1862" s="29"/>
      <c r="AQ1862" s="29"/>
      <c r="AR1862" s="29"/>
      <c r="AS1862" s="29"/>
      <c r="AT1862" s="29"/>
      <c r="AU1862" s="29"/>
      <c r="AV1862" s="29"/>
      <c r="AW1862" s="29"/>
      <c r="AX1862" s="29"/>
      <c r="AY1862" s="29"/>
      <c r="AZ1862" s="29"/>
      <c r="BA1862" s="29"/>
      <c r="BB1862" s="29"/>
      <c r="BC1862" s="29"/>
      <c r="BD1862" s="29"/>
      <c r="BE1862" s="29"/>
      <c r="BF1862" s="29"/>
      <c r="BG1862" s="29"/>
      <c r="BH1862" s="29"/>
      <c r="BI1862" s="29"/>
      <c r="BJ1862" s="29"/>
      <c r="BK1862" s="29"/>
      <c r="BL1862" s="29"/>
      <c r="BM1862" s="29"/>
      <c r="BN1862" s="29"/>
      <c r="BO1862" s="29"/>
      <c r="BP1862" s="29"/>
      <c r="BQ1862" s="29"/>
      <c r="BR1862" s="29"/>
      <c r="BS1862" s="29"/>
      <c r="BT1862" s="29"/>
    </row>
    <row r="1863" ht="14.25" customHeight="1">
      <c r="B1863" s="5">
        <v>14.0</v>
      </c>
      <c r="C1863" s="5" t="s">
        <v>7690</v>
      </c>
      <c r="D1863" s="5" t="s">
        <v>6688</v>
      </c>
      <c r="E1863" s="5">
        <v>2540.0</v>
      </c>
      <c r="F1863" s="10" t="s">
        <v>6689</v>
      </c>
      <c r="G1863" s="5" t="s">
        <v>6690</v>
      </c>
      <c r="H1863" s="5" t="s">
        <v>6691</v>
      </c>
      <c r="I1863" s="5" t="s">
        <v>1664</v>
      </c>
      <c r="J1863" s="5" t="s">
        <v>6692</v>
      </c>
      <c r="K1863" s="5">
        <v>1.0</v>
      </c>
      <c r="L1863" s="5">
        <v>2943.0</v>
      </c>
      <c r="M1863" s="11">
        <v>-118.9856944</v>
      </c>
      <c r="N1863" s="11">
        <v>51.40611111</v>
      </c>
      <c r="O1863" s="11">
        <v>1525.0</v>
      </c>
      <c r="P1863" s="11" t="s">
        <v>6688</v>
      </c>
      <c r="Q1863" s="72">
        <v>4.0</v>
      </c>
      <c r="R1863" s="11" t="s">
        <v>6693</v>
      </c>
      <c r="S1863" s="11" t="s">
        <v>6646</v>
      </c>
    </row>
    <row r="1864" ht="14.25" customHeight="1">
      <c r="B1864" s="5">
        <v>14.0</v>
      </c>
      <c r="C1864" s="5" t="s">
        <v>7690</v>
      </c>
      <c r="D1864" s="5" t="s">
        <v>6694</v>
      </c>
      <c r="E1864" s="5">
        <v>2531.0</v>
      </c>
      <c r="F1864" s="5" t="s">
        <v>6695</v>
      </c>
      <c r="G1864" s="5" t="s">
        <v>6696</v>
      </c>
      <c r="H1864" s="5" t="s">
        <v>6697</v>
      </c>
      <c r="I1864" s="5" t="s">
        <v>1664</v>
      </c>
      <c r="J1864" s="5" t="s">
        <v>6645</v>
      </c>
      <c r="K1864" s="5">
        <v>1.0</v>
      </c>
      <c r="L1864" s="5">
        <v>2934.0</v>
      </c>
      <c r="M1864" s="11">
        <v>-121.7125</v>
      </c>
      <c r="N1864" s="11">
        <v>49.03166667</v>
      </c>
      <c r="O1864" s="11">
        <v>1600.0</v>
      </c>
      <c r="P1864" s="11" t="s">
        <v>6694</v>
      </c>
      <c r="Q1864" s="72">
        <v>7.0</v>
      </c>
      <c r="R1864" s="11" t="s">
        <v>6695</v>
      </c>
      <c r="S1864" s="11" t="s">
        <v>6646</v>
      </c>
    </row>
    <row r="1865" ht="14.25" customHeight="1">
      <c r="B1865" s="5">
        <v>14.0</v>
      </c>
      <c r="C1865" s="5" t="s">
        <v>7690</v>
      </c>
      <c r="D1865" s="5" t="s">
        <v>6698</v>
      </c>
      <c r="E1865" s="5">
        <v>2538.0</v>
      </c>
      <c r="F1865" s="29" t="s">
        <v>6699</v>
      </c>
      <c r="G1865" s="5" t="s">
        <v>6700</v>
      </c>
      <c r="H1865" s="5" t="s">
        <v>6701</v>
      </c>
      <c r="I1865" s="5" t="s">
        <v>1664</v>
      </c>
      <c r="J1865" s="5" t="s">
        <v>6645</v>
      </c>
      <c r="K1865" s="5">
        <v>1.0</v>
      </c>
      <c r="L1865" s="5">
        <v>2941.0</v>
      </c>
      <c r="M1865" s="29">
        <v>-119.303632</v>
      </c>
      <c r="N1865" s="29">
        <v>52.16782</v>
      </c>
      <c r="O1865" s="29">
        <v>1280.0</v>
      </c>
      <c r="P1865" s="29" t="s">
        <v>6698</v>
      </c>
      <c r="Q1865" s="101">
        <v>3.0</v>
      </c>
      <c r="R1865" s="29" t="s">
        <v>6699</v>
      </c>
      <c r="S1865" s="29" t="s">
        <v>6646</v>
      </c>
      <c r="T1865" s="29"/>
      <c r="U1865" s="29"/>
      <c r="V1865" s="29"/>
      <c r="W1865" s="29"/>
      <c r="X1865" s="29"/>
      <c r="Y1865" s="29"/>
      <c r="Z1865" s="29"/>
      <c r="AA1865" s="29"/>
      <c r="AB1865" s="29"/>
      <c r="AC1865" s="29"/>
      <c r="AD1865" s="29"/>
      <c r="AE1865" s="29"/>
      <c r="AF1865" s="29"/>
      <c r="AG1865" s="29"/>
      <c r="AH1865" s="29"/>
      <c r="AI1865" s="29"/>
      <c r="AJ1865" s="29"/>
      <c r="AK1865" s="29"/>
      <c r="AL1865" s="29"/>
      <c r="AM1865" s="29"/>
      <c r="AN1865" s="29"/>
      <c r="AO1865" s="29"/>
      <c r="AP1865" s="29"/>
      <c r="AQ1865" s="29"/>
      <c r="AR1865" s="29"/>
      <c r="AS1865" s="29"/>
      <c r="AT1865" s="29"/>
      <c r="AU1865" s="29"/>
      <c r="AV1865" s="29"/>
      <c r="AW1865" s="29"/>
      <c r="AX1865" s="29"/>
      <c r="AY1865" s="29"/>
      <c r="AZ1865" s="29"/>
      <c r="BA1865" s="29"/>
      <c r="BB1865" s="29"/>
      <c r="BC1865" s="29"/>
      <c r="BD1865" s="29"/>
      <c r="BE1865" s="29"/>
      <c r="BF1865" s="29"/>
      <c r="BG1865" s="29"/>
      <c r="BH1865" s="29"/>
      <c r="BI1865" s="29"/>
      <c r="BJ1865" s="29"/>
      <c r="BK1865" s="29"/>
      <c r="BL1865" s="29"/>
      <c r="BM1865" s="29"/>
      <c r="BN1865" s="29"/>
      <c r="BO1865" s="29"/>
      <c r="BP1865" s="29"/>
      <c r="BQ1865" s="29"/>
      <c r="BR1865" s="29"/>
      <c r="BS1865" s="29"/>
      <c r="BT1865" s="29"/>
    </row>
    <row r="1866" ht="14.25" customHeight="1">
      <c r="B1866" s="5">
        <v>14.0</v>
      </c>
      <c r="C1866" s="5" t="s">
        <v>7690</v>
      </c>
      <c r="D1866" s="5" t="s">
        <v>6702</v>
      </c>
      <c r="E1866" s="5">
        <v>2575.0</v>
      </c>
      <c r="F1866" s="29" t="s">
        <v>6703</v>
      </c>
      <c r="G1866" s="5" t="s">
        <v>6704</v>
      </c>
      <c r="H1866" s="5" t="s">
        <v>6705</v>
      </c>
      <c r="I1866" s="5" t="s">
        <v>1664</v>
      </c>
      <c r="J1866" s="5" t="s">
        <v>6706</v>
      </c>
      <c r="K1866" s="5">
        <v>1.0</v>
      </c>
      <c r="L1866" s="5">
        <v>2978.0</v>
      </c>
      <c r="M1866" s="29"/>
      <c r="N1866" s="29"/>
      <c r="O1866" s="29"/>
      <c r="P1866" s="29"/>
      <c r="Q1866" s="29"/>
      <c r="R1866" s="29"/>
      <c r="S1866" s="29"/>
      <c r="T1866" s="29"/>
      <c r="U1866" s="29"/>
      <c r="V1866" s="29"/>
      <c r="W1866" s="29"/>
      <c r="X1866" s="29"/>
      <c r="Y1866" s="29"/>
      <c r="Z1866" s="29"/>
      <c r="AA1866" s="29"/>
      <c r="AB1866" s="29"/>
      <c r="AC1866" s="29"/>
      <c r="AD1866" s="29"/>
      <c r="AE1866" s="29"/>
      <c r="AF1866" s="29"/>
      <c r="AG1866" s="29"/>
      <c r="AH1866" s="29"/>
      <c r="AI1866" s="29"/>
      <c r="AJ1866" s="29"/>
      <c r="AK1866" s="29"/>
      <c r="AL1866" s="29"/>
      <c r="AM1866" s="29"/>
      <c r="AN1866" s="29"/>
      <c r="AO1866" s="29"/>
      <c r="AP1866" s="29"/>
      <c r="AQ1866" s="29"/>
      <c r="AR1866" s="29"/>
      <c r="AS1866" s="29"/>
      <c r="AT1866" s="29"/>
      <c r="AU1866" s="29"/>
      <c r="AV1866" s="29"/>
      <c r="AW1866" s="29"/>
      <c r="AX1866" s="29"/>
      <c r="AY1866" s="29"/>
      <c r="AZ1866" s="29"/>
      <c r="BA1866" s="29"/>
      <c r="BB1866" s="29"/>
      <c r="BC1866" s="29"/>
      <c r="BD1866" s="29"/>
      <c r="BE1866" s="29"/>
      <c r="BF1866" s="29"/>
      <c r="BG1866" s="29"/>
      <c r="BH1866" s="29"/>
      <c r="BI1866" s="29"/>
      <c r="BJ1866" s="29"/>
      <c r="BK1866" s="29"/>
      <c r="BL1866" s="29"/>
      <c r="BM1866" s="29"/>
      <c r="BN1866" s="29"/>
      <c r="BO1866" s="29"/>
      <c r="BP1866" s="29"/>
      <c r="BQ1866" s="29"/>
      <c r="BR1866" s="29"/>
      <c r="BS1866" s="29"/>
      <c r="BT1866" s="29"/>
    </row>
    <row r="1867" ht="14.25" customHeight="1">
      <c r="A1867" s="5" t="s">
        <v>5043</v>
      </c>
      <c r="B1867" s="5">
        <v>14.0</v>
      </c>
      <c r="C1867" s="10" t="s">
        <v>7697</v>
      </c>
      <c r="D1867" s="5" t="s">
        <v>6707</v>
      </c>
      <c r="E1867" s="5">
        <v>2532.0</v>
      </c>
      <c r="F1867" s="5" t="s">
        <v>6708</v>
      </c>
      <c r="G1867" s="5" t="s">
        <v>6709</v>
      </c>
      <c r="H1867" s="5" t="s">
        <v>6710</v>
      </c>
      <c r="I1867" s="5" t="s">
        <v>1664</v>
      </c>
      <c r="J1867" s="5" t="s">
        <v>6711</v>
      </c>
      <c r="K1867" s="5">
        <v>1.0</v>
      </c>
      <c r="L1867" s="5">
        <v>2935.0</v>
      </c>
    </row>
    <row r="1868" ht="14.25" customHeight="1">
      <c r="B1868" s="5">
        <v>14.0</v>
      </c>
      <c r="C1868" s="5" t="s">
        <v>7690</v>
      </c>
      <c r="D1868" s="5" t="s">
        <v>6712</v>
      </c>
      <c r="E1868" s="5">
        <v>2517.0</v>
      </c>
      <c r="F1868" s="29" t="s">
        <v>6713</v>
      </c>
      <c r="G1868" s="5" t="s">
        <v>6714</v>
      </c>
      <c r="H1868" s="5" t="s">
        <v>6715</v>
      </c>
      <c r="I1868" s="5" t="s">
        <v>1664</v>
      </c>
      <c r="J1868" s="5" t="s">
        <v>6692</v>
      </c>
      <c r="K1868" s="5">
        <v>1.0</v>
      </c>
      <c r="L1868" s="5">
        <v>2920.0</v>
      </c>
      <c r="M1868" s="29">
        <v>-121.0244167</v>
      </c>
      <c r="N1868" s="29">
        <v>53.62208333</v>
      </c>
      <c r="O1868" s="29">
        <v>1820.0</v>
      </c>
      <c r="P1868" s="29" t="s">
        <v>6712</v>
      </c>
      <c r="Q1868" s="101">
        <v>6.0</v>
      </c>
      <c r="R1868" s="29" t="s">
        <v>6713</v>
      </c>
      <c r="S1868" s="29" t="s">
        <v>6646</v>
      </c>
      <c r="T1868" s="29"/>
      <c r="U1868" s="29"/>
      <c r="V1868" s="29"/>
      <c r="W1868" s="29"/>
      <c r="X1868" s="29"/>
      <c r="Y1868" s="29"/>
      <c r="Z1868" s="29"/>
      <c r="AA1868" s="29"/>
      <c r="AB1868" s="29"/>
      <c r="AC1868" s="29"/>
      <c r="AD1868" s="29"/>
      <c r="AE1868" s="29"/>
      <c r="AF1868" s="29"/>
      <c r="AG1868" s="29"/>
      <c r="AH1868" s="29"/>
      <c r="AI1868" s="29"/>
      <c r="AJ1868" s="29"/>
      <c r="AK1868" s="29"/>
      <c r="AL1868" s="29"/>
      <c r="AM1868" s="29"/>
      <c r="AN1868" s="29"/>
      <c r="AO1868" s="29"/>
      <c r="AP1868" s="29"/>
      <c r="AQ1868" s="29"/>
      <c r="AR1868" s="29"/>
      <c r="AS1868" s="29"/>
      <c r="AT1868" s="29"/>
      <c r="AU1868" s="29"/>
      <c r="AV1868" s="29"/>
      <c r="AW1868" s="29"/>
      <c r="AX1868" s="29"/>
      <c r="AY1868" s="29"/>
      <c r="AZ1868" s="29"/>
      <c r="BA1868" s="29"/>
      <c r="BB1868" s="29"/>
      <c r="BC1868" s="29"/>
      <c r="BD1868" s="29"/>
      <c r="BE1868" s="29"/>
      <c r="BF1868" s="29"/>
      <c r="BG1868" s="29"/>
      <c r="BH1868" s="29"/>
      <c r="BI1868" s="29"/>
      <c r="BJ1868" s="29"/>
      <c r="BK1868" s="29"/>
      <c r="BL1868" s="29"/>
      <c r="BM1868" s="29"/>
      <c r="BN1868" s="29"/>
      <c r="BO1868" s="29"/>
      <c r="BP1868" s="29"/>
      <c r="BQ1868" s="29"/>
      <c r="BR1868" s="29"/>
      <c r="BS1868" s="29"/>
      <c r="BT1868" s="29"/>
    </row>
    <row r="1869" ht="14.25" customHeight="1">
      <c r="B1869" s="5">
        <v>14.0</v>
      </c>
      <c r="C1869" s="5" t="s">
        <v>7690</v>
      </c>
      <c r="D1869" s="5" t="s">
        <v>6716</v>
      </c>
      <c r="E1869" s="5">
        <v>2544.0</v>
      </c>
      <c r="F1869" s="5" t="s">
        <v>6717</v>
      </c>
      <c r="G1869" s="5" t="s">
        <v>6718</v>
      </c>
      <c r="H1869" s="5" t="s">
        <v>6719</v>
      </c>
      <c r="I1869" s="5" t="s">
        <v>1664</v>
      </c>
      <c r="J1869" s="5" t="s">
        <v>6720</v>
      </c>
      <c r="K1869" s="5">
        <v>1.0</v>
      </c>
      <c r="L1869" s="5">
        <v>2947.0</v>
      </c>
    </row>
    <row r="1870" ht="14.25" customHeight="1">
      <c r="A1870" s="5" t="s">
        <v>5043</v>
      </c>
      <c r="B1870" s="5">
        <v>14.0</v>
      </c>
      <c r="C1870" s="10" t="s">
        <v>7696</v>
      </c>
      <c r="D1870" s="5" t="s">
        <v>6721</v>
      </c>
      <c r="E1870" s="5">
        <v>2551.0</v>
      </c>
      <c r="F1870" s="5" t="s">
        <v>6234</v>
      </c>
      <c r="G1870" s="5" t="s">
        <v>6722</v>
      </c>
      <c r="H1870" s="5" t="s">
        <v>6723</v>
      </c>
      <c r="I1870" s="5" t="s">
        <v>1664</v>
      </c>
      <c r="J1870" s="5" t="s">
        <v>5996</v>
      </c>
      <c r="K1870" s="5">
        <v>1.0</v>
      </c>
      <c r="L1870" s="5">
        <v>2954.0</v>
      </c>
    </row>
    <row r="1871" ht="14.25" customHeight="1">
      <c r="B1871" s="5">
        <v>14.0</v>
      </c>
      <c r="C1871" s="5" t="s">
        <v>7690</v>
      </c>
      <c r="D1871" s="5" t="s">
        <v>6724</v>
      </c>
      <c r="E1871" s="5">
        <v>12498.0</v>
      </c>
      <c r="F1871" s="5" t="s">
        <v>6725</v>
      </c>
      <c r="G1871" s="5" t="s">
        <v>6726</v>
      </c>
      <c r="H1871" s="5" t="s">
        <v>6727</v>
      </c>
      <c r="I1871" s="5" t="s">
        <v>49</v>
      </c>
      <c r="J1871" s="5" t="s">
        <v>6728</v>
      </c>
      <c r="K1871" s="5">
        <v>1.0</v>
      </c>
      <c r="L1871" s="5">
        <v>14520.0</v>
      </c>
      <c r="M1871" s="11">
        <v>-118.943556</v>
      </c>
      <c r="N1871" s="11">
        <v>50.652472</v>
      </c>
      <c r="O1871" s="11">
        <v>1950.0</v>
      </c>
      <c r="P1871" s="11" t="s">
        <v>6724</v>
      </c>
      <c r="Q1871" s="72">
        <v>7.0</v>
      </c>
      <c r="R1871" s="11" t="s">
        <v>6725</v>
      </c>
      <c r="S1871" s="11" t="s">
        <v>6646</v>
      </c>
    </row>
    <row r="1872" ht="14.25" customHeight="1">
      <c r="B1872" s="5">
        <v>14.0</v>
      </c>
      <c r="C1872" s="5" t="s">
        <v>7690</v>
      </c>
      <c r="D1872" s="5" t="s">
        <v>6729</v>
      </c>
      <c r="E1872" s="5">
        <v>2542.0</v>
      </c>
      <c r="F1872" s="5" t="s">
        <v>6730</v>
      </c>
      <c r="G1872" s="5" t="s">
        <v>6731</v>
      </c>
      <c r="H1872" s="5" t="s">
        <v>6732</v>
      </c>
      <c r="I1872" s="5" t="s">
        <v>1664</v>
      </c>
      <c r="J1872" s="5" t="s">
        <v>6733</v>
      </c>
      <c r="K1872" s="5">
        <v>1.0</v>
      </c>
      <c r="L1872" s="5">
        <v>2945.0</v>
      </c>
    </row>
    <row r="1873" ht="14.25" customHeight="1">
      <c r="B1873" s="5">
        <v>14.0</v>
      </c>
      <c r="C1873" s="5" t="s">
        <v>7690</v>
      </c>
      <c r="D1873" s="5" t="s">
        <v>6734</v>
      </c>
      <c r="E1873" s="5">
        <v>2559.0</v>
      </c>
      <c r="F1873" s="5" t="s">
        <v>6735</v>
      </c>
      <c r="G1873" s="5" t="s">
        <v>6736</v>
      </c>
      <c r="H1873" s="5" t="s">
        <v>6737</v>
      </c>
      <c r="I1873" s="5" t="s">
        <v>1664</v>
      </c>
      <c r="J1873" s="5" t="s">
        <v>6738</v>
      </c>
      <c r="K1873" s="5">
        <v>1.0</v>
      </c>
      <c r="L1873" s="5">
        <v>2962.0</v>
      </c>
    </row>
    <row r="1874" ht="14.25" customHeight="1">
      <c r="B1874" s="5">
        <v>14.0</v>
      </c>
      <c r="C1874" s="5" t="s">
        <v>7690</v>
      </c>
      <c r="D1874" s="5" t="s">
        <v>6739</v>
      </c>
      <c r="E1874" s="5">
        <v>2550.0</v>
      </c>
      <c r="F1874" s="29" t="s">
        <v>6279</v>
      </c>
      <c r="G1874" s="5" t="s">
        <v>6740</v>
      </c>
      <c r="H1874" s="5" t="s">
        <v>6654</v>
      </c>
      <c r="I1874" s="5" t="s">
        <v>1664</v>
      </c>
      <c r="J1874" s="5" t="s">
        <v>5996</v>
      </c>
      <c r="K1874" s="5">
        <v>1.0</v>
      </c>
      <c r="L1874" s="5">
        <v>2953.0</v>
      </c>
      <c r="V1874" s="29"/>
      <c r="W1874" s="29"/>
      <c r="X1874" s="29"/>
      <c r="Y1874" s="29"/>
      <c r="Z1874" s="29"/>
      <c r="AA1874" s="29"/>
      <c r="AB1874" s="29"/>
      <c r="AC1874" s="29"/>
      <c r="AD1874" s="29"/>
      <c r="AE1874" s="29"/>
      <c r="AF1874" s="29"/>
      <c r="AG1874" s="29"/>
      <c r="AH1874" s="29"/>
      <c r="AI1874" s="29"/>
      <c r="AJ1874" s="29"/>
      <c r="AK1874" s="29"/>
      <c r="AL1874" s="29"/>
      <c r="AM1874" s="29"/>
      <c r="AN1874" s="29"/>
      <c r="AO1874" s="29"/>
      <c r="AP1874" s="29"/>
      <c r="AQ1874" s="29"/>
      <c r="AR1874" s="29"/>
      <c r="AS1874" s="29"/>
      <c r="AT1874" s="29"/>
      <c r="AU1874" s="29"/>
      <c r="AV1874" s="29"/>
      <c r="AW1874" s="29"/>
      <c r="AX1874" s="29"/>
      <c r="AY1874" s="29"/>
      <c r="AZ1874" s="29"/>
      <c r="BA1874" s="29"/>
      <c r="BB1874" s="29"/>
      <c r="BC1874" s="29"/>
      <c r="BD1874" s="29"/>
      <c r="BE1874" s="29"/>
      <c r="BF1874" s="29"/>
      <c r="BG1874" s="29"/>
      <c r="BH1874" s="29"/>
      <c r="BI1874" s="29"/>
      <c r="BJ1874" s="29"/>
      <c r="BK1874" s="29"/>
      <c r="BL1874" s="29"/>
      <c r="BM1874" s="29"/>
      <c r="BN1874" s="29"/>
      <c r="BO1874" s="29"/>
      <c r="BP1874" s="29"/>
      <c r="BQ1874" s="29"/>
      <c r="BR1874" s="29"/>
      <c r="BS1874" s="29"/>
      <c r="BT1874" s="29"/>
    </row>
    <row r="1875" ht="14.25" customHeight="1">
      <c r="B1875" s="5">
        <v>14.0</v>
      </c>
      <c r="C1875" s="5" t="s">
        <v>7690</v>
      </c>
      <c r="D1875" s="5" t="s">
        <v>6741</v>
      </c>
      <c r="E1875" s="5">
        <v>2578.0</v>
      </c>
      <c r="F1875" s="29" t="s">
        <v>6742</v>
      </c>
      <c r="G1875" s="5" t="s">
        <v>6743</v>
      </c>
      <c r="H1875" s="5" t="s">
        <v>6744</v>
      </c>
      <c r="I1875" s="5" t="s">
        <v>1664</v>
      </c>
      <c r="J1875" s="5" t="s">
        <v>6738</v>
      </c>
      <c r="K1875" s="5">
        <v>1.0</v>
      </c>
      <c r="L1875" s="5">
        <v>2981.0</v>
      </c>
      <c r="V1875" s="29"/>
      <c r="W1875" s="29"/>
      <c r="X1875" s="29"/>
      <c r="Y1875" s="29"/>
      <c r="Z1875" s="29"/>
      <c r="AA1875" s="29"/>
      <c r="AB1875" s="29"/>
      <c r="AC1875" s="29"/>
      <c r="AD1875" s="29"/>
      <c r="AE1875" s="29"/>
      <c r="AF1875" s="29"/>
      <c r="AG1875" s="29"/>
      <c r="AH1875" s="29"/>
      <c r="AI1875" s="29"/>
      <c r="AJ1875" s="29"/>
      <c r="AK1875" s="29"/>
      <c r="AL1875" s="29"/>
      <c r="AM1875" s="29"/>
      <c r="AN1875" s="29"/>
      <c r="AO1875" s="29"/>
      <c r="AP1875" s="29"/>
      <c r="AQ1875" s="29"/>
      <c r="AR1875" s="29"/>
      <c r="AS1875" s="29"/>
      <c r="AT1875" s="29"/>
      <c r="AU1875" s="29"/>
      <c r="AV1875" s="29"/>
      <c r="AW1875" s="29"/>
      <c r="AX1875" s="29"/>
      <c r="AY1875" s="29"/>
      <c r="AZ1875" s="29"/>
      <c r="BA1875" s="29"/>
      <c r="BB1875" s="29"/>
      <c r="BC1875" s="29"/>
      <c r="BD1875" s="29"/>
      <c r="BE1875" s="29"/>
      <c r="BF1875" s="29"/>
      <c r="BG1875" s="29"/>
      <c r="BH1875" s="29"/>
      <c r="BI1875" s="29"/>
      <c r="BJ1875" s="29"/>
      <c r="BK1875" s="29"/>
      <c r="BL1875" s="29"/>
      <c r="BM1875" s="29"/>
      <c r="BN1875" s="29"/>
      <c r="BO1875" s="29"/>
      <c r="BP1875" s="29"/>
      <c r="BQ1875" s="29"/>
      <c r="BR1875" s="29"/>
      <c r="BS1875" s="29"/>
      <c r="BT1875" s="29"/>
    </row>
    <row r="1876" ht="14.25" customHeight="1">
      <c r="B1876" s="5">
        <v>14.0</v>
      </c>
      <c r="C1876" s="5" t="s">
        <v>7690</v>
      </c>
      <c r="D1876" s="5" t="s">
        <v>6745</v>
      </c>
      <c r="E1876" s="5">
        <v>2577.0</v>
      </c>
      <c r="F1876" s="5" t="s">
        <v>6746</v>
      </c>
      <c r="G1876" s="5" t="s">
        <v>6747</v>
      </c>
      <c r="H1876" s="5" t="s">
        <v>6748</v>
      </c>
      <c r="I1876" s="5" t="s">
        <v>1664</v>
      </c>
      <c r="J1876" s="5" t="s">
        <v>6738</v>
      </c>
      <c r="K1876" s="5">
        <v>1.0</v>
      </c>
      <c r="L1876" s="5">
        <v>2980.0</v>
      </c>
    </row>
    <row r="1877" ht="14.25" customHeight="1">
      <c r="B1877" s="5">
        <v>14.0</v>
      </c>
      <c r="C1877" s="5" t="s">
        <v>7690</v>
      </c>
      <c r="D1877" s="5" t="s">
        <v>6749</v>
      </c>
      <c r="E1877" s="5">
        <v>2570.0</v>
      </c>
      <c r="F1877" s="5" t="s">
        <v>6750</v>
      </c>
      <c r="G1877" s="5" t="s">
        <v>6751</v>
      </c>
      <c r="H1877" s="5" t="s">
        <v>6752</v>
      </c>
      <c r="I1877" s="5" t="s">
        <v>1664</v>
      </c>
      <c r="J1877" s="5" t="s">
        <v>6753</v>
      </c>
      <c r="K1877" s="5">
        <v>1.0</v>
      </c>
      <c r="L1877" s="5">
        <v>2973.0</v>
      </c>
      <c r="M1877" s="36"/>
      <c r="N1877" s="36"/>
      <c r="O1877" s="37"/>
      <c r="R1877" s="36"/>
    </row>
    <row r="1878" ht="14.25" customHeight="1">
      <c r="B1878" s="5">
        <v>14.0</v>
      </c>
      <c r="C1878" s="5" t="s">
        <v>7690</v>
      </c>
      <c r="D1878" s="5" t="s">
        <v>6754</v>
      </c>
      <c r="E1878" s="5">
        <v>2553.0</v>
      </c>
      <c r="F1878" s="5" t="s">
        <v>6755</v>
      </c>
      <c r="G1878" s="5" t="s">
        <v>6756</v>
      </c>
      <c r="H1878" s="5" t="s">
        <v>6757</v>
      </c>
      <c r="I1878" s="5" t="s">
        <v>1664</v>
      </c>
      <c r="J1878" s="5" t="s">
        <v>6645</v>
      </c>
      <c r="K1878" s="5">
        <v>1.0</v>
      </c>
      <c r="L1878" s="5">
        <v>2956.0</v>
      </c>
      <c r="M1878" s="11">
        <v>-118.6776667</v>
      </c>
      <c r="N1878" s="11">
        <v>49.55066667</v>
      </c>
      <c r="O1878" s="11">
        <v>1860.0</v>
      </c>
      <c r="P1878" s="11" t="s">
        <v>6754</v>
      </c>
      <c r="Q1878" s="72">
        <v>6.0</v>
      </c>
      <c r="R1878" s="11" t="s">
        <v>6755</v>
      </c>
      <c r="S1878" s="11" t="s">
        <v>6646</v>
      </c>
    </row>
    <row r="1879" ht="14.25" customHeight="1">
      <c r="B1879" s="5">
        <v>14.0</v>
      </c>
      <c r="C1879" s="5" t="s">
        <v>7690</v>
      </c>
      <c r="D1879" s="5" t="s">
        <v>6758</v>
      </c>
      <c r="E1879" s="5">
        <v>2530.0</v>
      </c>
      <c r="F1879" s="5" t="s">
        <v>868</v>
      </c>
      <c r="G1879" s="5" t="s">
        <v>6759</v>
      </c>
      <c r="H1879" s="5" t="s">
        <v>6760</v>
      </c>
      <c r="I1879" s="5" t="s">
        <v>1664</v>
      </c>
      <c r="J1879" s="5" t="s">
        <v>6761</v>
      </c>
      <c r="K1879" s="5">
        <v>1.0</v>
      </c>
      <c r="L1879" s="5">
        <v>2933.0</v>
      </c>
    </row>
    <row r="1880" ht="14.25" customHeight="1">
      <c r="A1880" s="5" t="s">
        <v>5043</v>
      </c>
      <c r="B1880" s="5">
        <v>14.0</v>
      </c>
      <c r="C1880" s="10" t="s">
        <v>7696</v>
      </c>
      <c r="D1880" s="5" t="s">
        <v>6762</v>
      </c>
      <c r="E1880" s="5">
        <v>2521.0</v>
      </c>
      <c r="F1880" s="5" t="s">
        <v>6322</v>
      </c>
      <c r="G1880" s="5" t="s">
        <v>6763</v>
      </c>
      <c r="H1880" s="5" t="s">
        <v>6764</v>
      </c>
      <c r="I1880" s="5" t="s">
        <v>1664</v>
      </c>
      <c r="J1880" s="5" t="s">
        <v>5996</v>
      </c>
      <c r="K1880" s="5">
        <v>1.0</v>
      </c>
      <c r="L1880" s="5">
        <v>2924.0</v>
      </c>
    </row>
    <row r="1881" ht="14.25" customHeight="1">
      <c r="B1881" s="5">
        <v>14.0</v>
      </c>
      <c r="C1881" s="5" t="s">
        <v>7690</v>
      </c>
      <c r="D1881" s="5" t="s">
        <v>6765</v>
      </c>
      <c r="E1881" s="5">
        <v>12499.0</v>
      </c>
      <c r="F1881" s="5" t="s">
        <v>6766</v>
      </c>
      <c r="G1881" s="5" t="s">
        <v>6767</v>
      </c>
      <c r="H1881" s="5" t="s">
        <v>6727</v>
      </c>
      <c r="I1881" s="5" t="s">
        <v>49</v>
      </c>
      <c r="J1881" s="5" t="s">
        <v>6728</v>
      </c>
      <c r="K1881" s="5">
        <v>1.0</v>
      </c>
      <c r="L1881" s="5">
        <v>14521.0</v>
      </c>
      <c r="M1881" s="11">
        <v>-119.422417</v>
      </c>
      <c r="N1881" s="11">
        <v>49.615833</v>
      </c>
      <c r="O1881" s="11">
        <v>1550.0</v>
      </c>
      <c r="P1881" s="11" t="s">
        <v>6765</v>
      </c>
      <c r="Q1881" s="72">
        <v>6.0</v>
      </c>
      <c r="R1881" s="11" t="s">
        <v>6766</v>
      </c>
      <c r="S1881" s="11" t="s">
        <v>6646</v>
      </c>
    </row>
    <row r="1882" ht="14.25" customHeight="1">
      <c r="B1882" s="5">
        <v>14.0</v>
      </c>
      <c r="C1882" s="5" t="s">
        <v>7690</v>
      </c>
      <c r="D1882" s="5" t="s">
        <v>6768</v>
      </c>
      <c r="E1882" s="5">
        <v>12500.0</v>
      </c>
      <c r="F1882" s="29" t="s">
        <v>6769</v>
      </c>
      <c r="G1882" s="5" t="s">
        <v>6770</v>
      </c>
      <c r="H1882" s="5" t="s">
        <v>6727</v>
      </c>
      <c r="I1882" s="5" t="s">
        <v>49</v>
      </c>
      <c r="J1882" s="5" t="s">
        <v>6728</v>
      </c>
      <c r="K1882" s="5">
        <v>1.0</v>
      </c>
      <c r="L1882" s="5">
        <v>14522.0</v>
      </c>
      <c r="M1882" s="29">
        <v>-124.452102</v>
      </c>
      <c r="N1882" s="29">
        <v>48.943923</v>
      </c>
      <c r="O1882" s="29">
        <v>1190.0</v>
      </c>
      <c r="P1882" s="29" t="s">
        <v>6768</v>
      </c>
      <c r="Q1882" s="101">
        <v>6.0</v>
      </c>
      <c r="R1882" s="29" t="s">
        <v>6769</v>
      </c>
      <c r="S1882" s="29" t="s">
        <v>6646</v>
      </c>
      <c r="T1882" s="29"/>
      <c r="U1882" s="29"/>
      <c r="V1882" s="29"/>
      <c r="W1882" s="29"/>
      <c r="X1882" s="29"/>
      <c r="Y1882" s="29"/>
      <c r="Z1882" s="29"/>
      <c r="AA1882" s="29"/>
      <c r="AB1882" s="29"/>
      <c r="AC1882" s="29"/>
      <c r="AD1882" s="29"/>
      <c r="AE1882" s="29"/>
      <c r="AF1882" s="29"/>
      <c r="AG1882" s="29"/>
      <c r="AH1882" s="29"/>
      <c r="AI1882" s="29"/>
      <c r="AJ1882" s="29"/>
      <c r="AK1882" s="29"/>
      <c r="AL1882" s="29"/>
      <c r="AM1882" s="29"/>
      <c r="AN1882" s="29"/>
      <c r="AO1882" s="29"/>
      <c r="AP1882" s="29"/>
      <c r="AQ1882" s="29"/>
      <c r="AR1882" s="29"/>
      <c r="AS1882" s="29"/>
      <c r="AT1882" s="29"/>
      <c r="AU1882" s="29"/>
      <c r="AV1882" s="29"/>
      <c r="AW1882" s="29"/>
      <c r="AX1882" s="29"/>
      <c r="AY1882" s="29"/>
      <c r="AZ1882" s="29"/>
      <c r="BA1882" s="29"/>
      <c r="BB1882" s="29"/>
      <c r="BC1882" s="29"/>
      <c r="BD1882" s="29"/>
      <c r="BE1882" s="29"/>
      <c r="BF1882" s="29"/>
      <c r="BG1882" s="29"/>
      <c r="BH1882" s="29"/>
      <c r="BI1882" s="29"/>
      <c r="BJ1882" s="29"/>
      <c r="BK1882" s="29"/>
      <c r="BL1882" s="29"/>
      <c r="BM1882" s="29"/>
      <c r="BN1882" s="29"/>
      <c r="BO1882" s="29"/>
      <c r="BP1882" s="29"/>
      <c r="BQ1882" s="29"/>
      <c r="BR1882" s="29"/>
      <c r="BS1882" s="29"/>
      <c r="BT1882" s="29"/>
    </row>
    <row r="1883" ht="14.25" customHeight="1">
      <c r="B1883" s="5">
        <v>14.0</v>
      </c>
      <c r="C1883" s="5" t="s">
        <v>7690</v>
      </c>
      <c r="D1883" s="5" t="s">
        <v>6771</v>
      </c>
      <c r="E1883" s="5">
        <v>2515.0</v>
      </c>
      <c r="F1883" s="5" t="s">
        <v>6772</v>
      </c>
      <c r="G1883" s="5" t="s">
        <v>6773</v>
      </c>
      <c r="H1883" s="5" t="s">
        <v>6774</v>
      </c>
      <c r="I1883" s="5" t="s">
        <v>1664</v>
      </c>
      <c r="J1883" s="5" t="s">
        <v>6645</v>
      </c>
      <c r="K1883" s="5">
        <v>1.0</v>
      </c>
      <c r="L1883" s="5">
        <v>2918.0</v>
      </c>
      <c r="M1883" s="11">
        <v>-121.0036111</v>
      </c>
      <c r="N1883" s="11">
        <v>54.10555556</v>
      </c>
      <c r="O1883" s="11">
        <v>1100.0</v>
      </c>
      <c r="P1883" s="11" t="s">
        <v>6771</v>
      </c>
      <c r="Q1883" s="72">
        <v>4.0</v>
      </c>
      <c r="R1883" s="11" t="s">
        <v>6772</v>
      </c>
      <c r="S1883" s="11" t="s">
        <v>6646</v>
      </c>
    </row>
    <row r="1884" ht="14.25" customHeight="1">
      <c r="B1884" s="5">
        <v>14.0</v>
      </c>
      <c r="C1884" s="5" t="s">
        <v>7690</v>
      </c>
      <c r="D1884" s="5" t="s">
        <v>6775</v>
      </c>
      <c r="E1884" s="5">
        <v>2563.0</v>
      </c>
      <c r="F1884" s="29" t="s">
        <v>6776</v>
      </c>
      <c r="G1884" s="5" t="s">
        <v>6777</v>
      </c>
      <c r="H1884" s="5" t="s">
        <v>6778</v>
      </c>
      <c r="I1884" s="5" t="s">
        <v>1664</v>
      </c>
      <c r="J1884" s="5" t="s">
        <v>6645</v>
      </c>
      <c r="K1884" s="5">
        <v>1.0</v>
      </c>
      <c r="L1884" s="5">
        <v>2966.0</v>
      </c>
      <c r="M1884" s="11">
        <v>-124.279111</v>
      </c>
      <c r="N1884" s="11">
        <v>48.969444</v>
      </c>
      <c r="O1884" s="11">
        <v>1160.0</v>
      </c>
      <c r="P1884" s="11" t="s">
        <v>6775</v>
      </c>
      <c r="Q1884" s="72">
        <v>8.0</v>
      </c>
      <c r="R1884" s="11" t="s">
        <v>6776</v>
      </c>
      <c r="S1884" s="11" t="s">
        <v>6646</v>
      </c>
      <c r="X1884" s="29"/>
      <c r="Y1884" s="29"/>
      <c r="Z1884" s="29"/>
      <c r="AA1884" s="29"/>
      <c r="AB1884" s="29"/>
      <c r="AC1884" s="29"/>
      <c r="AD1884" s="29"/>
      <c r="AE1884" s="29"/>
      <c r="AF1884" s="29"/>
      <c r="AG1884" s="29"/>
      <c r="AH1884" s="29"/>
      <c r="AI1884" s="29"/>
      <c r="AJ1884" s="29"/>
      <c r="AK1884" s="29"/>
      <c r="AL1884" s="29"/>
      <c r="AM1884" s="29"/>
      <c r="AN1884" s="29"/>
      <c r="AO1884" s="29"/>
      <c r="AP1884" s="29"/>
      <c r="AQ1884" s="29"/>
      <c r="AR1884" s="29"/>
      <c r="AS1884" s="29"/>
      <c r="AT1884" s="29"/>
      <c r="AU1884" s="29"/>
      <c r="AV1884" s="29"/>
      <c r="AW1884" s="29"/>
      <c r="AX1884" s="29"/>
      <c r="AY1884" s="29"/>
      <c r="AZ1884" s="29"/>
      <c r="BA1884" s="29"/>
      <c r="BB1884" s="29"/>
      <c r="BC1884" s="29"/>
      <c r="BD1884" s="29"/>
      <c r="BE1884" s="29"/>
      <c r="BF1884" s="29"/>
      <c r="BG1884" s="29"/>
      <c r="BH1884" s="29"/>
      <c r="BI1884" s="29"/>
      <c r="BJ1884" s="29"/>
      <c r="BK1884" s="29"/>
      <c r="BL1884" s="29"/>
      <c r="BM1884" s="29"/>
      <c r="BN1884" s="29"/>
      <c r="BO1884" s="29"/>
      <c r="BP1884" s="29"/>
      <c r="BQ1884" s="29"/>
      <c r="BR1884" s="29"/>
      <c r="BS1884" s="29"/>
      <c r="BT1884" s="29"/>
    </row>
    <row r="1885" ht="14.25" customHeight="1">
      <c r="B1885" s="5">
        <v>14.0</v>
      </c>
      <c r="C1885" s="5" t="s">
        <v>7690</v>
      </c>
      <c r="D1885" s="5" t="s">
        <v>6779</v>
      </c>
      <c r="E1885" s="5">
        <v>2580.0</v>
      </c>
      <c r="F1885" s="5" t="s">
        <v>6780</v>
      </c>
      <c r="G1885" s="5" t="s">
        <v>6781</v>
      </c>
      <c r="H1885" s="5" t="s">
        <v>6782</v>
      </c>
      <c r="I1885" s="5" t="s">
        <v>1664</v>
      </c>
      <c r="J1885" s="5" t="s">
        <v>6783</v>
      </c>
      <c r="K1885" s="5">
        <v>1.0</v>
      </c>
      <c r="L1885" s="5">
        <v>2983.0</v>
      </c>
      <c r="M1885" s="29"/>
      <c r="N1885" s="29"/>
      <c r="O1885" s="29"/>
      <c r="P1885" s="29"/>
      <c r="Q1885" s="29"/>
      <c r="R1885" s="29"/>
      <c r="S1885" s="29"/>
      <c r="T1885" s="29"/>
      <c r="U1885" s="29"/>
      <c r="V1885" s="29"/>
      <c r="W1885" s="29"/>
      <c r="X1885" s="29"/>
      <c r="Y1885" s="29"/>
      <c r="Z1885" s="29"/>
      <c r="AA1885" s="29"/>
      <c r="AB1885" s="29"/>
      <c r="AC1885" s="29"/>
      <c r="AD1885" s="29"/>
      <c r="AE1885" s="29"/>
      <c r="AF1885" s="29"/>
      <c r="AG1885" s="29"/>
      <c r="AH1885" s="29"/>
      <c r="AI1885" s="29"/>
      <c r="AJ1885" s="29"/>
      <c r="AK1885" s="29"/>
      <c r="AL1885" s="29"/>
      <c r="AM1885" s="29"/>
      <c r="AN1885" s="29"/>
      <c r="AO1885" s="29"/>
      <c r="AP1885" s="29"/>
      <c r="AQ1885" s="29"/>
      <c r="AR1885" s="29"/>
      <c r="AS1885" s="29"/>
      <c r="AT1885" s="29"/>
      <c r="AU1885" s="29"/>
      <c r="AV1885" s="29"/>
      <c r="AW1885" s="29"/>
      <c r="AX1885" s="29"/>
      <c r="AY1885" s="29"/>
      <c r="AZ1885" s="29"/>
      <c r="BA1885" s="29"/>
      <c r="BB1885" s="29"/>
      <c r="BC1885" s="29"/>
      <c r="BD1885" s="29"/>
      <c r="BE1885" s="29"/>
      <c r="BF1885" s="29"/>
      <c r="BG1885" s="29"/>
      <c r="BH1885" s="29"/>
      <c r="BI1885" s="29"/>
      <c r="BJ1885" s="29"/>
      <c r="BK1885" s="29"/>
      <c r="BL1885" s="29"/>
      <c r="BM1885" s="29"/>
      <c r="BN1885" s="29"/>
      <c r="BO1885" s="29"/>
      <c r="BP1885" s="29"/>
      <c r="BQ1885" s="29"/>
      <c r="BR1885" s="29"/>
      <c r="BS1885" s="29"/>
      <c r="BT1885" s="29"/>
    </row>
    <row r="1886" ht="14.25" customHeight="1">
      <c r="B1886" s="5">
        <v>14.0</v>
      </c>
      <c r="C1886" s="5" t="s">
        <v>7690</v>
      </c>
      <c r="D1886" s="5" t="s">
        <v>6784</v>
      </c>
      <c r="E1886" s="5">
        <v>12497.0</v>
      </c>
      <c r="F1886" s="5" t="s">
        <v>6785</v>
      </c>
      <c r="G1886" s="5" t="s">
        <v>6786</v>
      </c>
      <c r="H1886" s="5" t="s">
        <v>6787</v>
      </c>
      <c r="I1886" s="5" t="s">
        <v>49</v>
      </c>
      <c r="J1886" s="5" t="s">
        <v>6728</v>
      </c>
      <c r="K1886" s="5">
        <v>1.0</v>
      </c>
      <c r="L1886" s="5">
        <v>14519.0</v>
      </c>
      <c r="M1886" s="11">
        <v>-120.7824444</v>
      </c>
      <c r="N1886" s="11">
        <v>54.30277778</v>
      </c>
      <c r="O1886" s="11">
        <v>1601.0</v>
      </c>
      <c r="P1886" s="29" t="s">
        <v>6788</v>
      </c>
      <c r="Q1886" s="101">
        <v>8.0</v>
      </c>
      <c r="R1886" s="29" t="s">
        <v>6789</v>
      </c>
      <c r="S1886" s="29" t="s">
        <v>6646</v>
      </c>
      <c r="T1886" s="29"/>
      <c r="U1886" s="29"/>
      <c r="V1886" s="29"/>
      <c r="W1886" s="29"/>
      <c r="X1886" s="29"/>
      <c r="Y1886" s="29"/>
      <c r="Z1886" s="29"/>
      <c r="AA1886" s="29"/>
      <c r="AB1886" s="29"/>
      <c r="AC1886" s="29"/>
      <c r="AD1886" s="29"/>
      <c r="AE1886" s="29"/>
      <c r="AF1886" s="29"/>
      <c r="AG1886" s="29"/>
      <c r="AH1886" s="29"/>
      <c r="AI1886" s="29"/>
      <c r="AJ1886" s="29"/>
      <c r="AK1886" s="29"/>
      <c r="AL1886" s="29"/>
      <c r="AM1886" s="29"/>
      <c r="AN1886" s="29"/>
      <c r="AO1886" s="29"/>
      <c r="AP1886" s="29"/>
      <c r="AQ1886" s="29"/>
      <c r="AR1886" s="29"/>
      <c r="AS1886" s="29"/>
      <c r="AT1886" s="29"/>
      <c r="AU1886" s="29"/>
      <c r="AV1886" s="29"/>
      <c r="AW1886" s="29"/>
      <c r="AX1886" s="29"/>
      <c r="AY1886" s="29"/>
      <c r="AZ1886" s="29"/>
      <c r="BA1886" s="29"/>
      <c r="BB1886" s="29"/>
      <c r="BC1886" s="29"/>
      <c r="BD1886" s="29"/>
      <c r="BE1886" s="29"/>
      <c r="BF1886" s="29"/>
      <c r="BG1886" s="29"/>
      <c r="BH1886" s="29"/>
      <c r="BI1886" s="29"/>
      <c r="BJ1886" s="29"/>
      <c r="BK1886" s="29"/>
      <c r="BL1886" s="29"/>
      <c r="BM1886" s="29"/>
      <c r="BN1886" s="29"/>
      <c r="BO1886" s="29"/>
      <c r="BP1886" s="29"/>
      <c r="BQ1886" s="29"/>
      <c r="BR1886" s="29"/>
      <c r="BS1886" s="29"/>
      <c r="BT1886" s="29"/>
    </row>
    <row r="1887" ht="14.25" customHeight="1">
      <c r="B1887" s="5">
        <v>14.0</v>
      </c>
      <c r="C1887" s="5" t="s">
        <v>7690</v>
      </c>
      <c r="D1887" s="5" t="s">
        <v>6790</v>
      </c>
      <c r="E1887" s="5">
        <v>2536.0</v>
      </c>
      <c r="F1887" s="29" t="s">
        <v>6791</v>
      </c>
      <c r="G1887" s="5" t="s">
        <v>6792</v>
      </c>
      <c r="H1887" s="5" t="s">
        <v>6793</v>
      </c>
      <c r="I1887" s="5" t="s">
        <v>1664</v>
      </c>
      <c r="J1887" s="5" t="s">
        <v>6645</v>
      </c>
      <c r="K1887" s="5">
        <v>1.0</v>
      </c>
      <c r="L1887" s="5">
        <v>2939.0</v>
      </c>
      <c r="U1887" s="29"/>
      <c r="V1887" s="29"/>
      <c r="W1887" s="29"/>
      <c r="X1887" s="29"/>
      <c r="Y1887" s="29"/>
      <c r="Z1887" s="29"/>
      <c r="AA1887" s="29"/>
      <c r="AB1887" s="29"/>
      <c r="AC1887" s="29"/>
      <c r="AD1887" s="29"/>
      <c r="AE1887" s="29"/>
      <c r="AF1887" s="29"/>
      <c r="AG1887" s="29"/>
      <c r="AH1887" s="29"/>
      <c r="AI1887" s="29"/>
      <c r="AJ1887" s="29"/>
      <c r="AK1887" s="29"/>
      <c r="AL1887" s="29"/>
      <c r="AM1887" s="29"/>
      <c r="AN1887" s="29"/>
      <c r="AO1887" s="29"/>
      <c r="AP1887" s="29"/>
      <c r="AQ1887" s="29"/>
      <c r="AR1887" s="29"/>
      <c r="AS1887" s="29"/>
      <c r="AT1887" s="29"/>
      <c r="AU1887" s="29"/>
      <c r="AV1887" s="29"/>
      <c r="AW1887" s="29"/>
      <c r="AX1887" s="29"/>
      <c r="AY1887" s="29"/>
      <c r="AZ1887" s="29"/>
      <c r="BA1887" s="29"/>
      <c r="BB1887" s="29"/>
      <c r="BC1887" s="29"/>
      <c r="BD1887" s="29"/>
      <c r="BE1887" s="29"/>
      <c r="BF1887" s="29"/>
      <c r="BG1887" s="29"/>
      <c r="BH1887" s="29"/>
      <c r="BI1887" s="29"/>
      <c r="BJ1887" s="29"/>
      <c r="BK1887" s="29"/>
      <c r="BL1887" s="29"/>
      <c r="BM1887" s="29"/>
      <c r="BN1887" s="29"/>
      <c r="BO1887" s="29"/>
      <c r="BP1887" s="29"/>
      <c r="BQ1887" s="29"/>
      <c r="BR1887" s="29"/>
      <c r="BS1887" s="29"/>
      <c r="BT1887" s="29"/>
    </row>
    <row r="1888" ht="14.25" customHeight="1">
      <c r="A1888" s="5" t="s">
        <v>5043</v>
      </c>
      <c r="B1888" s="5">
        <v>14.0</v>
      </c>
      <c r="C1888" s="10" t="s">
        <v>7696</v>
      </c>
      <c r="D1888" s="5" t="s">
        <v>6794</v>
      </c>
      <c r="E1888" s="5">
        <v>2567.0</v>
      </c>
      <c r="F1888" s="5" t="s">
        <v>6795</v>
      </c>
      <c r="G1888" s="5" t="s">
        <v>6796</v>
      </c>
      <c r="H1888" s="5" t="s">
        <v>6797</v>
      </c>
      <c r="I1888" s="5" t="s">
        <v>1664</v>
      </c>
      <c r="J1888" s="5" t="s">
        <v>6640</v>
      </c>
      <c r="K1888" s="5">
        <v>1.0</v>
      </c>
      <c r="L1888" s="5">
        <v>2970.0</v>
      </c>
      <c r="M1888" s="11">
        <v>-120.0321667</v>
      </c>
      <c r="N1888" s="11">
        <v>52.20366667</v>
      </c>
      <c r="O1888" s="11">
        <v>1770.0</v>
      </c>
      <c r="P1888" s="11" t="s">
        <v>6790</v>
      </c>
      <c r="Q1888" s="72">
        <v>6.0</v>
      </c>
      <c r="R1888" s="11" t="s">
        <v>6791</v>
      </c>
      <c r="S1888" s="11" t="s">
        <v>6646</v>
      </c>
    </row>
    <row r="1889" ht="14.25" customHeight="1">
      <c r="B1889" s="5">
        <v>14.0</v>
      </c>
      <c r="C1889" s="5" t="s">
        <v>7690</v>
      </c>
      <c r="D1889" s="5" t="s">
        <v>6798</v>
      </c>
      <c r="E1889" s="5">
        <v>2571.0</v>
      </c>
      <c r="F1889" s="5" t="s">
        <v>6799</v>
      </c>
      <c r="G1889" s="5" t="s">
        <v>6800</v>
      </c>
      <c r="H1889" s="5" t="s">
        <v>6801</v>
      </c>
      <c r="I1889" s="5" t="s">
        <v>1664</v>
      </c>
      <c r="J1889" s="5" t="s">
        <v>6645</v>
      </c>
      <c r="K1889" s="5">
        <v>1.0</v>
      </c>
      <c r="L1889" s="5">
        <v>2974.0</v>
      </c>
      <c r="M1889" s="11">
        <v>-126.3046667</v>
      </c>
      <c r="N1889" s="11">
        <v>54.19616667</v>
      </c>
      <c r="O1889" s="11">
        <v>1300.0</v>
      </c>
      <c r="P1889" s="11" t="s">
        <v>6798</v>
      </c>
      <c r="Q1889" s="72">
        <v>6.0</v>
      </c>
      <c r="R1889" s="11" t="s">
        <v>6799</v>
      </c>
      <c r="S1889" s="11" t="s">
        <v>6646</v>
      </c>
    </row>
    <row r="1890" ht="14.25" customHeight="1">
      <c r="B1890" s="5">
        <v>14.0</v>
      </c>
      <c r="C1890" s="5" t="s">
        <v>7690</v>
      </c>
      <c r="D1890" s="5" t="s">
        <v>6802</v>
      </c>
      <c r="E1890" s="5">
        <v>2513.0</v>
      </c>
      <c r="F1890" s="5" t="s">
        <v>6803</v>
      </c>
      <c r="G1890" s="5" t="s">
        <v>6804</v>
      </c>
      <c r="H1890" s="5" t="s">
        <v>6805</v>
      </c>
      <c r="I1890" s="5" t="s">
        <v>1664</v>
      </c>
      <c r="J1890" s="5" t="s">
        <v>6645</v>
      </c>
      <c r="K1890" s="5">
        <v>1.0</v>
      </c>
      <c r="L1890" s="5">
        <v>2916.0</v>
      </c>
      <c r="M1890" s="11">
        <v>-120.3172778</v>
      </c>
      <c r="N1890" s="11">
        <v>53.30775</v>
      </c>
      <c r="O1890" s="11">
        <v>1580.0</v>
      </c>
      <c r="P1890" s="11" t="s">
        <v>6802</v>
      </c>
      <c r="Q1890" s="72">
        <v>5.0</v>
      </c>
      <c r="R1890" s="11" t="s">
        <v>6806</v>
      </c>
      <c r="S1890" s="11" t="s">
        <v>6646</v>
      </c>
      <c r="V1890" s="29"/>
      <c r="W1890" s="29"/>
      <c r="X1890" s="29"/>
      <c r="Y1890" s="29"/>
      <c r="Z1890" s="29"/>
      <c r="AA1890" s="29"/>
      <c r="AB1890" s="29"/>
      <c r="AC1890" s="29"/>
      <c r="AD1890" s="29"/>
      <c r="AE1890" s="29"/>
      <c r="AF1890" s="29"/>
      <c r="AG1890" s="29"/>
      <c r="AH1890" s="29"/>
      <c r="AI1890" s="29"/>
      <c r="AJ1890" s="29"/>
      <c r="AK1890" s="29"/>
      <c r="AL1890" s="29"/>
      <c r="AM1890" s="29"/>
      <c r="AN1890" s="29"/>
      <c r="AO1890" s="29"/>
      <c r="AP1890" s="29"/>
      <c r="AQ1890" s="29"/>
      <c r="AR1890" s="29"/>
      <c r="AS1890" s="29"/>
      <c r="AT1890" s="29"/>
      <c r="AU1890" s="29"/>
      <c r="AV1890" s="29"/>
      <c r="AW1890" s="29"/>
      <c r="AX1890" s="29"/>
      <c r="AY1890" s="29"/>
      <c r="AZ1890" s="29"/>
      <c r="BA1890" s="29"/>
      <c r="BB1890" s="29"/>
      <c r="BC1890" s="29"/>
      <c r="BD1890" s="29"/>
      <c r="BE1890" s="29"/>
      <c r="BF1890" s="29"/>
      <c r="BG1890" s="29"/>
      <c r="BH1890" s="29"/>
      <c r="BI1890" s="29"/>
      <c r="BJ1890" s="29"/>
      <c r="BK1890" s="29"/>
      <c r="BL1890" s="29"/>
      <c r="BM1890" s="29"/>
      <c r="BN1890" s="29"/>
      <c r="BO1890" s="29"/>
      <c r="BP1890" s="29"/>
      <c r="BQ1890" s="29"/>
      <c r="BR1890" s="29"/>
      <c r="BS1890" s="29"/>
      <c r="BT1890" s="29"/>
    </row>
    <row r="1891" ht="14.25" customHeight="1">
      <c r="B1891" s="5">
        <v>14.0</v>
      </c>
      <c r="C1891" s="5" t="s">
        <v>7690</v>
      </c>
      <c r="D1891" s="5" t="s">
        <v>6807</v>
      </c>
      <c r="E1891" s="5">
        <v>2554.0</v>
      </c>
      <c r="F1891" s="5" t="s">
        <v>6808</v>
      </c>
      <c r="G1891" s="5" t="s">
        <v>6809</v>
      </c>
      <c r="H1891" s="5" t="s">
        <v>6810</v>
      </c>
      <c r="I1891" s="5" t="s">
        <v>1664</v>
      </c>
      <c r="J1891" s="5" t="s">
        <v>6645</v>
      </c>
      <c r="K1891" s="5">
        <v>1.0</v>
      </c>
      <c r="L1891" s="5">
        <v>2957.0</v>
      </c>
      <c r="M1891" s="11">
        <v>-118.9496667</v>
      </c>
      <c r="N1891" s="11">
        <v>49.94466667</v>
      </c>
      <c r="O1891" s="11">
        <v>1780.0</v>
      </c>
      <c r="P1891" s="11" t="s">
        <v>6807</v>
      </c>
      <c r="Q1891" s="72">
        <v>7.0</v>
      </c>
      <c r="R1891" s="11" t="s">
        <v>6808</v>
      </c>
      <c r="S1891" s="11" t="s">
        <v>6646</v>
      </c>
    </row>
    <row r="1892" ht="14.25" customHeight="1">
      <c r="A1892" s="5" t="s">
        <v>5043</v>
      </c>
      <c r="B1892" s="5">
        <v>14.0</v>
      </c>
      <c r="C1892" s="10" t="s">
        <v>7696</v>
      </c>
      <c r="D1892" s="5" t="s">
        <v>6811</v>
      </c>
      <c r="E1892" s="5">
        <v>2522.0</v>
      </c>
      <c r="F1892" s="29" t="s">
        <v>6416</v>
      </c>
      <c r="G1892" s="5" t="s">
        <v>6812</v>
      </c>
      <c r="H1892" s="5" t="s">
        <v>6813</v>
      </c>
      <c r="I1892" s="5" t="s">
        <v>1664</v>
      </c>
      <c r="J1892" s="5" t="s">
        <v>5996</v>
      </c>
      <c r="K1892" s="5">
        <v>1.0</v>
      </c>
      <c r="L1892" s="5">
        <v>2925.0</v>
      </c>
      <c r="W1892" s="29"/>
      <c r="X1892" s="29"/>
      <c r="Y1892" s="29"/>
      <c r="Z1892" s="29"/>
      <c r="AA1892" s="29"/>
      <c r="AB1892" s="29"/>
      <c r="AC1892" s="29"/>
      <c r="AD1892" s="29"/>
      <c r="AE1892" s="29"/>
      <c r="AF1892" s="29"/>
      <c r="AG1892" s="29"/>
      <c r="AH1892" s="29"/>
      <c r="AI1892" s="29"/>
      <c r="AJ1892" s="29"/>
      <c r="AK1892" s="29"/>
      <c r="AL1892" s="29"/>
      <c r="AM1892" s="29"/>
      <c r="AN1892" s="29"/>
      <c r="AO1892" s="29"/>
      <c r="AP1892" s="29"/>
      <c r="AQ1892" s="29"/>
      <c r="AR1892" s="29"/>
      <c r="AS1892" s="29"/>
      <c r="AT1892" s="29"/>
      <c r="AU1892" s="29"/>
      <c r="AV1892" s="29"/>
      <c r="AW1892" s="29"/>
      <c r="AX1892" s="29"/>
      <c r="AY1892" s="29"/>
      <c r="AZ1892" s="29"/>
      <c r="BA1892" s="29"/>
      <c r="BB1892" s="29"/>
      <c r="BC1892" s="29"/>
      <c r="BD1892" s="29"/>
      <c r="BE1892" s="29"/>
      <c r="BF1892" s="29"/>
      <c r="BG1892" s="29"/>
      <c r="BH1892" s="29"/>
      <c r="BI1892" s="29"/>
      <c r="BJ1892" s="29"/>
      <c r="BK1892" s="29"/>
      <c r="BL1892" s="29"/>
      <c r="BM1892" s="29"/>
      <c r="BN1892" s="29"/>
      <c r="BO1892" s="29"/>
      <c r="BP1892" s="29"/>
      <c r="BQ1892" s="29"/>
      <c r="BR1892" s="29"/>
      <c r="BS1892" s="29"/>
      <c r="BT1892" s="29"/>
    </row>
    <row r="1893" ht="14.25" customHeight="1">
      <c r="B1893" s="5">
        <v>14.0</v>
      </c>
      <c r="C1893" s="5" t="s">
        <v>7690</v>
      </c>
      <c r="D1893" s="5" t="s">
        <v>6814</v>
      </c>
      <c r="E1893" s="5">
        <v>2543.0</v>
      </c>
      <c r="F1893" s="5" t="s">
        <v>6428</v>
      </c>
      <c r="G1893" s="5" t="s">
        <v>6815</v>
      </c>
      <c r="H1893" s="5" t="s">
        <v>6816</v>
      </c>
      <c r="I1893" s="5" t="s">
        <v>1664</v>
      </c>
      <c r="J1893" s="5" t="s">
        <v>5996</v>
      </c>
      <c r="K1893" s="5">
        <v>1.0</v>
      </c>
      <c r="L1893" s="5">
        <v>2946.0</v>
      </c>
    </row>
    <row r="1894" ht="14.25" customHeight="1">
      <c r="A1894" s="5" t="s">
        <v>5043</v>
      </c>
      <c r="B1894" s="5">
        <v>14.0</v>
      </c>
      <c r="C1894" s="10" t="s">
        <v>7696</v>
      </c>
      <c r="D1894" s="5" t="s">
        <v>6817</v>
      </c>
      <c r="E1894" s="5">
        <v>2548.0</v>
      </c>
      <c r="F1894" s="29" t="s">
        <v>6435</v>
      </c>
      <c r="G1894" s="5" t="s">
        <v>6818</v>
      </c>
      <c r="H1894" s="5" t="s">
        <v>6819</v>
      </c>
      <c r="I1894" s="5" t="s">
        <v>1664</v>
      </c>
      <c r="J1894" s="5" t="s">
        <v>5996</v>
      </c>
      <c r="K1894" s="5">
        <v>1.0</v>
      </c>
      <c r="L1894" s="5">
        <v>2951.0</v>
      </c>
      <c r="M1894" s="29"/>
      <c r="N1894" s="29"/>
      <c r="O1894" s="29"/>
      <c r="P1894" s="29"/>
      <c r="Q1894" s="29"/>
      <c r="R1894" s="29"/>
      <c r="S1894" s="29"/>
      <c r="T1894" s="29"/>
      <c r="U1894" s="29"/>
      <c r="V1894" s="29"/>
      <c r="W1894" s="29"/>
      <c r="X1894" s="29"/>
      <c r="Y1894" s="29"/>
      <c r="Z1894" s="29"/>
      <c r="AA1894" s="29"/>
      <c r="AB1894" s="29"/>
      <c r="AC1894" s="29"/>
      <c r="AD1894" s="29"/>
      <c r="AE1894" s="29"/>
      <c r="AF1894" s="29"/>
      <c r="AG1894" s="29"/>
      <c r="AH1894" s="29"/>
      <c r="AI1894" s="29"/>
      <c r="AJ1894" s="29"/>
      <c r="AK1894" s="29"/>
      <c r="AL1894" s="29"/>
      <c r="AM1894" s="29"/>
      <c r="AN1894" s="29"/>
      <c r="AO1894" s="29"/>
      <c r="AP1894" s="29"/>
      <c r="AQ1894" s="29"/>
      <c r="AR1894" s="29"/>
      <c r="AS1894" s="29"/>
      <c r="AT1894" s="29"/>
      <c r="AU1894" s="29"/>
      <c r="AV1894" s="29"/>
      <c r="AW1894" s="29"/>
      <c r="AX1894" s="29"/>
      <c r="AY1894" s="29"/>
      <c r="AZ1894" s="29"/>
      <c r="BA1894" s="29"/>
      <c r="BB1894" s="29"/>
      <c r="BC1894" s="29"/>
      <c r="BD1894" s="29"/>
      <c r="BE1894" s="29"/>
      <c r="BF1894" s="29"/>
      <c r="BG1894" s="29"/>
      <c r="BH1894" s="29"/>
      <c r="BI1894" s="29"/>
      <c r="BJ1894" s="29"/>
      <c r="BK1894" s="29"/>
      <c r="BL1894" s="29"/>
      <c r="BM1894" s="29"/>
      <c r="BN1894" s="29"/>
      <c r="BO1894" s="29"/>
      <c r="BP1894" s="29"/>
      <c r="BQ1894" s="29"/>
      <c r="BR1894" s="29"/>
      <c r="BS1894" s="29"/>
      <c r="BT1894" s="29"/>
    </row>
    <row r="1895" ht="14.25" customHeight="1">
      <c r="A1895" s="5" t="s">
        <v>5043</v>
      </c>
      <c r="B1895" s="5">
        <v>14.0</v>
      </c>
      <c r="C1895" s="10" t="s">
        <v>7696</v>
      </c>
      <c r="D1895" s="5" t="s">
        <v>6820</v>
      </c>
      <c r="E1895" s="5">
        <v>2547.0</v>
      </c>
      <c r="F1895" s="5" t="s">
        <v>6435</v>
      </c>
      <c r="G1895" s="5" t="s">
        <v>6821</v>
      </c>
      <c r="H1895" s="5" t="s">
        <v>6822</v>
      </c>
      <c r="I1895" s="5" t="s">
        <v>1664</v>
      </c>
      <c r="J1895" s="5" t="s">
        <v>6672</v>
      </c>
      <c r="K1895" s="5">
        <v>1.0</v>
      </c>
      <c r="L1895" s="5">
        <v>2950.0</v>
      </c>
    </row>
    <row r="1896" ht="14.25" customHeight="1">
      <c r="B1896" s="5">
        <v>14.0</v>
      </c>
      <c r="C1896" s="5" t="s">
        <v>7690</v>
      </c>
      <c r="D1896" s="5" t="s">
        <v>6823</v>
      </c>
      <c r="E1896" s="5">
        <v>2534.0</v>
      </c>
      <c r="F1896" s="5" t="s">
        <v>6824</v>
      </c>
      <c r="G1896" s="5" t="s">
        <v>6825</v>
      </c>
      <c r="H1896" s="5" t="s">
        <v>6826</v>
      </c>
      <c r="I1896" s="5" t="s">
        <v>1664</v>
      </c>
      <c r="J1896" s="5" t="s">
        <v>6645</v>
      </c>
      <c r="K1896" s="5">
        <v>1.0</v>
      </c>
      <c r="L1896" s="5">
        <v>2937.0</v>
      </c>
      <c r="M1896" s="11">
        <v>-119.3213889</v>
      </c>
      <c r="N1896" s="11">
        <v>52.18277778</v>
      </c>
      <c r="O1896" s="11">
        <v>1550.0</v>
      </c>
      <c r="P1896" s="11" t="s">
        <v>6823</v>
      </c>
      <c r="Q1896" s="72">
        <v>5.0</v>
      </c>
      <c r="R1896" s="11" t="s">
        <v>6824</v>
      </c>
      <c r="S1896" s="11" t="s">
        <v>6646</v>
      </c>
    </row>
    <row r="1897" ht="14.25" customHeight="1">
      <c r="A1897" s="5" t="s">
        <v>5043</v>
      </c>
      <c r="B1897" s="5">
        <v>14.0</v>
      </c>
      <c r="C1897" s="10" t="s">
        <v>7696</v>
      </c>
      <c r="D1897" s="5" t="s">
        <v>6827</v>
      </c>
      <c r="E1897" s="5">
        <v>2541.0</v>
      </c>
      <c r="F1897" s="5" t="s">
        <v>6444</v>
      </c>
      <c r="G1897" s="5" t="s">
        <v>6828</v>
      </c>
      <c r="H1897" s="5" t="s">
        <v>6829</v>
      </c>
      <c r="I1897" s="5" t="s">
        <v>1664</v>
      </c>
      <c r="J1897" s="5" t="s">
        <v>5996</v>
      </c>
      <c r="K1897" s="5">
        <v>1.0</v>
      </c>
      <c r="L1897" s="5">
        <v>2944.0</v>
      </c>
    </row>
    <row r="1898" ht="14.25" customHeight="1">
      <c r="B1898" s="5">
        <v>14.0</v>
      </c>
      <c r="C1898" s="5" t="s">
        <v>7690</v>
      </c>
      <c r="D1898" s="5" t="s">
        <v>6830</v>
      </c>
      <c r="E1898" s="5">
        <v>2537.0</v>
      </c>
      <c r="F1898" s="29" t="s">
        <v>6831</v>
      </c>
      <c r="G1898" s="5" t="s">
        <v>6832</v>
      </c>
      <c r="H1898" s="5" t="s">
        <v>6676</v>
      </c>
      <c r="I1898" s="5" t="s">
        <v>1664</v>
      </c>
      <c r="J1898" s="5" t="s">
        <v>6677</v>
      </c>
      <c r="K1898" s="5">
        <v>1.0</v>
      </c>
      <c r="L1898" s="5">
        <v>2940.0</v>
      </c>
      <c r="M1898" s="29"/>
      <c r="N1898" s="29"/>
      <c r="O1898" s="29"/>
      <c r="P1898" s="29"/>
      <c r="Q1898" s="29"/>
      <c r="R1898" s="29"/>
      <c r="S1898" s="29"/>
      <c r="T1898" s="29"/>
      <c r="U1898" s="29"/>
      <c r="V1898" s="29"/>
      <c r="W1898" s="29"/>
      <c r="X1898" s="29"/>
      <c r="Y1898" s="29"/>
      <c r="Z1898" s="29"/>
      <c r="AA1898" s="29"/>
      <c r="AB1898" s="29"/>
      <c r="AC1898" s="29"/>
      <c r="AD1898" s="29"/>
      <c r="AE1898" s="29"/>
      <c r="AF1898" s="29"/>
      <c r="AG1898" s="29"/>
      <c r="AH1898" s="29"/>
      <c r="AI1898" s="29"/>
      <c r="AJ1898" s="29"/>
      <c r="AK1898" s="29"/>
      <c r="AL1898" s="29"/>
      <c r="AM1898" s="29"/>
      <c r="AN1898" s="29"/>
      <c r="AO1898" s="29"/>
      <c r="AP1898" s="29"/>
      <c r="AQ1898" s="29"/>
      <c r="AR1898" s="29"/>
      <c r="AS1898" s="29"/>
      <c r="AT1898" s="29"/>
      <c r="AU1898" s="29"/>
      <c r="AV1898" s="29"/>
      <c r="AW1898" s="29"/>
      <c r="AX1898" s="29"/>
      <c r="AY1898" s="29"/>
      <c r="AZ1898" s="29"/>
      <c r="BA1898" s="29"/>
      <c r="BB1898" s="29"/>
      <c r="BC1898" s="29"/>
      <c r="BD1898" s="29"/>
      <c r="BE1898" s="29"/>
      <c r="BF1898" s="29"/>
      <c r="BG1898" s="29"/>
      <c r="BH1898" s="29"/>
      <c r="BI1898" s="29"/>
      <c r="BJ1898" s="29"/>
      <c r="BK1898" s="29"/>
      <c r="BL1898" s="29"/>
      <c r="BM1898" s="29"/>
      <c r="BN1898" s="29"/>
      <c r="BO1898" s="29"/>
      <c r="BP1898" s="29"/>
      <c r="BQ1898" s="29"/>
      <c r="BR1898" s="29"/>
      <c r="BS1898" s="29"/>
      <c r="BT1898" s="29"/>
    </row>
    <row r="1899" ht="14.25" customHeight="1">
      <c r="A1899" s="5" t="s">
        <v>422</v>
      </c>
      <c r="B1899" s="5">
        <v>14.0</v>
      </c>
      <c r="C1899" s="5" t="s">
        <v>7698</v>
      </c>
      <c r="D1899" s="5" t="s">
        <v>5993</v>
      </c>
      <c r="E1899" s="5">
        <v>2518.0</v>
      </c>
      <c r="F1899" s="5" t="s">
        <v>1680</v>
      </c>
      <c r="G1899" s="5" t="s">
        <v>5994</v>
      </c>
      <c r="H1899" s="5" t="s">
        <v>5995</v>
      </c>
      <c r="I1899" s="5" t="s">
        <v>1664</v>
      </c>
      <c r="J1899" s="5" t="s">
        <v>5996</v>
      </c>
      <c r="K1899" s="5">
        <v>1.0</v>
      </c>
      <c r="L1899" s="5">
        <v>2921.0</v>
      </c>
      <c r="V1899" s="29"/>
      <c r="W1899" s="29"/>
      <c r="X1899" s="29"/>
      <c r="Y1899" s="29"/>
      <c r="Z1899" s="29"/>
      <c r="AA1899" s="29"/>
      <c r="AB1899" s="29"/>
      <c r="AC1899" s="29"/>
      <c r="AD1899" s="29"/>
      <c r="AE1899" s="29"/>
      <c r="AF1899" s="29"/>
      <c r="AG1899" s="29"/>
      <c r="AH1899" s="29"/>
      <c r="AI1899" s="29"/>
      <c r="AJ1899" s="29"/>
      <c r="AK1899" s="29"/>
      <c r="AL1899" s="29"/>
      <c r="AM1899" s="29"/>
      <c r="AN1899" s="29"/>
      <c r="AO1899" s="29"/>
      <c r="AP1899" s="29"/>
      <c r="AQ1899" s="29"/>
      <c r="AR1899" s="29"/>
      <c r="AS1899" s="29"/>
      <c r="AT1899" s="29"/>
      <c r="AU1899" s="29"/>
      <c r="AV1899" s="29"/>
      <c r="AW1899" s="29"/>
      <c r="AX1899" s="29"/>
      <c r="AY1899" s="29"/>
      <c r="AZ1899" s="29"/>
      <c r="BA1899" s="29"/>
      <c r="BB1899" s="29"/>
      <c r="BC1899" s="29"/>
      <c r="BD1899" s="29"/>
      <c r="BE1899" s="29"/>
      <c r="BF1899" s="29"/>
      <c r="BG1899" s="29"/>
      <c r="BH1899" s="29"/>
      <c r="BI1899" s="29"/>
      <c r="BJ1899" s="29"/>
      <c r="BK1899" s="29"/>
      <c r="BL1899" s="29"/>
      <c r="BM1899" s="29"/>
      <c r="BN1899" s="29"/>
      <c r="BO1899" s="29"/>
      <c r="BP1899" s="29"/>
      <c r="BQ1899" s="29"/>
      <c r="BR1899" s="29"/>
      <c r="BS1899" s="29"/>
      <c r="BT1899" s="29"/>
    </row>
    <row r="1900" ht="14.25" customHeight="1">
      <c r="A1900" s="5" t="s">
        <v>6834</v>
      </c>
      <c r="B1900" s="5">
        <v>14.0</v>
      </c>
      <c r="C1900" s="10" t="s">
        <v>7690</v>
      </c>
      <c r="D1900" s="10" t="s">
        <v>6835</v>
      </c>
      <c r="E1900" s="5">
        <v>2549.0</v>
      </c>
      <c r="F1900" s="5" t="s">
        <v>6836</v>
      </c>
      <c r="G1900" s="5" t="s">
        <v>6837</v>
      </c>
      <c r="H1900" s="5" t="s">
        <v>6838</v>
      </c>
      <c r="I1900" s="5" t="s">
        <v>1664</v>
      </c>
      <c r="J1900" s="5" t="s">
        <v>6645</v>
      </c>
      <c r="K1900" s="5">
        <v>1.0</v>
      </c>
      <c r="L1900" s="5">
        <v>2952.0</v>
      </c>
      <c r="V1900" s="29"/>
      <c r="W1900" s="29"/>
      <c r="X1900" s="29"/>
      <c r="Y1900" s="29"/>
      <c r="Z1900" s="29"/>
      <c r="AA1900" s="29"/>
      <c r="AB1900" s="29"/>
      <c r="AC1900" s="29"/>
      <c r="AD1900" s="29"/>
      <c r="AE1900" s="29"/>
      <c r="AF1900" s="29"/>
      <c r="AG1900" s="29"/>
      <c r="AH1900" s="29"/>
      <c r="AI1900" s="29"/>
      <c r="AJ1900" s="29"/>
      <c r="AK1900" s="29"/>
      <c r="AL1900" s="29"/>
      <c r="AM1900" s="29"/>
      <c r="AN1900" s="29"/>
      <c r="AO1900" s="29"/>
      <c r="AP1900" s="29"/>
      <c r="AQ1900" s="29"/>
      <c r="AR1900" s="29"/>
      <c r="AS1900" s="29"/>
      <c r="AT1900" s="29"/>
      <c r="AU1900" s="29"/>
      <c r="AV1900" s="29"/>
      <c r="AW1900" s="29"/>
      <c r="AX1900" s="29"/>
      <c r="AY1900" s="29"/>
      <c r="AZ1900" s="29"/>
      <c r="BA1900" s="29"/>
      <c r="BB1900" s="29"/>
      <c r="BC1900" s="29"/>
      <c r="BD1900" s="29"/>
      <c r="BE1900" s="29"/>
      <c r="BF1900" s="29"/>
      <c r="BG1900" s="29"/>
      <c r="BH1900" s="29"/>
      <c r="BI1900" s="29"/>
      <c r="BJ1900" s="29"/>
      <c r="BK1900" s="29"/>
      <c r="BL1900" s="29"/>
      <c r="BM1900" s="29"/>
      <c r="BN1900" s="29"/>
      <c r="BO1900" s="29"/>
      <c r="BP1900" s="29"/>
      <c r="BQ1900" s="29"/>
      <c r="BR1900" s="29"/>
      <c r="BS1900" s="29"/>
      <c r="BT1900" s="29"/>
    </row>
    <row r="1901" ht="14.25" customHeight="1">
      <c r="A1901" s="5" t="s">
        <v>422</v>
      </c>
      <c r="B1901" s="5">
        <v>14.0</v>
      </c>
      <c r="C1901" s="5" t="s">
        <v>7686</v>
      </c>
      <c r="D1901" s="5" t="s">
        <v>5997</v>
      </c>
      <c r="E1901" s="5">
        <v>2520.0</v>
      </c>
      <c r="F1901" s="5" t="s">
        <v>5998</v>
      </c>
      <c r="G1901" s="5" t="s">
        <v>5999</v>
      </c>
      <c r="H1901" s="5" t="s">
        <v>6000</v>
      </c>
      <c r="I1901" s="5" t="s">
        <v>1664</v>
      </c>
      <c r="J1901" s="5" t="s">
        <v>5996</v>
      </c>
      <c r="K1901" s="5">
        <v>1.0</v>
      </c>
      <c r="L1901" s="5">
        <v>2923.0</v>
      </c>
    </row>
    <row r="1902" ht="14.25" customHeight="1">
      <c r="B1902" s="5">
        <v>14.0</v>
      </c>
      <c r="C1902" s="5" t="s">
        <v>7690</v>
      </c>
      <c r="D1902" s="5" t="s">
        <v>6839</v>
      </c>
      <c r="E1902" s="5">
        <v>12501.0</v>
      </c>
      <c r="F1902" s="5" t="s">
        <v>6840</v>
      </c>
      <c r="G1902" s="5" t="s">
        <v>6841</v>
      </c>
      <c r="H1902" s="5" t="s">
        <v>6842</v>
      </c>
      <c r="I1902" s="5" t="s">
        <v>49</v>
      </c>
      <c r="J1902" s="5" t="s">
        <v>6728</v>
      </c>
      <c r="K1902" s="5">
        <v>1.0</v>
      </c>
      <c r="L1902" s="5">
        <v>14523.0</v>
      </c>
    </row>
    <row r="1903" ht="14.25" customHeight="1">
      <c r="B1903" s="5">
        <v>14.0</v>
      </c>
      <c r="C1903" s="5" t="s">
        <v>7690</v>
      </c>
      <c r="D1903" s="5" t="s">
        <v>6843</v>
      </c>
      <c r="E1903" s="5">
        <v>2558.0</v>
      </c>
      <c r="F1903" s="5" t="s">
        <v>6844</v>
      </c>
      <c r="G1903" s="5" t="s">
        <v>6845</v>
      </c>
      <c r="H1903" s="5" t="s">
        <v>6846</v>
      </c>
      <c r="I1903" s="5" t="s">
        <v>1664</v>
      </c>
      <c r="J1903" s="5" t="s">
        <v>6645</v>
      </c>
      <c r="K1903" s="5">
        <v>1.0</v>
      </c>
      <c r="L1903" s="5">
        <v>2961.0</v>
      </c>
      <c r="M1903" s="11">
        <v>-124.4605</v>
      </c>
      <c r="N1903" s="11">
        <v>51.24366667</v>
      </c>
      <c r="O1903" s="11">
        <v>1500.0</v>
      </c>
      <c r="P1903" s="11" t="s">
        <v>6843</v>
      </c>
      <c r="Q1903" s="72">
        <v>7.0</v>
      </c>
      <c r="R1903" s="11" t="s">
        <v>6844</v>
      </c>
      <c r="S1903" s="11" t="s">
        <v>6646</v>
      </c>
    </row>
    <row r="1904" ht="14.25" customHeight="1">
      <c r="B1904" s="5">
        <v>14.0</v>
      </c>
      <c r="C1904" s="5" t="s">
        <v>7690</v>
      </c>
      <c r="D1904" s="5" t="s">
        <v>6847</v>
      </c>
      <c r="E1904" s="5">
        <v>2529.0</v>
      </c>
      <c r="F1904" s="5" t="s">
        <v>6848</v>
      </c>
      <c r="G1904" s="5" t="s">
        <v>6849</v>
      </c>
      <c r="H1904" s="5" t="s">
        <v>6850</v>
      </c>
      <c r="I1904" s="5" t="s">
        <v>1664</v>
      </c>
      <c r="J1904" s="5" t="s">
        <v>6672</v>
      </c>
      <c r="K1904" s="5">
        <v>1.0</v>
      </c>
      <c r="L1904" s="5">
        <v>2932.0</v>
      </c>
      <c r="M1904" s="29"/>
      <c r="N1904" s="29"/>
      <c r="O1904" s="29"/>
      <c r="P1904" s="29"/>
      <c r="Q1904" s="29"/>
      <c r="R1904" s="29"/>
      <c r="S1904" s="29"/>
      <c r="T1904" s="29"/>
      <c r="U1904" s="29"/>
      <c r="V1904" s="29"/>
      <c r="W1904" s="29"/>
      <c r="X1904" s="29"/>
      <c r="Y1904" s="29"/>
      <c r="Z1904" s="29"/>
      <c r="AA1904" s="29"/>
      <c r="AB1904" s="29"/>
      <c r="AC1904" s="29"/>
      <c r="AD1904" s="29"/>
      <c r="AE1904" s="29"/>
      <c r="AF1904" s="29"/>
      <c r="AG1904" s="29"/>
      <c r="AH1904" s="29"/>
      <c r="AI1904" s="29"/>
      <c r="AJ1904" s="29"/>
      <c r="AK1904" s="29"/>
      <c r="AL1904" s="29"/>
      <c r="AM1904" s="29"/>
      <c r="AN1904" s="29"/>
      <c r="AO1904" s="29"/>
      <c r="AP1904" s="29"/>
      <c r="AQ1904" s="29"/>
      <c r="AR1904" s="29"/>
      <c r="AS1904" s="29"/>
      <c r="AT1904" s="29"/>
      <c r="AU1904" s="29"/>
      <c r="AV1904" s="29"/>
      <c r="AW1904" s="29"/>
      <c r="AX1904" s="29"/>
      <c r="AY1904" s="29"/>
      <c r="AZ1904" s="29"/>
      <c r="BA1904" s="29"/>
      <c r="BB1904" s="29"/>
      <c r="BC1904" s="29"/>
      <c r="BD1904" s="29"/>
      <c r="BE1904" s="29"/>
      <c r="BF1904" s="29"/>
      <c r="BG1904" s="29"/>
      <c r="BH1904" s="29"/>
      <c r="BI1904" s="29"/>
      <c r="BJ1904" s="29"/>
      <c r="BK1904" s="29"/>
      <c r="BL1904" s="29"/>
      <c r="BM1904" s="29"/>
      <c r="BN1904" s="29"/>
      <c r="BO1904" s="29"/>
      <c r="BP1904" s="29"/>
      <c r="BQ1904" s="29"/>
      <c r="BR1904" s="29"/>
      <c r="BS1904" s="29"/>
      <c r="BT1904" s="29"/>
    </row>
    <row r="1905" ht="14.25" customHeight="1">
      <c r="A1905" s="5" t="s">
        <v>422</v>
      </c>
      <c r="B1905" s="5">
        <v>5.0</v>
      </c>
      <c r="C1905" s="5" t="s">
        <v>7689</v>
      </c>
      <c r="D1905" s="5" t="s">
        <v>6851</v>
      </c>
      <c r="E1905" s="5">
        <v>2491.0</v>
      </c>
      <c r="F1905" s="5" t="s">
        <v>6852</v>
      </c>
      <c r="G1905" s="5" t="s">
        <v>6853</v>
      </c>
      <c r="H1905" s="5" t="s">
        <v>6854</v>
      </c>
      <c r="I1905" s="5" t="s">
        <v>1664</v>
      </c>
      <c r="J1905" s="5" t="s">
        <v>6855</v>
      </c>
      <c r="K1905" s="5">
        <v>1.0</v>
      </c>
      <c r="L1905" s="5">
        <v>2894.0</v>
      </c>
    </row>
    <row r="1906" ht="14.25" customHeight="1">
      <c r="B1906" s="5">
        <v>14.0</v>
      </c>
      <c r="C1906" s="5" t="s">
        <v>7690</v>
      </c>
      <c r="D1906" s="5" t="s">
        <v>6856</v>
      </c>
      <c r="E1906" s="5">
        <v>2539.0</v>
      </c>
      <c r="F1906" s="5" t="s">
        <v>6852</v>
      </c>
      <c r="G1906" s="5" t="s">
        <v>6857</v>
      </c>
      <c r="H1906" s="5" t="s">
        <v>6858</v>
      </c>
      <c r="I1906" s="5" t="s">
        <v>1664</v>
      </c>
      <c r="J1906" s="5" t="s">
        <v>6645</v>
      </c>
      <c r="K1906" s="5">
        <v>1.0</v>
      </c>
      <c r="L1906" s="5">
        <v>2942.0</v>
      </c>
      <c r="M1906" s="5">
        <v>-118.6185</v>
      </c>
      <c r="N1906" s="5">
        <v>50.4495</v>
      </c>
      <c r="O1906" s="5">
        <v>1890.0</v>
      </c>
      <c r="P1906" s="5" t="s">
        <v>6856</v>
      </c>
      <c r="Q1906" s="5">
        <v>6.0</v>
      </c>
      <c r="R1906" s="5" t="s">
        <v>6852</v>
      </c>
      <c r="S1906" s="5" t="s">
        <v>6646</v>
      </c>
    </row>
    <row r="1907" ht="14.25" customHeight="1">
      <c r="A1907" s="5" t="s">
        <v>5043</v>
      </c>
      <c r="B1907" s="5">
        <v>14.0</v>
      </c>
      <c r="C1907" s="5" t="s">
        <v>7696</v>
      </c>
      <c r="D1907" s="5" t="s">
        <v>6859</v>
      </c>
      <c r="E1907" s="5">
        <v>2565.0</v>
      </c>
      <c r="F1907" s="5" t="s">
        <v>6495</v>
      </c>
      <c r="G1907" s="5" t="s">
        <v>6860</v>
      </c>
      <c r="H1907" s="5" t="s">
        <v>6861</v>
      </c>
      <c r="I1907" s="5" t="s">
        <v>1664</v>
      </c>
      <c r="J1907" s="5" t="s">
        <v>6640</v>
      </c>
      <c r="K1907" s="5">
        <v>1.0</v>
      </c>
      <c r="L1907" s="5">
        <v>2968.0</v>
      </c>
    </row>
    <row r="1908" ht="14.25" customHeight="1">
      <c r="B1908" s="5">
        <v>14.0</v>
      </c>
      <c r="C1908" s="5" t="s">
        <v>7690</v>
      </c>
      <c r="D1908" s="5" t="s">
        <v>6862</v>
      </c>
      <c r="E1908" s="5">
        <v>2566.0</v>
      </c>
      <c r="F1908" s="5" t="s">
        <v>6514</v>
      </c>
      <c r="G1908" s="5" t="s">
        <v>6863</v>
      </c>
      <c r="H1908" s="5" t="s">
        <v>6864</v>
      </c>
      <c r="I1908" s="5" t="s">
        <v>1664</v>
      </c>
      <c r="J1908" s="5" t="s">
        <v>6640</v>
      </c>
      <c r="K1908" s="5">
        <v>1.0</v>
      </c>
      <c r="L1908" s="5">
        <v>2969.0</v>
      </c>
    </row>
    <row r="1909" ht="14.25" customHeight="1">
      <c r="B1909" s="5">
        <v>14.0</v>
      </c>
      <c r="C1909" s="5" t="s">
        <v>7690</v>
      </c>
      <c r="D1909" s="5" t="s">
        <v>6865</v>
      </c>
      <c r="E1909" s="5">
        <v>2552.0</v>
      </c>
      <c r="F1909" s="5" t="s">
        <v>6866</v>
      </c>
      <c r="G1909" s="5" t="s">
        <v>6867</v>
      </c>
      <c r="H1909" s="5" t="s">
        <v>6868</v>
      </c>
      <c r="I1909" s="5" t="s">
        <v>1664</v>
      </c>
      <c r="J1909" s="5" t="s">
        <v>6692</v>
      </c>
      <c r="K1909" s="5">
        <v>1.0</v>
      </c>
      <c r="L1909" s="5">
        <v>2955.0</v>
      </c>
      <c r="M1909" s="11">
        <v>-117.0865</v>
      </c>
      <c r="N1909" s="11">
        <v>49.69016667</v>
      </c>
      <c r="O1909" s="11">
        <v>2100.0</v>
      </c>
      <c r="P1909" s="11" t="s">
        <v>6865</v>
      </c>
      <c r="Q1909" s="72">
        <v>7.0</v>
      </c>
      <c r="R1909" s="11" t="s">
        <v>6866</v>
      </c>
      <c r="S1909" s="11" t="s">
        <v>6646</v>
      </c>
    </row>
    <row r="1910" ht="14.25" customHeight="1">
      <c r="B1910" s="5">
        <v>14.0</v>
      </c>
      <c r="C1910" s="5" t="s">
        <v>7690</v>
      </c>
      <c r="D1910" s="5" t="s">
        <v>6869</v>
      </c>
      <c r="E1910" s="5">
        <v>2516.0</v>
      </c>
      <c r="F1910" s="29" t="s">
        <v>6870</v>
      </c>
      <c r="G1910" s="5" t="s">
        <v>6871</v>
      </c>
      <c r="H1910" s="5" t="s">
        <v>6872</v>
      </c>
      <c r="I1910" s="5" t="s">
        <v>1664</v>
      </c>
      <c r="J1910" s="5" t="s">
        <v>6783</v>
      </c>
      <c r="K1910" s="5">
        <v>1.0</v>
      </c>
      <c r="L1910" s="5">
        <v>2919.0</v>
      </c>
      <c r="M1910" s="29">
        <v>-120.3751667</v>
      </c>
      <c r="N1910" s="29">
        <v>53.78416667</v>
      </c>
      <c r="O1910" s="29">
        <v>1690.0</v>
      </c>
      <c r="P1910" s="29" t="s">
        <v>6869</v>
      </c>
      <c r="Q1910" s="101">
        <v>8.0</v>
      </c>
      <c r="R1910" s="29" t="s">
        <v>6870</v>
      </c>
      <c r="S1910" s="29" t="s">
        <v>6646</v>
      </c>
      <c r="T1910" s="29"/>
      <c r="U1910" s="29"/>
      <c r="V1910" s="29"/>
      <c r="W1910" s="29"/>
      <c r="X1910" s="29"/>
      <c r="Y1910" s="29"/>
      <c r="Z1910" s="29"/>
      <c r="AA1910" s="29"/>
      <c r="AB1910" s="29"/>
      <c r="AC1910" s="29"/>
      <c r="AD1910" s="29"/>
      <c r="AE1910" s="29"/>
      <c r="AF1910" s="29"/>
      <c r="AG1910" s="29"/>
      <c r="AH1910" s="29"/>
      <c r="AI1910" s="29"/>
      <c r="AJ1910" s="29"/>
      <c r="AK1910" s="29"/>
      <c r="AL1910" s="29"/>
      <c r="AM1910" s="29"/>
      <c r="AN1910" s="29"/>
      <c r="AO1910" s="29"/>
      <c r="AP1910" s="29"/>
      <c r="AQ1910" s="29"/>
      <c r="AR1910" s="29"/>
      <c r="AS1910" s="29"/>
      <c r="AT1910" s="29"/>
      <c r="AU1910" s="29"/>
      <c r="AV1910" s="29"/>
      <c r="AW1910" s="29"/>
      <c r="AX1910" s="29"/>
      <c r="AY1910" s="29"/>
      <c r="AZ1910" s="29"/>
      <c r="BA1910" s="29"/>
      <c r="BB1910" s="29"/>
      <c r="BC1910" s="29"/>
      <c r="BD1910" s="29"/>
      <c r="BE1910" s="29"/>
      <c r="BF1910" s="29"/>
      <c r="BG1910" s="29"/>
      <c r="BH1910" s="29"/>
      <c r="BI1910" s="29"/>
      <c r="BJ1910" s="29"/>
      <c r="BK1910" s="29"/>
      <c r="BL1910" s="29"/>
      <c r="BM1910" s="29"/>
      <c r="BN1910" s="29"/>
      <c r="BO1910" s="29"/>
      <c r="BP1910" s="29"/>
      <c r="BQ1910" s="29"/>
      <c r="BR1910" s="29"/>
      <c r="BS1910" s="29"/>
      <c r="BT1910" s="29"/>
    </row>
    <row r="1911" ht="14.25" customHeight="1">
      <c r="B1911" s="5">
        <v>14.0</v>
      </c>
      <c r="C1911" s="5" t="s">
        <v>7690</v>
      </c>
      <c r="D1911" s="5" t="s">
        <v>6873</v>
      </c>
      <c r="E1911" s="5">
        <v>2572.0</v>
      </c>
      <c r="F1911" s="5" t="s">
        <v>6874</v>
      </c>
      <c r="G1911" s="5" t="s">
        <v>6875</v>
      </c>
      <c r="H1911" s="5" t="s">
        <v>6876</v>
      </c>
      <c r="I1911" s="5" t="s">
        <v>1664</v>
      </c>
      <c r="J1911" s="5" t="s">
        <v>6645</v>
      </c>
      <c r="K1911" s="5">
        <v>1.0</v>
      </c>
      <c r="L1911" s="5">
        <v>2975.0</v>
      </c>
      <c r="M1911" s="11">
        <v>-127.6955</v>
      </c>
      <c r="N1911" s="11">
        <v>55.8575</v>
      </c>
      <c r="O1911" s="11">
        <v>1480.0</v>
      </c>
      <c r="P1911" s="11" t="s">
        <v>6873</v>
      </c>
      <c r="Q1911" s="72">
        <v>7.0</v>
      </c>
      <c r="R1911" s="11" t="s">
        <v>6874</v>
      </c>
      <c r="S1911" s="11" t="s">
        <v>6646</v>
      </c>
    </row>
    <row r="1912" ht="14.25" customHeight="1">
      <c r="B1912" s="5">
        <v>14.0</v>
      </c>
      <c r="C1912" s="5" t="s">
        <v>7690</v>
      </c>
      <c r="D1912" s="5" t="s">
        <v>6877</v>
      </c>
      <c r="E1912" s="5">
        <v>2533.0</v>
      </c>
      <c r="F1912" s="10" t="s">
        <v>6878</v>
      </c>
      <c r="G1912" s="5" t="s">
        <v>6879</v>
      </c>
      <c r="H1912" s="5" t="s">
        <v>6880</v>
      </c>
      <c r="I1912" s="5" t="s">
        <v>1664</v>
      </c>
      <c r="J1912" s="5" t="s">
        <v>6645</v>
      </c>
      <c r="K1912" s="5">
        <v>1.0</v>
      </c>
      <c r="L1912" s="5">
        <v>2936.0</v>
      </c>
      <c r="M1912" s="11">
        <v>-121.6578333</v>
      </c>
      <c r="N1912" s="11">
        <v>49.66083333</v>
      </c>
      <c r="O1912" s="11">
        <v>1180.0</v>
      </c>
      <c r="P1912" s="11" t="s">
        <v>6877</v>
      </c>
      <c r="Q1912" s="72">
        <v>6.0</v>
      </c>
      <c r="R1912" s="11" t="s">
        <v>6881</v>
      </c>
      <c r="S1912" s="11" t="s">
        <v>6646</v>
      </c>
    </row>
    <row r="1913" ht="14.25" customHeight="1">
      <c r="B1913" s="5">
        <v>14.0</v>
      </c>
      <c r="C1913" s="5" t="s">
        <v>7690</v>
      </c>
      <c r="D1913" s="5" t="s">
        <v>6882</v>
      </c>
      <c r="E1913" s="5">
        <v>2546.0</v>
      </c>
      <c r="F1913" s="5" t="s">
        <v>6560</v>
      </c>
      <c r="G1913" s="5" t="s">
        <v>6883</v>
      </c>
      <c r="H1913" s="5" t="s">
        <v>6884</v>
      </c>
      <c r="I1913" s="5" t="s">
        <v>1664</v>
      </c>
      <c r="J1913" s="5" t="s">
        <v>5996</v>
      </c>
      <c r="K1913" s="5">
        <v>1.0</v>
      </c>
      <c r="L1913" s="5">
        <v>2949.0</v>
      </c>
    </row>
    <row r="1914" ht="14.25" customHeight="1">
      <c r="A1914" s="5" t="s">
        <v>422</v>
      </c>
      <c r="B1914" s="5">
        <v>14.0</v>
      </c>
      <c r="C1914" s="5" t="s">
        <v>7686</v>
      </c>
      <c r="D1914" s="5" t="s">
        <v>6001</v>
      </c>
      <c r="E1914" s="5">
        <v>2519.0</v>
      </c>
      <c r="F1914" s="5" t="s">
        <v>1685</v>
      </c>
      <c r="G1914" s="5" t="s">
        <v>6002</v>
      </c>
      <c r="H1914" s="5" t="s">
        <v>6000</v>
      </c>
      <c r="I1914" s="5" t="s">
        <v>1664</v>
      </c>
      <c r="J1914" s="5" t="s">
        <v>5996</v>
      </c>
      <c r="K1914" s="5">
        <v>1.0</v>
      </c>
      <c r="L1914" s="5">
        <v>2922.0</v>
      </c>
    </row>
    <row r="1915" ht="14.25" customHeight="1">
      <c r="B1915" s="5">
        <v>14.0</v>
      </c>
      <c r="C1915" s="5" t="s">
        <v>7690</v>
      </c>
      <c r="D1915" s="5" t="s">
        <v>6885</v>
      </c>
      <c r="E1915" s="5">
        <v>2525.0</v>
      </c>
      <c r="F1915" s="5" t="s">
        <v>6886</v>
      </c>
      <c r="G1915" s="5" t="s">
        <v>6887</v>
      </c>
      <c r="H1915" s="5" t="s">
        <v>6888</v>
      </c>
      <c r="I1915" s="5" t="s">
        <v>1664</v>
      </c>
      <c r="J1915" s="5" t="s">
        <v>6645</v>
      </c>
      <c r="K1915" s="5">
        <v>1.0</v>
      </c>
      <c r="L1915" s="5">
        <v>2928.0</v>
      </c>
      <c r="M1915" s="11">
        <v>-122.9398333</v>
      </c>
      <c r="N1915" s="11">
        <v>50.5395</v>
      </c>
      <c r="O1915" s="11">
        <v>1680.0</v>
      </c>
      <c r="P1915" s="11" t="s">
        <v>6885</v>
      </c>
      <c r="Q1915" s="72">
        <v>7.0</v>
      </c>
      <c r="R1915" s="11" t="s">
        <v>6886</v>
      </c>
      <c r="S1915" s="11" t="s">
        <v>6646</v>
      </c>
    </row>
    <row r="1916" ht="14.25" customHeight="1">
      <c r="B1916" s="5">
        <v>14.0</v>
      </c>
      <c r="C1916" s="5" t="s">
        <v>7690</v>
      </c>
      <c r="D1916" s="5" t="s">
        <v>6889</v>
      </c>
      <c r="E1916" s="5">
        <v>2557.0</v>
      </c>
      <c r="F1916" s="5" t="s">
        <v>6890</v>
      </c>
      <c r="G1916" s="5" t="s">
        <v>6891</v>
      </c>
      <c r="H1916" s="5" t="s">
        <v>6737</v>
      </c>
      <c r="I1916" s="5" t="s">
        <v>1664</v>
      </c>
      <c r="J1916" s="5" t="s">
        <v>6738</v>
      </c>
      <c r="K1916" s="5">
        <v>1.0</v>
      </c>
      <c r="L1916" s="5">
        <v>2960.0</v>
      </c>
    </row>
    <row r="1917" ht="14.25" customHeight="1">
      <c r="B1917" s="5">
        <v>14.0</v>
      </c>
      <c r="C1917" s="5" t="s">
        <v>7690</v>
      </c>
      <c r="D1917" s="5" t="s">
        <v>6892</v>
      </c>
      <c r="E1917" s="5">
        <v>12509.0</v>
      </c>
      <c r="F1917" s="5" t="s">
        <v>6893</v>
      </c>
      <c r="G1917" s="5" t="s">
        <v>6894</v>
      </c>
      <c r="H1917" s="5" t="s">
        <v>6895</v>
      </c>
      <c r="I1917" s="5" t="s">
        <v>49</v>
      </c>
      <c r="J1917" s="5" t="s">
        <v>6728</v>
      </c>
      <c r="K1917" s="5">
        <v>1.0</v>
      </c>
      <c r="L1917" s="5">
        <v>14531.0</v>
      </c>
      <c r="M1917" s="11">
        <v>-120.1881</v>
      </c>
      <c r="N1917" s="11">
        <v>49.74072</v>
      </c>
      <c r="O1917" s="11">
        <v>1420.0</v>
      </c>
      <c r="P1917" s="11" t="s">
        <v>6892</v>
      </c>
      <c r="Q1917" s="72">
        <v>5.0</v>
      </c>
      <c r="R1917" s="11" t="s">
        <v>6893</v>
      </c>
      <c r="S1917" s="11" t="s">
        <v>6646</v>
      </c>
    </row>
    <row r="1918" ht="14.25" customHeight="1">
      <c r="B1918" s="5">
        <v>14.0</v>
      </c>
      <c r="C1918" s="5" t="s">
        <v>7690</v>
      </c>
      <c r="D1918" s="5" t="s">
        <v>6896</v>
      </c>
      <c r="E1918" s="5">
        <v>2573.0</v>
      </c>
      <c r="F1918" s="5" t="s">
        <v>6897</v>
      </c>
      <c r="G1918" s="5" t="s">
        <v>6898</v>
      </c>
      <c r="H1918" s="5" t="s">
        <v>6899</v>
      </c>
      <c r="I1918" s="5" t="s">
        <v>1664</v>
      </c>
      <c r="J1918" s="5" t="s">
        <v>6645</v>
      </c>
      <c r="K1918" s="5">
        <v>1.0</v>
      </c>
      <c r="L1918" s="5">
        <v>2976.0</v>
      </c>
      <c r="M1918" s="11">
        <v>-127.6748333</v>
      </c>
      <c r="N1918" s="11">
        <v>54.64616667</v>
      </c>
      <c r="O1918" s="11">
        <v>1360.0</v>
      </c>
      <c r="P1918" s="11" t="s">
        <v>6896</v>
      </c>
      <c r="Q1918" s="72">
        <v>7.0</v>
      </c>
      <c r="R1918" s="11" t="s">
        <v>6897</v>
      </c>
      <c r="S1918" s="11" t="s">
        <v>6646</v>
      </c>
    </row>
    <row r="1919" ht="14.25" customHeight="1">
      <c r="B1919" s="5">
        <v>14.0</v>
      </c>
      <c r="C1919" s="5" t="s">
        <v>7690</v>
      </c>
      <c r="D1919" s="5" t="s">
        <v>6900</v>
      </c>
      <c r="E1919" s="5">
        <v>2579.0</v>
      </c>
      <c r="F1919" s="5" t="s">
        <v>6901</v>
      </c>
      <c r="G1919" s="5" t="s">
        <v>6902</v>
      </c>
      <c r="H1919" s="5" t="s">
        <v>6864</v>
      </c>
      <c r="I1919" s="5" t="s">
        <v>1664</v>
      </c>
      <c r="J1919" s="5" t="s">
        <v>6640</v>
      </c>
      <c r="K1919" s="5">
        <v>1.0</v>
      </c>
      <c r="L1919" s="5">
        <v>2982.0</v>
      </c>
    </row>
    <row r="1920" ht="14.25" customHeight="1">
      <c r="B1920" s="5">
        <v>14.0</v>
      </c>
      <c r="C1920" s="5" t="s">
        <v>7690</v>
      </c>
      <c r="D1920" s="5" t="s">
        <v>6903</v>
      </c>
      <c r="E1920" s="5">
        <v>2560.0</v>
      </c>
      <c r="F1920" s="10" t="s">
        <v>6904</v>
      </c>
      <c r="G1920" s="5" t="s">
        <v>6905</v>
      </c>
      <c r="H1920" s="5" t="s">
        <v>6906</v>
      </c>
      <c r="I1920" s="5" t="s">
        <v>1664</v>
      </c>
      <c r="J1920" s="5" t="s">
        <v>6645</v>
      </c>
      <c r="K1920" s="5">
        <v>1.0</v>
      </c>
      <c r="L1920" s="5">
        <v>2963.0</v>
      </c>
      <c r="M1920" s="11">
        <v>-124.6205</v>
      </c>
      <c r="N1920" s="11">
        <v>51.77616667</v>
      </c>
      <c r="O1920" s="11">
        <v>1650.0</v>
      </c>
      <c r="P1920" s="11" t="s">
        <v>6903</v>
      </c>
      <c r="Q1920" s="72">
        <v>8.0</v>
      </c>
      <c r="R1920" s="11" t="s">
        <v>6907</v>
      </c>
      <c r="S1920" s="11" t="s">
        <v>6646</v>
      </c>
    </row>
    <row r="1921" ht="14.25" customHeight="1">
      <c r="B1921" s="5">
        <v>14.0</v>
      </c>
      <c r="C1921" s="5" t="s">
        <v>7690</v>
      </c>
      <c r="D1921" s="5" t="s">
        <v>6908</v>
      </c>
      <c r="E1921" s="5">
        <v>2568.0</v>
      </c>
      <c r="F1921" s="5" t="s">
        <v>6909</v>
      </c>
      <c r="G1921" s="5" t="s">
        <v>6910</v>
      </c>
      <c r="H1921" s="5" t="s">
        <v>6911</v>
      </c>
      <c r="I1921" s="5" t="s">
        <v>1664</v>
      </c>
      <c r="J1921" s="5" t="s">
        <v>6733</v>
      </c>
      <c r="K1921" s="5">
        <v>1.0</v>
      </c>
      <c r="L1921" s="5">
        <v>2971.0</v>
      </c>
    </row>
    <row r="1922" ht="14.25" customHeight="1">
      <c r="B1922" s="5">
        <v>14.0</v>
      </c>
      <c r="C1922" s="5" t="s">
        <v>7690</v>
      </c>
      <c r="D1922" s="5" t="s">
        <v>6912</v>
      </c>
      <c r="E1922" s="5">
        <v>2561.0</v>
      </c>
      <c r="F1922" s="5" t="s">
        <v>6913</v>
      </c>
      <c r="G1922" s="5" t="s">
        <v>6914</v>
      </c>
      <c r="H1922" s="5" t="s">
        <v>6915</v>
      </c>
      <c r="I1922" s="5" t="s">
        <v>1664</v>
      </c>
      <c r="J1922" s="5" t="s">
        <v>6645</v>
      </c>
      <c r="K1922" s="5">
        <v>1.0</v>
      </c>
      <c r="L1922" s="5">
        <v>2964.0</v>
      </c>
      <c r="M1922" s="11">
        <v>-123.4360167</v>
      </c>
      <c r="N1922" s="11">
        <v>50.15408333</v>
      </c>
      <c r="O1922" s="11">
        <v>1340.0</v>
      </c>
      <c r="P1922" s="11" t="s">
        <v>6912</v>
      </c>
      <c r="Q1922" s="72">
        <v>7.0</v>
      </c>
      <c r="R1922" s="11" t="s">
        <v>6916</v>
      </c>
      <c r="S1922" s="11" t="s">
        <v>6646</v>
      </c>
    </row>
    <row r="1923" ht="14.25" customHeight="1">
      <c r="B1923" s="5">
        <v>14.0</v>
      </c>
      <c r="C1923" s="5" t="s">
        <v>7690</v>
      </c>
      <c r="D1923" s="5" t="s">
        <v>6917</v>
      </c>
      <c r="E1923" s="5">
        <v>2581.0</v>
      </c>
      <c r="F1923" s="5" t="s">
        <v>6918</v>
      </c>
      <c r="G1923" s="5" t="s">
        <v>6919</v>
      </c>
      <c r="H1923" s="5" t="s">
        <v>6920</v>
      </c>
      <c r="I1923" s="5" t="s">
        <v>1664</v>
      </c>
      <c r="J1923" s="5" t="s">
        <v>6663</v>
      </c>
      <c r="K1923" s="5">
        <v>1.0</v>
      </c>
      <c r="L1923" s="5">
        <v>2984.0</v>
      </c>
    </row>
    <row r="1924" ht="14.25" customHeight="1">
      <c r="B1924" s="5">
        <v>14.0</v>
      </c>
      <c r="C1924" s="5" t="s">
        <v>7690</v>
      </c>
      <c r="D1924" s="5" t="s">
        <v>6921</v>
      </c>
      <c r="E1924" s="5">
        <v>2582.0</v>
      </c>
      <c r="F1924" s="5" t="s">
        <v>6922</v>
      </c>
      <c r="G1924" s="5" t="s">
        <v>6923</v>
      </c>
      <c r="H1924" s="5" t="s">
        <v>6924</v>
      </c>
      <c r="I1924" s="5" t="s">
        <v>1664</v>
      </c>
      <c r="J1924" s="5" t="s">
        <v>6706</v>
      </c>
      <c r="K1924" s="5">
        <v>1.0</v>
      </c>
      <c r="L1924" s="5">
        <v>2985.0</v>
      </c>
    </row>
    <row r="1925" ht="14.25" customHeight="1">
      <c r="A1925" s="5" t="s">
        <v>5043</v>
      </c>
      <c r="B1925" s="5">
        <v>14.0</v>
      </c>
      <c r="C1925" s="5" t="s">
        <v>7696</v>
      </c>
      <c r="D1925" s="5" t="s">
        <v>6925</v>
      </c>
      <c r="E1925" s="5">
        <v>2526.0</v>
      </c>
      <c r="F1925" s="5" t="s">
        <v>6926</v>
      </c>
      <c r="G1925" s="5" t="s">
        <v>6927</v>
      </c>
      <c r="H1925" s="5" t="s">
        <v>6928</v>
      </c>
      <c r="I1925" s="5" t="s">
        <v>1664</v>
      </c>
      <c r="J1925" s="5" t="s">
        <v>6929</v>
      </c>
      <c r="K1925" s="5">
        <v>1.0</v>
      </c>
      <c r="L1925" s="5">
        <v>2929.0</v>
      </c>
    </row>
    <row r="1926" ht="14.25" customHeight="1">
      <c r="B1926" s="5">
        <v>14.0</v>
      </c>
      <c r="C1926" s="5" t="s">
        <v>7690</v>
      </c>
      <c r="D1926" s="5" t="s">
        <v>6930</v>
      </c>
      <c r="E1926" s="5">
        <v>2562.0</v>
      </c>
      <c r="F1926" s="5" t="s">
        <v>6931</v>
      </c>
      <c r="G1926" s="5" t="s">
        <v>6932</v>
      </c>
      <c r="H1926" s="5" t="s">
        <v>6933</v>
      </c>
      <c r="I1926" s="5" t="s">
        <v>1664</v>
      </c>
      <c r="J1926" s="5" t="s">
        <v>5996</v>
      </c>
      <c r="K1926" s="5">
        <v>1.0</v>
      </c>
      <c r="L1926" s="5">
        <v>2965.0</v>
      </c>
    </row>
    <row r="1927" ht="14.25" customHeight="1">
      <c r="B1927" s="5">
        <v>14.0</v>
      </c>
      <c r="C1927" s="5" t="s">
        <v>7690</v>
      </c>
      <c r="D1927" s="5" t="s">
        <v>6934</v>
      </c>
      <c r="E1927" s="5">
        <v>2524.0</v>
      </c>
      <c r="F1927" s="5" t="s">
        <v>6935</v>
      </c>
      <c r="G1927" s="5" t="s">
        <v>6936</v>
      </c>
      <c r="H1927" s="5" t="s">
        <v>6937</v>
      </c>
      <c r="I1927" s="5" t="s">
        <v>1664</v>
      </c>
      <c r="J1927" s="5" t="s">
        <v>6645</v>
      </c>
      <c r="K1927" s="5">
        <v>1.0</v>
      </c>
      <c r="L1927" s="5">
        <v>2927.0</v>
      </c>
      <c r="M1927" s="11">
        <v>-121.3548333</v>
      </c>
      <c r="N1927" s="11">
        <v>52.83166667</v>
      </c>
      <c r="O1927" s="11">
        <v>1670.0</v>
      </c>
      <c r="P1927" s="11" t="s">
        <v>6934</v>
      </c>
      <c r="Q1927" s="72">
        <v>5.0</v>
      </c>
      <c r="R1927" s="11" t="s">
        <v>6938</v>
      </c>
      <c r="S1927" s="11" t="s">
        <v>6646</v>
      </c>
    </row>
    <row r="1928" ht="14.25" customHeight="1">
      <c r="B1928" s="5">
        <v>14.0</v>
      </c>
      <c r="C1928" s="5" t="s">
        <v>7690</v>
      </c>
      <c r="D1928" s="5" t="s">
        <v>6939</v>
      </c>
      <c r="E1928" s="5">
        <v>2512.0</v>
      </c>
      <c r="F1928" s="5" t="s">
        <v>1377</v>
      </c>
      <c r="G1928" s="5" t="s">
        <v>6940</v>
      </c>
      <c r="H1928" s="5" t="s">
        <v>6941</v>
      </c>
      <c r="I1928" s="5" t="s">
        <v>1664</v>
      </c>
      <c r="J1928" s="5" t="s">
        <v>6645</v>
      </c>
      <c r="K1928" s="5">
        <v>1.0</v>
      </c>
      <c r="L1928" s="5">
        <v>2915.0</v>
      </c>
      <c r="M1928" s="11">
        <v>-118.5476667</v>
      </c>
      <c r="N1928" s="11">
        <v>52.90666667</v>
      </c>
      <c r="O1928" s="11">
        <v>1860.0</v>
      </c>
      <c r="P1928" s="11" t="s">
        <v>6939</v>
      </c>
      <c r="Q1928" s="72">
        <v>6.0</v>
      </c>
      <c r="R1928" s="11" t="s">
        <v>6942</v>
      </c>
      <c r="S1928" s="11" t="s">
        <v>6646</v>
      </c>
    </row>
    <row r="1929" ht="14.25" customHeight="1">
      <c r="A1929" s="106" t="s">
        <v>1908</v>
      </c>
      <c r="B1929" s="106">
        <v>14.0</v>
      </c>
      <c r="C1929" s="106" t="s">
        <v>7690</v>
      </c>
      <c r="D1929" s="106" t="s">
        <v>6943</v>
      </c>
      <c r="E1929" s="106">
        <v>12954.0</v>
      </c>
      <c r="F1929" s="12" t="s">
        <v>6944</v>
      </c>
      <c r="G1929" s="12" t="s">
        <v>6945</v>
      </c>
      <c r="H1929" s="5" t="s">
        <v>6946</v>
      </c>
      <c r="I1929" s="5" t="s">
        <v>49</v>
      </c>
      <c r="J1929" s="5" t="s">
        <v>6728</v>
      </c>
      <c r="K1929" s="5">
        <v>1.0</v>
      </c>
      <c r="L1929" s="5">
        <v>14886.0</v>
      </c>
      <c r="M1929" s="11">
        <v>-119.0621</v>
      </c>
      <c r="N1929" s="11">
        <v>50.37136</v>
      </c>
      <c r="O1929" s="11">
        <v>1839.0</v>
      </c>
      <c r="P1929" s="11" t="s">
        <v>6943</v>
      </c>
      <c r="Q1929" s="72">
        <v>6.0</v>
      </c>
      <c r="R1929" s="11" t="s">
        <v>6947</v>
      </c>
      <c r="S1929" s="11" t="s">
        <v>6646</v>
      </c>
      <c r="AF1929" s="107"/>
      <c r="AG1929" s="107"/>
      <c r="AH1929" s="107"/>
    </row>
    <row r="1930" ht="14.25" customHeight="1">
      <c r="A1930" s="5" t="s">
        <v>6948</v>
      </c>
      <c r="B1930" s="5">
        <v>14.0</v>
      </c>
      <c r="C1930" s="5" t="s">
        <v>7690</v>
      </c>
      <c r="D1930" s="5" t="s">
        <v>6949</v>
      </c>
      <c r="E1930" s="5">
        <v>13008.0</v>
      </c>
      <c r="F1930" s="12" t="s">
        <v>6950</v>
      </c>
      <c r="G1930" s="10" t="s">
        <v>6951</v>
      </c>
      <c r="H1930" s="5" t="s">
        <v>6952</v>
      </c>
      <c r="I1930" s="5" t="s">
        <v>49</v>
      </c>
      <c r="J1930" s="5" t="s">
        <v>6953</v>
      </c>
      <c r="K1930" s="5">
        <v>1.0</v>
      </c>
      <c r="L1930" s="5">
        <v>14940.0</v>
      </c>
    </row>
    <row r="1931" ht="14.25" customHeight="1">
      <c r="A1931" s="5" t="s">
        <v>1908</v>
      </c>
      <c r="B1931" s="5">
        <v>14.0</v>
      </c>
      <c r="C1931" s="5" t="s">
        <v>7690</v>
      </c>
      <c r="D1931" s="5" t="s">
        <v>6954</v>
      </c>
      <c r="E1931" s="5">
        <v>13009.0</v>
      </c>
      <c r="F1931" s="12" t="s">
        <v>6955</v>
      </c>
      <c r="G1931" s="10" t="s">
        <v>6956</v>
      </c>
      <c r="H1931" s="5" t="s">
        <v>6957</v>
      </c>
      <c r="I1931" s="5" t="s">
        <v>49</v>
      </c>
      <c r="J1931" s="5" t="s">
        <v>6728</v>
      </c>
      <c r="K1931" s="5">
        <v>1.0</v>
      </c>
      <c r="L1931" s="5">
        <v>14941.0</v>
      </c>
      <c r="M1931" s="11">
        <v>-120.862891</v>
      </c>
      <c r="N1931" s="11">
        <v>49.855951</v>
      </c>
      <c r="O1931" s="11">
        <v>1460.0</v>
      </c>
      <c r="P1931" s="11" t="s">
        <v>6954</v>
      </c>
      <c r="Q1931" s="72">
        <v>6.0</v>
      </c>
      <c r="R1931" s="11" t="s">
        <v>6958</v>
      </c>
      <c r="S1931" s="11" t="s">
        <v>6646</v>
      </c>
      <c r="AA1931" s="107"/>
      <c r="AB1931" s="107"/>
      <c r="AC1931" s="107"/>
      <c r="AD1931" s="107"/>
      <c r="AE1931" s="107"/>
      <c r="AF1931" s="107"/>
      <c r="AG1931" s="107"/>
      <c r="AH1931" s="107"/>
    </row>
    <row r="1932" ht="14.25" customHeight="1">
      <c r="A1932" s="5" t="s">
        <v>6959</v>
      </c>
      <c r="B1932" s="107">
        <v>5.0</v>
      </c>
      <c r="C1932" s="12" t="s">
        <v>7687</v>
      </c>
      <c r="D1932" s="12" t="s">
        <v>6960</v>
      </c>
      <c r="F1932" s="12" t="s">
        <v>6961</v>
      </c>
      <c r="G1932" s="12" t="s">
        <v>6962</v>
      </c>
      <c r="M1932" s="11">
        <v>-115.7673333</v>
      </c>
      <c r="N1932" s="11">
        <v>49.25216667</v>
      </c>
      <c r="O1932" s="11">
        <v>1930.0</v>
      </c>
      <c r="P1932" s="93" t="s">
        <v>6963</v>
      </c>
      <c r="Q1932" s="72">
        <v>7.0</v>
      </c>
      <c r="R1932" s="11" t="s">
        <v>6836</v>
      </c>
      <c r="S1932" s="11" t="s">
        <v>6009</v>
      </c>
    </row>
    <row r="1933" ht="14.25" customHeight="1">
      <c r="A1933" s="5" t="s">
        <v>138</v>
      </c>
      <c r="B1933" s="107">
        <v>5.0</v>
      </c>
      <c r="C1933" s="12" t="s">
        <v>7687</v>
      </c>
      <c r="D1933" s="12" t="s">
        <v>6964</v>
      </c>
      <c r="F1933" s="12" t="s">
        <v>6965</v>
      </c>
      <c r="G1933" s="12" t="s">
        <v>6966</v>
      </c>
      <c r="M1933" s="11">
        <v>-125.2881667</v>
      </c>
      <c r="N1933" s="11">
        <v>49.60536111</v>
      </c>
      <c r="O1933" s="11">
        <v>280.0</v>
      </c>
      <c r="P1933" s="18" t="s">
        <v>6967</v>
      </c>
      <c r="Q1933" s="72">
        <v>5.0</v>
      </c>
      <c r="R1933" s="11" t="s">
        <v>6968</v>
      </c>
      <c r="S1933" s="11" t="s">
        <v>6009</v>
      </c>
    </row>
    <row r="1934" ht="14.25" customHeight="1">
      <c r="A1934" s="5" t="s">
        <v>138</v>
      </c>
      <c r="B1934" s="107">
        <v>14.0</v>
      </c>
      <c r="C1934" s="12" t="s">
        <v>7699</v>
      </c>
      <c r="D1934" s="12" t="s">
        <v>6970</v>
      </c>
      <c r="F1934" s="12" t="s">
        <v>6971</v>
      </c>
      <c r="G1934" s="10" t="str">
        <f t="shared" ref="G1934:G1951" si="16">TEXT(CONCATENATE("-&gt; ",-1*M1934," W, ", N1934, "N, Elev. ",O1934," m"),1)</f>
        <v>-&gt; 121.08547 W, 49.70764N, Elev. 1860 m</v>
      </c>
      <c r="M1934" s="11">
        <v>-121.08547</v>
      </c>
      <c r="N1934" s="11">
        <v>49.70764</v>
      </c>
      <c r="O1934" s="11">
        <v>1860.0</v>
      </c>
      <c r="P1934" s="11" t="s">
        <v>6972</v>
      </c>
      <c r="Q1934" s="72">
        <v>8.0</v>
      </c>
      <c r="R1934" s="11" t="s">
        <v>6973</v>
      </c>
      <c r="S1934" s="11" t="s">
        <v>6646</v>
      </c>
    </row>
    <row r="1935" ht="14.25" customHeight="1">
      <c r="A1935" s="5" t="s">
        <v>138</v>
      </c>
      <c r="B1935" s="107">
        <v>14.0</v>
      </c>
      <c r="C1935" s="12" t="s">
        <v>7699</v>
      </c>
      <c r="D1935" s="12" t="s">
        <v>6974</v>
      </c>
      <c r="F1935" s="12" t="s">
        <v>6975</v>
      </c>
      <c r="G1935" s="10" t="str">
        <f t="shared" si="16"/>
        <v>-&gt; 120.28227 W, 49.948639N, Elev. 1640 m</v>
      </c>
      <c r="M1935" s="11">
        <v>-120.28227</v>
      </c>
      <c r="N1935" s="11">
        <v>49.948639</v>
      </c>
      <c r="O1935" s="11">
        <v>1640.0</v>
      </c>
      <c r="P1935" s="11" t="s">
        <v>6976</v>
      </c>
      <c r="Q1935" s="72">
        <v>7.0</v>
      </c>
      <c r="R1935" s="11" t="s">
        <v>6977</v>
      </c>
      <c r="S1935" s="11" t="s">
        <v>6646</v>
      </c>
    </row>
    <row r="1936" ht="14.25" customHeight="1">
      <c r="A1936" s="5" t="s">
        <v>138</v>
      </c>
      <c r="B1936" s="107">
        <v>14.0</v>
      </c>
      <c r="C1936" s="12" t="s">
        <v>7699</v>
      </c>
      <c r="D1936" s="12" t="s">
        <v>6978</v>
      </c>
      <c r="F1936" s="12" t="s">
        <v>6979</v>
      </c>
      <c r="G1936" s="10" t="str">
        <f t="shared" si="16"/>
        <v>-&gt; 120.60969 W, 51.09851N, Elev. 1430 m</v>
      </c>
      <c r="M1936" s="11">
        <v>-120.60969</v>
      </c>
      <c r="N1936" s="11">
        <v>51.09851</v>
      </c>
      <c r="O1936" s="11">
        <v>1430.0</v>
      </c>
      <c r="P1936" s="11" t="s">
        <v>6980</v>
      </c>
      <c r="Q1936" s="72">
        <v>6.0</v>
      </c>
      <c r="R1936" s="11" t="s">
        <v>6981</v>
      </c>
      <c r="S1936" s="11" t="s">
        <v>6646</v>
      </c>
    </row>
    <row r="1937" ht="14.25" customHeight="1">
      <c r="A1937" s="5" t="s">
        <v>138</v>
      </c>
      <c r="B1937" s="107">
        <v>14.0</v>
      </c>
      <c r="C1937" s="12" t="s">
        <v>7699</v>
      </c>
      <c r="D1937" s="12" t="s">
        <v>6982</v>
      </c>
      <c r="F1937" s="12" t="s">
        <v>6983</v>
      </c>
      <c r="G1937" s="10" t="str">
        <f t="shared" si="16"/>
        <v>-&gt; 120.56057 W, 52.74882N, Elev. 1740 m</v>
      </c>
      <c r="M1937" s="11">
        <v>-120.56057</v>
      </c>
      <c r="N1937" s="11">
        <v>52.74882</v>
      </c>
      <c r="O1937" s="11">
        <v>1740.0</v>
      </c>
      <c r="P1937" s="11" t="s">
        <v>6984</v>
      </c>
      <c r="Q1937" s="72">
        <v>6.0</v>
      </c>
      <c r="R1937" s="11" t="s">
        <v>6985</v>
      </c>
      <c r="S1937" s="11" t="s">
        <v>6646</v>
      </c>
    </row>
    <row r="1938" ht="14.25" customHeight="1">
      <c r="A1938" s="5" t="s">
        <v>138</v>
      </c>
      <c r="B1938" s="107">
        <v>14.0</v>
      </c>
      <c r="C1938" s="12" t="s">
        <v>7699</v>
      </c>
      <c r="D1938" s="12" t="s">
        <v>6986</v>
      </c>
      <c r="F1938" s="12" t="s">
        <v>6987</v>
      </c>
      <c r="G1938" s="10" t="str">
        <f t="shared" si="16"/>
        <v>-&gt; 124.15273 W, 52.109N, Elev. 920 m</v>
      </c>
      <c r="M1938" s="11">
        <v>-124.15273</v>
      </c>
      <c r="N1938" s="11">
        <v>52.109</v>
      </c>
      <c r="O1938" s="11">
        <v>920.0</v>
      </c>
      <c r="P1938" s="11" t="s">
        <v>6988</v>
      </c>
      <c r="Q1938" s="72">
        <v>2.0</v>
      </c>
      <c r="R1938" s="11" t="s">
        <v>6989</v>
      </c>
      <c r="S1938" s="11" t="s">
        <v>6646</v>
      </c>
    </row>
    <row r="1939" ht="14.25" customHeight="1">
      <c r="A1939" s="5" t="s">
        <v>138</v>
      </c>
      <c r="B1939" s="107">
        <v>14.0</v>
      </c>
      <c r="C1939" s="12" t="s">
        <v>7699</v>
      </c>
      <c r="D1939" s="12" t="s">
        <v>6990</v>
      </c>
      <c r="F1939" s="12" t="s">
        <v>6991</v>
      </c>
      <c r="G1939" s="10" t="str">
        <f t="shared" si="16"/>
        <v>-&gt; 121.25604 W, 51.90453N, Elev. 1630 m</v>
      </c>
      <c r="M1939" s="11">
        <v>-121.25604</v>
      </c>
      <c r="N1939" s="11">
        <v>51.90453</v>
      </c>
      <c r="O1939" s="11">
        <v>1630.0</v>
      </c>
      <c r="P1939" s="11" t="s">
        <v>6992</v>
      </c>
      <c r="Q1939" s="72">
        <v>8.0</v>
      </c>
      <c r="R1939" s="11" t="s">
        <v>6993</v>
      </c>
      <c r="S1939" s="11" t="s">
        <v>6646</v>
      </c>
    </row>
    <row r="1940" ht="14.25" customHeight="1">
      <c r="A1940" s="5" t="s">
        <v>138</v>
      </c>
      <c r="B1940" s="107">
        <v>14.0</v>
      </c>
      <c r="C1940" s="12" t="s">
        <v>7699</v>
      </c>
      <c r="D1940" s="12" t="s">
        <v>6994</v>
      </c>
      <c r="F1940" s="12" t="s">
        <v>6995</v>
      </c>
      <c r="G1940" s="10" t="str">
        <f t="shared" si="16"/>
        <v>-&gt; 121.443056 W, 53.95083N, Elev. 1693 m</v>
      </c>
      <c r="M1940" s="11">
        <v>-121.443056</v>
      </c>
      <c r="N1940" s="11">
        <v>53.95083</v>
      </c>
      <c r="O1940" s="11">
        <v>1693.0</v>
      </c>
      <c r="P1940" s="11" t="s">
        <v>6996</v>
      </c>
      <c r="Q1940" s="72">
        <v>8.0</v>
      </c>
      <c r="R1940" s="11" t="s">
        <v>6997</v>
      </c>
      <c r="S1940" s="11" t="s">
        <v>6646</v>
      </c>
    </row>
    <row r="1941" ht="14.25" customHeight="1">
      <c r="A1941" s="5" t="s">
        <v>138</v>
      </c>
      <c r="B1941" s="107">
        <v>14.0</v>
      </c>
      <c r="C1941" s="12" t="s">
        <v>7699</v>
      </c>
      <c r="D1941" s="12" t="s">
        <v>6998</v>
      </c>
      <c r="F1941" s="12" t="s">
        <v>6999</v>
      </c>
      <c r="G1941" s="10" t="str">
        <f t="shared" si="16"/>
        <v>-&gt; 119.940639 W, 51.808369N, Elev. 1880 m</v>
      </c>
      <c r="M1941" s="11">
        <v>-119.940639</v>
      </c>
      <c r="N1941" s="11">
        <v>51.808369</v>
      </c>
      <c r="O1941" s="11">
        <v>1880.0</v>
      </c>
      <c r="P1941" s="11" t="s">
        <v>7000</v>
      </c>
      <c r="Q1941" s="72">
        <v>6.0</v>
      </c>
      <c r="R1941" s="11" t="s">
        <v>7001</v>
      </c>
      <c r="S1941" s="11" t="s">
        <v>6646</v>
      </c>
    </row>
    <row r="1942" ht="14.25" customHeight="1">
      <c r="A1942" s="5" t="s">
        <v>138</v>
      </c>
      <c r="B1942" s="107">
        <v>14.0</v>
      </c>
      <c r="C1942" s="12" t="s">
        <v>7699</v>
      </c>
      <c r="D1942" s="12" t="s">
        <v>7002</v>
      </c>
      <c r="F1942" s="12" t="s">
        <v>7003</v>
      </c>
      <c r="G1942" s="10" t="str">
        <f t="shared" si="16"/>
        <v>-&gt; 118.13016 W, 49.27017N, Elev. 1230 m</v>
      </c>
      <c r="M1942" s="11">
        <v>-118.13016</v>
      </c>
      <c r="N1942" s="11">
        <v>49.27017</v>
      </c>
      <c r="O1942" s="11">
        <v>1230.0</v>
      </c>
      <c r="P1942" s="11" t="s">
        <v>7004</v>
      </c>
      <c r="Q1942" s="72">
        <v>3.0</v>
      </c>
      <c r="R1942" s="11" t="s">
        <v>7005</v>
      </c>
      <c r="S1942" s="11" t="s">
        <v>6646</v>
      </c>
    </row>
    <row r="1943" ht="14.25" customHeight="1">
      <c r="A1943" s="5" t="s">
        <v>138</v>
      </c>
      <c r="B1943" s="107">
        <v>14.0</v>
      </c>
      <c r="C1943" s="12" t="s">
        <v>7699</v>
      </c>
      <c r="D1943" s="12" t="s">
        <v>7006</v>
      </c>
      <c r="F1943" s="12" t="s">
        <v>7007</v>
      </c>
      <c r="G1943" s="10" t="str">
        <f t="shared" si="16"/>
        <v>-&gt; 116.6788 W, 49.61142N, Elev. 1650 m</v>
      </c>
      <c r="M1943" s="11">
        <v>-116.6788</v>
      </c>
      <c r="N1943" s="11">
        <v>49.61142</v>
      </c>
      <c r="O1943" s="11">
        <v>1650.0</v>
      </c>
      <c r="P1943" s="11" t="s">
        <v>7008</v>
      </c>
      <c r="Q1943" s="72">
        <v>5.0</v>
      </c>
      <c r="R1943" s="11" t="s">
        <v>7009</v>
      </c>
      <c r="S1943" s="11" t="s">
        <v>6646</v>
      </c>
    </row>
    <row r="1944" ht="14.25" customHeight="1">
      <c r="A1944" s="5" t="s">
        <v>138</v>
      </c>
      <c r="B1944" s="107">
        <v>14.0</v>
      </c>
      <c r="C1944" s="12" t="s">
        <v>7699</v>
      </c>
      <c r="D1944" s="12" t="s">
        <v>7010</v>
      </c>
      <c r="F1944" s="12" t="s">
        <v>7011</v>
      </c>
      <c r="G1944" s="10" t="str">
        <f t="shared" si="16"/>
        <v>-&gt; 116.6584 W, 49.61656N, Elev. 1930 m</v>
      </c>
      <c r="M1944" s="11">
        <v>-116.6584</v>
      </c>
      <c r="N1944" s="11">
        <v>49.61656</v>
      </c>
      <c r="O1944" s="11">
        <v>1930.0</v>
      </c>
      <c r="P1944" s="11" t="s">
        <v>7012</v>
      </c>
      <c r="Q1944" s="72">
        <v>7.0</v>
      </c>
      <c r="R1944" s="11" t="s">
        <v>7013</v>
      </c>
      <c r="S1944" s="11" t="s">
        <v>6646</v>
      </c>
    </row>
    <row r="1945" ht="14.25" customHeight="1">
      <c r="A1945" s="5" t="s">
        <v>138</v>
      </c>
      <c r="B1945" s="107">
        <v>14.0</v>
      </c>
      <c r="C1945" s="12" t="s">
        <v>7699</v>
      </c>
      <c r="D1945" s="12" t="s">
        <v>7014</v>
      </c>
      <c r="F1945" s="12" t="s">
        <v>7015</v>
      </c>
      <c r="G1945" s="10" t="str">
        <f t="shared" si="16"/>
        <v>-&gt; 119.12403 W, 49.76731N, Elev. 1245 m</v>
      </c>
      <c r="M1945" s="11">
        <v>-119.12403</v>
      </c>
      <c r="N1945" s="11">
        <v>49.76731</v>
      </c>
      <c r="O1945" s="11">
        <v>1245.0</v>
      </c>
      <c r="P1945" s="11" t="s">
        <v>7016</v>
      </c>
      <c r="Q1945" s="72">
        <v>4.0</v>
      </c>
      <c r="R1945" s="11" t="s">
        <v>997</v>
      </c>
      <c r="S1945" s="11" t="s">
        <v>6646</v>
      </c>
    </row>
    <row r="1946" ht="14.25" customHeight="1">
      <c r="A1946" s="5" t="s">
        <v>138</v>
      </c>
      <c r="B1946" s="107">
        <v>14.0</v>
      </c>
      <c r="C1946" s="12" t="s">
        <v>7699</v>
      </c>
      <c r="D1946" s="12" t="s">
        <v>7017</v>
      </c>
      <c r="F1946" s="12" t="s">
        <v>7018</v>
      </c>
      <c r="G1946" s="10" t="str">
        <f t="shared" si="16"/>
        <v>-&gt; 119.279 W, 50.11633N, Elev. 1360 m</v>
      </c>
      <c r="M1946" s="11">
        <v>-119.279</v>
      </c>
      <c r="N1946" s="11">
        <v>50.11633</v>
      </c>
      <c r="O1946" s="11">
        <v>1360.0</v>
      </c>
      <c r="P1946" s="11" t="s">
        <v>7019</v>
      </c>
      <c r="Q1946" s="72">
        <v>5.0</v>
      </c>
      <c r="R1946" s="11" t="s">
        <v>7020</v>
      </c>
      <c r="S1946" s="11" t="s">
        <v>6646</v>
      </c>
    </row>
    <row r="1947" ht="14.25" customHeight="1">
      <c r="A1947" s="5" t="s">
        <v>138</v>
      </c>
      <c r="B1947" s="107">
        <v>14.0</v>
      </c>
      <c r="C1947" s="12" t="s">
        <v>7699</v>
      </c>
      <c r="D1947" s="12" t="s">
        <v>7021</v>
      </c>
      <c r="F1947" s="12" t="s">
        <v>7022</v>
      </c>
      <c r="G1947" s="10" t="str">
        <f t="shared" si="16"/>
        <v>-&gt; 119.7461 W, 50.01691N, Elev. 1795 m</v>
      </c>
      <c r="M1947" s="11">
        <v>-119.7461</v>
      </c>
      <c r="N1947" s="11">
        <v>50.01691</v>
      </c>
      <c r="O1947" s="11">
        <v>1795.0</v>
      </c>
      <c r="P1947" s="10" t="s">
        <v>7023</v>
      </c>
      <c r="Q1947" s="72">
        <v>8.0</v>
      </c>
      <c r="R1947" s="11" t="s">
        <v>7024</v>
      </c>
      <c r="S1947" s="11" t="s">
        <v>6646</v>
      </c>
    </row>
    <row r="1948" ht="14.25" customHeight="1">
      <c r="A1948" s="5" t="s">
        <v>138</v>
      </c>
      <c r="B1948" s="107">
        <v>14.0</v>
      </c>
      <c r="C1948" s="12" t="s">
        <v>7699</v>
      </c>
      <c r="D1948" s="12" t="s">
        <v>7025</v>
      </c>
      <c r="F1948" s="12" t="s">
        <v>7026</v>
      </c>
      <c r="G1948" s="10" t="str">
        <f t="shared" si="16"/>
        <v>-&gt; 120.79439 W, 49.49914N, Elev. 1480 m</v>
      </c>
      <c r="M1948" s="11">
        <v>-120.79439</v>
      </c>
      <c r="N1948" s="11">
        <v>49.49914</v>
      </c>
      <c r="O1948" s="11">
        <v>1480.0</v>
      </c>
      <c r="P1948" s="11" t="s">
        <v>7027</v>
      </c>
      <c r="Q1948" s="72">
        <v>6.0</v>
      </c>
      <c r="R1948" s="11" t="s">
        <v>7028</v>
      </c>
      <c r="S1948" s="11" t="s">
        <v>6646</v>
      </c>
    </row>
    <row r="1949" ht="14.25" customHeight="1">
      <c r="A1949" s="5" t="s">
        <v>138</v>
      </c>
      <c r="B1949" s="107">
        <v>14.0</v>
      </c>
      <c r="C1949" s="12" t="s">
        <v>7699</v>
      </c>
      <c r="D1949" s="12" t="s">
        <v>7029</v>
      </c>
      <c r="F1949" s="12" t="s">
        <v>7030</v>
      </c>
      <c r="G1949" s="10" t="str">
        <f t="shared" si="16"/>
        <v>-&gt; 124.567776 W, 49.207376N, Elev. 1460 m</v>
      </c>
      <c r="M1949" s="11">
        <v>-124.567776</v>
      </c>
      <c r="N1949" s="11">
        <v>49.207376</v>
      </c>
      <c r="O1949" s="11">
        <v>1460.0</v>
      </c>
      <c r="P1949" s="11" t="s">
        <v>7031</v>
      </c>
      <c r="Q1949" s="72">
        <v>8.0</v>
      </c>
      <c r="R1949" s="11" t="s">
        <v>7032</v>
      </c>
      <c r="S1949" s="11" t="s">
        <v>6646</v>
      </c>
    </row>
    <row r="1950" ht="14.25" customHeight="1">
      <c r="A1950" s="5" t="s">
        <v>138</v>
      </c>
      <c r="B1950" s="107">
        <v>14.0</v>
      </c>
      <c r="C1950" s="12" t="s">
        <v>7699</v>
      </c>
      <c r="D1950" s="12" t="s">
        <v>7033</v>
      </c>
      <c r="F1950" s="12" t="s">
        <v>7034</v>
      </c>
      <c r="G1950" s="10" t="str">
        <f t="shared" si="16"/>
        <v>-&gt; 123.604999 W, 49.597854N, Elev. 1423 m</v>
      </c>
      <c r="M1950" s="11">
        <v>-123.604999</v>
      </c>
      <c r="N1950" s="11">
        <v>49.597854</v>
      </c>
      <c r="O1950" s="11">
        <v>1423.0</v>
      </c>
      <c r="P1950" s="11" t="s">
        <v>7035</v>
      </c>
      <c r="Q1950" s="72">
        <v>7.0</v>
      </c>
      <c r="R1950" s="11" t="s">
        <v>7036</v>
      </c>
      <c r="S1950" s="11" t="s">
        <v>6646</v>
      </c>
    </row>
    <row r="1951" ht="14.25" customHeight="1">
      <c r="A1951" s="5" t="s">
        <v>138</v>
      </c>
      <c r="B1951" s="107">
        <v>14.0</v>
      </c>
      <c r="C1951" s="12" t="s">
        <v>7699</v>
      </c>
      <c r="D1951" s="12" t="s">
        <v>7037</v>
      </c>
      <c r="F1951" s="12" t="s">
        <v>7038</v>
      </c>
      <c r="G1951" s="10" t="str">
        <f t="shared" si="16"/>
        <v>-&gt; 130.0661 W, 56.24674N, Elev. 790 m</v>
      </c>
      <c r="M1951" s="11">
        <v>-130.0661</v>
      </c>
      <c r="N1951" s="11">
        <v>56.24674</v>
      </c>
      <c r="O1951" s="11">
        <v>790.0</v>
      </c>
      <c r="P1951" s="11" t="s">
        <v>6749</v>
      </c>
      <c r="Q1951" s="72">
        <v>4.0</v>
      </c>
      <c r="R1951" s="11" t="s">
        <v>7039</v>
      </c>
      <c r="S1951" s="11" t="s">
        <v>6646</v>
      </c>
    </row>
    <row r="1952" ht="14.25" customHeight="1">
      <c r="A1952" s="6" t="s">
        <v>138</v>
      </c>
      <c r="C1952" s="12" t="s">
        <v>5977</v>
      </c>
      <c r="D1952" s="12" t="s">
        <v>7040</v>
      </c>
      <c r="F1952" s="12" t="s">
        <v>7041</v>
      </c>
      <c r="G1952" s="12" t="s">
        <v>7042</v>
      </c>
      <c r="M1952" s="11">
        <v>49.38666667</v>
      </c>
      <c r="N1952" s="11">
        <v>-123.1194444</v>
      </c>
      <c r="O1952" s="11" t="s">
        <v>51</v>
      </c>
      <c r="P1952" s="11" t="s">
        <v>7043</v>
      </c>
      <c r="Q1952" s="22">
        <v>2.0</v>
      </c>
      <c r="R1952" s="11" t="s">
        <v>7044</v>
      </c>
      <c r="S1952" s="11" t="s">
        <v>3115</v>
      </c>
      <c r="T1952" s="11">
        <v>250.0</v>
      </c>
      <c r="U1952" s="11"/>
      <c r="V1952" s="11" t="s">
        <v>7045</v>
      </c>
      <c r="W1952" s="11">
        <v>2002.0</v>
      </c>
      <c r="X1952" s="11" t="s">
        <v>3117</v>
      </c>
      <c r="Y1952" s="11" t="s">
        <v>3118</v>
      </c>
      <c r="Z1952" s="11"/>
      <c r="AA1952" s="11"/>
      <c r="AB1952" s="11"/>
      <c r="AC1952" s="11" t="s">
        <v>55</v>
      </c>
      <c r="AD1952" s="11" t="s">
        <v>56</v>
      </c>
      <c r="AE1952" s="11" t="s">
        <v>66</v>
      </c>
      <c r="AF1952" s="11"/>
      <c r="AG1952" s="11"/>
      <c r="AH1952" s="11" t="s">
        <v>3119</v>
      </c>
      <c r="AI1952" s="11"/>
      <c r="AJ1952" s="11" t="s">
        <v>59</v>
      </c>
      <c r="AK1952" s="11"/>
      <c r="AL1952" s="11"/>
      <c r="AM1952" s="11"/>
    </row>
    <row r="1953" ht="14.25" customHeight="1">
      <c r="A1953" s="6" t="s">
        <v>138</v>
      </c>
      <c r="C1953" s="12" t="s">
        <v>5977</v>
      </c>
      <c r="D1953" s="12" t="s">
        <v>7046</v>
      </c>
      <c r="F1953" s="12" t="s">
        <v>7047</v>
      </c>
      <c r="G1953" s="12" t="s">
        <v>7048</v>
      </c>
      <c r="M1953" s="11">
        <v>49.4616</v>
      </c>
      <c r="N1953" s="11">
        <v>-123.1311</v>
      </c>
      <c r="O1953" s="11" t="s">
        <v>51</v>
      </c>
      <c r="P1953" s="11" t="s">
        <v>7049</v>
      </c>
      <c r="Q1953" s="22">
        <v>4.0</v>
      </c>
      <c r="R1953" s="11" t="s">
        <v>7050</v>
      </c>
      <c r="S1953" s="11" t="s">
        <v>3115</v>
      </c>
      <c r="T1953" s="11">
        <v>600.0</v>
      </c>
      <c r="U1953" s="11"/>
      <c r="V1953" s="11" t="s">
        <v>7051</v>
      </c>
      <c r="W1953" s="11">
        <v>2023.0</v>
      </c>
      <c r="X1953" s="11" t="s">
        <v>3117</v>
      </c>
      <c r="Y1953" s="11" t="s">
        <v>3118</v>
      </c>
      <c r="Z1953" s="11"/>
      <c r="AA1953" s="11"/>
      <c r="AB1953" s="11"/>
      <c r="AC1953" s="11" t="s">
        <v>55</v>
      </c>
      <c r="AD1953" s="11" t="s">
        <v>56</v>
      </c>
      <c r="AE1953" s="11" t="s">
        <v>57</v>
      </c>
      <c r="AF1953" s="11" t="s">
        <v>58</v>
      </c>
      <c r="AG1953" s="11"/>
      <c r="AH1953" s="11" t="s">
        <v>3119</v>
      </c>
      <c r="AI1953" s="11"/>
      <c r="AJ1953" s="11"/>
      <c r="AK1953" s="11"/>
      <c r="AL1953" s="11"/>
      <c r="AM1953" s="11"/>
    </row>
    <row r="1954" ht="14.25" customHeight="1">
      <c r="A1954" s="6" t="s">
        <v>138</v>
      </c>
      <c r="C1954" s="12" t="s">
        <v>5977</v>
      </c>
      <c r="D1954" s="12" t="s">
        <v>7052</v>
      </c>
      <c r="F1954" s="12" t="s">
        <v>7053</v>
      </c>
      <c r="G1954" s="12" t="s">
        <v>7054</v>
      </c>
      <c r="M1954" s="11">
        <v>49.48524</v>
      </c>
      <c r="N1954" s="11">
        <v>-123.12674</v>
      </c>
      <c r="O1954" s="11" t="s">
        <v>51</v>
      </c>
      <c r="P1954" s="11" t="s">
        <v>7055</v>
      </c>
      <c r="Q1954" s="22">
        <v>2.0</v>
      </c>
      <c r="R1954" s="11" t="s">
        <v>7056</v>
      </c>
      <c r="S1954" s="11" t="s">
        <v>3115</v>
      </c>
      <c r="T1954" s="11">
        <v>305.0</v>
      </c>
      <c r="U1954" s="11"/>
      <c r="V1954" s="11" t="s">
        <v>7057</v>
      </c>
      <c r="W1954" s="11">
        <v>2016.0</v>
      </c>
      <c r="X1954" s="11" t="s">
        <v>3117</v>
      </c>
      <c r="Y1954" s="11" t="s">
        <v>3118</v>
      </c>
      <c r="Z1954" s="11"/>
      <c r="AA1954" s="11"/>
      <c r="AB1954" s="11"/>
      <c r="AC1954" s="11" t="s">
        <v>55</v>
      </c>
      <c r="AD1954" s="11" t="s">
        <v>56</v>
      </c>
      <c r="AE1954" s="11" t="s">
        <v>66</v>
      </c>
      <c r="AF1954" s="11"/>
      <c r="AG1954" s="11"/>
      <c r="AH1954" s="11"/>
      <c r="AI1954" s="11"/>
      <c r="AJ1954" s="11"/>
      <c r="AK1954" s="11"/>
      <c r="AL1954" s="11"/>
      <c r="AM1954" s="11"/>
    </row>
    <row r="1955" ht="14.25" customHeight="1">
      <c r="A1955" s="6" t="s">
        <v>138</v>
      </c>
      <c r="C1955" s="12" t="s">
        <v>5977</v>
      </c>
      <c r="D1955" s="12" t="s">
        <v>7058</v>
      </c>
      <c r="F1955" s="12" t="s">
        <v>7059</v>
      </c>
      <c r="G1955" s="12" t="s">
        <v>7060</v>
      </c>
      <c r="M1955" s="11">
        <v>49.36611</v>
      </c>
      <c r="N1955" s="11">
        <v>-123.11361</v>
      </c>
      <c r="O1955" s="11" t="s">
        <v>51</v>
      </c>
      <c r="P1955" s="11" t="s">
        <v>7061</v>
      </c>
      <c r="Q1955" s="22">
        <v>2.0</v>
      </c>
      <c r="R1955" s="11" t="s">
        <v>7062</v>
      </c>
      <c r="S1955" s="11" t="s">
        <v>3115</v>
      </c>
      <c r="T1955" s="11">
        <v>145.0</v>
      </c>
      <c r="U1955" s="11"/>
      <c r="V1955" s="11" t="s">
        <v>7063</v>
      </c>
      <c r="W1955" s="11"/>
      <c r="X1955" s="11" t="s">
        <v>3117</v>
      </c>
      <c r="Y1955" s="11" t="s">
        <v>3118</v>
      </c>
      <c r="Z1955" s="11"/>
      <c r="AA1955" s="11"/>
      <c r="AB1955" s="11"/>
      <c r="AC1955" s="11" t="s">
        <v>55</v>
      </c>
      <c r="AD1955" s="11" t="s">
        <v>56</v>
      </c>
      <c r="AE1955" s="11"/>
      <c r="AF1955" s="11"/>
      <c r="AG1955" s="11"/>
      <c r="AH1955" s="11" t="s">
        <v>3119</v>
      </c>
      <c r="AI1955" s="11"/>
      <c r="AJ1955" s="11" t="s">
        <v>7064</v>
      </c>
      <c r="AK1955" s="11"/>
      <c r="AL1955" s="11"/>
      <c r="AM1955" s="11" t="s">
        <v>7065</v>
      </c>
    </row>
    <row r="1956" ht="14.25" customHeight="1">
      <c r="A1956" s="6" t="s">
        <v>138</v>
      </c>
      <c r="C1956" s="12" t="s">
        <v>5977</v>
      </c>
      <c r="D1956" s="12" t="s">
        <v>7066</v>
      </c>
      <c r="F1956" s="12" t="s">
        <v>7067</v>
      </c>
      <c r="G1956" s="12" t="s">
        <v>7068</v>
      </c>
      <c r="M1956" s="11">
        <v>49.37925</v>
      </c>
      <c r="N1956" s="11">
        <v>-122.99552</v>
      </c>
      <c r="O1956" s="11" t="s">
        <v>51</v>
      </c>
      <c r="P1956" s="11" t="s">
        <v>7069</v>
      </c>
      <c r="Q1956" s="22">
        <v>2.0</v>
      </c>
      <c r="R1956" s="11" t="s">
        <v>7070</v>
      </c>
      <c r="S1956" s="11" t="s">
        <v>3115</v>
      </c>
      <c r="T1956" s="11">
        <v>185.0</v>
      </c>
      <c r="U1956" s="11"/>
      <c r="V1956" s="11" t="s">
        <v>7071</v>
      </c>
      <c r="W1956" s="11"/>
      <c r="X1956" s="11" t="s">
        <v>3117</v>
      </c>
      <c r="Y1956" s="11" t="s">
        <v>3118</v>
      </c>
      <c r="Z1956" s="11"/>
      <c r="AA1956" s="11"/>
      <c r="AB1956" s="11"/>
      <c r="AC1956" s="11" t="s">
        <v>55</v>
      </c>
      <c r="AD1956" s="11" t="s">
        <v>56</v>
      </c>
      <c r="AE1956" s="11" t="s">
        <v>66</v>
      </c>
      <c r="AF1956" s="11"/>
      <c r="AG1956" s="11"/>
      <c r="AH1956" s="11" t="s">
        <v>3119</v>
      </c>
      <c r="AI1956" s="11"/>
      <c r="AJ1956" s="11" t="s">
        <v>59</v>
      </c>
      <c r="AK1956" s="11"/>
      <c r="AL1956" s="11"/>
      <c r="AM1956" s="11"/>
    </row>
    <row r="1957" ht="14.25" customHeight="1">
      <c r="A1957" s="6" t="s">
        <v>138</v>
      </c>
      <c r="C1957" s="12" t="s">
        <v>5977</v>
      </c>
      <c r="D1957" s="12" t="s">
        <v>7072</v>
      </c>
      <c r="F1957" s="12" t="s">
        <v>7073</v>
      </c>
      <c r="G1957" s="12" t="s">
        <v>7074</v>
      </c>
      <c r="M1957" s="11">
        <v>49.44935</v>
      </c>
      <c r="N1957" s="11">
        <v>-122.96094</v>
      </c>
      <c r="O1957" s="11" t="s">
        <v>51</v>
      </c>
      <c r="P1957" s="11" t="s">
        <v>7075</v>
      </c>
      <c r="Q1957" s="22">
        <v>2.0</v>
      </c>
      <c r="R1957" s="11" t="s">
        <v>7076</v>
      </c>
      <c r="S1957" s="11" t="s">
        <v>3115</v>
      </c>
      <c r="T1957" s="11">
        <v>214.0</v>
      </c>
      <c r="U1957" s="11"/>
      <c r="V1957" s="11" t="s">
        <v>7077</v>
      </c>
      <c r="W1957" s="11"/>
      <c r="X1957" s="11" t="s">
        <v>3117</v>
      </c>
      <c r="Y1957" s="11" t="s">
        <v>3118</v>
      </c>
      <c r="Z1957" s="11"/>
      <c r="AA1957" s="11"/>
      <c r="AB1957" s="11"/>
      <c r="AC1957" s="11" t="s">
        <v>55</v>
      </c>
      <c r="AD1957" s="11" t="s">
        <v>56</v>
      </c>
      <c r="AE1957" s="11"/>
      <c r="AF1957" s="11"/>
      <c r="AG1957" s="11"/>
      <c r="AH1957" s="11" t="s">
        <v>3119</v>
      </c>
      <c r="AI1957" s="11"/>
      <c r="AJ1957" s="11" t="s">
        <v>7064</v>
      </c>
      <c r="AK1957" s="11"/>
      <c r="AL1957" s="11"/>
      <c r="AM1957" s="11" t="s">
        <v>7065</v>
      </c>
    </row>
    <row r="1958" ht="14.25" customHeight="1">
      <c r="A1958" s="6" t="s">
        <v>138</v>
      </c>
      <c r="C1958" s="12" t="s">
        <v>5977</v>
      </c>
      <c r="D1958" s="12" t="s">
        <v>7078</v>
      </c>
      <c r="F1958" s="12" t="s">
        <v>7079</v>
      </c>
      <c r="G1958" s="12" t="s">
        <v>7080</v>
      </c>
      <c r="M1958" s="11">
        <v>49.35888</v>
      </c>
      <c r="N1958" s="11">
        <v>-122.78667</v>
      </c>
      <c r="O1958" s="11" t="s">
        <v>51</v>
      </c>
      <c r="P1958" s="11" t="s">
        <v>7081</v>
      </c>
      <c r="Q1958" s="22">
        <v>2.0</v>
      </c>
      <c r="R1958" s="11" t="s">
        <v>7082</v>
      </c>
      <c r="S1958" s="11" t="s">
        <v>3115</v>
      </c>
      <c r="T1958" s="11">
        <v>150.0</v>
      </c>
      <c r="U1958" s="11"/>
      <c r="V1958" s="11" t="s">
        <v>7083</v>
      </c>
      <c r="W1958" s="11"/>
      <c r="X1958" s="11" t="s">
        <v>3117</v>
      </c>
      <c r="Y1958" s="11" t="s">
        <v>3118</v>
      </c>
      <c r="Z1958" s="11"/>
      <c r="AA1958" s="11"/>
      <c r="AB1958" s="11"/>
      <c r="AC1958" s="11" t="s">
        <v>55</v>
      </c>
      <c r="AD1958" s="11" t="s">
        <v>56</v>
      </c>
      <c r="AE1958" s="11"/>
      <c r="AF1958" s="11"/>
      <c r="AG1958" s="11"/>
      <c r="AH1958" s="11" t="s">
        <v>3119</v>
      </c>
      <c r="AI1958" s="11"/>
      <c r="AJ1958" s="11" t="s">
        <v>7064</v>
      </c>
      <c r="AK1958" s="11"/>
      <c r="AL1958" s="11"/>
      <c r="AM1958" s="11" t="s">
        <v>7065</v>
      </c>
    </row>
    <row r="1959" ht="14.25" customHeight="1">
      <c r="A1959" s="6" t="s">
        <v>138</v>
      </c>
      <c r="C1959" s="12" t="s">
        <v>5977</v>
      </c>
      <c r="D1959" s="12" t="s">
        <v>7084</v>
      </c>
      <c r="F1959" s="12" t="s">
        <v>7085</v>
      </c>
      <c r="G1959" s="12" t="s">
        <v>7086</v>
      </c>
      <c r="M1959" s="11">
        <v>49.39638889</v>
      </c>
      <c r="N1959" s="11">
        <v>-123.1458333</v>
      </c>
      <c r="O1959" s="11" t="s">
        <v>51</v>
      </c>
      <c r="P1959" s="11" t="s">
        <v>7087</v>
      </c>
      <c r="Q1959" s="22">
        <v>2.0</v>
      </c>
      <c r="R1959" s="11" t="s">
        <v>7088</v>
      </c>
      <c r="S1959" s="11" t="s">
        <v>3115</v>
      </c>
      <c r="T1959" s="11">
        <v>183.0</v>
      </c>
      <c r="U1959" s="11"/>
      <c r="V1959" s="11" t="s">
        <v>7089</v>
      </c>
      <c r="W1959" s="11">
        <v>1993.0</v>
      </c>
      <c r="X1959" s="11" t="s">
        <v>3117</v>
      </c>
      <c r="Y1959" s="11" t="s">
        <v>3118</v>
      </c>
      <c r="Z1959" s="11"/>
      <c r="AA1959" s="11"/>
      <c r="AB1959" s="11"/>
      <c r="AC1959" s="11"/>
      <c r="AD1959" s="11"/>
      <c r="AE1959" s="11" t="s">
        <v>66</v>
      </c>
      <c r="AF1959" s="11"/>
      <c r="AG1959" s="11"/>
      <c r="AH1959" s="11"/>
      <c r="AI1959" s="11"/>
      <c r="AJ1959" s="11"/>
      <c r="AK1959" s="11"/>
      <c r="AL1959" s="11"/>
      <c r="AM1959" s="11" t="s">
        <v>7090</v>
      </c>
    </row>
    <row r="1960" ht="14.25" customHeight="1">
      <c r="A1960" s="6" t="s">
        <v>138</v>
      </c>
      <c r="C1960" s="12" t="s">
        <v>5977</v>
      </c>
      <c r="D1960" s="12" t="s">
        <v>7091</v>
      </c>
      <c r="F1960" s="12" t="s">
        <v>7092</v>
      </c>
      <c r="G1960" s="12" t="s">
        <v>7093</v>
      </c>
      <c r="M1960" s="11">
        <v>49.45388889</v>
      </c>
      <c r="N1960" s="11">
        <v>-123.1097222</v>
      </c>
      <c r="O1960" s="11" t="s">
        <v>51</v>
      </c>
      <c r="P1960" s="11" t="s">
        <v>7094</v>
      </c>
      <c r="Q1960" s="22">
        <v>2.0</v>
      </c>
      <c r="R1960" s="11" t="s">
        <v>7095</v>
      </c>
      <c r="S1960" s="11" t="s">
        <v>3115</v>
      </c>
      <c r="T1960" s="11">
        <v>305.0</v>
      </c>
      <c r="U1960" s="11"/>
      <c r="V1960" s="11" t="s">
        <v>7096</v>
      </c>
      <c r="W1960" s="11">
        <v>1993.0</v>
      </c>
      <c r="X1960" s="11" t="s">
        <v>3117</v>
      </c>
      <c r="Y1960" s="11" t="s">
        <v>3118</v>
      </c>
      <c r="Z1960" s="11"/>
      <c r="AA1960" s="11"/>
      <c r="AB1960" s="11"/>
      <c r="AC1960" s="11" t="s">
        <v>55</v>
      </c>
      <c r="AD1960" s="11" t="s">
        <v>56</v>
      </c>
      <c r="AE1960" s="11" t="s">
        <v>7097</v>
      </c>
      <c r="AF1960" s="11"/>
      <c r="AG1960" s="11"/>
      <c r="AH1960" s="11"/>
      <c r="AI1960" s="11"/>
      <c r="AJ1960" s="11"/>
      <c r="AK1960" s="11" t="s">
        <v>73</v>
      </c>
      <c r="AL1960" s="11"/>
      <c r="AM1960" s="11" t="s">
        <v>7090</v>
      </c>
    </row>
    <row r="1961" ht="14.25" customHeight="1">
      <c r="A1961" s="6" t="s">
        <v>138</v>
      </c>
      <c r="C1961" s="12" t="s">
        <v>5977</v>
      </c>
      <c r="D1961" s="12" t="s">
        <v>7098</v>
      </c>
      <c r="F1961" s="12" t="s">
        <v>7099</v>
      </c>
      <c r="G1961" s="12" t="s">
        <v>7100</v>
      </c>
      <c r="M1961" s="11">
        <v>49.52</v>
      </c>
      <c r="N1961" s="11">
        <v>-123.0038889</v>
      </c>
      <c r="O1961" s="11" t="s">
        <v>51</v>
      </c>
      <c r="P1961" s="11" t="s">
        <v>7101</v>
      </c>
      <c r="Q1961" s="22">
        <v>3.0</v>
      </c>
      <c r="R1961" s="11" t="s">
        <v>7102</v>
      </c>
      <c r="S1961" s="11" t="s">
        <v>3115</v>
      </c>
      <c r="T1961" s="11">
        <v>320.0</v>
      </c>
      <c r="U1961" s="11"/>
      <c r="V1961" s="11" t="s">
        <v>7103</v>
      </c>
      <c r="W1961" s="11"/>
      <c r="X1961" s="11" t="s">
        <v>3117</v>
      </c>
      <c r="Y1961" s="11" t="s">
        <v>3118</v>
      </c>
      <c r="Z1961" s="11"/>
      <c r="AA1961" s="11"/>
      <c r="AB1961" s="11"/>
      <c r="AC1961" s="11"/>
      <c r="AD1961" s="11"/>
      <c r="AE1961" s="11" t="s">
        <v>7097</v>
      </c>
      <c r="AF1961" s="11"/>
      <c r="AG1961" s="11"/>
      <c r="AH1961" s="11"/>
      <c r="AI1961" s="11"/>
      <c r="AJ1961" s="11"/>
      <c r="AK1961" s="11"/>
      <c r="AL1961" s="11"/>
      <c r="AM1961" s="11" t="s">
        <v>7090</v>
      </c>
    </row>
    <row r="1962" ht="14.25" customHeight="1">
      <c r="A1962" s="6" t="s">
        <v>138</v>
      </c>
      <c r="C1962" s="12" t="s">
        <v>5977</v>
      </c>
      <c r="D1962" s="12" t="s">
        <v>7104</v>
      </c>
      <c r="F1962" s="12" t="s">
        <v>7105</v>
      </c>
      <c r="G1962" s="12" t="s">
        <v>7106</v>
      </c>
      <c r="M1962" s="11">
        <v>49.555</v>
      </c>
      <c r="N1962" s="11">
        <v>-122.7591667</v>
      </c>
      <c r="O1962" s="11" t="s">
        <v>51</v>
      </c>
      <c r="P1962" s="11" t="s">
        <v>6707</v>
      </c>
      <c r="Q1962" s="22">
        <v>6.0</v>
      </c>
      <c r="R1962" s="11" t="s">
        <v>6708</v>
      </c>
      <c r="S1962" s="11" t="s">
        <v>3115</v>
      </c>
      <c r="T1962" s="11">
        <v>1050.0</v>
      </c>
      <c r="U1962" s="11"/>
      <c r="V1962" s="11" t="s">
        <v>7107</v>
      </c>
      <c r="W1962" s="11">
        <v>1993.0</v>
      </c>
      <c r="X1962" s="11" t="s">
        <v>3117</v>
      </c>
      <c r="Y1962" s="11" t="s">
        <v>3118</v>
      </c>
      <c r="Z1962" s="11"/>
      <c r="AA1962" s="11"/>
      <c r="AB1962" s="11"/>
      <c r="AC1962" s="11" t="s">
        <v>55</v>
      </c>
      <c r="AD1962" s="11" t="s">
        <v>56</v>
      </c>
      <c r="AE1962" s="11" t="s">
        <v>7097</v>
      </c>
      <c r="AF1962" s="11" t="s">
        <v>58</v>
      </c>
      <c r="AG1962" s="11"/>
      <c r="AH1962" s="11" t="s">
        <v>3119</v>
      </c>
      <c r="AI1962" s="11"/>
      <c r="AJ1962" s="11"/>
      <c r="AK1962" s="11" t="s">
        <v>73</v>
      </c>
      <c r="AL1962" s="11"/>
      <c r="AM1962" s="11"/>
    </row>
    <row r="1963" ht="14.25" customHeight="1">
      <c r="A1963" s="6" t="s">
        <v>138</v>
      </c>
      <c r="C1963" s="12" t="s">
        <v>5977</v>
      </c>
      <c r="D1963" s="12" t="s">
        <v>7108</v>
      </c>
      <c r="F1963" s="12" t="s">
        <v>7109</v>
      </c>
      <c r="G1963" s="12" t="s">
        <v>7110</v>
      </c>
      <c r="M1963" s="11">
        <v>49.45444444</v>
      </c>
      <c r="N1963" s="11">
        <v>-123.0316667</v>
      </c>
      <c r="O1963" s="11" t="s">
        <v>51</v>
      </c>
      <c r="P1963" s="11" t="s">
        <v>7111</v>
      </c>
      <c r="Q1963" s="22">
        <v>5.0</v>
      </c>
      <c r="R1963" s="11" t="s">
        <v>7112</v>
      </c>
      <c r="S1963" s="11" t="s">
        <v>3115</v>
      </c>
      <c r="T1963" s="11">
        <v>900.0</v>
      </c>
      <c r="U1963" s="11"/>
      <c r="V1963" s="11" t="s">
        <v>7113</v>
      </c>
      <c r="W1963" s="11">
        <v>1993.0</v>
      </c>
      <c r="X1963" s="11" t="s">
        <v>3117</v>
      </c>
      <c r="Y1963" s="11" t="s">
        <v>3118</v>
      </c>
      <c r="Z1963" s="11"/>
      <c r="AA1963" s="11"/>
      <c r="AB1963" s="11"/>
      <c r="AC1963" s="11" t="s">
        <v>55</v>
      </c>
      <c r="AD1963" s="11" t="s">
        <v>56</v>
      </c>
      <c r="AE1963" s="11" t="s">
        <v>7114</v>
      </c>
      <c r="AF1963" s="11" t="s">
        <v>58</v>
      </c>
      <c r="AG1963" s="11" t="s">
        <v>7115</v>
      </c>
      <c r="AH1963" s="11" t="s">
        <v>3119</v>
      </c>
      <c r="AI1963" s="11"/>
      <c r="AJ1963" s="11" t="s">
        <v>7116</v>
      </c>
      <c r="AK1963" s="11"/>
      <c r="AL1963" s="11"/>
      <c r="AM1963" s="11"/>
    </row>
    <row r="1964" ht="14.25" customHeight="1">
      <c r="A1964" s="6" t="s">
        <v>138</v>
      </c>
      <c r="C1964" s="12" t="s">
        <v>5977</v>
      </c>
      <c r="D1964" s="12" t="s">
        <v>7117</v>
      </c>
      <c r="F1964" s="12" t="s">
        <v>7118</v>
      </c>
      <c r="G1964" s="12" t="s">
        <v>7119</v>
      </c>
      <c r="M1964" s="11">
        <v>49.53611111</v>
      </c>
      <c r="N1964" s="11">
        <v>-123.05</v>
      </c>
      <c r="O1964" s="11" t="s">
        <v>51</v>
      </c>
      <c r="P1964" s="11" t="s">
        <v>7120</v>
      </c>
      <c r="Q1964" s="22">
        <v>6.0</v>
      </c>
      <c r="R1964" s="11" t="s">
        <v>7121</v>
      </c>
      <c r="S1964" s="11" t="s">
        <v>3115</v>
      </c>
      <c r="T1964" s="11">
        <v>1180.0</v>
      </c>
      <c r="U1964" s="11"/>
      <c r="V1964" s="11" t="s">
        <v>7122</v>
      </c>
      <c r="W1964" s="11">
        <v>1972.0</v>
      </c>
      <c r="X1964" s="11" t="s">
        <v>3117</v>
      </c>
      <c r="Y1964" s="11" t="s">
        <v>3118</v>
      </c>
      <c r="Z1964" s="11"/>
      <c r="AA1964" s="11"/>
      <c r="AB1964" s="11"/>
      <c r="AC1964" s="11" t="s">
        <v>55</v>
      </c>
      <c r="AD1964" s="11" t="s">
        <v>56</v>
      </c>
      <c r="AE1964" s="11" t="s">
        <v>7097</v>
      </c>
      <c r="AF1964" s="11" t="s">
        <v>58</v>
      </c>
      <c r="AG1964" s="11" t="s">
        <v>7115</v>
      </c>
      <c r="AH1964" s="11" t="s">
        <v>3119</v>
      </c>
      <c r="AI1964" s="11"/>
      <c r="AJ1964" s="11" t="s">
        <v>59</v>
      </c>
      <c r="AK1964" s="11" t="s">
        <v>73</v>
      </c>
      <c r="AL1964" s="11"/>
      <c r="AM1964" s="11"/>
    </row>
    <row r="1965" ht="14.25" customHeight="1">
      <c r="A1965" s="6" t="s">
        <v>138</v>
      </c>
      <c r="C1965" s="12" t="s">
        <v>5977</v>
      </c>
      <c r="D1965" s="12" t="s">
        <v>7123</v>
      </c>
      <c r="F1965" s="12" t="s">
        <v>7124</v>
      </c>
      <c r="G1965" s="12" t="s">
        <v>7125</v>
      </c>
      <c r="M1965" s="11">
        <v>49.59233</v>
      </c>
      <c r="N1965" s="11">
        <v>-123.04145</v>
      </c>
      <c r="O1965" s="11" t="s">
        <v>51</v>
      </c>
      <c r="P1965" s="11" t="s">
        <v>7126</v>
      </c>
      <c r="Q1965" s="22">
        <v>6.0</v>
      </c>
      <c r="R1965" s="11" t="s">
        <v>7127</v>
      </c>
      <c r="S1965" s="11" t="s">
        <v>3115</v>
      </c>
      <c r="T1965" s="11">
        <v>1065.0</v>
      </c>
      <c r="U1965" s="11"/>
      <c r="V1965" s="11" t="s">
        <v>7128</v>
      </c>
      <c r="W1965" s="11">
        <v>2019.0</v>
      </c>
      <c r="X1965" s="11" t="s">
        <v>3117</v>
      </c>
      <c r="Y1965" s="11" t="s">
        <v>3118</v>
      </c>
      <c r="Z1965" s="11"/>
      <c r="AA1965" s="11"/>
      <c r="AB1965" s="11"/>
      <c r="AC1965" s="11" t="s">
        <v>55</v>
      </c>
      <c r="AD1965" s="11" t="s">
        <v>56</v>
      </c>
      <c r="AE1965" s="11"/>
      <c r="AF1965" s="11" t="s">
        <v>58</v>
      </c>
      <c r="AG1965" s="11"/>
      <c r="AH1965" s="11" t="s">
        <v>3119</v>
      </c>
      <c r="AI1965" s="11"/>
      <c r="AJ1965" s="11" t="s">
        <v>7116</v>
      </c>
      <c r="AK1965" s="11"/>
      <c r="AL1965" s="11"/>
      <c r="AM1965" s="11"/>
    </row>
    <row r="1966" ht="14.25" customHeight="1">
      <c r="A1966" s="6" t="s">
        <v>138</v>
      </c>
      <c r="C1966" s="12" t="s">
        <v>5977</v>
      </c>
      <c r="D1966" s="12" t="s">
        <v>7129</v>
      </c>
      <c r="F1966" s="12" t="s">
        <v>7130</v>
      </c>
      <c r="G1966" s="12" t="s">
        <v>7131</v>
      </c>
      <c r="M1966" s="11">
        <v>49.38083333</v>
      </c>
      <c r="N1966" s="11">
        <v>-122.7766667</v>
      </c>
      <c r="O1966" s="11" t="s">
        <v>51</v>
      </c>
      <c r="P1966" s="11" t="s">
        <v>7132</v>
      </c>
      <c r="Q1966" s="22">
        <v>2.0</v>
      </c>
      <c r="R1966" s="11" t="s">
        <v>7133</v>
      </c>
      <c r="S1966" s="11" t="s">
        <v>3115</v>
      </c>
      <c r="T1966" s="11">
        <v>150.0</v>
      </c>
      <c r="U1966" s="11"/>
      <c r="V1966" s="11" t="s">
        <v>7134</v>
      </c>
      <c r="W1966" s="11">
        <v>2000.0</v>
      </c>
      <c r="X1966" s="11" t="s">
        <v>3117</v>
      </c>
      <c r="Y1966" s="11" t="s">
        <v>3118</v>
      </c>
      <c r="Z1966" s="11"/>
      <c r="AA1966" s="11"/>
      <c r="AB1966" s="11"/>
      <c r="AC1966" s="11"/>
      <c r="AD1966" s="11"/>
      <c r="AE1966" s="11" t="s">
        <v>7097</v>
      </c>
      <c r="AF1966" s="11"/>
      <c r="AG1966" s="11"/>
      <c r="AH1966" s="11"/>
      <c r="AI1966" s="11"/>
      <c r="AJ1966" s="11"/>
      <c r="AK1966" s="11"/>
      <c r="AL1966" s="11"/>
      <c r="AM1966" s="11" t="s">
        <v>7090</v>
      </c>
    </row>
    <row r="1967" ht="14.25" customHeight="1">
      <c r="A1967" s="5" t="s">
        <v>7135</v>
      </c>
      <c r="C1967" s="12" t="s">
        <v>7136</v>
      </c>
      <c r="D1967" s="10" t="str">
        <f t="shared" ref="D1967:D1969" si="17">CONCATENATE("'-&gt; ",P1967)</f>
        <v>'-&gt; AtlSch</v>
      </c>
      <c r="F1967" s="10" t="str">
        <f t="shared" ref="F1967:F1969" si="18">CONCATENATE("'-&gt; ",R1967)</f>
        <v>'-&gt; Atlin School</v>
      </c>
      <c r="G1967" s="10" t="str">
        <f t="shared" ref="G1967:G1969" si="19">CONCATENATE("'-&gt; ",-1*N1967," W, ",M1967," N, Elev. ",U1967," m")</f>
        <v>'-&gt; 133.687 W, 59.574 N, Elev. 705 m</v>
      </c>
      <c r="M1967" s="11">
        <v>59.574</v>
      </c>
      <c r="N1967" s="11">
        <v>-133.687</v>
      </c>
      <c r="O1967" s="11" t="s">
        <v>1577</v>
      </c>
      <c r="P1967" s="16" t="s">
        <v>7137</v>
      </c>
      <c r="Q1967" s="22">
        <v>1.0</v>
      </c>
      <c r="R1967" s="11" t="s">
        <v>7138</v>
      </c>
      <c r="S1967" s="13" t="str">
        <f t="shared" ref="S1967:S1994" si="20">UPPER(R1967)</f>
        <v>ATLIN SCHOOL</v>
      </c>
      <c r="T1967" s="11" t="s">
        <v>4344</v>
      </c>
      <c r="U1967" s="11">
        <v>705.0</v>
      </c>
      <c r="V1967" s="11"/>
      <c r="W1967" s="11"/>
      <c r="X1967" s="60" t="s">
        <v>7139</v>
      </c>
      <c r="Y1967" s="11" t="s">
        <v>7140</v>
      </c>
    </row>
    <row r="1968" ht="14.25" customHeight="1">
      <c r="A1968" s="5" t="s">
        <v>7135</v>
      </c>
      <c r="C1968" s="12" t="s">
        <v>7136</v>
      </c>
      <c r="D1968" s="10" t="str">
        <f t="shared" si="17"/>
        <v>'-&gt; CasWx</v>
      </c>
      <c r="F1968" s="10" t="str">
        <f t="shared" si="18"/>
        <v>'-&gt; Cassiar</v>
      </c>
      <c r="G1968" s="10" t="str">
        <f t="shared" si="19"/>
        <v>'-&gt; 129.86 W, 59.251 N, Elev. 1577 m</v>
      </c>
      <c r="M1968" s="11">
        <v>59.251</v>
      </c>
      <c r="N1968" s="11">
        <v>-129.86</v>
      </c>
      <c r="O1968" s="11" t="s">
        <v>1577</v>
      </c>
      <c r="P1968" s="11" t="s">
        <v>7141</v>
      </c>
      <c r="Q1968" s="22">
        <v>7.0</v>
      </c>
      <c r="R1968" s="11" t="s">
        <v>7142</v>
      </c>
      <c r="S1968" s="13" t="str">
        <f t="shared" si="20"/>
        <v>CASSIAR</v>
      </c>
      <c r="T1968" s="11" t="s">
        <v>4344</v>
      </c>
      <c r="U1968" s="11">
        <v>1577.0</v>
      </c>
      <c r="V1968" s="11"/>
      <c r="W1968" s="11" t="s">
        <v>7143</v>
      </c>
      <c r="X1968" s="60" t="s">
        <v>7144</v>
      </c>
      <c r="Y1968" s="11" t="s">
        <v>7140</v>
      </c>
    </row>
    <row r="1969" ht="14.25" customHeight="1">
      <c r="A1969" s="5" t="s">
        <v>7135</v>
      </c>
      <c r="C1969" s="12" t="s">
        <v>7136</v>
      </c>
      <c r="D1969" s="10" t="str">
        <f t="shared" si="17"/>
        <v>'-&gt; Mon1</v>
      </c>
      <c r="F1969" s="10" t="str">
        <f t="shared" si="18"/>
        <v>'-&gt; Monarch-1</v>
      </c>
      <c r="G1969" s="10" t="str">
        <f t="shared" si="19"/>
        <v>'-&gt; 133.617 W, 59.544 N, Elev. 1410 m</v>
      </c>
      <c r="M1969" s="11">
        <v>59.544</v>
      </c>
      <c r="N1969" s="11">
        <v>-133.617</v>
      </c>
      <c r="O1969" s="11" t="s">
        <v>1577</v>
      </c>
      <c r="P1969" s="11" t="s">
        <v>7145</v>
      </c>
      <c r="Q1969" s="22">
        <v>5.0</v>
      </c>
      <c r="R1969" s="11" t="s">
        <v>7146</v>
      </c>
      <c r="S1969" s="13" t="str">
        <f t="shared" si="20"/>
        <v>MONARCH-1</v>
      </c>
      <c r="T1969" s="11" t="s">
        <v>4344</v>
      </c>
      <c r="U1969" s="11">
        <v>1410.0</v>
      </c>
      <c r="V1969" s="11"/>
      <c r="W1969" s="11" t="s">
        <v>7147</v>
      </c>
      <c r="X1969" s="60" t="s">
        <v>7139</v>
      </c>
      <c r="Y1969" s="11" t="s">
        <v>7140</v>
      </c>
    </row>
    <row r="1970" ht="14.25" customHeight="1">
      <c r="C1970" s="11"/>
      <c r="M1970" s="108">
        <v>57.68605</v>
      </c>
      <c r="N1970" s="108">
        <v>-130.48871</v>
      </c>
      <c r="O1970" s="108" t="s">
        <v>1577</v>
      </c>
      <c r="P1970" s="108" t="s">
        <v>7148</v>
      </c>
      <c r="Q1970" s="109">
        <v>7.0</v>
      </c>
      <c r="R1970" s="108" t="s">
        <v>7149</v>
      </c>
      <c r="S1970" s="108" t="str">
        <f t="shared" si="20"/>
        <v>MT. EDZIZA</v>
      </c>
      <c r="T1970" s="108" t="s">
        <v>4344</v>
      </c>
      <c r="U1970" s="108">
        <v>1661.0</v>
      </c>
      <c r="V1970" s="108"/>
      <c r="W1970" s="108" t="s">
        <v>7150</v>
      </c>
      <c r="X1970" s="110" t="s">
        <v>7151</v>
      </c>
      <c r="Y1970" s="108" t="s">
        <v>7140</v>
      </c>
    </row>
    <row r="1971" ht="14.25" customHeight="1">
      <c r="A1971" s="5" t="s">
        <v>7135</v>
      </c>
      <c r="C1971" s="12" t="s">
        <v>7136</v>
      </c>
      <c r="D1971" s="10" t="str">
        <f>CONCATENATE("'-&gt; ",P1971)</f>
        <v>'-&gt; NDWx</v>
      </c>
      <c r="F1971" s="10" t="str">
        <f>CONCATENATE("'-&gt; ",R1971)</f>
        <v>'-&gt; Northern Dancer</v>
      </c>
      <c r="G1971" s="10" t="str">
        <f>CONCATENATE("'-&gt; ",-1*N1971," W, ",M1971," N, Elev. ",U1971," m")</f>
        <v>'-&gt; 131.6 W, 60.008 N, Elev. 1628 m</v>
      </c>
      <c r="M1971" s="11">
        <v>60.008</v>
      </c>
      <c r="N1971" s="11">
        <v>-131.6</v>
      </c>
      <c r="O1971" s="11" t="s">
        <v>1577</v>
      </c>
      <c r="P1971" s="11" t="s">
        <v>7152</v>
      </c>
      <c r="Q1971" s="22">
        <v>7.0</v>
      </c>
      <c r="R1971" s="11" t="s">
        <v>7153</v>
      </c>
      <c r="S1971" s="13" t="str">
        <f t="shared" si="20"/>
        <v>NORTHERN DANCER</v>
      </c>
      <c r="T1971" s="11" t="s">
        <v>4344</v>
      </c>
      <c r="U1971" s="11">
        <v>1628.0</v>
      </c>
      <c r="V1971" s="11"/>
      <c r="W1971" s="11" t="s">
        <v>7154</v>
      </c>
      <c r="X1971" s="60" t="s">
        <v>7155</v>
      </c>
      <c r="Y1971" s="11" t="s">
        <v>7140</v>
      </c>
    </row>
    <row r="1972" ht="14.25" customHeight="1">
      <c r="C1972" s="11"/>
      <c r="M1972" s="108">
        <v>50.5936</v>
      </c>
      <c r="N1972" s="108">
        <v>-119.9211</v>
      </c>
      <c r="O1972" s="108" t="s">
        <v>142</v>
      </c>
      <c r="P1972" s="108" t="s">
        <v>7156</v>
      </c>
      <c r="Q1972" s="109">
        <v>2.0</v>
      </c>
      <c r="R1972" s="108" t="s">
        <v>7157</v>
      </c>
      <c r="S1972" s="108" t="str">
        <f t="shared" si="20"/>
        <v>DUCK HILL RANCH (IDFXH2)</v>
      </c>
      <c r="T1972" s="108" t="s">
        <v>4344</v>
      </c>
      <c r="U1972" s="108">
        <v>700.0</v>
      </c>
      <c r="V1972" s="108"/>
      <c r="W1972" s="108" t="s">
        <v>7158</v>
      </c>
      <c r="X1972" s="110" t="s">
        <v>7159</v>
      </c>
      <c r="Y1972" s="108" t="s">
        <v>7160</v>
      </c>
    </row>
    <row r="1973" ht="14.25" customHeight="1">
      <c r="A1973" s="5" t="s">
        <v>7135</v>
      </c>
      <c r="C1973" s="12" t="s">
        <v>7136</v>
      </c>
      <c r="D1973" s="10" t="str">
        <f t="shared" ref="D1973:D1979" si="21">CONCATENATE("'-&gt; ",P1973)</f>
        <v>'-&gt; Goose</v>
      </c>
      <c r="F1973" s="10" t="str">
        <f t="shared" ref="F1973:F1979" si="22">CONCATENATE("'-&gt; ",R1973)</f>
        <v>'-&gt; Goose Lake Rd</v>
      </c>
      <c r="G1973" s="10" t="str">
        <f t="shared" ref="G1973:G1979" si="23">CONCATENATE("'-&gt; ",-1*N1973," W, ",M1973," N, Elev. ",U1973," m")</f>
        <v>'-&gt; 120.43 W, 50.5626 N, Elev. 1147 m</v>
      </c>
      <c r="M1973" s="11">
        <v>50.5626</v>
      </c>
      <c r="N1973" s="11">
        <v>-120.43</v>
      </c>
      <c r="O1973" s="11" t="s">
        <v>142</v>
      </c>
      <c r="P1973" s="11" t="s">
        <v>7161</v>
      </c>
      <c r="Q1973" s="22">
        <v>3.0</v>
      </c>
      <c r="R1973" s="11" t="s">
        <v>7162</v>
      </c>
      <c r="S1973" s="13" t="str">
        <f t="shared" si="20"/>
        <v>GOOSE LAKE RD</v>
      </c>
      <c r="T1973" s="11" t="s">
        <v>4344</v>
      </c>
      <c r="U1973" s="11">
        <v>1147.0</v>
      </c>
      <c r="V1973" s="11"/>
      <c r="W1973" s="11" t="s">
        <v>7163</v>
      </c>
      <c r="X1973" s="60" t="s">
        <v>7164</v>
      </c>
      <c r="Y1973" s="11" t="s">
        <v>7160</v>
      </c>
    </row>
    <row r="1974" ht="14.25" customHeight="1">
      <c r="A1974" s="5" t="s">
        <v>7135</v>
      </c>
      <c r="C1974" s="12" t="s">
        <v>7136</v>
      </c>
      <c r="D1974" s="10" t="str">
        <f t="shared" si="21"/>
        <v>'-&gt; Isobel</v>
      </c>
      <c r="F1974" s="10" t="str">
        <f t="shared" si="22"/>
        <v>'-&gt; Isobel Lake (IDFxh2)</v>
      </c>
      <c r="G1974" s="10" t="str">
        <f t="shared" si="23"/>
        <v>'-&gt; 120.4231 W, 50.8406 N, Elev. 1030 m</v>
      </c>
      <c r="M1974" s="11">
        <v>50.8406</v>
      </c>
      <c r="N1974" s="11">
        <v>-120.4231</v>
      </c>
      <c r="O1974" s="11" t="s">
        <v>142</v>
      </c>
      <c r="P1974" s="11" t="s">
        <v>7165</v>
      </c>
      <c r="Q1974" s="22">
        <v>3.0</v>
      </c>
      <c r="R1974" s="11" t="s">
        <v>7166</v>
      </c>
      <c r="S1974" s="13" t="str">
        <f t="shared" si="20"/>
        <v>ISOBEL LAKE (IDFXH2)</v>
      </c>
      <c r="T1974" s="11" t="s">
        <v>4344</v>
      </c>
      <c r="U1974" s="11">
        <v>1030.0</v>
      </c>
      <c r="V1974" s="11"/>
      <c r="W1974" s="11" t="s">
        <v>7163</v>
      </c>
      <c r="X1974" s="60"/>
      <c r="Y1974" s="11" t="s">
        <v>7160</v>
      </c>
    </row>
    <row r="1975" ht="14.25" customHeight="1">
      <c r="A1975" s="5" t="s">
        <v>7135</v>
      </c>
      <c r="C1975" s="12" t="s">
        <v>7136</v>
      </c>
      <c r="D1975" s="10" t="str">
        <f t="shared" si="21"/>
        <v>'-&gt; LDBLG</v>
      </c>
      <c r="F1975" s="10" t="str">
        <f t="shared" si="22"/>
        <v>'-&gt; LDB - Lower grassland</v>
      </c>
      <c r="G1975" s="10" t="str">
        <f t="shared" si="23"/>
        <v>'-&gt; 120.4383 W, 50.7285 N, Elev. 572 m</v>
      </c>
      <c r="M1975" s="11">
        <v>50.7285</v>
      </c>
      <c r="N1975" s="11">
        <v>-120.4383</v>
      </c>
      <c r="O1975" s="11" t="s">
        <v>142</v>
      </c>
      <c r="P1975" s="11" t="s">
        <v>7167</v>
      </c>
      <c r="Q1975" s="22">
        <v>1.0</v>
      </c>
      <c r="R1975" s="11" t="s">
        <v>7168</v>
      </c>
      <c r="S1975" s="13" t="str">
        <f t="shared" si="20"/>
        <v>LDB - LOWER GRASSLAND</v>
      </c>
      <c r="T1975" s="11" t="s">
        <v>4344</v>
      </c>
      <c r="U1975" s="11">
        <v>572.0</v>
      </c>
      <c r="V1975" s="11"/>
      <c r="W1975" s="11" t="s">
        <v>7169</v>
      </c>
      <c r="X1975" s="60" t="s">
        <v>7170</v>
      </c>
      <c r="Y1975" s="11" t="s">
        <v>7160</v>
      </c>
    </row>
    <row r="1976" ht="14.25" customHeight="1">
      <c r="A1976" s="5" t="s">
        <v>7135</v>
      </c>
      <c r="C1976" s="12" t="s">
        <v>7136</v>
      </c>
      <c r="D1976" s="10" t="str">
        <f t="shared" si="21"/>
        <v>'-&gt; LDBG1</v>
      </c>
      <c r="F1976" s="10" t="str">
        <f t="shared" si="22"/>
        <v>'-&gt; LDB - LowerUpper grassland</v>
      </c>
      <c r="G1976" s="10" t="str">
        <f t="shared" si="23"/>
        <v>'-&gt; 120.4483 W, 50.7868 N, Elev. 919 m</v>
      </c>
      <c r="M1976" s="11">
        <v>50.7868</v>
      </c>
      <c r="N1976" s="11">
        <v>-120.4483</v>
      </c>
      <c r="O1976" s="11" t="s">
        <v>142</v>
      </c>
      <c r="P1976" s="11" t="s">
        <v>7171</v>
      </c>
      <c r="Q1976" s="22">
        <v>2.0</v>
      </c>
      <c r="R1976" s="11" t="s">
        <v>7172</v>
      </c>
      <c r="S1976" s="13" t="str">
        <f t="shared" si="20"/>
        <v>LDB - LOWERUPPER GRASSLAND</v>
      </c>
      <c r="T1976" s="11" t="s">
        <v>4344</v>
      </c>
      <c r="U1976" s="11">
        <v>919.0</v>
      </c>
      <c r="V1976" s="11"/>
      <c r="W1976" s="11" t="s">
        <v>7169</v>
      </c>
      <c r="X1976" s="60" t="s">
        <v>7170</v>
      </c>
      <c r="Y1976" s="11" t="s">
        <v>7160</v>
      </c>
    </row>
    <row r="1977" ht="14.25" customHeight="1">
      <c r="A1977" s="5" t="s">
        <v>7135</v>
      </c>
      <c r="C1977" s="12" t="s">
        <v>7136</v>
      </c>
      <c r="D1977" s="10" t="str">
        <f t="shared" si="21"/>
        <v>'-&gt; LDBMG</v>
      </c>
      <c r="F1977" s="10" t="str">
        <f t="shared" si="22"/>
        <v>'-&gt; LDB - Middle grassland</v>
      </c>
      <c r="G1977" s="10" t="str">
        <f t="shared" si="23"/>
        <v>'-&gt; 120.4158 W, 50.7533 N, Elev. 693 m</v>
      </c>
      <c r="M1977" s="11">
        <v>50.7533</v>
      </c>
      <c r="N1977" s="11">
        <v>-120.4158</v>
      </c>
      <c r="O1977" s="11" t="s">
        <v>142</v>
      </c>
      <c r="P1977" s="11" t="s">
        <v>7173</v>
      </c>
      <c r="Q1977" s="22">
        <v>2.0</v>
      </c>
      <c r="R1977" s="11" t="s">
        <v>7174</v>
      </c>
      <c r="S1977" s="13" t="str">
        <f t="shared" si="20"/>
        <v>LDB - MIDDLE GRASSLAND</v>
      </c>
      <c r="T1977" s="11" t="s">
        <v>4344</v>
      </c>
      <c r="U1977" s="11">
        <v>693.0</v>
      </c>
      <c r="V1977" s="11"/>
      <c r="W1977" s="11" t="s">
        <v>7169</v>
      </c>
      <c r="X1977" s="60" t="s">
        <v>7170</v>
      </c>
      <c r="Y1977" s="11" t="s">
        <v>7160</v>
      </c>
    </row>
    <row r="1978" ht="14.25" customHeight="1">
      <c r="A1978" s="5" t="s">
        <v>7135</v>
      </c>
      <c r="C1978" s="12" t="s">
        <v>7136</v>
      </c>
      <c r="D1978" s="10" t="str">
        <f t="shared" si="21"/>
        <v>'-&gt; LDBUG</v>
      </c>
      <c r="F1978" s="10" t="str">
        <f t="shared" si="22"/>
        <v>'-&gt; LDB - Upper grassland</v>
      </c>
      <c r="G1978" s="10" t="str">
        <f t="shared" si="23"/>
        <v>'-&gt; 120.4383 W, 50.7285 N, Elev. 978 m</v>
      </c>
      <c r="M1978" s="11">
        <v>50.7285</v>
      </c>
      <c r="N1978" s="11">
        <v>-120.4383</v>
      </c>
      <c r="O1978" s="11" t="s">
        <v>142</v>
      </c>
      <c r="P1978" s="11" t="s">
        <v>7175</v>
      </c>
      <c r="Q1978" s="22">
        <v>2.0</v>
      </c>
      <c r="R1978" s="11" t="s">
        <v>7176</v>
      </c>
      <c r="S1978" s="13" t="str">
        <f t="shared" si="20"/>
        <v>LDB - UPPER GRASSLAND</v>
      </c>
      <c r="T1978" s="11" t="s">
        <v>4344</v>
      </c>
      <c r="U1978" s="11">
        <v>978.0</v>
      </c>
      <c r="V1978" s="11"/>
      <c r="W1978" s="11" t="s">
        <v>7169</v>
      </c>
      <c r="X1978" s="60" t="s">
        <v>7170</v>
      </c>
      <c r="Y1978" s="11" t="s">
        <v>7160</v>
      </c>
    </row>
    <row r="1979" ht="14.25" customHeight="1">
      <c r="A1979" s="5" t="s">
        <v>7135</v>
      </c>
      <c r="C1979" s="12" t="s">
        <v>7136</v>
      </c>
      <c r="D1979" s="10" t="str">
        <f t="shared" si="21"/>
        <v>'-&gt; LDBG2</v>
      </c>
      <c r="F1979" s="10" t="str">
        <f t="shared" si="22"/>
        <v>'-&gt; LDB - UpperMiddle grassland</v>
      </c>
      <c r="G1979" s="10" t="str">
        <f t="shared" si="23"/>
        <v>'-&gt; 120.435 W, 50.7613 N, Elev. 767 m</v>
      </c>
      <c r="M1979" s="11">
        <v>50.7613</v>
      </c>
      <c r="N1979" s="11">
        <v>-120.435</v>
      </c>
      <c r="O1979" s="11" t="s">
        <v>142</v>
      </c>
      <c r="P1979" s="11" t="s">
        <v>7177</v>
      </c>
      <c r="Q1979" s="22">
        <v>2.0</v>
      </c>
      <c r="R1979" s="11" t="s">
        <v>7178</v>
      </c>
      <c r="S1979" s="13" t="str">
        <f t="shared" si="20"/>
        <v>LDB - UPPERMIDDLE GRASSLAND</v>
      </c>
      <c r="T1979" s="11" t="s">
        <v>4344</v>
      </c>
      <c r="U1979" s="11">
        <v>767.0</v>
      </c>
      <c r="V1979" s="11"/>
      <c r="W1979" s="11" t="s">
        <v>7169</v>
      </c>
      <c r="X1979" s="60" t="s">
        <v>7170</v>
      </c>
      <c r="Y1979" s="11" t="s">
        <v>7160</v>
      </c>
    </row>
    <row r="1980" ht="14.25" customHeight="1">
      <c r="A1980" s="5" t="s">
        <v>4338</v>
      </c>
      <c r="B1980" s="5">
        <v>11.0</v>
      </c>
      <c r="C1980" s="5" t="s">
        <v>7700</v>
      </c>
      <c r="D1980" s="5" t="s">
        <v>7180</v>
      </c>
      <c r="E1980" s="5">
        <v>13043.0</v>
      </c>
      <c r="F1980" s="5" t="s">
        <v>7180</v>
      </c>
      <c r="G1980" s="10" t="s">
        <v>7181</v>
      </c>
      <c r="H1980" s="5" t="s">
        <v>84</v>
      </c>
      <c r="I1980" s="5" t="s">
        <v>49</v>
      </c>
      <c r="K1980" s="5">
        <v>1.0</v>
      </c>
      <c r="L1980" s="5">
        <v>14975.0</v>
      </c>
      <c r="M1980" s="11">
        <v>49.6233</v>
      </c>
      <c r="N1980" s="11">
        <v>-117.0436</v>
      </c>
      <c r="O1980" s="11" t="s">
        <v>170</v>
      </c>
      <c r="P1980" s="11" t="s">
        <v>7182</v>
      </c>
      <c r="Q1980" s="22">
        <v>1.0</v>
      </c>
      <c r="R1980" s="11" t="s">
        <v>7180</v>
      </c>
      <c r="S1980" s="13" t="str">
        <f t="shared" si="20"/>
        <v>WADF1 SEEDTREE</v>
      </c>
      <c r="T1980" s="11" t="s">
        <v>4344</v>
      </c>
      <c r="U1980" s="11">
        <v>815.0</v>
      </c>
      <c r="V1980" s="11" t="s">
        <v>645</v>
      </c>
      <c r="W1980" s="11" t="s">
        <v>7183</v>
      </c>
      <c r="X1980" s="60" t="s">
        <v>7184</v>
      </c>
      <c r="Y1980" s="11" t="s">
        <v>7185</v>
      </c>
    </row>
    <row r="1981" ht="14.25" customHeight="1">
      <c r="A1981" s="5" t="s">
        <v>4338</v>
      </c>
      <c r="B1981" s="5">
        <v>11.0</v>
      </c>
      <c r="C1981" s="5" t="s">
        <v>7700</v>
      </c>
      <c r="D1981" s="5" t="s">
        <v>7186</v>
      </c>
      <c r="E1981" s="5">
        <v>13044.0</v>
      </c>
      <c r="F1981" s="5" t="s">
        <v>7186</v>
      </c>
      <c r="G1981" s="10" t="s">
        <v>7187</v>
      </c>
      <c r="H1981" s="5" t="s">
        <v>7188</v>
      </c>
      <c r="I1981" s="5" t="s">
        <v>49</v>
      </c>
      <c r="J1981" s="5" t="s">
        <v>726</v>
      </c>
      <c r="K1981" s="5">
        <v>1.0</v>
      </c>
      <c r="L1981" s="5">
        <v>14976.0</v>
      </c>
      <c r="M1981" s="11">
        <v>49.6445</v>
      </c>
      <c r="N1981" s="11">
        <v>-117.0626</v>
      </c>
      <c r="O1981" s="11" t="s">
        <v>170</v>
      </c>
      <c r="P1981" s="11" t="s">
        <v>7189</v>
      </c>
      <c r="Q1981" s="22">
        <v>3.0</v>
      </c>
      <c r="R1981" s="11" t="s">
        <v>7186</v>
      </c>
      <c r="S1981" s="13" t="str">
        <f t="shared" si="20"/>
        <v>WADF2 BURN</v>
      </c>
      <c r="T1981" s="11" t="s">
        <v>4344</v>
      </c>
      <c r="U1981" s="11">
        <v>1270.0</v>
      </c>
      <c r="V1981" s="11" t="s">
        <v>645</v>
      </c>
      <c r="W1981" s="11" t="s">
        <v>7190</v>
      </c>
      <c r="X1981" s="60" t="s">
        <v>7184</v>
      </c>
      <c r="Y1981" s="11" t="s">
        <v>7185</v>
      </c>
    </row>
    <row r="1982" ht="14.25" customHeight="1">
      <c r="A1982" s="5" t="s">
        <v>4338</v>
      </c>
      <c r="B1982" s="5">
        <v>11.0</v>
      </c>
      <c r="C1982" s="5" t="s">
        <v>7700</v>
      </c>
      <c r="D1982" s="5" t="s">
        <v>7191</v>
      </c>
      <c r="E1982" s="5">
        <v>13045.0</v>
      </c>
      <c r="F1982" s="5" t="s">
        <v>7191</v>
      </c>
      <c r="G1982" s="10" t="s">
        <v>7192</v>
      </c>
      <c r="H1982" s="5" t="s">
        <v>84</v>
      </c>
      <c r="I1982" s="5" t="s">
        <v>49</v>
      </c>
      <c r="K1982" s="5">
        <v>1.0</v>
      </c>
      <c r="L1982" s="5">
        <v>14977.0</v>
      </c>
      <c r="M1982" s="11">
        <v>49.6693</v>
      </c>
      <c r="N1982" s="11">
        <v>-117.0643</v>
      </c>
      <c r="O1982" s="11" t="s">
        <v>170</v>
      </c>
      <c r="P1982" s="11" t="s">
        <v>7193</v>
      </c>
      <c r="Q1982" s="22">
        <v>5.0</v>
      </c>
      <c r="R1982" s="11" t="s">
        <v>7191</v>
      </c>
      <c r="S1982" s="13" t="str">
        <f t="shared" si="20"/>
        <v>WADF4 CABIN</v>
      </c>
      <c r="T1982" s="11" t="s">
        <v>4344</v>
      </c>
      <c r="U1982" s="11">
        <v>1715.0</v>
      </c>
      <c r="V1982" s="11" t="s">
        <v>645</v>
      </c>
      <c r="W1982" s="11" t="s">
        <v>7194</v>
      </c>
      <c r="X1982" s="60" t="s">
        <v>7184</v>
      </c>
      <c r="Y1982" s="11" t="s">
        <v>7185</v>
      </c>
    </row>
    <row r="1983" ht="14.25" customHeight="1">
      <c r="A1983" s="5" t="s">
        <v>4338</v>
      </c>
      <c r="B1983" s="5">
        <v>11.0</v>
      </c>
      <c r="C1983" s="5" t="s">
        <v>7700</v>
      </c>
      <c r="D1983" s="5" t="s">
        <v>7195</v>
      </c>
      <c r="E1983" s="5">
        <v>13046.0</v>
      </c>
      <c r="F1983" s="5" t="s">
        <v>7195</v>
      </c>
      <c r="G1983" s="10" t="s">
        <v>7196</v>
      </c>
      <c r="H1983" s="5" t="s">
        <v>84</v>
      </c>
      <c r="I1983" s="5" t="s">
        <v>49</v>
      </c>
      <c r="K1983" s="5">
        <v>1.0</v>
      </c>
      <c r="L1983" s="5">
        <v>14978.0</v>
      </c>
      <c r="M1983" s="11">
        <v>49.69</v>
      </c>
      <c r="N1983" s="11">
        <v>-117.0865</v>
      </c>
      <c r="O1983" s="11" t="s">
        <v>170</v>
      </c>
      <c r="P1983" s="11" t="s">
        <v>7197</v>
      </c>
      <c r="Q1983" s="22">
        <v>7.0</v>
      </c>
      <c r="R1983" s="11" t="s">
        <v>7195</v>
      </c>
      <c r="S1983" s="13" t="str">
        <f t="shared" si="20"/>
        <v>WADF5 ALPINE</v>
      </c>
      <c r="T1983" s="11" t="s">
        <v>4344</v>
      </c>
      <c r="U1983" s="11">
        <v>2085.0</v>
      </c>
      <c r="V1983" s="11" t="s">
        <v>645</v>
      </c>
      <c r="W1983" s="11" t="s">
        <v>7198</v>
      </c>
      <c r="X1983" s="60" t="s">
        <v>7184</v>
      </c>
      <c r="Y1983" s="11" t="s">
        <v>7185</v>
      </c>
    </row>
    <row r="1984" ht="14.25" customHeight="1">
      <c r="B1984" s="5">
        <v>11.0</v>
      </c>
      <c r="C1984" s="5" t="s">
        <v>7700</v>
      </c>
      <c r="D1984" s="5" t="s">
        <v>7199</v>
      </c>
      <c r="E1984" s="5">
        <v>13047.0</v>
      </c>
      <c r="F1984" s="5" t="s">
        <v>7199</v>
      </c>
      <c r="G1984" s="5" t="s">
        <v>7200</v>
      </c>
      <c r="H1984" s="5" t="s">
        <v>84</v>
      </c>
      <c r="I1984" s="5" t="s">
        <v>49</v>
      </c>
      <c r="K1984" s="5">
        <v>1.0</v>
      </c>
      <c r="L1984" s="5">
        <v>14979.0</v>
      </c>
      <c r="M1984" s="11">
        <v>49.7716</v>
      </c>
      <c r="N1984" s="11">
        <v>-117.1949</v>
      </c>
      <c r="O1984" s="11" t="s">
        <v>170</v>
      </c>
      <c r="P1984" s="11" t="s">
        <v>7201</v>
      </c>
      <c r="Q1984" s="22">
        <v>7.0</v>
      </c>
      <c r="R1984" s="11" t="s">
        <v>7199</v>
      </c>
      <c r="S1984" s="13" t="str">
        <f t="shared" si="20"/>
        <v>WADF7 KOKANEE</v>
      </c>
      <c r="T1984" s="11" t="s">
        <v>4344</v>
      </c>
      <c r="U1984" s="11">
        <v>1970.0</v>
      </c>
      <c r="V1984" s="11" t="s">
        <v>645</v>
      </c>
      <c r="W1984" s="11" t="s">
        <v>7202</v>
      </c>
      <c r="X1984" s="60" t="s">
        <v>7184</v>
      </c>
      <c r="Y1984" s="11" t="s">
        <v>7185</v>
      </c>
    </row>
    <row r="1985" ht="14.25" customHeight="1">
      <c r="A1985" s="5" t="s">
        <v>7135</v>
      </c>
      <c r="C1985" s="12" t="s">
        <v>7136</v>
      </c>
      <c r="D1985" s="10" t="str">
        <f t="shared" ref="D1985:D1994" si="24">CONCATENATE("'-&gt; ",P1985)</f>
        <v>'-&gt; Arrow</v>
      </c>
      <c r="F1985" s="10" t="str">
        <f t="shared" ref="F1985:F1994" si="25">CONCATENATE("'-&gt; ",R1985)</f>
        <v>'-&gt; Arrowstone</v>
      </c>
      <c r="G1985" s="10" t="str">
        <f t="shared" ref="G1985:G1994" si="26">CONCATENATE("'-&gt; ",-1*N1985," W, ",M1985," N, Elev. ",U1985," m")</f>
        <v>'-&gt; 120.301383 W, 50.906011 N, Elev. 1575 m</v>
      </c>
      <c r="M1985" s="11">
        <v>50.906011</v>
      </c>
      <c r="N1985" s="11">
        <v>-120.301383</v>
      </c>
      <c r="O1985" s="11" t="s">
        <v>142</v>
      </c>
      <c r="P1985" s="16" t="s">
        <v>7203</v>
      </c>
      <c r="Q1985" s="22">
        <v>7.0</v>
      </c>
      <c r="R1985" s="11" t="s">
        <v>7204</v>
      </c>
      <c r="S1985" s="13" t="str">
        <f t="shared" si="20"/>
        <v>ARROWSTONE</v>
      </c>
      <c r="T1985" s="11" t="s">
        <v>4344</v>
      </c>
      <c r="U1985" s="11">
        <v>1575.0</v>
      </c>
      <c r="V1985" s="11"/>
      <c r="W1985" s="11" t="s">
        <v>7205</v>
      </c>
      <c r="X1985" s="60" t="s">
        <v>7159</v>
      </c>
      <c r="Y1985" s="11" t="s">
        <v>7206</v>
      </c>
    </row>
    <row r="1986" ht="14.25" customHeight="1">
      <c r="A1986" s="5" t="s">
        <v>7135</v>
      </c>
      <c r="C1986" s="12" t="s">
        <v>7136</v>
      </c>
      <c r="D1986" s="10" t="str">
        <f t="shared" si="24"/>
        <v>'-&gt; Chase Creek</v>
      </c>
      <c r="F1986" s="10" t="str">
        <f t="shared" si="25"/>
        <v>'-&gt; Chase Creek</v>
      </c>
      <c r="G1986" s="10" t="str">
        <f t="shared" si="26"/>
        <v>'-&gt; 119.533333 W, 50.758333 N, Elev. 700 m</v>
      </c>
      <c r="M1986" s="11">
        <v>50.758333</v>
      </c>
      <c r="N1986" s="11">
        <v>-119.533333</v>
      </c>
      <c r="O1986" s="11" t="s">
        <v>142</v>
      </c>
      <c r="P1986" s="11" t="s">
        <v>7207</v>
      </c>
      <c r="Q1986" s="22">
        <v>2.0</v>
      </c>
      <c r="R1986" s="11" t="s">
        <v>7207</v>
      </c>
      <c r="S1986" s="13" t="str">
        <f t="shared" si="20"/>
        <v>CHASE CREEK</v>
      </c>
      <c r="T1986" s="11" t="s">
        <v>4344</v>
      </c>
      <c r="U1986" s="11">
        <v>700.0</v>
      </c>
      <c r="V1986" s="11"/>
      <c r="W1986" s="11" t="s">
        <v>7208</v>
      </c>
      <c r="X1986" s="60" t="s">
        <v>7209</v>
      </c>
      <c r="Y1986" s="11" t="s">
        <v>7206</v>
      </c>
    </row>
    <row r="1987" ht="14.25" customHeight="1">
      <c r="A1987" s="5" t="s">
        <v>7135</v>
      </c>
      <c r="C1987" s="12" t="s">
        <v>7136</v>
      </c>
      <c r="D1987" s="10" t="str">
        <f t="shared" si="24"/>
        <v>'-&gt; WV1</v>
      </c>
      <c r="F1987" s="10" t="str">
        <f t="shared" si="25"/>
        <v>'-&gt; Sicamouse Creek - WV1</v>
      </c>
      <c r="G1987" s="10" t="str">
        <f t="shared" si="26"/>
        <v>'-&gt; 122.718656 W, 53.772719 N, Elev. 1530 m</v>
      </c>
      <c r="M1987" s="11">
        <v>53.772719</v>
      </c>
      <c r="N1987" s="11">
        <v>-122.718656</v>
      </c>
      <c r="O1987" s="11" t="s">
        <v>1290</v>
      </c>
      <c r="P1987" s="11" t="s">
        <v>7210</v>
      </c>
      <c r="Q1987" s="22">
        <v>7.0</v>
      </c>
      <c r="R1987" s="11" t="s">
        <v>7211</v>
      </c>
      <c r="S1987" s="13" t="str">
        <f t="shared" si="20"/>
        <v>SICAMOUSE CREEK - WV1</v>
      </c>
      <c r="T1987" s="11" t="s">
        <v>4344</v>
      </c>
      <c r="U1987" s="11">
        <v>1530.0</v>
      </c>
      <c r="V1987" s="11"/>
      <c r="W1987" s="11" t="s">
        <v>7208</v>
      </c>
      <c r="X1987" s="60" t="s">
        <v>7212</v>
      </c>
      <c r="Y1987" s="11" t="s">
        <v>7206</v>
      </c>
    </row>
    <row r="1988" ht="14.25" customHeight="1">
      <c r="A1988" s="5" t="s">
        <v>7135</v>
      </c>
      <c r="C1988" s="12" t="s">
        <v>7136</v>
      </c>
      <c r="D1988" s="10" t="str">
        <f t="shared" si="24"/>
        <v>'-&gt; PK</v>
      </c>
      <c r="F1988" s="10" t="str">
        <f t="shared" si="25"/>
        <v>'-&gt; Upper Penticton - PK</v>
      </c>
      <c r="G1988" s="10" t="str">
        <f t="shared" si="26"/>
        <v>'-&gt; 119.23359 W, 49.3917 N, Elev. 1628 m</v>
      </c>
      <c r="M1988" s="11">
        <v>49.3917</v>
      </c>
      <c r="N1988" s="11">
        <v>-119.23359</v>
      </c>
      <c r="O1988" s="11" t="s">
        <v>142</v>
      </c>
      <c r="P1988" s="11" t="s">
        <v>7213</v>
      </c>
      <c r="Q1988" s="22">
        <v>7.0</v>
      </c>
      <c r="R1988" s="11" t="s">
        <v>7214</v>
      </c>
      <c r="S1988" s="13" t="str">
        <f t="shared" si="20"/>
        <v>UPPER PENTICTON - PK</v>
      </c>
      <c r="T1988" s="11" t="s">
        <v>4344</v>
      </c>
      <c r="U1988" s="11">
        <v>1628.0</v>
      </c>
      <c r="V1988" s="11"/>
      <c r="W1988" s="11" t="s">
        <v>7215</v>
      </c>
      <c r="X1988" s="60" t="s">
        <v>7216</v>
      </c>
      <c r="Y1988" s="11" t="s">
        <v>7206</v>
      </c>
    </row>
    <row r="1989" ht="14.25" customHeight="1">
      <c r="A1989" s="5" t="s">
        <v>7135</v>
      </c>
      <c r="C1989" s="12" t="s">
        <v>7136</v>
      </c>
      <c r="D1989" s="10" t="str">
        <f t="shared" si="24"/>
        <v>'-&gt; P1</v>
      </c>
      <c r="F1989" s="10" t="str">
        <f t="shared" si="25"/>
        <v>'-&gt; Upper Penticton Creek - P1</v>
      </c>
      <c r="G1989" s="10" t="str">
        <f t="shared" si="26"/>
        <v>'-&gt; 119.398655 W, 49.651744 N, Elev. 1619 m</v>
      </c>
      <c r="M1989" s="11">
        <v>49.651744</v>
      </c>
      <c r="N1989" s="11">
        <v>-119.398655</v>
      </c>
      <c r="O1989" s="11" t="s">
        <v>142</v>
      </c>
      <c r="P1989" s="11" t="s">
        <v>7217</v>
      </c>
      <c r="Q1989" s="22">
        <v>7.0</v>
      </c>
      <c r="R1989" s="11" t="s">
        <v>7218</v>
      </c>
      <c r="S1989" s="13" t="str">
        <f t="shared" si="20"/>
        <v>UPPER PENTICTON CREEK - P1</v>
      </c>
      <c r="T1989" s="11" t="s">
        <v>4344</v>
      </c>
      <c r="U1989" s="11">
        <v>1619.0</v>
      </c>
      <c r="V1989" s="11" t="s">
        <v>645</v>
      </c>
      <c r="W1989" s="11" t="s">
        <v>7219</v>
      </c>
      <c r="X1989" s="60" t="s">
        <v>7220</v>
      </c>
      <c r="Y1989" s="11" t="s">
        <v>7206</v>
      </c>
    </row>
    <row r="1990" ht="14.25" customHeight="1">
      <c r="A1990" s="5" t="s">
        <v>7135</v>
      </c>
      <c r="C1990" s="12" t="s">
        <v>7136</v>
      </c>
      <c r="D1990" s="10" t="str">
        <f t="shared" si="24"/>
        <v>'-&gt; P5</v>
      </c>
      <c r="F1990" s="10" t="str">
        <f t="shared" si="25"/>
        <v>'-&gt; Upper Penticton Creek - P5</v>
      </c>
      <c r="G1990" s="10" t="str">
        <f t="shared" si="26"/>
        <v>'-&gt; 119.403066 W, 49.658049 N, Elev. 1673 m</v>
      </c>
      <c r="M1990" s="11">
        <v>49.658049</v>
      </c>
      <c r="N1990" s="11">
        <v>-119.403066</v>
      </c>
      <c r="O1990" s="11" t="s">
        <v>142</v>
      </c>
      <c r="P1990" s="11" t="s">
        <v>7221</v>
      </c>
      <c r="Q1990" s="22">
        <v>7.0</v>
      </c>
      <c r="R1990" s="11" t="s">
        <v>7222</v>
      </c>
      <c r="S1990" s="13" t="str">
        <f t="shared" si="20"/>
        <v>UPPER PENTICTON CREEK - P5</v>
      </c>
      <c r="T1990" s="11" t="s">
        <v>4344</v>
      </c>
      <c r="U1990" s="11">
        <v>1673.0</v>
      </c>
      <c r="V1990" s="11"/>
      <c r="W1990" s="11" t="s">
        <v>7223</v>
      </c>
      <c r="X1990" s="60" t="s">
        <v>7224</v>
      </c>
      <c r="Y1990" s="11" t="s">
        <v>7206</v>
      </c>
    </row>
    <row r="1991" ht="14.25" customHeight="1">
      <c r="A1991" s="5" t="s">
        <v>7135</v>
      </c>
      <c r="C1991" s="12" t="s">
        <v>7136</v>
      </c>
      <c r="D1991" s="10" t="str">
        <f t="shared" si="24"/>
        <v>'-&gt; PB</v>
      </c>
      <c r="F1991" s="10" t="str">
        <f t="shared" si="25"/>
        <v>'-&gt; Upper Penticton Creek - PB</v>
      </c>
      <c r="G1991" s="10" t="str">
        <f t="shared" si="26"/>
        <v>'-&gt; 119.378929 W, 49.673323 N, Elev. 1885 m</v>
      </c>
      <c r="M1991" s="11">
        <v>49.673323</v>
      </c>
      <c r="N1991" s="11">
        <v>-119.378929</v>
      </c>
      <c r="O1991" s="11" t="s">
        <v>142</v>
      </c>
      <c r="P1991" s="11" t="s">
        <v>7225</v>
      </c>
      <c r="Q1991" s="22">
        <v>8.0</v>
      </c>
      <c r="R1991" s="11" t="s">
        <v>7226</v>
      </c>
      <c r="S1991" s="13" t="str">
        <f t="shared" si="20"/>
        <v>UPPER PENTICTON CREEK - PB</v>
      </c>
      <c r="T1991" s="11" t="s">
        <v>4344</v>
      </c>
      <c r="U1991" s="11">
        <v>1885.0</v>
      </c>
      <c r="V1991" s="11" t="s">
        <v>645</v>
      </c>
      <c r="W1991" s="11" t="s">
        <v>7227</v>
      </c>
      <c r="X1991" s="60" t="s">
        <v>7228</v>
      </c>
      <c r="Y1991" s="11" t="s">
        <v>7206</v>
      </c>
    </row>
    <row r="1992" ht="14.25" customHeight="1">
      <c r="A1992" s="5" t="s">
        <v>7135</v>
      </c>
      <c r="C1992" s="12" t="s">
        <v>7136</v>
      </c>
      <c r="D1992" s="10" t="str">
        <f t="shared" si="24"/>
        <v>'-&gt; PC</v>
      </c>
      <c r="F1992" s="10" t="str">
        <f t="shared" si="25"/>
        <v>'-&gt; Upper Penticton Creek - PC</v>
      </c>
      <c r="G1992" s="10" t="str">
        <f t="shared" si="26"/>
        <v>'-&gt; 119.377021 W, 49.674375 N, Elev. 1917 m</v>
      </c>
      <c r="M1992" s="11">
        <v>49.674375</v>
      </c>
      <c r="N1992" s="11">
        <v>-119.377021</v>
      </c>
      <c r="O1992" s="11" t="s">
        <v>142</v>
      </c>
      <c r="P1992" s="11" t="s">
        <v>7229</v>
      </c>
      <c r="Q1992" s="22">
        <v>8.0</v>
      </c>
      <c r="R1992" s="11" t="s">
        <v>7230</v>
      </c>
      <c r="S1992" s="13" t="str">
        <f t="shared" si="20"/>
        <v>UPPER PENTICTON CREEK - PC</v>
      </c>
      <c r="T1992" s="11" t="s">
        <v>4344</v>
      </c>
      <c r="U1992" s="11">
        <v>1917.0</v>
      </c>
      <c r="V1992" s="11"/>
      <c r="W1992" s="11" t="s">
        <v>7231</v>
      </c>
      <c r="X1992" s="60" t="s">
        <v>7232</v>
      </c>
      <c r="Y1992" s="11" t="s">
        <v>7206</v>
      </c>
    </row>
    <row r="1993" ht="14.25" customHeight="1">
      <c r="A1993" s="5" t="s">
        <v>7135</v>
      </c>
      <c r="C1993" s="12" t="s">
        <v>7136</v>
      </c>
      <c r="D1993" s="10" t="str">
        <f t="shared" si="24"/>
        <v>'-&gt; PJ</v>
      </c>
      <c r="F1993" s="10" t="str">
        <f t="shared" si="25"/>
        <v>'-&gt; Upper Penticton Creek - PJ</v>
      </c>
      <c r="G1993" s="10" t="str">
        <f t="shared" si="26"/>
        <v>'-&gt; 119.392864 W, 49.659806 N, Elev. 1677 m</v>
      </c>
      <c r="M1993" s="11">
        <v>49.659806</v>
      </c>
      <c r="N1993" s="11">
        <v>-119.392864</v>
      </c>
      <c r="O1993" s="11" t="s">
        <v>142</v>
      </c>
      <c r="P1993" s="11" t="s">
        <v>7233</v>
      </c>
      <c r="Q1993" s="22">
        <v>7.0</v>
      </c>
      <c r="R1993" s="11" t="s">
        <v>7234</v>
      </c>
      <c r="S1993" s="13" t="str">
        <f t="shared" si="20"/>
        <v>UPPER PENTICTON CREEK - PJ</v>
      </c>
      <c r="T1993" s="11" t="s">
        <v>4344</v>
      </c>
      <c r="U1993" s="11">
        <v>1677.0</v>
      </c>
      <c r="V1993" s="11"/>
      <c r="W1993" s="11" t="s">
        <v>7235</v>
      </c>
      <c r="X1993" s="60" t="s">
        <v>7236</v>
      </c>
      <c r="Y1993" s="11" t="s">
        <v>7206</v>
      </c>
    </row>
    <row r="1994" ht="14.25" customHeight="1">
      <c r="A1994" s="5" t="s">
        <v>7135</v>
      </c>
      <c r="C1994" s="12" t="s">
        <v>7136</v>
      </c>
      <c r="D1994" s="10" t="str">
        <f t="shared" si="24"/>
        <v>'-&gt; PL</v>
      </c>
      <c r="F1994" s="10" t="str">
        <f t="shared" si="25"/>
        <v>'-&gt; Upper Penticton Creek - PL</v>
      </c>
      <c r="G1994" s="10" t="str">
        <f t="shared" si="26"/>
        <v>'-&gt; 119.376919 W, 49.670023 N, Elev. 1853 m</v>
      </c>
      <c r="M1994" s="11">
        <v>49.670023</v>
      </c>
      <c r="N1994" s="11">
        <v>-119.376919</v>
      </c>
      <c r="O1994" s="11" t="s">
        <v>142</v>
      </c>
      <c r="P1994" s="11" t="s">
        <v>7237</v>
      </c>
      <c r="Q1994" s="22">
        <v>8.0</v>
      </c>
      <c r="R1994" s="11" t="s">
        <v>7238</v>
      </c>
      <c r="S1994" s="13" t="str">
        <f t="shared" si="20"/>
        <v>UPPER PENTICTON CREEK - PL</v>
      </c>
      <c r="T1994" s="11" t="s">
        <v>4344</v>
      </c>
      <c r="U1994" s="11">
        <v>1853.0</v>
      </c>
      <c r="V1994" s="11"/>
      <c r="W1994" s="11" t="s">
        <v>7227</v>
      </c>
      <c r="X1994" s="60" t="s">
        <v>7239</v>
      </c>
      <c r="Y1994" s="11" t="s">
        <v>7206</v>
      </c>
    </row>
    <row r="1995" ht="14.25" customHeight="1">
      <c r="B1995" s="5">
        <v>11.0</v>
      </c>
      <c r="C1995" s="5" t="s">
        <v>7700</v>
      </c>
      <c r="D1995" s="5" t="s">
        <v>7240</v>
      </c>
      <c r="E1995" s="5">
        <v>13048.0</v>
      </c>
      <c r="F1995" s="5" t="s">
        <v>7240</v>
      </c>
      <c r="G1995" s="5" t="s">
        <v>7241</v>
      </c>
      <c r="H1995" s="5" t="s">
        <v>84</v>
      </c>
      <c r="I1995" s="5" t="s">
        <v>49</v>
      </c>
      <c r="K1995" s="5">
        <v>1.0</v>
      </c>
      <c r="L1995" s="5">
        <v>14980.0</v>
      </c>
      <c r="M1995" s="11"/>
      <c r="N1995" s="11"/>
      <c r="O1995" s="11"/>
      <c r="P1995" s="11"/>
      <c r="Q1995" s="22"/>
      <c r="R1995" s="11"/>
      <c r="S1995" s="13"/>
      <c r="T1995" s="11"/>
      <c r="U1995" s="11"/>
      <c r="V1995" s="11"/>
      <c r="W1995" s="11"/>
      <c r="X1995" s="60"/>
      <c r="Y1995" s="11" t="s">
        <v>7185</v>
      </c>
    </row>
    <row r="1996" ht="14.25" customHeight="1">
      <c r="B1996" s="5">
        <v>11.0</v>
      </c>
      <c r="C1996" s="5" t="s">
        <v>7700</v>
      </c>
      <c r="D1996" s="5" t="s">
        <v>7242</v>
      </c>
      <c r="E1996" s="5">
        <v>13049.0</v>
      </c>
      <c r="F1996" s="5" t="s">
        <v>7242</v>
      </c>
      <c r="G1996" s="5" t="s">
        <v>7243</v>
      </c>
      <c r="H1996" s="5" t="s">
        <v>84</v>
      </c>
      <c r="I1996" s="5" t="s">
        <v>49</v>
      </c>
      <c r="K1996" s="5">
        <v>1.0</v>
      </c>
      <c r="L1996" s="5">
        <v>14981.0</v>
      </c>
      <c r="M1996" s="11"/>
      <c r="N1996" s="11"/>
      <c r="O1996" s="11"/>
      <c r="P1996" s="11"/>
      <c r="Q1996" s="22"/>
      <c r="R1996" s="11"/>
      <c r="S1996" s="13"/>
      <c r="T1996" s="11"/>
      <c r="U1996" s="11"/>
      <c r="V1996" s="11"/>
      <c r="W1996" s="11"/>
      <c r="X1996" s="60"/>
      <c r="Y1996" s="11" t="s">
        <v>7185</v>
      </c>
    </row>
    <row r="1997" ht="14.25" customHeight="1">
      <c r="B1997" s="5">
        <v>11.0</v>
      </c>
      <c r="C1997" s="5" t="s">
        <v>7700</v>
      </c>
      <c r="D1997" s="5" t="s">
        <v>7244</v>
      </c>
      <c r="E1997" s="5">
        <v>13050.0</v>
      </c>
      <c r="F1997" s="5" t="s">
        <v>7244</v>
      </c>
      <c r="G1997" s="5" t="s">
        <v>7245</v>
      </c>
      <c r="H1997" s="5" t="s">
        <v>84</v>
      </c>
      <c r="I1997" s="5" t="s">
        <v>49</v>
      </c>
      <c r="K1997" s="5">
        <v>1.0</v>
      </c>
      <c r="L1997" s="5">
        <v>14982.0</v>
      </c>
      <c r="M1997" s="11"/>
      <c r="N1997" s="11"/>
      <c r="O1997" s="11"/>
      <c r="P1997" s="11"/>
      <c r="Q1997" s="22"/>
      <c r="R1997" s="11"/>
      <c r="S1997" s="13"/>
      <c r="T1997" s="11"/>
      <c r="U1997" s="11"/>
      <c r="V1997" s="11"/>
      <c r="W1997" s="11"/>
      <c r="X1997" s="60"/>
      <c r="Y1997" s="11" t="s">
        <v>7185</v>
      </c>
    </row>
    <row r="1998" ht="14.25" customHeight="1">
      <c r="B1998" s="5">
        <v>11.0</v>
      </c>
      <c r="C1998" s="5" t="s">
        <v>7700</v>
      </c>
      <c r="D1998" s="5" t="s">
        <v>7246</v>
      </c>
      <c r="E1998" s="5">
        <v>13182.0</v>
      </c>
      <c r="F1998" s="5" t="s">
        <v>7247</v>
      </c>
      <c r="G1998" s="5" t="s">
        <v>7248</v>
      </c>
      <c r="H1998" s="5" t="s">
        <v>7249</v>
      </c>
      <c r="I1998" s="5" t="s">
        <v>49</v>
      </c>
      <c r="J1998" s="5" t="s">
        <v>7250</v>
      </c>
      <c r="K1998" s="5">
        <v>1.0</v>
      </c>
      <c r="L1998" s="5">
        <v>15104.0</v>
      </c>
      <c r="M1998" s="11">
        <v>54.510444</v>
      </c>
      <c r="N1998" s="11">
        <v>-126.614341</v>
      </c>
      <c r="O1998" s="11" t="s">
        <v>148</v>
      </c>
      <c r="P1998" s="11" t="s">
        <v>7246</v>
      </c>
      <c r="Q1998" s="22">
        <v>4.0</v>
      </c>
      <c r="R1998" s="11" t="s">
        <v>7247</v>
      </c>
      <c r="S1998" s="13" t="str">
        <f t="shared" ref="S1998:S2067" si="27">UPPER(R1998)</f>
        <v>BARRENWX</v>
      </c>
      <c r="T1998" s="11" t="s">
        <v>4344</v>
      </c>
      <c r="U1998" s="11">
        <v>1051.0</v>
      </c>
      <c r="V1998" s="11"/>
      <c r="W1998" s="11"/>
      <c r="X1998" s="60" t="s">
        <v>7251</v>
      </c>
      <c r="Y1998" s="11" t="s">
        <v>7252</v>
      </c>
    </row>
    <row r="1999" ht="14.25" customHeight="1">
      <c r="A1999" s="5" t="s">
        <v>1908</v>
      </c>
      <c r="B1999" s="5">
        <v>11.0</v>
      </c>
      <c r="C1999" s="5" t="s">
        <v>7700</v>
      </c>
      <c r="D1999" s="5" t="s">
        <v>7253</v>
      </c>
      <c r="E1999" s="5">
        <v>12055.0</v>
      </c>
      <c r="F1999" s="10" t="s">
        <v>7254</v>
      </c>
      <c r="G1999" s="10" t="s">
        <v>7255</v>
      </c>
      <c r="H1999" s="5" t="s">
        <v>7256</v>
      </c>
      <c r="I1999" s="5" t="s">
        <v>641</v>
      </c>
      <c r="J1999" s="5" t="s">
        <v>7257</v>
      </c>
      <c r="K1999" s="5">
        <v>1.0</v>
      </c>
      <c r="L1999" s="5">
        <v>14111.0</v>
      </c>
      <c r="M1999" s="11">
        <v>55.078885</v>
      </c>
      <c r="N1999" s="11">
        <v>-120.352171</v>
      </c>
      <c r="O1999" s="11" t="s">
        <v>153</v>
      </c>
      <c r="P1999" s="11" t="s">
        <v>7253</v>
      </c>
      <c r="Q1999" s="22">
        <v>8.0</v>
      </c>
      <c r="R1999" s="11" t="s">
        <v>7258</v>
      </c>
      <c r="S1999" s="13" t="str">
        <f t="shared" si="27"/>
        <v>BLACKHAWKWX</v>
      </c>
      <c r="T1999" s="11" t="s">
        <v>4344</v>
      </c>
      <c r="U1999" s="11">
        <v>962.0</v>
      </c>
      <c r="V1999" s="11"/>
      <c r="W1999" s="11" t="s">
        <v>7259</v>
      </c>
      <c r="X1999" s="60" t="s">
        <v>7260</v>
      </c>
      <c r="Y1999" s="11" t="s">
        <v>7252</v>
      </c>
    </row>
    <row r="2000" ht="14.25" customHeight="1">
      <c r="A2000" s="5" t="s">
        <v>88</v>
      </c>
      <c r="B2000" s="8">
        <v>11.0</v>
      </c>
      <c r="C2000" s="5" t="s">
        <v>7700</v>
      </c>
      <c r="D2000" s="5" t="s">
        <v>7261</v>
      </c>
      <c r="E2000" s="5">
        <v>12056.0</v>
      </c>
      <c r="F2000" s="5" t="s">
        <v>7262</v>
      </c>
      <c r="G2000" s="10" t="s">
        <v>7263</v>
      </c>
      <c r="H2000" s="5" t="s">
        <v>7264</v>
      </c>
      <c r="I2000" s="5" t="s">
        <v>641</v>
      </c>
      <c r="J2000" s="5" t="s">
        <v>7265</v>
      </c>
      <c r="K2000" s="5">
        <v>1.0</v>
      </c>
      <c r="L2000" s="5">
        <v>14112.0</v>
      </c>
      <c r="M2000" s="11">
        <v>55.108173</v>
      </c>
      <c r="N2000" s="11">
        <v>-127.37474</v>
      </c>
      <c r="O2000" s="11" t="s">
        <v>51</v>
      </c>
      <c r="P2000" s="11" t="s">
        <v>7266</v>
      </c>
      <c r="Q2000" s="22">
        <v>3.0</v>
      </c>
      <c r="R2000" s="11" t="s">
        <v>7267</v>
      </c>
      <c r="S2000" s="13" t="str">
        <f t="shared" si="27"/>
        <v>BOULDERWX</v>
      </c>
      <c r="T2000" s="11" t="s">
        <v>4344</v>
      </c>
      <c r="U2000" s="11">
        <v>385.0</v>
      </c>
      <c r="V2000" s="11"/>
      <c r="W2000" s="11" t="s">
        <v>7268</v>
      </c>
      <c r="X2000" s="60" t="s">
        <v>7269</v>
      </c>
      <c r="Y2000" s="9" t="s">
        <v>7252</v>
      </c>
    </row>
    <row r="2001" ht="14.25" customHeight="1">
      <c r="A2001" s="5" t="s">
        <v>2037</v>
      </c>
      <c r="B2001" s="8">
        <v>11.0</v>
      </c>
      <c r="C2001" s="5" t="s">
        <v>7700</v>
      </c>
      <c r="D2001" s="5" t="s">
        <v>7270</v>
      </c>
      <c r="E2001" s="5">
        <v>12438.0</v>
      </c>
      <c r="F2001" s="10" t="s">
        <v>7271</v>
      </c>
      <c r="G2001" s="5" t="s">
        <v>7272</v>
      </c>
      <c r="H2001" s="5" t="s">
        <v>7273</v>
      </c>
      <c r="I2001" s="5" t="s">
        <v>49</v>
      </c>
      <c r="J2001" s="5" t="s">
        <v>7257</v>
      </c>
      <c r="K2001" s="5">
        <v>1.0</v>
      </c>
      <c r="L2001" s="5">
        <v>14460.0</v>
      </c>
      <c r="M2001" s="11">
        <v>53.902111</v>
      </c>
      <c r="N2001" s="11">
        <v>-122.015389</v>
      </c>
      <c r="O2001" s="11" t="s">
        <v>1290</v>
      </c>
      <c r="P2001" s="11" t="s">
        <v>7270</v>
      </c>
      <c r="Q2001" s="22">
        <v>1.0</v>
      </c>
      <c r="R2001" s="11" t="s">
        <v>7270</v>
      </c>
      <c r="S2001" s="13" t="str">
        <f t="shared" si="27"/>
        <v>BOWRONPIT</v>
      </c>
      <c r="T2001" s="11" t="s">
        <v>4344</v>
      </c>
      <c r="U2001" s="11">
        <v>722.0</v>
      </c>
      <c r="V2001" s="11"/>
      <c r="W2001" s="11" t="s">
        <v>7274</v>
      </c>
      <c r="X2001" s="60" t="s">
        <v>7275</v>
      </c>
      <c r="Y2001" s="9" t="s">
        <v>7252</v>
      </c>
    </row>
    <row r="2002" ht="14.25" customHeight="1">
      <c r="A2002" s="5" t="s">
        <v>88</v>
      </c>
      <c r="B2002" s="8">
        <v>11.0</v>
      </c>
      <c r="C2002" s="5" t="s">
        <v>7700</v>
      </c>
      <c r="D2002" s="5">
        <v>1113694.0</v>
      </c>
      <c r="E2002" s="5">
        <v>1604.0</v>
      </c>
      <c r="F2002" s="5" t="s">
        <v>7276</v>
      </c>
      <c r="G2002" s="10" t="s">
        <v>7277</v>
      </c>
      <c r="H2002" s="5" t="s">
        <v>7278</v>
      </c>
      <c r="I2002" s="5" t="s">
        <v>641</v>
      </c>
      <c r="J2002" s="5" t="s">
        <v>7279</v>
      </c>
      <c r="K2002" s="5">
        <v>1.0</v>
      </c>
      <c r="L2002" s="5">
        <v>2007.0</v>
      </c>
      <c r="M2002" s="11">
        <v>53.772183</v>
      </c>
      <c r="N2002" s="11">
        <v>-122.720729</v>
      </c>
      <c r="O2002" s="11" t="s">
        <v>1290</v>
      </c>
      <c r="P2002" s="11" t="s">
        <v>7280</v>
      </c>
      <c r="Q2002" s="22">
        <v>1.0</v>
      </c>
      <c r="R2002" s="11" t="s">
        <v>7276</v>
      </c>
      <c r="S2002" s="13" t="str">
        <f t="shared" si="27"/>
        <v>BULKLEYWX</v>
      </c>
      <c r="T2002" s="11" t="s">
        <v>4344</v>
      </c>
      <c r="U2002" s="11">
        <v>594.0</v>
      </c>
      <c r="V2002" s="11"/>
      <c r="W2002" s="11" t="s">
        <v>7281</v>
      </c>
      <c r="X2002" s="60" t="s">
        <v>7282</v>
      </c>
      <c r="Y2002" s="9" t="s">
        <v>7252</v>
      </c>
    </row>
    <row r="2003" ht="14.25" customHeight="1">
      <c r="B2003" s="8">
        <v>11.0</v>
      </c>
      <c r="C2003" s="5" t="s">
        <v>7700</v>
      </c>
      <c r="D2003" s="5" t="s">
        <v>7283</v>
      </c>
      <c r="E2003" s="5">
        <v>12057.0</v>
      </c>
      <c r="F2003" s="5" t="s">
        <v>7284</v>
      </c>
      <c r="G2003" s="5" t="s">
        <v>7285</v>
      </c>
      <c r="H2003" s="5" t="s">
        <v>7286</v>
      </c>
      <c r="I2003" s="5" t="s">
        <v>641</v>
      </c>
      <c r="J2003" s="5" t="s">
        <v>7287</v>
      </c>
      <c r="K2003" s="5">
        <v>1.0</v>
      </c>
      <c r="L2003" s="5">
        <v>14113.0</v>
      </c>
      <c r="M2003" s="11">
        <v>52.70982</v>
      </c>
      <c r="N2003" s="11">
        <v>-119.19126</v>
      </c>
      <c r="O2003" s="11" t="s">
        <v>170</v>
      </c>
      <c r="P2003" s="11" t="s">
        <v>7284</v>
      </c>
      <c r="Q2003" s="22">
        <v>8.0</v>
      </c>
      <c r="R2003" s="11" t="s">
        <v>7284</v>
      </c>
      <c r="S2003" s="13" t="str">
        <f t="shared" si="27"/>
        <v>CANOE MOUNTAIN STN</v>
      </c>
      <c r="T2003" s="11" t="s">
        <v>4344</v>
      </c>
      <c r="U2003" s="11">
        <v>2210.0</v>
      </c>
      <c r="V2003" s="11"/>
      <c r="W2003" s="11" t="s">
        <v>7288</v>
      </c>
      <c r="X2003" s="60" t="s">
        <v>7289</v>
      </c>
      <c r="Y2003" s="9" t="s">
        <v>7252</v>
      </c>
    </row>
    <row r="2004" ht="14.25" customHeight="1">
      <c r="B2004" s="8">
        <v>11.0</v>
      </c>
      <c r="C2004" s="5" t="s">
        <v>7700</v>
      </c>
      <c r="D2004" s="5" t="s">
        <v>7290</v>
      </c>
      <c r="E2004" s="5">
        <v>13220.0</v>
      </c>
      <c r="F2004" s="5" t="s">
        <v>7290</v>
      </c>
      <c r="G2004" s="5" t="s">
        <v>7291</v>
      </c>
      <c r="H2004" s="5" t="s">
        <v>7292</v>
      </c>
      <c r="I2004" s="5" t="s">
        <v>49</v>
      </c>
      <c r="J2004" s="5" t="s">
        <v>7287</v>
      </c>
      <c r="K2004" s="5">
        <v>1.0</v>
      </c>
      <c r="L2004" s="5">
        <v>15136.0</v>
      </c>
      <c r="M2004" s="11">
        <v>58.35718</v>
      </c>
      <c r="N2004" s="11">
        <v>-129.54637</v>
      </c>
      <c r="O2004" s="11" t="s">
        <v>1577</v>
      </c>
      <c r="P2004" s="11" t="s">
        <v>7293</v>
      </c>
      <c r="Q2004" s="22">
        <v>8.0</v>
      </c>
      <c r="R2004" s="11" t="s">
        <v>7290</v>
      </c>
      <c r="S2004" s="13" t="str">
        <f t="shared" si="27"/>
        <v>CARIBOU PASS</v>
      </c>
      <c r="T2004" s="11" t="s">
        <v>4344</v>
      </c>
      <c r="U2004" s="11">
        <v>1744.0</v>
      </c>
      <c r="V2004" s="11"/>
      <c r="W2004" s="11" t="s">
        <v>7294</v>
      </c>
      <c r="X2004" s="60" t="s">
        <v>7295</v>
      </c>
      <c r="Y2004" s="9" t="s">
        <v>7252</v>
      </c>
    </row>
    <row r="2005" ht="14.25" customHeight="1">
      <c r="B2005" s="8">
        <v>11.0</v>
      </c>
      <c r="C2005" s="5" t="s">
        <v>7700</v>
      </c>
      <c r="D2005" s="5" t="s">
        <v>7296</v>
      </c>
      <c r="E2005" s="5">
        <v>13184.0</v>
      </c>
      <c r="F2005" s="5" t="s">
        <v>7297</v>
      </c>
      <c r="G2005" s="5" t="s">
        <v>7298</v>
      </c>
      <c r="H2005" s="5" t="s">
        <v>7299</v>
      </c>
      <c r="I2005" s="5" t="s">
        <v>49</v>
      </c>
      <c r="J2005" s="5" t="s">
        <v>7250</v>
      </c>
      <c r="K2005" s="5">
        <v>1.0</v>
      </c>
      <c r="L2005" s="5">
        <v>15106.0</v>
      </c>
      <c r="M2005" s="11">
        <v>54.883903</v>
      </c>
      <c r="N2005" s="11">
        <v>-126.623533</v>
      </c>
      <c r="O2005" s="11" t="s">
        <v>1290</v>
      </c>
      <c r="P2005" s="11" t="s">
        <v>7296</v>
      </c>
      <c r="Q2005" s="22">
        <v>2.0</v>
      </c>
      <c r="R2005" s="11" t="s">
        <v>7297</v>
      </c>
      <c r="S2005" s="13" t="str">
        <f t="shared" si="27"/>
        <v>CHAPMANWX</v>
      </c>
      <c r="T2005" s="11" t="s">
        <v>4344</v>
      </c>
      <c r="U2005" s="11">
        <v>848.0</v>
      </c>
      <c r="V2005" s="11"/>
      <c r="W2005" s="11"/>
      <c r="X2005" s="60" t="s">
        <v>7300</v>
      </c>
      <c r="Y2005" s="9" t="s">
        <v>7252</v>
      </c>
    </row>
    <row r="2006" ht="14.25" customHeight="1">
      <c r="A2006" s="5" t="s">
        <v>88</v>
      </c>
      <c r="B2006" s="8">
        <v>11.0</v>
      </c>
      <c r="C2006" s="5" t="s">
        <v>7700</v>
      </c>
      <c r="D2006" s="5" t="s">
        <v>7301</v>
      </c>
      <c r="E2006" s="5">
        <v>13070.0</v>
      </c>
      <c r="F2006" s="5" t="s">
        <v>7302</v>
      </c>
      <c r="G2006" s="10" t="s">
        <v>7303</v>
      </c>
      <c r="H2006" s="5" t="s">
        <v>7304</v>
      </c>
      <c r="I2006" s="5" t="s">
        <v>49</v>
      </c>
      <c r="J2006" s="5" t="s">
        <v>7265</v>
      </c>
      <c r="K2006" s="5">
        <v>1.0</v>
      </c>
      <c r="L2006" s="5">
        <v>14994.0</v>
      </c>
      <c r="M2006" s="11">
        <v>54.238028</v>
      </c>
      <c r="N2006" s="11">
        <v>-122.877306</v>
      </c>
      <c r="O2006" s="11" t="s">
        <v>1290</v>
      </c>
      <c r="P2006" s="11" t="s">
        <v>7305</v>
      </c>
      <c r="Q2006" s="22">
        <v>1.0</v>
      </c>
      <c r="R2006" s="11" t="s">
        <v>7306</v>
      </c>
      <c r="S2006" s="13" t="str">
        <f t="shared" si="27"/>
        <v>CHIEFLAKEWX</v>
      </c>
      <c r="T2006" s="11" t="s">
        <v>4344</v>
      </c>
      <c r="U2006" s="11">
        <v>720.0</v>
      </c>
      <c r="V2006" s="11"/>
      <c r="W2006" s="11" t="s">
        <v>7307</v>
      </c>
      <c r="X2006" s="60" t="s">
        <v>7308</v>
      </c>
      <c r="Y2006" s="9" t="s">
        <v>7252</v>
      </c>
    </row>
    <row r="2007" ht="14.25" customHeight="1">
      <c r="B2007" s="8">
        <v>11.0</v>
      </c>
      <c r="C2007" s="5" t="s">
        <v>7700</v>
      </c>
      <c r="D2007" s="5" t="s">
        <v>7309</v>
      </c>
      <c r="E2007" s="5">
        <v>12439.0</v>
      </c>
      <c r="F2007" s="5" t="s">
        <v>7310</v>
      </c>
      <c r="G2007" s="5" t="s">
        <v>7311</v>
      </c>
      <c r="H2007" s="5" t="s">
        <v>7312</v>
      </c>
      <c r="I2007" s="5" t="s">
        <v>49</v>
      </c>
      <c r="J2007" s="5" t="s">
        <v>7313</v>
      </c>
      <c r="K2007" s="5">
        <v>1.0</v>
      </c>
      <c r="L2007" s="5">
        <v>14461.0</v>
      </c>
      <c r="M2007" s="11">
        <v>53.741139</v>
      </c>
      <c r="N2007" s="11">
        <v>-121.784639</v>
      </c>
      <c r="O2007" s="11" t="s">
        <v>170</v>
      </c>
      <c r="P2007" s="11" t="s">
        <v>7309</v>
      </c>
      <c r="Q2007" s="22">
        <v>1.0</v>
      </c>
      <c r="R2007" s="11" t="s">
        <v>7309</v>
      </c>
      <c r="S2007" s="13" t="str">
        <f t="shared" si="27"/>
        <v>COALMINEWX</v>
      </c>
      <c r="T2007" s="11" t="s">
        <v>4344</v>
      </c>
      <c r="U2007" s="11">
        <v>840.0</v>
      </c>
      <c r="V2007" s="11"/>
      <c r="W2007" s="11" t="s">
        <v>7314</v>
      </c>
      <c r="X2007" s="60" t="s">
        <v>7315</v>
      </c>
      <c r="Y2007" s="9" t="s">
        <v>7252</v>
      </c>
    </row>
    <row r="2008" ht="14.25" customHeight="1">
      <c r="A2008" s="5" t="s">
        <v>88</v>
      </c>
      <c r="B2008" s="8">
        <v>11.0</v>
      </c>
      <c r="C2008" s="5" t="s">
        <v>7700</v>
      </c>
      <c r="D2008" s="5">
        <v>1113682.0</v>
      </c>
      <c r="E2008" s="5">
        <v>1606.0</v>
      </c>
      <c r="F2008" s="5" t="s">
        <v>7316</v>
      </c>
      <c r="G2008" s="5" t="s">
        <v>7317</v>
      </c>
      <c r="H2008" s="5" t="s">
        <v>7318</v>
      </c>
      <c r="I2008" s="5" t="s">
        <v>641</v>
      </c>
      <c r="J2008" s="5" t="s">
        <v>7279</v>
      </c>
      <c r="K2008" s="5">
        <v>1.0</v>
      </c>
      <c r="L2008" s="5">
        <v>2009.0</v>
      </c>
      <c r="M2008" s="11">
        <v>53.753775</v>
      </c>
      <c r="N2008" s="11">
        <v>-122.718864</v>
      </c>
      <c r="O2008" s="11" t="s">
        <v>1290</v>
      </c>
      <c r="P2008" s="11" t="s">
        <v>7319</v>
      </c>
      <c r="Q2008" s="22">
        <v>1.0</v>
      </c>
      <c r="R2008" s="11" t="s">
        <v>7316</v>
      </c>
      <c r="S2008" s="13" t="str">
        <f t="shared" si="27"/>
        <v>CPFWX</v>
      </c>
      <c r="T2008" s="11" t="s">
        <v>4344</v>
      </c>
      <c r="U2008" s="11">
        <v>593.0</v>
      </c>
      <c r="V2008" s="11"/>
      <c r="W2008" s="11" t="s">
        <v>7320</v>
      </c>
      <c r="X2008" s="60" t="s">
        <v>7321</v>
      </c>
      <c r="Y2008" s="9" t="s">
        <v>7252</v>
      </c>
    </row>
    <row r="2009" ht="14.25" customHeight="1">
      <c r="A2009" s="5" t="s">
        <v>7135</v>
      </c>
      <c r="B2009" s="8"/>
      <c r="C2009" s="12" t="s">
        <v>7136</v>
      </c>
      <c r="D2009" s="10" t="str">
        <f>CONCATENATE("'-&gt; ",P2009)</f>
        <v>'-&gt; CrookedLk</v>
      </c>
      <c r="F2009" s="10" t="str">
        <f>CONCATENATE("'-&gt; ",R2009)</f>
        <v>'-&gt; CrookedLk</v>
      </c>
      <c r="G2009" s="10" t="str">
        <f>CONCATENATE("'-&gt; ",-1*N2009," W, ",M2009," N, Elev. ",U2009," m")</f>
        <v>'-&gt; 126.42886 W, 59.88626 N, Elev. 669 m</v>
      </c>
      <c r="M2009" s="11">
        <v>59.88626</v>
      </c>
      <c r="N2009" s="11">
        <v>-126.42886</v>
      </c>
      <c r="O2009" s="11" t="s">
        <v>1577</v>
      </c>
      <c r="P2009" s="11" t="s">
        <v>7322</v>
      </c>
      <c r="Q2009" s="22">
        <v>1.0</v>
      </c>
      <c r="R2009" s="11" t="s">
        <v>7322</v>
      </c>
      <c r="S2009" s="13" t="str">
        <f t="shared" si="27"/>
        <v>CROOKEDLK</v>
      </c>
      <c r="T2009" s="11" t="s">
        <v>4344</v>
      </c>
      <c r="U2009" s="11">
        <v>669.0</v>
      </c>
      <c r="V2009" s="11"/>
      <c r="W2009" s="11" t="s">
        <v>7323</v>
      </c>
      <c r="X2009" s="60" t="s">
        <v>7324</v>
      </c>
      <c r="Y2009" s="9" t="s">
        <v>7252</v>
      </c>
    </row>
    <row r="2010" ht="14.25" customHeight="1">
      <c r="A2010" s="5" t="s">
        <v>88</v>
      </c>
      <c r="B2010" s="8">
        <v>11.0</v>
      </c>
      <c r="C2010" s="5" t="s">
        <v>7700</v>
      </c>
      <c r="D2010" s="5" t="s">
        <v>7325</v>
      </c>
      <c r="E2010" s="5">
        <v>12058.0</v>
      </c>
      <c r="F2010" s="5" t="s">
        <v>7326</v>
      </c>
      <c r="G2010" s="10" t="s">
        <v>7327</v>
      </c>
      <c r="H2010" s="5" t="s">
        <v>7328</v>
      </c>
      <c r="I2010" s="5" t="s">
        <v>641</v>
      </c>
      <c r="J2010" s="5" t="s">
        <v>7265</v>
      </c>
      <c r="K2010" s="5">
        <v>1.0</v>
      </c>
      <c r="L2010" s="5">
        <v>14114.0</v>
      </c>
      <c r="M2010" s="11">
        <v>54.423494</v>
      </c>
      <c r="N2010" s="11">
        <v>-122.627844</v>
      </c>
      <c r="O2010" s="11" t="s">
        <v>1290</v>
      </c>
      <c r="P2010" s="11" t="s">
        <v>7329</v>
      </c>
      <c r="Q2010" s="22">
        <v>1.0</v>
      </c>
      <c r="R2010" s="11" t="s">
        <v>7330</v>
      </c>
      <c r="S2010" s="13" t="str">
        <f t="shared" si="27"/>
        <v>CRYSTALWX</v>
      </c>
      <c r="T2010" s="11" t="s">
        <v>4344</v>
      </c>
      <c r="U2010" s="11">
        <v>744.0</v>
      </c>
      <c r="V2010" s="11"/>
      <c r="W2010" s="11" t="s">
        <v>7331</v>
      </c>
      <c r="X2010" s="60" t="s">
        <v>7332</v>
      </c>
      <c r="Y2010" s="9" t="s">
        <v>7252</v>
      </c>
    </row>
    <row r="2011" ht="14.25" customHeight="1">
      <c r="A2011" s="5" t="s">
        <v>7135</v>
      </c>
      <c r="B2011" s="8"/>
      <c r="C2011" s="12" t="s">
        <v>7136</v>
      </c>
      <c r="D2011" s="10" t="str">
        <f>CONCATENATE("'-&gt; ",P2011)</f>
        <v>'-&gt; PGTISDavis</v>
      </c>
      <c r="F2011" s="10" t="str">
        <f>CONCATENATE("'-&gt; ",R2011)</f>
        <v>'-&gt; DavisPGTIS</v>
      </c>
      <c r="G2011" s="10" t="str">
        <f>CONCATENATE("'-&gt; ",-1*N2011," W, ",M2011," N, Elev. ",U2011," m")</f>
        <v>'-&gt; 122.7229 W, 53.77202 N, Elev. 613 m</v>
      </c>
      <c r="M2011" s="47">
        <v>53.77202</v>
      </c>
      <c r="N2011" s="47">
        <v>-122.7229</v>
      </c>
      <c r="O2011" s="11" t="s">
        <v>1290</v>
      </c>
      <c r="P2011" s="11" t="s">
        <v>7333</v>
      </c>
      <c r="Q2011" s="22">
        <v>1.0</v>
      </c>
      <c r="R2011" s="11" t="s">
        <v>7334</v>
      </c>
      <c r="S2011" s="13" t="str">
        <f t="shared" si="27"/>
        <v>DAVISPGTIS</v>
      </c>
      <c r="T2011" s="11" t="s">
        <v>4344</v>
      </c>
      <c r="U2011" s="11">
        <v>613.0</v>
      </c>
      <c r="V2011" s="11"/>
      <c r="W2011" s="11" t="s">
        <v>7335</v>
      </c>
      <c r="X2011" s="60" t="s">
        <v>7336</v>
      </c>
      <c r="Y2011" s="9" t="s">
        <v>7252</v>
      </c>
    </row>
    <row r="2012" ht="14.25" customHeight="1">
      <c r="A2012" s="5" t="s">
        <v>88</v>
      </c>
      <c r="B2012" s="8">
        <v>11.0</v>
      </c>
      <c r="C2012" s="5" t="s">
        <v>7700</v>
      </c>
      <c r="D2012" s="5" t="s">
        <v>7337</v>
      </c>
      <c r="E2012" s="5">
        <v>13256.0</v>
      </c>
      <c r="F2012" s="5" t="s">
        <v>7337</v>
      </c>
      <c r="G2012" s="10" t="s">
        <v>7338</v>
      </c>
      <c r="H2012" s="5" t="s">
        <v>7339</v>
      </c>
      <c r="I2012" s="5" t="s">
        <v>49</v>
      </c>
      <c r="J2012" s="5" t="s">
        <v>7250</v>
      </c>
      <c r="K2012" s="5">
        <v>1.0</v>
      </c>
      <c r="L2012" s="5">
        <v>15172.0</v>
      </c>
      <c r="M2012" s="11">
        <v>54.78217</v>
      </c>
      <c r="N2012" s="11">
        <v>-127.514341</v>
      </c>
      <c r="O2012" s="11" t="s">
        <v>148</v>
      </c>
      <c r="P2012" s="11" t="s">
        <v>7340</v>
      </c>
      <c r="Q2012" s="22">
        <v>3.0</v>
      </c>
      <c r="R2012" s="11" t="s">
        <v>7337</v>
      </c>
      <c r="S2012" s="13" t="str">
        <f t="shared" si="27"/>
        <v>DENNIS</v>
      </c>
      <c r="T2012" s="11" t="s">
        <v>4344</v>
      </c>
      <c r="U2012" s="11">
        <v>980.0</v>
      </c>
      <c r="V2012" s="11"/>
      <c r="W2012" s="11"/>
      <c r="X2012" s="60" t="s">
        <v>7341</v>
      </c>
      <c r="Y2012" s="9" t="s">
        <v>7252</v>
      </c>
    </row>
    <row r="2013" ht="14.25" customHeight="1">
      <c r="A2013" s="5" t="s">
        <v>1908</v>
      </c>
      <c r="B2013" s="8">
        <v>11.0</v>
      </c>
      <c r="C2013" s="5" t="s">
        <v>7700</v>
      </c>
      <c r="D2013" s="5" t="s">
        <v>7342</v>
      </c>
      <c r="E2013" s="5">
        <v>12059.0</v>
      </c>
      <c r="F2013" s="10" t="s">
        <v>7343</v>
      </c>
      <c r="G2013" s="10" t="s">
        <v>7344</v>
      </c>
      <c r="H2013" s="5" t="s">
        <v>7345</v>
      </c>
      <c r="I2013" s="5" t="s">
        <v>641</v>
      </c>
      <c r="J2013" s="5" t="s">
        <v>7257</v>
      </c>
      <c r="K2013" s="5">
        <v>1.0</v>
      </c>
      <c r="L2013" s="5">
        <v>14115.0</v>
      </c>
      <c r="M2013" s="11">
        <v>53.114909</v>
      </c>
      <c r="N2013" s="11">
        <v>-119.835293</v>
      </c>
      <c r="O2013" s="11" t="s">
        <v>170</v>
      </c>
      <c r="P2013" s="16" t="s">
        <v>7342</v>
      </c>
      <c r="Q2013" s="22">
        <v>1.0</v>
      </c>
      <c r="R2013" s="11" t="s">
        <v>7346</v>
      </c>
      <c r="S2013" s="13" t="str">
        <f t="shared" si="27"/>
        <v>DUNSTERWX</v>
      </c>
      <c r="T2013" s="11" t="s">
        <v>4344</v>
      </c>
      <c r="U2013" s="11">
        <v>890.0</v>
      </c>
      <c r="V2013" s="11"/>
      <c r="W2013" s="11" t="s">
        <v>7347</v>
      </c>
      <c r="X2013" s="60" t="s">
        <v>7348</v>
      </c>
      <c r="Y2013" s="9" t="s">
        <v>7252</v>
      </c>
    </row>
    <row r="2014" ht="14.25" customHeight="1">
      <c r="A2014" s="5" t="s">
        <v>88</v>
      </c>
      <c r="B2014" s="8">
        <v>11.0</v>
      </c>
      <c r="C2014" s="5" t="s">
        <v>7700</v>
      </c>
      <c r="D2014" s="5">
        <v>1159701.0</v>
      </c>
      <c r="E2014" s="5">
        <v>1600.0</v>
      </c>
      <c r="F2014" s="5" t="s">
        <v>7349</v>
      </c>
      <c r="G2014" s="10" t="s">
        <v>7350</v>
      </c>
      <c r="H2014" s="5" t="s">
        <v>7351</v>
      </c>
      <c r="I2014" s="5" t="s">
        <v>641</v>
      </c>
      <c r="J2014" s="5" t="s">
        <v>7265</v>
      </c>
      <c r="K2014" s="5">
        <v>1.0</v>
      </c>
      <c r="L2014" s="5">
        <v>2003.0</v>
      </c>
      <c r="M2014" s="11">
        <v>54.422392</v>
      </c>
      <c r="N2014" s="11">
        <v>-125.991293</v>
      </c>
      <c r="O2014" s="11" t="s">
        <v>148</v>
      </c>
      <c r="P2014" s="11" t="s">
        <v>7352</v>
      </c>
      <c r="Q2014" s="22">
        <v>1.0</v>
      </c>
      <c r="R2014" s="11" t="s">
        <v>7349</v>
      </c>
      <c r="S2014" s="13" t="str">
        <f t="shared" si="27"/>
        <v>ENDAKOWX</v>
      </c>
      <c r="T2014" s="11" t="s">
        <v>4344</v>
      </c>
      <c r="U2014" s="11">
        <v>851.0</v>
      </c>
      <c r="V2014" s="11"/>
      <c r="W2014" s="11" t="s">
        <v>7353</v>
      </c>
      <c r="X2014" s="60" t="s">
        <v>7354</v>
      </c>
      <c r="Y2014" s="9" t="s">
        <v>7252</v>
      </c>
    </row>
    <row r="2015" ht="14.25" customHeight="1">
      <c r="A2015" s="5" t="s">
        <v>88</v>
      </c>
      <c r="B2015" s="8">
        <v>11.0</v>
      </c>
      <c r="C2015" s="5" t="s">
        <v>7700</v>
      </c>
      <c r="D2015" s="5">
        <v>1177893.0</v>
      </c>
      <c r="E2015" s="5">
        <v>1602.0</v>
      </c>
      <c r="F2015" s="5" t="s">
        <v>7355</v>
      </c>
      <c r="G2015" s="10" t="s">
        <v>7356</v>
      </c>
      <c r="H2015" s="5" t="s">
        <v>7357</v>
      </c>
      <c r="I2015" s="5" t="s">
        <v>641</v>
      </c>
      <c r="J2015" s="5" t="s">
        <v>7358</v>
      </c>
      <c r="K2015" s="5">
        <v>1.0</v>
      </c>
      <c r="L2015" s="5">
        <v>2005.0</v>
      </c>
      <c r="M2015" s="11">
        <v>53.883555</v>
      </c>
      <c r="N2015" s="11">
        <v>-124.710668</v>
      </c>
      <c r="O2015" s="11" t="s">
        <v>148</v>
      </c>
      <c r="P2015" s="11" t="s">
        <v>7359</v>
      </c>
      <c r="Q2015" s="22">
        <v>2.0</v>
      </c>
      <c r="R2015" s="11" t="s">
        <v>7355</v>
      </c>
      <c r="S2015" s="13" t="str">
        <f t="shared" si="27"/>
        <v>GEORGEWX</v>
      </c>
      <c r="T2015" s="11" t="s">
        <v>4344</v>
      </c>
      <c r="U2015" s="11">
        <v>859.0</v>
      </c>
      <c r="V2015" s="11"/>
      <c r="W2015" s="11" t="s">
        <v>7360</v>
      </c>
      <c r="X2015" s="60" t="s">
        <v>7361</v>
      </c>
      <c r="Y2015" s="9" t="s">
        <v>7252</v>
      </c>
    </row>
    <row r="2016" ht="14.25" customHeight="1">
      <c r="B2016" s="8">
        <v>11.0</v>
      </c>
      <c r="C2016" s="5" t="s">
        <v>7700</v>
      </c>
      <c r="D2016" s="5" t="s">
        <v>7362</v>
      </c>
      <c r="E2016" s="5">
        <v>12433.0</v>
      </c>
      <c r="F2016" s="5" t="s">
        <v>7363</v>
      </c>
      <c r="G2016" s="5" t="s">
        <v>7364</v>
      </c>
      <c r="H2016" s="5" t="s">
        <v>7365</v>
      </c>
      <c r="I2016" s="5" t="s">
        <v>641</v>
      </c>
      <c r="J2016" s="5" t="s">
        <v>7287</v>
      </c>
      <c r="K2016" s="5">
        <v>1.0</v>
      </c>
      <c r="L2016" s="5">
        <v>14455.0</v>
      </c>
      <c r="M2016" s="11">
        <v>58.18275</v>
      </c>
      <c r="N2016" s="11">
        <v>-129.89044</v>
      </c>
      <c r="O2016" s="11" t="s">
        <v>1577</v>
      </c>
      <c r="P2016" s="11" t="s">
        <v>7362</v>
      </c>
      <c r="Q2016" s="22">
        <v>7.0</v>
      </c>
      <c r="R2016" s="11" t="s">
        <v>7362</v>
      </c>
      <c r="S2016" s="13" t="str">
        <f t="shared" si="27"/>
        <v>GNAT PASS STN</v>
      </c>
      <c r="T2016" s="11" t="s">
        <v>4344</v>
      </c>
      <c r="U2016" s="11">
        <v>1656.0</v>
      </c>
      <c r="V2016" s="11" t="s">
        <v>645</v>
      </c>
      <c r="W2016" s="11" t="s">
        <v>7366</v>
      </c>
      <c r="X2016" s="60" t="s">
        <v>7367</v>
      </c>
      <c r="Y2016" s="9" t="s">
        <v>7252</v>
      </c>
    </row>
    <row r="2017" ht="14.25" customHeight="1">
      <c r="B2017" s="8">
        <v>11.0</v>
      </c>
      <c r="C2017" s="5" t="s">
        <v>7700</v>
      </c>
      <c r="D2017" s="5" t="s">
        <v>7368</v>
      </c>
      <c r="E2017" s="5">
        <v>12435.0</v>
      </c>
      <c r="F2017" s="5" t="s">
        <v>7369</v>
      </c>
      <c r="G2017" s="5" t="s">
        <v>7370</v>
      </c>
      <c r="H2017" s="5" t="s">
        <v>7371</v>
      </c>
      <c r="I2017" s="5" t="s">
        <v>49</v>
      </c>
      <c r="J2017" s="5" t="s">
        <v>7287</v>
      </c>
      <c r="K2017" s="5">
        <v>1.0</v>
      </c>
      <c r="L2017" s="5">
        <v>14457.0</v>
      </c>
      <c r="M2017" s="11">
        <v>58.745694</v>
      </c>
      <c r="N2017" s="11">
        <v>-123.977778</v>
      </c>
      <c r="O2017" s="11" t="s">
        <v>2008</v>
      </c>
      <c r="P2017" s="11" t="s">
        <v>7368</v>
      </c>
      <c r="Q2017" s="22">
        <v>8.0</v>
      </c>
      <c r="R2017" s="11" t="s">
        <v>7369</v>
      </c>
      <c r="S2017" s="13" t="str">
        <f t="shared" si="27"/>
        <v>GUNNEL3</v>
      </c>
      <c r="T2017" s="11" t="s">
        <v>4344</v>
      </c>
      <c r="U2017" s="11">
        <v>1486.0</v>
      </c>
      <c r="V2017" s="11"/>
      <c r="W2017" s="11" t="s">
        <v>7372</v>
      </c>
      <c r="X2017" s="60" t="s">
        <v>7373</v>
      </c>
      <c r="Y2017" s="9" t="s">
        <v>7252</v>
      </c>
    </row>
    <row r="2018" ht="14.25" customHeight="1">
      <c r="A2018" s="5" t="s">
        <v>88</v>
      </c>
      <c r="B2018" s="8">
        <v>11.0</v>
      </c>
      <c r="C2018" s="5" t="s">
        <v>7700</v>
      </c>
      <c r="D2018" s="5">
        <v>1113693.0</v>
      </c>
      <c r="E2018" s="5">
        <v>1595.0</v>
      </c>
      <c r="F2018" s="5" t="s">
        <v>7374</v>
      </c>
      <c r="G2018" s="10" t="s">
        <v>7375</v>
      </c>
      <c r="H2018" s="5" t="s">
        <v>7376</v>
      </c>
      <c r="I2018" s="5" t="s">
        <v>641</v>
      </c>
      <c r="J2018" s="5" t="s">
        <v>7377</v>
      </c>
      <c r="K2018" s="5">
        <v>1.0</v>
      </c>
      <c r="L2018" s="5">
        <v>1998.0</v>
      </c>
      <c r="M2018" s="11">
        <v>58.75475</v>
      </c>
      <c r="N2018" s="11">
        <v>-123.977683</v>
      </c>
      <c r="O2018" s="11" t="s">
        <v>2008</v>
      </c>
      <c r="P2018" s="11" t="s">
        <v>7378</v>
      </c>
      <c r="Q2018" s="22">
        <v>8.0</v>
      </c>
      <c r="R2018" s="11" t="s">
        <v>7374</v>
      </c>
      <c r="S2018" s="13" t="str">
        <f t="shared" si="27"/>
        <v>GUNNELWX</v>
      </c>
      <c r="T2018" s="11" t="s">
        <v>4344</v>
      </c>
      <c r="U2018" s="11">
        <v>1460.0</v>
      </c>
      <c r="V2018" s="11" t="s">
        <v>645</v>
      </c>
      <c r="W2018" s="11" t="s">
        <v>7379</v>
      </c>
      <c r="X2018" s="60" t="s">
        <v>7380</v>
      </c>
      <c r="Y2018" s="9" t="s">
        <v>7252</v>
      </c>
    </row>
    <row r="2019" ht="14.25" customHeight="1">
      <c r="A2019" s="5" t="s">
        <v>88</v>
      </c>
      <c r="B2019" s="8">
        <v>11.0</v>
      </c>
      <c r="C2019" s="5" t="s">
        <v>7700</v>
      </c>
      <c r="D2019" s="5" t="s">
        <v>7381</v>
      </c>
      <c r="E2019" s="5">
        <v>12060.0</v>
      </c>
      <c r="F2019" s="5" t="s">
        <v>7382</v>
      </c>
      <c r="G2019" s="10" t="s">
        <v>7383</v>
      </c>
      <c r="H2019" s="5" t="s">
        <v>7384</v>
      </c>
      <c r="I2019" s="5" t="s">
        <v>641</v>
      </c>
      <c r="J2019" s="5" t="s">
        <v>7257</v>
      </c>
      <c r="K2019" s="5">
        <v>1.0</v>
      </c>
      <c r="L2019" s="5">
        <v>14116.0</v>
      </c>
      <c r="M2019" s="11">
        <v>55.21275</v>
      </c>
      <c r="N2019" s="11">
        <v>-120.771635</v>
      </c>
      <c r="O2019" s="11" t="s">
        <v>153</v>
      </c>
      <c r="P2019" s="11" t="s">
        <v>7385</v>
      </c>
      <c r="Q2019" s="22">
        <v>8.0</v>
      </c>
      <c r="R2019" s="11" t="s">
        <v>7386</v>
      </c>
      <c r="S2019" s="13" t="str">
        <f t="shared" si="27"/>
        <v>HOURGLASSWX</v>
      </c>
      <c r="T2019" s="11" t="s">
        <v>4344</v>
      </c>
      <c r="U2019" s="11">
        <v>1131.0</v>
      </c>
      <c r="V2019" s="11"/>
      <c r="W2019" s="11" t="s">
        <v>7387</v>
      </c>
      <c r="X2019" s="60" t="s">
        <v>7388</v>
      </c>
      <c r="Y2019" s="9" t="s">
        <v>7252</v>
      </c>
    </row>
    <row r="2020" ht="14.25" customHeight="1">
      <c r="A2020" s="5" t="s">
        <v>88</v>
      </c>
      <c r="B2020" s="8">
        <v>11.0</v>
      </c>
      <c r="C2020" s="5" t="s">
        <v>7700</v>
      </c>
      <c r="D2020" s="5" t="s">
        <v>7389</v>
      </c>
      <c r="E2020" s="5">
        <v>12434.0</v>
      </c>
      <c r="F2020" s="5" t="s">
        <v>7390</v>
      </c>
      <c r="G2020" s="10" t="s">
        <v>7391</v>
      </c>
      <c r="H2020" s="5" t="s">
        <v>7392</v>
      </c>
      <c r="I2020" s="5" t="s">
        <v>641</v>
      </c>
      <c r="J2020" s="5" t="s">
        <v>7287</v>
      </c>
      <c r="K2020" s="5">
        <v>1.0</v>
      </c>
      <c r="L2020" s="5">
        <v>14456.0</v>
      </c>
      <c r="M2020" s="11">
        <v>54.77375</v>
      </c>
      <c r="N2020" s="11">
        <v>-127.27216</v>
      </c>
      <c r="O2020" s="11" t="s">
        <v>148</v>
      </c>
      <c r="P2020" s="11" t="s">
        <v>7389</v>
      </c>
      <c r="Q2020" s="22">
        <v>8.0</v>
      </c>
      <c r="R2020" s="11" t="s">
        <v>7390</v>
      </c>
      <c r="S2020" s="13" t="str">
        <f t="shared" si="27"/>
        <v>HUDSON BAY MTN2</v>
      </c>
      <c r="T2020" s="11" t="s">
        <v>4344</v>
      </c>
      <c r="U2020" s="11">
        <v>1670.0</v>
      </c>
      <c r="V2020" s="11"/>
      <c r="W2020" s="11" t="s">
        <v>7393</v>
      </c>
      <c r="X2020" s="60" t="s">
        <v>7394</v>
      </c>
      <c r="Y2020" s="9" t="s">
        <v>7252</v>
      </c>
    </row>
    <row r="2021" ht="14.25" customHeight="1">
      <c r="A2021" s="5" t="s">
        <v>7135</v>
      </c>
      <c r="B2021" s="8"/>
      <c r="C2021" s="12" t="s">
        <v>7136</v>
      </c>
      <c r="D2021" s="10" t="str">
        <f t="shared" ref="D2021:D2027" si="28">CONCATENATE("'-&gt; ",P2021)</f>
        <v>'-&gt; Hudson Bay Stn</v>
      </c>
      <c r="F2021" s="10" t="str">
        <f t="shared" ref="F2021:F2027" si="29">CONCATENATE("'-&gt; ",R2021)</f>
        <v>'-&gt; Hudson Bay Stn</v>
      </c>
      <c r="G2021" s="10" t="str">
        <f t="shared" ref="G2021:G2027" si="30">CONCATENATE("'-&gt; ",-1*N2021," W, ",M2021," N, Elev. ",U2021," m")</f>
        <v>'-&gt; 127.29603 W, 54.77684 N, Elev. 1669 m</v>
      </c>
      <c r="M2021" s="11">
        <v>54.77684</v>
      </c>
      <c r="N2021" s="11">
        <v>-127.29603</v>
      </c>
      <c r="O2021" s="11" t="s">
        <v>148</v>
      </c>
      <c r="P2021" s="11" t="s">
        <v>7395</v>
      </c>
      <c r="Q2021" s="22">
        <v>8.0</v>
      </c>
      <c r="R2021" s="11" t="s">
        <v>7395</v>
      </c>
      <c r="S2021" s="13" t="str">
        <f t="shared" si="27"/>
        <v>HUDSON BAY STN</v>
      </c>
      <c r="T2021" s="11" t="s">
        <v>4344</v>
      </c>
      <c r="U2021" s="11">
        <v>1669.0</v>
      </c>
      <c r="V2021" s="11"/>
      <c r="W2021" s="11" t="s">
        <v>7396</v>
      </c>
      <c r="X2021" s="60" t="s">
        <v>7397</v>
      </c>
      <c r="Y2021" s="9" t="s">
        <v>7252</v>
      </c>
    </row>
    <row r="2022" ht="14.25" customHeight="1">
      <c r="A2022" s="5" t="s">
        <v>7135</v>
      </c>
      <c r="B2022" s="8"/>
      <c r="C2022" s="12" t="s">
        <v>7136</v>
      </c>
      <c r="D2022" s="10" t="str">
        <f t="shared" si="28"/>
        <v>'-&gt; IBB1</v>
      </c>
      <c r="F2022" s="10" t="str">
        <f t="shared" si="29"/>
        <v>'-&gt; IBB1Wx</v>
      </c>
      <c r="G2022" s="10" t="str">
        <f t="shared" si="30"/>
        <v>'-&gt; 127.25169 W, 53.72029 N, Elev. 1146 m</v>
      </c>
      <c r="M2022" s="11">
        <v>53.72029</v>
      </c>
      <c r="N2022" s="11">
        <v>-127.25169</v>
      </c>
      <c r="O2022" s="11" t="s">
        <v>148</v>
      </c>
      <c r="P2022" s="11" t="s">
        <v>7398</v>
      </c>
      <c r="Q2022" s="22">
        <v>5.0</v>
      </c>
      <c r="R2022" s="11" t="s">
        <v>7399</v>
      </c>
      <c r="S2022" s="13" t="str">
        <f t="shared" si="27"/>
        <v>IBB1WX</v>
      </c>
      <c r="T2022" s="11" t="s">
        <v>4344</v>
      </c>
      <c r="U2022" s="11">
        <v>1146.0</v>
      </c>
      <c r="V2022" s="11"/>
      <c r="W2022" s="11" t="s">
        <v>7400</v>
      </c>
      <c r="X2022" s="60" t="s">
        <v>7401</v>
      </c>
      <c r="Y2022" s="9" t="s">
        <v>7252</v>
      </c>
    </row>
    <row r="2023" ht="14.25" customHeight="1">
      <c r="A2023" s="5" t="s">
        <v>7135</v>
      </c>
      <c r="B2023" s="8"/>
      <c r="C2023" s="12" t="s">
        <v>7136</v>
      </c>
      <c r="D2023" s="10" t="str">
        <f t="shared" si="28"/>
        <v>'-&gt; IBB2</v>
      </c>
      <c r="F2023" s="10" t="str">
        <f t="shared" si="29"/>
        <v>'-&gt; IBB2Wx</v>
      </c>
      <c r="G2023" s="10" t="str">
        <f t="shared" si="30"/>
        <v>'-&gt; 126.92067 W, 54.81127 N, Elev. 967 m</v>
      </c>
      <c r="M2023" s="47">
        <v>54.81127</v>
      </c>
      <c r="N2023" s="47">
        <v>-126.92067</v>
      </c>
      <c r="O2023" s="11" t="s">
        <v>148</v>
      </c>
      <c r="P2023" s="11" t="s">
        <v>7402</v>
      </c>
      <c r="Q2023" s="22">
        <v>3.0</v>
      </c>
      <c r="R2023" s="11" t="s">
        <v>7403</v>
      </c>
      <c r="S2023" s="13" t="str">
        <f t="shared" si="27"/>
        <v>IBB2WX</v>
      </c>
      <c r="T2023" s="11" t="s">
        <v>4344</v>
      </c>
      <c r="U2023" s="11">
        <v>967.0</v>
      </c>
      <c r="V2023" s="11"/>
      <c r="W2023" s="11" t="s">
        <v>7404</v>
      </c>
      <c r="X2023" s="60" t="s">
        <v>7405</v>
      </c>
      <c r="Y2023" s="9" t="s">
        <v>7252</v>
      </c>
    </row>
    <row r="2024" ht="14.25" customHeight="1">
      <c r="A2024" s="5" t="s">
        <v>7135</v>
      </c>
      <c r="B2024" s="8"/>
      <c r="C2024" s="12" t="s">
        <v>7136</v>
      </c>
      <c r="D2024" s="10" t="str">
        <f t="shared" si="28"/>
        <v>'-&gt; IBB3</v>
      </c>
      <c r="F2024" s="10" t="str">
        <f t="shared" si="29"/>
        <v>'-&gt; IBB3Wx</v>
      </c>
      <c r="G2024" s="10" t="str">
        <f t="shared" si="30"/>
        <v>'-&gt; 127.30577 W, 54.71172 N, Elev. 960 m</v>
      </c>
      <c r="M2024" s="47">
        <v>54.71172</v>
      </c>
      <c r="N2024" s="47">
        <v>-127.30577</v>
      </c>
      <c r="O2024" s="11" t="s">
        <v>148</v>
      </c>
      <c r="P2024" s="11" t="s">
        <v>7406</v>
      </c>
      <c r="Q2024" s="22">
        <v>3.0</v>
      </c>
      <c r="R2024" s="11" t="s">
        <v>7407</v>
      </c>
      <c r="S2024" s="13" t="str">
        <f t="shared" si="27"/>
        <v>IBB3WX</v>
      </c>
      <c r="T2024" s="11" t="s">
        <v>4344</v>
      </c>
      <c r="U2024" s="11">
        <v>960.0</v>
      </c>
      <c r="V2024" s="11"/>
      <c r="W2024" s="11" t="s">
        <v>7408</v>
      </c>
      <c r="X2024" s="60" t="s">
        <v>7409</v>
      </c>
      <c r="Y2024" s="9" t="s">
        <v>7252</v>
      </c>
    </row>
    <row r="2025" ht="14.25" customHeight="1">
      <c r="A2025" s="5" t="s">
        <v>7135</v>
      </c>
      <c r="B2025" s="8"/>
      <c r="C2025" s="12" t="s">
        <v>7136</v>
      </c>
      <c r="D2025" s="10" t="str">
        <f t="shared" si="28"/>
        <v>'-&gt; Inklin</v>
      </c>
      <c r="F2025" s="10" t="str">
        <f t="shared" si="29"/>
        <v>'-&gt; Inklin</v>
      </c>
      <c r="G2025" s="10" t="str">
        <f t="shared" si="30"/>
        <v>'-&gt; 133.140416 W, 58.900859 N, Elev. 101 m</v>
      </c>
      <c r="M2025" s="11">
        <v>58.900859</v>
      </c>
      <c r="N2025" s="11">
        <v>-133.140416</v>
      </c>
      <c r="O2025" s="11" t="s">
        <v>1577</v>
      </c>
      <c r="P2025" s="11" t="s">
        <v>7410</v>
      </c>
      <c r="Q2025" s="22">
        <v>1.0</v>
      </c>
      <c r="R2025" s="11" t="s">
        <v>7410</v>
      </c>
      <c r="S2025" s="13" t="str">
        <f t="shared" si="27"/>
        <v>INKLIN</v>
      </c>
      <c r="T2025" s="11" t="s">
        <v>4344</v>
      </c>
      <c r="U2025" s="11">
        <v>101.0</v>
      </c>
      <c r="V2025" s="11"/>
      <c r="W2025" s="11" t="s">
        <v>7411</v>
      </c>
      <c r="X2025" s="60" t="s">
        <v>7412</v>
      </c>
      <c r="Y2025" s="9" t="s">
        <v>7252</v>
      </c>
    </row>
    <row r="2026" ht="14.25" customHeight="1">
      <c r="A2026" s="5" t="s">
        <v>7135</v>
      </c>
      <c r="B2026" s="8"/>
      <c r="C2026" s="12" t="s">
        <v>7136</v>
      </c>
      <c r="D2026" s="10" t="str">
        <f t="shared" si="28"/>
        <v>'-&gt; KennedySidingCC</v>
      </c>
      <c r="F2026" s="10" t="str">
        <f t="shared" si="29"/>
        <v>'-&gt; KennedySidingCC</v>
      </c>
      <c r="G2026" s="10" t="str">
        <f t="shared" si="30"/>
        <v>'-&gt; 122.818003 W, 55.112303 N, Elev. 737 m</v>
      </c>
      <c r="M2026" s="11">
        <v>55.112303</v>
      </c>
      <c r="N2026" s="11">
        <v>-122.818003</v>
      </c>
      <c r="O2026" s="11" t="s">
        <v>1290</v>
      </c>
      <c r="P2026" s="11" t="s">
        <v>7413</v>
      </c>
      <c r="Q2026" s="22">
        <v>1.0</v>
      </c>
      <c r="R2026" s="11" t="s">
        <v>7413</v>
      </c>
      <c r="S2026" s="13" t="str">
        <f t="shared" si="27"/>
        <v>KENNEDYSIDINGCC</v>
      </c>
      <c r="T2026" s="11" t="s">
        <v>4344</v>
      </c>
      <c r="U2026" s="11">
        <v>737.0</v>
      </c>
      <c r="V2026" s="11"/>
      <c r="W2026" s="11" t="s">
        <v>7414</v>
      </c>
      <c r="X2026" s="60" t="s">
        <v>7415</v>
      </c>
      <c r="Y2026" s="9" t="s">
        <v>7252</v>
      </c>
    </row>
    <row r="2027" ht="14.25" customHeight="1">
      <c r="A2027" s="5" t="s">
        <v>7135</v>
      </c>
      <c r="B2027" s="8"/>
      <c r="C2027" s="12" t="s">
        <v>7136</v>
      </c>
      <c r="D2027" s="10" t="str">
        <f t="shared" si="28"/>
        <v>'-&gt; KennedySidingFor</v>
      </c>
      <c r="F2027" s="10" t="str">
        <f t="shared" si="29"/>
        <v>'-&gt; KennedySidingFor</v>
      </c>
      <c r="G2027" s="10" t="str">
        <f t="shared" si="30"/>
        <v>'-&gt; 122.841542 W, 55.111059 N, Elev. 745 m</v>
      </c>
      <c r="M2027" s="11">
        <v>55.111059</v>
      </c>
      <c r="N2027" s="11">
        <v>-122.841542</v>
      </c>
      <c r="O2027" s="11" t="s">
        <v>1290</v>
      </c>
      <c r="P2027" s="11" t="s">
        <v>7416</v>
      </c>
      <c r="Q2027" s="22">
        <v>1.0</v>
      </c>
      <c r="R2027" s="11" t="s">
        <v>7416</v>
      </c>
      <c r="S2027" s="13" t="str">
        <f t="shared" si="27"/>
        <v>KENNEDYSIDINGFOR</v>
      </c>
      <c r="T2027" s="11" t="s">
        <v>4344</v>
      </c>
      <c r="U2027" s="11">
        <v>745.0</v>
      </c>
      <c r="V2027" s="11"/>
      <c r="W2027" s="11" t="s">
        <v>7417</v>
      </c>
      <c r="X2027" s="60" t="s">
        <v>7418</v>
      </c>
      <c r="Y2027" s="9" t="s">
        <v>7252</v>
      </c>
    </row>
    <row r="2028" ht="14.25" customHeight="1">
      <c r="A2028" s="5" t="s">
        <v>88</v>
      </c>
      <c r="B2028" s="8">
        <v>11.0</v>
      </c>
      <c r="C2028" s="5" t="s">
        <v>7700</v>
      </c>
      <c r="D2028" s="5" t="s">
        <v>7419</v>
      </c>
      <c r="E2028" s="5">
        <v>12061.0</v>
      </c>
      <c r="F2028" s="5" t="s">
        <v>7419</v>
      </c>
      <c r="G2028" s="10" t="s">
        <v>7420</v>
      </c>
      <c r="H2028" s="5" t="s">
        <v>7421</v>
      </c>
      <c r="I2028" s="5" t="s">
        <v>641</v>
      </c>
      <c r="J2028" s="5" t="s">
        <v>7313</v>
      </c>
      <c r="K2028" s="5">
        <v>1.0</v>
      </c>
      <c r="L2028" s="5">
        <v>14117.0</v>
      </c>
      <c r="M2028" s="11">
        <v>53.397852</v>
      </c>
      <c r="N2028" s="11">
        <v>-124.513069</v>
      </c>
      <c r="O2028" s="11" t="s">
        <v>148</v>
      </c>
      <c r="P2028" s="11" t="s">
        <v>7701</v>
      </c>
      <c r="Q2028" s="22">
        <v>4.0</v>
      </c>
      <c r="R2028" s="11" t="s">
        <v>7419</v>
      </c>
      <c r="S2028" s="13" t="str">
        <f t="shared" si="27"/>
        <v>KLUSKUS</v>
      </c>
      <c r="T2028" s="11" t="s">
        <v>4344</v>
      </c>
      <c r="U2028" s="11">
        <v>1110.0</v>
      </c>
      <c r="V2028" s="11"/>
      <c r="W2028" s="11" t="s">
        <v>7423</v>
      </c>
      <c r="X2028" s="60" t="s">
        <v>7424</v>
      </c>
      <c r="Y2028" s="9" t="s">
        <v>7252</v>
      </c>
    </row>
    <row r="2029" ht="14.25" customHeight="1">
      <c r="A2029" s="5" t="s">
        <v>1908</v>
      </c>
      <c r="B2029" s="8">
        <v>11.0</v>
      </c>
      <c r="C2029" s="5" t="s">
        <v>7700</v>
      </c>
      <c r="D2029" s="5" t="s">
        <v>7425</v>
      </c>
      <c r="E2029" s="5">
        <v>12062.0</v>
      </c>
      <c r="F2029" s="10" t="s">
        <v>7426</v>
      </c>
      <c r="G2029" s="10" t="s">
        <v>7427</v>
      </c>
      <c r="H2029" s="5" t="s">
        <v>7428</v>
      </c>
      <c r="I2029" s="5" t="s">
        <v>641</v>
      </c>
      <c r="J2029" s="5" t="s">
        <v>7265</v>
      </c>
      <c r="K2029" s="5">
        <v>1.0</v>
      </c>
      <c r="L2029" s="5">
        <v>14118.0</v>
      </c>
      <c r="M2029" s="11">
        <v>55.137858</v>
      </c>
      <c r="N2029" s="11">
        <v>-122.977243</v>
      </c>
      <c r="O2029" s="11" t="s">
        <v>1290</v>
      </c>
      <c r="P2029" s="11" t="s">
        <v>7429</v>
      </c>
      <c r="Q2029" s="22">
        <v>1.0</v>
      </c>
      <c r="R2029" s="11" t="s">
        <v>7430</v>
      </c>
      <c r="S2029" s="13" t="str">
        <f t="shared" si="27"/>
        <v>MACJXNWX</v>
      </c>
      <c r="T2029" s="11" t="s">
        <v>4344</v>
      </c>
      <c r="U2029" s="11">
        <v>719.0</v>
      </c>
      <c r="V2029" s="11"/>
      <c r="W2029" s="11" t="s">
        <v>7431</v>
      </c>
      <c r="X2029" s="60" t="s">
        <v>7432</v>
      </c>
      <c r="Y2029" s="9" t="s">
        <v>7252</v>
      </c>
    </row>
    <row r="2030" ht="14.25" customHeight="1">
      <c r="B2030" s="8">
        <v>11.0</v>
      </c>
      <c r="C2030" s="5" t="s">
        <v>7700</v>
      </c>
      <c r="D2030" s="10" t="str">
        <f t="shared" ref="D2030:D2031" si="31">CONCATENATE("'-&gt; ",P2030)</f>
        <v>'-&gt; MF1</v>
      </c>
      <c r="E2030" s="5">
        <v>1596.0</v>
      </c>
      <c r="F2030" s="5" t="s">
        <v>7433</v>
      </c>
      <c r="G2030" s="5" t="s">
        <v>7434</v>
      </c>
      <c r="H2030" s="5" t="s">
        <v>7435</v>
      </c>
      <c r="I2030" s="5" t="s">
        <v>641</v>
      </c>
      <c r="J2030" s="5" t="s">
        <v>7313</v>
      </c>
      <c r="K2030" s="5">
        <v>1.0</v>
      </c>
      <c r="L2030" s="5">
        <v>1999.0</v>
      </c>
      <c r="M2030" s="11">
        <v>57.550917</v>
      </c>
      <c r="N2030" s="11">
        <v>-122.7963</v>
      </c>
      <c r="O2030" s="11" t="s">
        <v>2008</v>
      </c>
      <c r="P2030" s="11" t="s">
        <v>7436</v>
      </c>
      <c r="Q2030" s="22">
        <v>8.0</v>
      </c>
      <c r="R2030" s="11" t="s">
        <v>7433</v>
      </c>
      <c r="S2030" s="13" t="str">
        <f t="shared" si="27"/>
        <v>MIDDLEFORKWX</v>
      </c>
      <c r="T2030" s="11" t="s">
        <v>4344</v>
      </c>
      <c r="U2030" s="11">
        <v>972.0</v>
      </c>
      <c r="V2030" s="11"/>
      <c r="W2030" s="11" t="s">
        <v>7437</v>
      </c>
      <c r="X2030" s="60" t="s">
        <v>7438</v>
      </c>
      <c r="Y2030" s="9" t="s">
        <v>7252</v>
      </c>
    </row>
    <row r="2031" ht="14.25" customHeight="1">
      <c r="B2031" s="8">
        <v>11.0</v>
      </c>
      <c r="C2031" s="5" t="s">
        <v>7700</v>
      </c>
      <c r="D2031" s="10" t="str">
        <f t="shared" si="31"/>
        <v>'-&gt; Nonda1</v>
      </c>
      <c r="E2031" s="5">
        <v>1594.0</v>
      </c>
      <c r="F2031" s="5" t="s">
        <v>7439</v>
      </c>
      <c r="G2031" s="5" t="s">
        <v>7440</v>
      </c>
      <c r="H2031" s="5" t="s">
        <v>7441</v>
      </c>
      <c r="I2031" s="5" t="s">
        <v>641</v>
      </c>
      <c r="J2031" s="5" t="s">
        <v>7287</v>
      </c>
      <c r="K2031" s="5">
        <v>1.0</v>
      </c>
      <c r="L2031" s="5">
        <v>1997.0</v>
      </c>
      <c r="M2031" s="11">
        <v>59.002111</v>
      </c>
      <c r="N2031" s="11">
        <v>-125.509361</v>
      </c>
      <c r="O2031" s="11" t="s">
        <v>1577</v>
      </c>
      <c r="P2031" s="11" t="s">
        <v>7442</v>
      </c>
      <c r="Q2031" s="22">
        <v>7.0</v>
      </c>
      <c r="R2031" s="11" t="s">
        <v>7439</v>
      </c>
      <c r="S2031" s="13" t="str">
        <f t="shared" si="27"/>
        <v>NONDAWX</v>
      </c>
      <c r="T2031" s="11" t="s">
        <v>4344</v>
      </c>
      <c r="U2031" s="11">
        <v>1683.0</v>
      </c>
      <c r="V2031" s="11" t="s">
        <v>645</v>
      </c>
      <c r="W2031" s="11" t="s">
        <v>7443</v>
      </c>
      <c r="X2031" s="60" t="s">
        <v>7444</v>
      </c>
      <c r="Y2031" s="9" t="s">
        <v>7252</v>
      </c>
    </row>
    <row r="2032" ht="14.25" customHeight="1">
      <c r="B2032" s="8">
        <v>11.0</v>
      </c>
      <c r="C2032" s="5" t="s">
        <v>7700</v>
      </c>
      <c r="D2032" s="5" t="s">
        <v>7445</v>
      </c>
      <c r="E2032" s="5">
        <v>12436.0</v>
      </c>
      <c r="F2032" s="5" t="s">
        <v>7445</v>
      </c>
      <c r="G2032" s="5" t="s">
        <v>7446</v>
      </c>
      <c r="H2032" s="5" t="s">
        <v>7447</v>
      </c>
      <c r="I2032" s="5" t="s">
        <v>49</v>
      </c>
      <c r="J2032" s="5" t="s">
        <v>7287</v>
      </c>
      <c r="K2032" s="5">
        <v>1.0</v>
      </c>
      <c r="L2032" s="5">
        <v>14458.0</v>
      </c>
      <c r="M2032" s="56">
        <v>51.81296</v>
      </c>
      <c r="N2032" s="56">
        <v>-125.03981</v>
      </c>
      <c r="O2032" s="56" t="s">
        <v>142</v>
      </c>
      <c r="P2032" s="56" t="s">
        <v>7445</v>
      </c>
      <c r="Q2032" s="57">
        <v>8.0</v>
      </c>
      <c r="R2032" s="56" t="s">
        <v>7445</v>
      </c>
      <c r="S2032" s="56" t="str">
        <f t="shared" si="27"/>
        <v>PERKINS PEAK STN</v>
      </c>
      <c r="T2032" s="56" t="s">
        <v>4344</v>
      </c>
      <c r="U2032" s="56">
        <v>2092.0</v>
      </c>
      <c r="V2032" s="56"/>
      <c r="W2032" s="56" t="s">
        <v>7448</v>
      </c>
      <c r="X2032" s="112" t="s">
        <v>7449</v>
      </c>
      <c r="Y2032" s="59" t="s">
        <v>7252</v>
      </c>
      <c r="Z2032" s="56"/>
      <c r="AA2032" s="56"/>
    </row>
    <row r="2033" ht="14.25" customHeight="1">
      <c r="A2033" s="5" t="s">
        <v>88</v>
      </c>
      <c r="B2033" s="8">
        <v>11.0</v>
      </c>
      <c r="C2033" s="5" t="s">
        <v>7700</v>
      </c>
      <c r="D2033" s="5">
        <v>1113696.0</v>
      </c>
      <c r="E2033" s="5">
        <v>1597.0</v>
      </c>
      <c r="F2033" s="5" t="s">
        <v>7450</v>
      </c>
      <c r="G2033" s="10" t="s">
        <v>7451</v>
      </c>
      <c r="H2033" s="5" t="s">
        <v>7452</v>
      </c>
      <c r="I2033" s="5" t="s">
        <v>641</v>
      </c>
      <c r="J2033" s="5" t="s">
        <v>7287</v>
      </c>
      <c r="K2033" s="5">
        <v>1.0</v>
      </c>
      <c r="L2033" s="5">
        <v>2000.0</v>
      </c>
      <c r="M2033" s="11">
        <v>57.06163</v>
      </c>
      <c r="N2033" s="11">
        <v>-122.86491</v>
      </c>
      <c r="O2033" s="11" t="s">
        <v>1577</v>
      </c>
      <c r="P2033" s="11" t="s">
        <v>7453</v>
      </c>
      <c r="Q2033" s="22">
        <v>8.0</v>
      </c>
      <c r="R2033" s="11" t="s">
        <v>7450</v>
      </c>
      <c r="S2033" s="13" t="str">
        <f t="shared" si="27"/>
        <v>PINKWX</v>
      </c>
      <c r="T2033" s="11" t="s">
        <v>4344</v>
      </c>
      <c r="U2033" s="11">
        <v>1756.0</v>
      </c>
      <c r="V2033" s="11" t="s">
        <v>645</v>
      </c>
      <c r="W2033" s="11" t="s">
        <v>7454</v>
      </c>
      <c r="X2033" s="60" t="s">
        <v>7455</v>
      </c>
      <c r="Y2033" s="9" t="s">
        <v>7252</v>
      </c>
    </row>
    <row r="2034" ht="14.25" customHeight="1">
      <c r="A2034" s="5" t="s">
        <v>88</v>
      </c>
      <c r="B2034" s="8">
        <v>11.0</v>
      </c>
      <c r="C2034" s="5" t="s">
        <v>7700</v>
      </c>
      <c r="D2034" s="5">
        <v>1113683.0</v>
      </c>
      <c r="E2034" s="5">
        <v>1598.0</v>
      </c>
      <c r="F2034" s="5" t="s">
        <v>7456</v>
      </c>
      <c r="G2034" s="10" t="s">
        <v>7457</v>
      </c>
      <c r="H2034" s="5" t="s">
        <v>7458</v>
      </c>
      <c r="I2034" s="5" t="s">
        <v>641</v>
      </c>
      <c r="J2034" s="5" t="s">
        <v>7459</v>
      </c>
      <c r="K2034" s="5">
        <v>1.0</v>
      </c>
      <c r="L2034" s="5">
        <v>2001.0</v>
      </c>
      <c r="M2034" s="11">
        <v>54.027523</v>
      </c>
      <c r="N2034" s="11">
        <v>-123.300774</v>
      </c>
      <c r="O2034" s="11" t="s">
        <v>1290</v>
      </c>
      <c r="P2034" s="11" t="s">
        <v>7460</v>
      </c>
      <c r="Q2034" s="22">
        <v>1.0</v>
      </c>
      <c r="R2034" s="11" t="s">
        <v>7456</v>
      </c>
      <c r="S2034" s="13" t="str">
        <f t="shared" si="27"/>
        <v>SAXTONWX</v>
      </c>
      <c r="T2034" s="11" t="s">
        <v>4344</v>
      </c>
      <c r="U2034" s="11">
        <v>718.0</v>
      </c>
      <c r="V2034" s="11"/>
      <c r="W2034" s="11" t="s">
        <v>7461</v>
      </c>
      <c r="X2034" s="60" t="s">
        <v>7462</v>
      </c>
      <c r="Y2034" s="9" t="s">
        <v>7252</v>
      </c>
    </row>
    <row r="2035" ht="14.25" customHeight="1">
      <c r="A2035" s="5" t="s">
        <v>138</v>
      </c>
      <c r="B2035" s="8"/>
      <c r="C2035" s="12" t="s">
        <v>7136</v>
      </c>
      <c r="D2035" s="10" t="str">
        <f>CONCATENATE("'-&gt; ",P2035)</f>
        <v>'-&gt; Seebach</v>
      </c>
      <c r="F2035" s="10" t="str">
        <f>CONCATENATE("'-&gt; ",R2035)</f>
        <v>'-&gt; SeebachWx</v>
      </c>
      <c r="G2035" s="10" t="str">
        <f>CONCATENATE("'-&gt; ",-1*N2035," W, ",M2035," N, Elev. ",U2035," m")</f>
        <v>'-&gt; -122.058 W, 54.355 N, Elev. 780 m</v>
      </c>
      <c r="M2035" s="11">
        <v>54.355</v>
      </c>
      <c r="N2035" s="11">
        <v>122.058</v>
      </c>
      <c r="O2035" s="11" t="s">
        <v>1290</v>
      </c>
      <c r="P2035" s="11" t="s">
        <v>7463</v>
      </c>
      <c r="Q2035" s="22">
        <v>2.0</v>
      </c>
      <c r="R2035" s="11" t="s">
        <v>7464</v>
      </c>
      <c r="S2035" s="13" t="str">
        <f t="shared" si="27"/>
        <v>SEEBACHWX</v>
      </c>
      <c r="T2035" s="11" t="s">
        <v>4344</v>
      </c>
      <c r="U2035" s="11">
        <v>780.0</v>
      </c>
      <c r="V2035" s="11"/>
      <c r="W2035" s="11" t="s">
        <v>7465</v>
      </c>
      <c r="X2035" s="60" t="s">
        <v>7466</v>
      </c>
      <c r="Y2035" s="9" t="s">
        <v>7252</v>
      </c>
    </row>
    <row r="2036" ht="14.25" customHeight="1">
      <c r="B2036" s="8">
        <v>11.0</v>
      </c>
      <c r="C2036" s="5" t="s">
        <v>7700</v>
      </c>
      <c r="D2036" s="5">
        <v>1113697.0</v>
      </c>
      <c r="E2036" s="5">
        <v>1599.0</v>
      </c>
      <c r="F2036" s="5" t="s">
        <v>7467</v>
      </c>
      <c r="G2036" s="5" t="s">
        <v>7468</v>
      </c>
      <c r="H2036" s="5" t="s">
        <v>7469</v>
      </c>
      <c r="I2036" s="5" t="s">
        <v>641</v>
      </c>
      <c r="J2036" s="5" t="s">
        <v>7287</v>
      </c>
      <c r="K2036" s="5">
        <v>1.0</v>
      </c>
      <c r="L2036" s="5">
        <v>2002.0</v>
      </c>
      <c r="M2036" s="11">
        <v>54.773403</v>
      </c>
      <c r="N2036" s="11">
        <v>-127.139994</v>
      </c>
      <c r="O2036" s="11" t="s">
        <v>148</v>
      </c>
      <c r="P2036" s="11" t="s">
        <v>7467</v>
      </c>
      <c r="Q2036" s="22">
        <v>1.0</v>
      </c>
      <c r="R2036" s="11" t="s">
        <v>7470</v>
      </c>
      <c r="S2036" s="13" t="str">
        <f t="shared" si="27"/>
        <v>SMITHERCMPD</v>
      </c>
      <c r="T2036" s="11" t="s">
        <v>4344</v>
      </c>
      <c r="U2036" s="11">
        <v>484.0</v>
      </c>
      <c r="V2036" s="11"/>
      <c r="W2036" s="11" t="s">
        <v>7471</v>
      </c>
      <c r="X2036" s="60" t="s">
        <v>7472</v>
      </c>
      <c r="Y2036" s="9" t="s">
        <v>7252</v>
      </c>
    </row>
    <row r="2037" ht="14.25" customHeight="1">
      <c r="A2037" s="5" t="s">
        <v>7135</v>
      </c>
      <c r="B2037" s="8"/>
      <c r="C2037" s="12" t="s">
        <v>7136</v>
      </c>
      <c r="D2037" s="10" t="str">
        <f>CONCATENATE("'-&gt; ",P2037)</f>
        <v>'-&gt; SummitLk</v>
      </c>
      <c r="F2037" s="10" t="str">
        <f>CONCATENATE("'-&gt; ",R2037)</f>
        <v>'-&gt; SumWxCC</v>
      </c>
      <c r="G2037" s="10" t="str">
        <f>CONCATENATE("'-&gt; ",-1*N2037," W, ",M2037," N, Elev. ",U2037," m")</f>
        <v>'-&gt; 122.615111 W, 54.22704 N, Elev. 690 m</v>
      </c>
      <c r="M2037" s="11">
        <v>54.22704</v>
      </c>
      <c r="N2037" s="11">
        <v>-122.615111</v>
      </c>
      <c r="O2037" s="11" t="s">
        <v>1290</v>
      </c>
      <c r="P2037" s="11" t="s">
        <v>7473</v>
      </c>
      <c r="Q2037" s="22">
        <v>1.0</v>
      </c>
      <c r="R2037" s="11" t="s">
        <v>7474</v>
      </c>
      <c r="S2037" s="13" t="str">
        <f t="shared" si="27"/>
        <v>SUMWXCC</v>
      </c>
      <c r="T2037" s="11" t="s">
        <v>4344</v>
      </c>
      <c r="U2037" s="11">
        <v>690.0</v>
      </c>
      <c r="V2037" s="11"/>
      <c r="W2037" s="11" t="s">
        <v>7475</v>
      </c>
      <c r="X2037" s="60" t="s">
        <v>7415</v>
      </c>
      <c r="Y2037" s="9" t="s">
        <v>7252</v>
      </c>
    </row>
    <row r="2038" ht="14.25" customHeight="1">
      <c r="A2038" s="5" t="s">
        <v>7476</v>
      </c>
      <c r="B2038" s="8">
        <v>11.0</v>
      </c>
      <c r="C2038" s="5" t="s">
        <v>7700</v>
      </c>
      <c r="D2038" s="5" t="s">
        <v>7477</v>
      </c>
      <c r="E2038" s="5">
        <v>13069.0</v>
      </c>
      <c r="F2038" s="5" t="s">
        <v>7477</v>
      </c>
      <c r="G2038" s="5" t="s">
        <v>7478</v>
      </c>
      <c r="H2038" s="5" t="s">
        <v>7479</v>
      </c>
      <c r="I2038" s="5" t="s">
        <v>49</v>
      </c>
      <c r="J2038" s="5" t="s">
        <v>7287</v>
      </c>
      <c r="K2038" s="5">
        <v>1.0</v>
      </c>
      <c r="L2038" s="5">
        <v>14993.0</v>
      </c>
      <c r="M2038" s="11">
        <v>53.33869</v>
      </c>
      <c r="N2038" s="11">
        <v>-120.12108</v>
      </c>
      <c r="O2038" s="11" t="s">
        <v>170</v>
      </c>
      <c r="P2038" s="11" t="s">
        <v>7480</v>
      </c>
      <c r="Q2038" s="22">
        <v>7.0</v>
      </c>
      <c r="R2038" s="11" t="s">
        <v>7477</v>
      </c>
      <c r="S2038" s="13" t="str">
        <f t="shared" si="27"/>
        <v>SUNBEAM</v>
      </c>
      <c r="T2038" s="11" t="s">
        <v>4344</v>
      </c>
      <c r="U2038" s="11">
        <v>2000.0</v>
      </c>
      <c r="V2038" s="11"/>
      <c r="W2038" s="11" t="s">
        <v>7481</v>
      </c>
      <c r="X2038" s="60" t="s">
        <v>7482</v>
      </c>
      <c r="Y2038" s="9" t="s">
        <v>7252</v>
      </c>
    </row>
    <row r="2039" ht="14.25" customHeight="1">
      <c r="A2039" s="5" t="s">
        <v>7135</v>
      </c>
      <c r="B2039" s="8"/>
      <c r="C2039" s="12" t="s">
        <v>7136</v>
      </c>
      <c r="D2039" s="10" t="str">
        <f>CONCATENATE("'-&gt; ",P2039)</f>
        <v>'-&gt; Bednesti</v>
      </c>
      <c r="F2039" s="10" t="str">
        <f>CONCATENATE("'-&gt; ",R2039)</f>
        <v>'-&gt; Tamarac</v>
      </c>
      <c r="G2039" s="10" t="str">
        <f>CONCATENATE("'-&gt; ",-1*N2039," W, ",M2039," N, Elev. ",U2039," m")</f>
        <v>'-&gt; 123.370441 W, 53.871334 N, Elev. 865 m</v>
      </c>
      <c r="M2039" s="11">
        <v>53.871334</v>
      </c>
      <c r="N2039" s="11">
        <v>-123.370441</v>
      </c>
      <c r="O2039" s="11" t="s">
        <v>148</v>
      </c>
      <c r="P2039" s="11" t="s">
        <v>7483</v>
      </c>
      <c r="Q2039" s="22">
        <v>2.0</v>
      </c>
      <c r="R2039" s="11" t="s">
        <v>1301</v>
      </c>
      <c r="S2039" s="13" t="str">
        <f t="shared" si="27"/>
        <v>TAMARAC</v>
      </c>
      <c r="T2039" s="11" t="s">
        <v>4344</v>
      </c>
      <c r="U2039" s="11">
        <v>865.0</v>
      </c>
      <c r="V2039" s="11"/>
      <c r="W2039" s="11"/>
      <c r="X2039" s="60" t="s">
        <v>7484</v>
      </c>
      <c r="Y2039" s="9" t="s">
        <v>7252</v>
      </c>
    </row>
    <row r="2040" ht="14.25" customHeight="1">
      <c r="A2040" s="5" t="s">
        <v>7485</v>
      </c>
      <c r="B2040" s="8">
        <v>11.0</v>
      </c>
      <c r="C2040" s="5" t="s">
        <v>7700</v>
      </c>
      <c r="D2040" s="5">
        <v>1163628.0</v>
      </c>
      <c r="E2040" s="5">
        <v>1601.0</v>
      </c>
      <c r="F2040" s="5" t="s">
        <v>7486</v>
      </c>
      <c r="G2040" s="10" t="s">
        <v>7487</v>
      </c>
      <c r="H2040" s="5" t="s">
        <v>7488</v>
      </c>
      <c r="I2040" s="5" t="s">
        <v>641</v>
      </c>
      <c r="J2040" s="5" t="s">
        <v>7358</v>
      </c>
      <c r="K2040" s="5">
        <v>1.0</v>
      </c>
      <c r="L2040" s="5">
        <v>2004.0</v>
      </c>
      <c r="M2040" s="11">
        <v>54.333115</v>
      </c>
      <c r="N2040" s="11">
        <v>-126.099445</v>
      </c>
      <c r="O2040" s="11" t="s">
        <v>148</v>
      </c>
      <c r="P2040" s="11" t="s">
        <v>7489</v>
      </c>
      <c r="Q2040" s="22">
        <v>2.0</v>
      </c>
      <c r="R2040" s="11" t="s">
        <v>7486</v>
      </c>
      <c r="S2040" s="13" t="str">
        <f t="shared" si="27"/>
        <v>THOMPSONWX</v>
      </c>
      <c r="T2040" s="11" t="s">
        <v>4344</v>
      </c>
      <c r="U2040" s="11">
        <v>869.0</v>
      </c>
      <c r="V2040" s="11"/>
      <c r="W2040" s="11" t="s">
        <v>7490</v>
      </c>
      <c r="X2040" s="60" t="s">
        <v>7491</v>
      </c>
      <c r="Y2040" s="9" t="s">
        <v>7252</v>
      </c>
    </row>
    <row r="2041" ht="14.25" customHeight="1">
      <c r="A2041" s="5" t="s">
        <v>88</v>
      </c>
      <c r="B2041" s="8">
        <v>11.0</v>
      </c>
      <c r="C2041" s="5" t="s">
        <v>7700</v>
      </c>
      <c r="D2041" s="5">
        <v>1095439.0</v>
      </c>
      <c r="E2041" s="5">
        <v>1605.0</v>
      </c>
      <c r="F2041" s="5" t="s">
        <v>7492</v>
      </c>
      <c r="G2041" s="10" t="s">
        <v>7493</v>
      </c>
      <c r="H2041" s="5" t="s">
        <v>7278</v>
      </c>
      <c r="I2041" s="5" t="s">
        <v>49</v>
      </c>
      <c r="J2041" s="5" t="s">
        <v>7279</v>
      </c>
      <c r="K2041" s="5">
        <v>1.0</v>
      </c>
      <c r="L2041" s="5">
        <v>2008.0</v>
      </c>
      <c r="M2041" s="11">
        <v>53.772577</v>
      </c>
      <c r="N2041" s="11">
        <v>-122.724634</v>
      </c>
      <c r="O2041" s="11" t="s">
        <v>1290</v>
      </c>
      <c r="P2041" s="11" t="s">
        <v>7494</v>
      </c>
      <c r="Q2041" s="22">
        <v>1.0</v>
      </c>
      <c r="R2041" s="11" t="s">
        <v>7492</v>
      </c>
      <c r="S2041" s="13" t="str">
        <f t="shared" si="27"/>
        <v>WILLOW-BOWRONWX</v>
      </c>
      <c r="T2041" s="11" t="s">
        <v>4344</v>
      </c>
      <c r="U2041" s="11">
        <v>596.0</v>
      </c>
      <c r="V2041" s="11"/>
      <c r="W2041" s="11" t="s">
        <v>7495</v>
      </c>
      <c r="X2041" s="60" t="s">
        <v>7282</v>
      </c>
      <c r="Y2041" s="9" t="s">
        <v>7252</v>
      </c>
    </row>
    <row r="2042" ht="14.25" customHeight="1">
      <c r="A2042" s="5" t="s">
        <v>7135</v>
      </c>
      <c r="B2042" s="8"/>
      <c r="C2042" s="12" t="s">
        <v>7136</v>
      </c>
      <c r="D2042" s="10" t="str">
        <f t="shared" ref="D2042:D2067" si="32">CONCATENATE("'-&gt; ",P2042)</f>
        <v>'-&gt; 3C09P</v>
      </c>
      <c r="F2042" s="10" t="str">
        <f t="shared" ref="F2042:F2067" si="33">CONCATENATE("'-&gt; ",R2042)</f>
        <v>'-&gt; Ape Lake</v>
      </c>
      <c r="G2042" s="10" t="str">
        <f t="shared" ref="G2042:G2067" si="34">CONCATENATE("'-&gt; ",-1*N2042," W, ",M2042," N, Elev. ",U2042," m")</f>
        <v>'-&gt; 126.2626806 W, 52.1345694 N, Elev. 1423 m</v>
      </c>
      <c r="M2042" s="11">
        <v>52.1345694</v>
      </c>
      <c r="N2042" s="11">
        <v>-126.2626806</v>
      </c>
      <c r="O2042" s="11" t="s">
        <v>51</v>
      </c>
      <c r="P2042" s="16" t="s">
        <v>4519</v>
      </c>
      <c r="Q2042" s="72">
        <v>7.0</v>
      </c>
      <c r="R2042" s="11" t="s">
        <v>4520</v>
      </c>
      <c r="S2042" s="13" t="str">
        <f t="shared" si="27"/>
        <v>APE LAKE</v>
      </c>
      <c r="T2042" s="11" t="s">
        <v>4344</v>
      </c>
      <c r="U2042" s="11">
        <v>1423.0</v>
      </c>
      <c r="V2042" s="11"/>
      <c r="W2042" s="11" t="s">
        <v>4345</v>
      </c>
      <c r="X2042" s="60" t="s">
        <v>4521</v>
      </c>
      <c r="Y2042" s="9" t="s">
        <v>4347</v>
      </c>
    </row>
    <row r="2043" ht="14.25" customHeight="1">
      <c r="A2043" s="5" t="s">
        <v>7135</v>
      </c>
      <c r="B2043" s="8"/>
      <c r="C2043" s="12" t="s">
        <v>7136</v>
      </c>
      <c r="D2043" s="10" t="str">
        <f t="shared" si="32"/>
        <v>'-&gt; 3B28P</v>
      </c>
      <c r="F2043" s="10" t="str">
        <f t="shared" si="33"/>
        <v>'-&gt; Cain Ridge_Run</v>
      </c>
      <c r="G2043" s="10" t="str">
        <f t="shared" si="34"/>
        <v>'-&gt; 126.3515 W, 50.2265 N, Elev. 1330 m</v>
      </c>
      <c r="M2043" s="11">
        <v>50.2265</v>
      </c>
      <c r="N2043" s="11">
        <v>-126.3515</v>
      </c>
      <c r="O2043" s="11" t="s">
        <v>51</v>
      </c>
      <c r="P2043" s="11" t="s">
        <v>7496</v>
      </c>
      <c r="Q2043" s="72">
        <v>7.0</v>
      </c>
      <c r="R2043" s="11" t="s">
        <v>7497</v>
      </c>
      <c r="S2043" s="13" t="str">
        <f t="shared" si="27"/>
        <v>CAIN RIDGE_RUN</v>
      </c>
      <c r="T2043" s="11" t="s">
        <v>4344</v>
      </c>
      <c r="U2043" s="11">
        <v>1330.0</v>
      </c>
      <c r="V2043" s="11" t="s">
        <v>645</v>
      </c>
      <c r="W2043" s="11" t="s">
        <v>7498</v>
      </c>
      <c r="X2043" s="60" t="s">
        <v>7499</v>
      </c>
      <c r="Y2043" s="9" t="s">
        <v>4347</v>
      </c>
    </row>
    <row r="2044" ht="14.25" customHeight="1">
      <c r="A2044" s="5" t="s">
        <v>7135</v>
      </c>
      <c r="B2044" s="8"/>
      <c r="C2044" s="12" t="s">
        <v>7136</v>
      </c>
      <c r="D2044" s="10" t="str">
        <f t="shared" si="32"/>
        <v>'-&gt; 3C10P</v>
      </c>
      <c r="F2044" s="10" t="str">
        <f t="shared" si="33"/>
        <v>'-&gt; CLAYTON FALLS</v>
      </c>
      <c r="G2044" s="10" t="str">
        <f t="shared" si="34"/>
        <v>'-&gt; 126.890543 W, 52.279579 N, Elev. 1260 m</v>
      </c>
      <c r="M2044" s="11">
        <v>52.279579</v>
      </c>
      <c r="N2044" s="11">
        <v>-126.890543</v>
      </c>
      <c r="O2044" s="11" t="s">
        <v>51</v>
      </c>
      <c r="P2044" s="11" t="s">
        <v>4343</v>
      </c>
      <c r="Q2044" s="72">
        <v>6.0</v>
      </c>
      <c r="R2044" s="11" t="s">
        <v>4340</v>
      </c>
      <c r="S2044" s="13" t="str">
        <f t="shared" si="27"/>
        <v>CLAYTON FALLS</v>
      </c>
      <c r="T2044" s="11" t="s">
        <v>4344</v>
      </c>
      <c r="U2044" s="11">
        <v>1260.0</v>
      </c>
      <c r="V2044" s="11"/>
      <c r="W2044" s="11" t="s">
        <v>4345</v>
      </c>
      <c r="X2044" s="60" t="s">
        <v>4346</v>
      </c>
      <c r="Y2044" s="9" t="s">
        <v>4347</v>
      </c>
    </row>
    <row r="2045" ht="14.25" customHeight="1">
      <c r="A2045" s="5" t="s">
        <v>7135</v>
      </c>
      <c r="B2045" s="8"/>
      <c r="C2045" s="12" t="s">
        <v>7136</v>
      </c>
      <c r="D2045" s="10" t="str">
        <f t="shared" si="32"/>
        <v>'-&gt; Datla</v>
      </c>
      <c r="F2045" s="10" t="str">
        <f t="shared" si="33"/>
        <v>'-&gt; Datlaman Pass</v>
      </c>
      <c r="G2045" s="10" t="str">
        <f t="shared" si="34"/>
        <v>'-&gt; 132.584234 W, 53.545561 N, Elev. 287 m</v>
      </c>
      <c r="M2045" s="11">
        <v>53.545561</v>
      </c>
      <c r="N2045" s="11">
        <v>-132.584234</v>
      </c>
      <c r="O2045" s="11" t="s">
        <v>51</v>
      </c>
      <c r="P2045" s="11" t="s">
        <v>7500</v>
      </c>
      <c r="Q2045" s="72">
        <v>2.0</v>
      </c>
      <c r="R2045" s="11" t="s">
        <v>7501</v>
      </c>
      <c r="S2045" s="13" t="str">
        <f t="shared" si="27"/>
        <v>DATLAMAN PASS</v>
      </c>
      <c r="T2045" s="11" t="s">
        <v>4344</v>
      </c>
      <c r="U2045" s="11">
        <v>287.0</v>
      </c>
      <c r="V2045" s="11"/>
      <c r="W2045" s="11" t="s">
        <v>7502</v>
      </c>
      <c r="X2045" s="60" t="s">
        <v>7503</v>
      </c>
      <c r="Y2045" s="9" t="s">
        <v>4347</v>
      </c>
    </row>
    <row r="2046" ht="14.25" customHeight="1">
      <c r="A2046" s="5" t="s">
        <v>7135</v>
      </c>
      <c r="B2046" s="8"/>
      <c r="C2046" s="12" t="s">
        <v>7136</v>
      </c>
      <c r="D2046" s="10" t="str">
        <f t="shared" si="32"/>
        <v>'-&gt; 3A30P</v>
      </c>
      <c r="F2046" s="10" t="str">
        <f t="shared" si="33"/>
        <v>'-&gt; Homathko</v>
      </c>
      <c r="G2046" s="10" t="str">
        <f t="shared" si="34"/>
        <v>'-&gt; 124.950181 W, 51.10187 N, Elev. 1481 m</v>
      </c>
      <c r="M2046" s="113">
        <v>51.10187</v>
      </c>
      <c r="N2046" s="113">
        <v>-124.950181</v>
      </c>
      <c r="O2046" s="11" t="s">
        <v>51</v>
      </c>
      <c r="P2046" s="11" t="s">
        <v>7504</v>
      </c>
      <c r="Q2046" s="72">
        <v>7.0</v>
      </c>
      <c r="R2046" s="11" t="s">
        <v>7505</v>
      </c>
      <c r="S2046" s="13" t="str">
        <f t="shared" si="27"/>
        <v>HOMATHKO</v>
      </c>
      <c r="T2046" s="11" t="s">
        <v>4344</v>
      </c>
      <c r="U2046" s="11">
        <v>1481.0</v>
      </c>
      <c r="V2046" s="11"/>
      <c r="W2046" s="11" t="s">
        <v>7506</v>
      </c>
      <c r="X2046" s="60" t="s">
        <v>7507</v>
      </c>
      <c r="Y2046" s="9" t="s">
        <v>4347</v>
      </c>
    </row>
    <row r="2047" ht="14.25" customHeight="1">
      <c r="A2047" s="5" t="s">
        <v>7135</v>
      </c>
      <c r="B2047" s="8"/>
      <c r="C2047" s="12" t="s">
        <v>7136</v>
      </c>
      <c r="D2047" s="10" t="str">
        <f t="shared" si="32"/>
        <v>'-&gt; 3C11P</v>
      </c>
      <c r="F2047" s="10" t="str">
        <f t="shared" si="33"/>
        <v>'-&gt; Klinakllini</v>
      </c>
      <c r="G2047" s="10" t="str">
        <f t="shared" si="34"/>
        <v>'-&gt; 125.76953 W, 51.38002 N, Elev. 1532 m</v>
      </c>
      <c r="M2047" s="114">
        <v>51.38002</v>
      </c>
      <c r="N2047" s="115">
        <v>-125.76953</v>
      </c>
      <c r="O2047" s="11" t="s">
        <v>51</v>
      </c>
      <c r="P2047" s="11" t="s">
        <v>7508</v>
      </c>
      <c r="Q2047" s="72">
        <v>7.0</v>
      </c>
      <c r="R2047" s="11" t="s">
        <v>7509</v>
      </c>
      <c r="S2047" s="13" t="str">
        <f t="shared" si="27"/>
        <v>KLINAKLLINI</v>
      </c>
      <c r="T2047" s="11" t="s">
        <v>4344</v>
      </c>
      <c r="U2047" s="11">
        <v>1532.0</v>
      </c>
      <c r="V2047" s="11"/>
      <c r="W2047" s="11" t="s">
        <v>7506</v>
      </c>
      <c r="X2047" s="60" t="s">
        <v>7510</v>
      </c>
      <c r="Y2047" s="9" t="s">
        <v>4347</v>
      </c>
    </row>
    <row r="2048" ht="14.25" customHeight="1">
      <c r="A2048" s="5" t="s">
        <v>7135</v>
      </c>
      <c r="B2048" s="8"/>
      <c r="C2048" s="12" t="s">
        <v>7136</v>
      </c>
      <c r="D2048" s="10" t="str">
        <f t="shared" si="32"/>
        <v>'-&gt; 3B29P</v>
      </c>
      <c r="F2048" s="10" t="str">
        <f t="shared" si="33"/>
        <v>'-&gt; Lower Cain</v>
      </c>
      <c r="G2048" s="10" t="str">
        <f t="shared" si="34"/>
        <v>'-&gt; 126.3563 W, 50.22575 N, Elev. 1260 m</v>
      </c>
      <c r="M2048" s="114">
        <v>50.22575</v>
      </c>
      <c r="N2048" s="116">
        <v>-126.3563</v>
      </c>
      <c r="O2048" s="11" t="s">
        <v>51</v>
      </c>
      <c r="P2048" s="11" t="s">
        <v>7511</v>
      </c>
      <c r="Q2048" s="72">
        <v>6.0</v>
      </c>
      <c r="R2048" s="11" t="s">
        <v>7512</v>
      </c>
      <c r="S2048" s="13" t="str">
        <f t="shared" si="27"/>
        <v>LOWER CAIN</v>
      </c>
      <c r="T2048" s="11" t="s">
        <v>4344</v>
      </c>
      <c r="U2048" s="11">
        <v>1260.0</v>
      </c>
      <c r="V2048" s="11"/>
      <c r="W2048" s="11" t="s">
        <v>7513</v>
      </c>
      <c r="X2048" s="60" t="s">
        <v>7514</v>
      </c>
      <c r="Y2048" s="9" t="s">
        <v>4347</v>
      </c>
    </row>
    <row r="2049" ht="14.25" customHeight="1">
      <c r="A2049" s="5" t="s">
        <v>7135</v>
      </c>
      <c r="B2049" s="8"/>
      <c r="C2049" s="12" t="s">
        <v>7136</v>
      </c>
      <c r="D2049" s="10" t="str">
        <f t="shared" si="32"/>
        <v>'-&gt; 3C12P</v>
      </c>
      <c r="F2049" s="10" t="str">
        <f t="shared" si="33"/>
        <v>'-&gt; Machmell Kliniklini</v>
      </c>
      <c r="G2049" s="10" t="str">
        <f t="shared" si="34"/>
        <v>'-&gt; 126.140744 W, 51.6555806 N, Elev. 1601 m</v>
      </c>
      <c r="M2049" s="11">
        <v>51.6555806</v>
      </c>
      <c r="N2049" s="11">
        <v>-126.140744</v>
      </c>
      <c r="O2049" s="11" t="s">
        <v>51</v>
      </c>
      <c r="P2049" s="11" t="s">
        <v>7515</v>
      </c>
      <c r="Q2049" s="72">
        <v>7.0</v>
      </c>
      <c r="R2049" s="11" t="s">
        <v>7516</v>
      </c>
      <c r="S2049" s="13" t="str">
        <f t="shared" si="27"/>
        <v>MACHMELL KLINIKLINI</v>
      </c>
      <c r="T2049" s="11" t="s">
        <v>4344</v>
      </c>
      <c r="U2049" s="11">
        <v>1601.0</v>
      </c>
      <c r="V2049" s="11"/>
      <c r="W2049" s="11" t="s">
        <v>7517</v>
      </c>
      <c r="X2049" s="60" t="s">
        <v>4521</v>
      </c>
      <c r="Y2049" s="9" t="s">
        <v>4347</v>
      </c>
    </row>
    <row r="2050" ht="14.25" customHeight="1">
      <c r="A2050" s="5" t="s">
        <v>7135</v>
      </c>
      <c r="B2050" s="8"/>
      <c r="C2050" s="12" t="s">
        <v>7136</v>
      </c>
      <c r="D2050" s="10" t="str">
        <f t="shared" si="32"/>
        <v>'-&gt; Mount Buxton</v>
      </c>
      <c r="F2050" s="10" t="str">
        <f t="shared" si="33"/>
        <v>'-&gt; Mount Buxton</v>
      </c>
      <c r="G2050" s="10" t="str">
        <f t="shared" si="34"/>
        <v>'-&gt; 127.975 W, 51.5899 N, Elev. 738 m</v>
      </c>
      <c r="M2050" s="11">
        <v>51.5899</v>
      </c>
      <c r="N2050" s="11">
        <v>-127.975</v>
      </c>
      <c r="O2050" s="11" t="s">
        <v>51</v>
      </c>
      <c r="P2050" s="11" t="s">
        <v>7518</v>
      </c>
      <c r="Q2050" s="72">
        <v>4.0</v>
      </c>
      <c r="R2050" s="11" t="s">
        <v>7518</v>
      </c>
      <c r="S2050" s="13" t="str">
        <f t="shared" si="27"/>
        <v>MOUNT BUXTON</v>
      </c>
      <c r="T2050" s="11" t="s">
        <v>4344</v>
      </c>
      <c r="U2050" s="11">
        <v>738.0</v>
      </c>
      <c r="V2050" s="11" t="s">
        <v>645</v>
      </c>
      <c r="W2050" s="11" t="s">
        <v>7519</v>
      </c>
      <c r="X2050" s="60" t="s">
        <v>7348</v>
      </c>
      <c r="Y2050" s="9" t="s">
        <v>4347</v>
      </c>
    </row>
    <row r="2051" ht="14.25" customHeight="1">
      <c r="A2051" s="5" t="s">
        <v>7135</v>
      </c>
      <c r="B2051" s="8"/>
      <c r="C2051" s="12" t="s">
        <v>7136</v>
      </c>
      <c r="D2051" s="10" t="str">
        <f t="shared" si="32"/>
        <v>'-&gt; 3A31P</v>
      </c>
      <c r="F2051" s="10" t="str">
        <f t="shared" si="33"/>
        <v>'-&gt; Mount Cayley</v>
      </c>
      <c r="G2051" s="10" t="str">
        <f t="shared" si="34"/>
        <v>'-&gt; 123.27747 W, 50.070953 N, Elev. 1588 m</v>
      </c>
      <c r="M2051" s="11">
        <v>50.070953</v>
      </c>
      <c r="N2051" s="11">
        <v>-123.27747</v>
      </c>
      <c r="O2051" s="11" t="s">
        <v>51</v>
      </c>
      <c r="P2051" s="11" t="s">
        <v>7520</v>
      </c>
      <c r="Q2051" s="72">
        <v>7.0</v>
      </c>
      <c r="R2051" s="11" t="s">
        <v>7521</v>
      </c>
      <c r="S2051" s="13" t="str">
        <f t="shared" si="27"/>
        <v>MOUNT CAYLEY</v>
      </c>
      <c r="T2051" s="11" t="s">
        <v>4344</v>
      </c>
      <c r="U2051" s="11">
        <v>1588.0</v>
      </c>
      <c r="V2051" s="11"/>
      <c r="W2051" s="11" t="s">
        <v>7522</v>
      </c>
      <c r="X2051" s="60" t="s">
        <v>7523</v>
      </c>
      <c r="Y2051" s="9" t="s">
        <v>4347</v>
      </c>
    </row>
    <row r="2052" ht="14.25" customHeight="1">
      <c r="A2052" s="5" t="s">
        <v>7135</v>
      </c>
      <c r="B2052" s="8"/>
      <c r="C2052" s="12" t="s">
        <v>7136</v>
      </c>
      <c r="D2052" s="10" t="str">
        <f t="shared" si="32"/>
        <v>'-&gt; 3C13P</v>
      </c>
      <c r="F2052" s="10" t="str">
        <f t="shared" si="33"/>
        <v>'-&gt; Mount Maya</v>
      </c>
      <c r="G2052" s="10" t="str">
        <f t="shared" si="34"/>
        <v>'-&gt; 126.073 W, 52.287 N, Elev. 1692 m</v>
      </c>
      <c r="M2052" s="11">
        <v>52.287</v>
      </c>
      <c r="N2052" s="11">
        <v>-126.073</v>
      </c>
      <c r="O2052" s="11" t="s">
        <v>51</v>
      </c>
      <c r="P2052" s="11" t="s">
        <v>7524</v>
      </c>
      <c r="Q2052" s="72">
        <v>8.0</v>
      </c>
      <c r="R2052" s="11" t="s">
        <v>7525</v>
      </c>
      <c r="S2052" s="13" t="str">
        <f t="shared" si="27"/>
        <v>MOUNT MAYA</v>
      </c>
      <c r="T2052" s="11" t="s">
        <v>4344</v>
      </c>
      <c r="U2052" s="11">
        <v>1692.0</v>
      </c>
      <c r="V2052" s="11" t="s">
        <v>645</v>
      </c>
      <c r="W2052" s="11" t="s">
        <v>7526</v>
      </c>
      <c r="X2052" s="60" t="s">
        <v>7527</v>
      </c>
      <c r="Y2052" s="9" t="s">
        <v>4347</v>
      </c>
    </row>
    <row r="2053" ht="14.25" customHeight="1">
      <c r="A2053" s="5" t="s">
        <v>7135</v>
      </c>
      <c r="B2053" s="8"/>
      <c r="C2053" s="12" t="s">
        <v>7136</v>
      </c>
      <c r="D2053" s="10" t="str">
        <f t="shared" si="32"/>
        <v>'-&gt; 3a29P</v>
      </c>
      <c r="F2053" s="10" t="str">
        <f t="shared" si="33"/>
        <v>'-&gt; Perseverence Creek</v>
      </c>
      <c r="G2053" s="10" t="str">
        <f t="shared" si="34"/>
        <v>'-&gt; 125.131 W, 49.594 N, Elev. 970 m</v>
      </c>
      <c r="M2053" s="118">
        <v>49.594</v>
      </c>
      <c r="N2053" s="119">
        <v>-125.131</v>
      </c>
      <c r="O2053" s="11" t="s">
        <v>51</v>
      </c>
      <c r="P2053" s="11" t="s">
        <v>7528</v>
      </c>
      <c r="Q2053" s="72">
        <v>5.0</v>
      </c>
      <c r="R2053" s="11" t="s">
        <v>7529</v>
      </c>
      <c r="S2053" s="13" t="str">
        <f t="shared" si="27"/>
        <v>PERSEVERENCE CREEK</v>
      </c>
      <c r="T2053" s="11" t="s">
        <v>4344</v>
      </c>
      <c r="U2053" s="11">
        <v>970.0</v>
      </c>
      <c r="V2053" s="11"/>
      <c r="W2053" s="11" t="s">
        <v>7530</v>
      </c>
      <c r="X2053" s="60" t="s">
        <v>7510</v>
      </c>
      <c r="Y2053" s="9" t="s">
        <v>4347</v>
      </c>
    </row>
    <row r="2054" ht="14.25" customHeight="1">
      <c r="A2054" s="5" t="s">
        <v>7135</v>
      </c>
      <c r="B2054" s="8"/>
      <c r="C2054" s="12" t="s">
        <v>7136</v>
      </c>
      <c r="D2054" s="10" t="str">
        <f t="shared" si="32"/>
        <v>'-&gt; 1D20P</v>
      </c>
      <c r="F2054" s="10" t="str">
        <f t="shared" si="33"/>
        <v>'-&gt; Place Glacier</v>
      </c>
      <c r="G2054" s="10" t="str">
        <f t="shared" si="34"/>
        <v>'-&gt; 122.61442 W, 50.420312 N, Elev. 2300 m</v>
      </c>
      <c r="M2054" s="11">
        <v>50.420312</v>
      </c>
      <c r="N2054" s="11">
        <v>-122.61442</v>
      </c>
      <c r="O2054" s="11" t="s">
        <v>142</v>
      </c>
      <c r="P2054" s="11" t="s">
        <v>7531</v>
      </c>
      <c r="Q2054" s="22">
        <v>8.0</v>
      </c>
      <c r="R2054" s="11" t="s">
        <v>7532</v>
      </c>
      <c r="S2054" s="13" t="str">
        <f t="shared" si="27"/>
        <v>PLACE GLACIER</v>
      </c>
      <c r="T2054" s="11" t="s">
        <v>4344</v>
      </c>
      <c r="U2054" s="11">
        <v>2300.0</v>
      </c>
      <c r="V2054" s="11"/>
      <c r="W2054" s="11"/>
      <c r="X2054" s="60"/>
      <c r="Y2054" s="9" t="s">
        <v>4347</v>
      </c>
    </row>
    <row r="2055" ht="14.25" customHeight="1">
      <c r="A2055" s="5" t="s">
        <v>7135</v>
      </c>
      <c r="B2055" s="8"/>
      <c r="C2055" s="12" t="s">
        <v>7136</v>
      </c>
      <c r="D2055" s="10" t="str">
        <f t="shared" si="32"/>
        <v>'-&gt; 3A32P</v>
      </c>
      <c r="F2055" s="10" t="str">
        <f t="shared" si="33"/>
        <v>'-&gt; Plummer Hut</v>
      </c>
      <c r="G2055" s="10" t="str">
        <f t="shared" si="34"/>
        <v>'-&gt; 125.1645 W, 51.3735 N, Elev. 2680 m</v>
      </c>
      <c r="M2055" s="120">
        <v>51.3735</v>
      </c>
      <c r="N2055" s="120">
        <v>-125.1645</v>
      </c>
      <c r="O2055" s="11" t="s">
        <v>51</v>
      </c>
      <c r="P2055" s="11" t="s">
        <v>7533</v>
      </c>
      <c r="Q2055" s="72">
        <v>8.0</v>
      </c>
      <c r="R2055" s="11" t="s">
        <v>7534</v>
      </c>
      <c r="S2055" s="13" t="str">
        <f t="shared" si="27"/>
        <v>PLUMMER HUT</v>
      </c>
      <c r="T2055" s="11" t="s">
        <v>4344</v>
      </c>
      <c r="U2055" s="11">
        <v>2680.0</v>
      </c>
      <c r="V2055" s="11"/>
      <c r="W2055" s="11" t="s">
        <v>7535</v>
      </c>
      <c r="X2055" s="60" t="s">
        <v>7536</v>
      </c>
      <c r="Y2055" s="9" t="s">
        <v>4347</v>
      </c>
    </row>
    <row r="2056" ht="14.25" customHeight="1">
      <c r="A2056" s="5" t="s">
        <v>7135</v>
      </c>
      <c r="B2056" s="8"/>
      <c r="C2056" s="12" t="s">
        <v>7136</v>
      </c>
      <c r="D2056" s="10" t="str">
        <f t="shared" si="32"/>
        <v>'-&gt; RennellP</v>
      </c>
      <c r="F2056" s="10" t="str">
        <f t="shared" si="33"/>
        <v>'-&gt; Rennell Pass</v>
      </c>
      <c r="G2056" s="10" t="str">
        <f t="shared" si="34"/>
        <v>'-&gt; 132.3655 W, 53.3434 N, Elev. 316 m</v>
      </c>
      <c r="M2056" s="11">
        <v>53.3434</v>
      </c>
      <c r="N2056" s="11">
        <v>-132.3655</v>
      </c>
      <c r="O2056" s="11" t="s">
        <v>51</v>
      </c>
      <c r="P2056" s="11" t="s">
        <v>7537</v>
      </c>
      <c r="Q2056" s="72">
        <v>3.0</v>
      </c>
      <c r="R2056" s="11" t="s">
        <v>7538</v>
      </c>
      <c r="S2056" s="13" t="str">
        <f t="shared" si="27"/>
        <v>RENNELL PASS</v>
      </c>
      <c r="T2056" s="11" t="s">
        <v>4344</v>
      </c>
      <c r="U2056" s="11">
        <v>316.0</v>
      </c>
      <c r="V2056" s="11" t="s">
        <v>645</v>
      </c>
      <c r="W2056" s="11" t="s">
        <v>7539</v>
      </c>
      <c r="X2056" s="60" t="s">
        <v>7540</v>
      </c>
      <c r="Y2056" s="9" t="s">
        <v>4347</v>
      </c>
    </row>
    <row r="2057" ht="14.25" customHeight="1">
      <c r="A2057" s="5" t="s">
        <v>7135</v>
      </c>
      <c r="B2057" s="8"/>
      <c r="C2057" s="12" t="s">
        <v>7136</v>
      </c>
      <c r="D2057" s="10" t="str">
        <f t="shared" si="32"/>
        <v>'-&gt; Russell_Main</v>
      </c>
      <c r="F2057" s="10" t="str">
        <f t="shared" si="33"/>
        <v>'-&gt; Russell at mouth</v>
      </c>
      <c r="G2057" s="10" t="str">
        <f t="shared" si="34"/>
        <v>'-&gt; 126.41 W, 50.3251 N, Elev. 280 m</v>
      </c>
      <c r="M2057" s="11">
        <v>50.3251</v>
      </c>
      <c r="N2057" s="11">
        <v>-126.41</v>
      </c>
      <c r="O2057" s="11" t="s">
        <v>51</v>
      </c>
      <c r="P2057" s="11" t="s">
        <v>7541</v>
      </c>
      <c r="Q2057" s="72">
        <v>2.0</v>
      </c>
      <c r="R2057" s="11" t="s">
        <v>7542</v>
      </c>
      <c r="S2057" s="13" t="str">
        <f t="shared" si="27"/>
        <v>RUSSELL AT MOUTH</v>
      </c>
      <c r="T2057" s="11" t="s">
        <v>4344</v>
      </c>
      <c r="U2057" s="11">
        <v>280.0</v>
      </c>
      <c r="V2057" s="11"/>
      <c r="W2057" s="11" t="s">
        <v>7543</v>
      </c>
      <c r="X2057" s="60" t="s">
        <v>7544</v>
      </c>
      <c r="Y2057" s="9" t="s">
        <v>4347</v>
      </c>
    </row>
    <row r="2058" ht="14.25" customHeight="1">
      <c r="A2058" s="5" t="s">
        <v>7135</v>
      </c>
      <c r="B2058" s="8"/>
      <c r="C2058" s="12" t="s">
        <v>7136</v>
      </c>
      <c r="D2058" s="10" t="str">
        <f t="shared" si="32"/>
        <v>'-&gt; STEPH_1</v>
      </c>
      <c r="F2058" s="10" t="str">
        <f t="shared" si="33"/>
        <v>'-&gt; Stephanie 1</v>
      </c>
      <c r="G2058" s="10" t="str">
        <f t="shared" si="34"/>
        <v>'-&gt; 126.35681 W, 50.306645 N, Elev. 1516 m</v>
      </c>
      <c r="M2058" s="11">
        <v>50.306645</v>
      </c>
      <c r="N2058" s="11">
        <v>-126.35681</v>
      </c>
      <c r="O2058" s="11" t="s">
        <v>51</v>
      </c>
      <c r="P2058" s="11" t="s">
        <v>7545</v>
      </c>
      <c r="Q2058" s="72">
        <v>7.0</v>
      </c>
      <c r="R2058" s="11" t="s">
        <v>7546</v>
      </c>
      <c r="S2058" s="13" t="str">
        <f t="shared" si="27"/>
        <v>STEPHANIE 1</v>
      </c>
      <c r="T2058" s="11" t="s">
        <v>4344</v>
      </c>
      <c r="U2058" s="11">
        <v>1516.0</v>
      </c>
      <c r="V2058" s="11" t="s">
        <v>645</v>
      </c>
      <c r="W2058" s="11" t="s">
        <v>7547</v>
      </c>
      <c r="X2058" s="60" t="s">
        <v>7548</v>
      </c>
      <c r="Y2058" s="9" t="s">
        <v>4347</v>
      </c>
    </row>
    <row r="2059" ht="14.25" customHeight="1">
      <c r="A2059" s="5" t="s">
        <v>7135</v>
      </c>
      <c r="B2059" s="8"/>
      <c r="C2059" s="12" t="s">
        <v>7136</v>
      </c>
      <c r="D2059" s="10" t="str">
        <f t="shared" si="32"/>
        <v>'-&gt; STEPH_2</v>
      </c>
      <c r="F2059" s="10" t="str">
        <f t="shared" si="33"/>
        <v>'-&gt; Stephanie 2</v>
      </c>
      <c r="G2059" s="10" t="str">
        <f t="shared" si="34"/>
        <v>'-&gt; 126.3627 W, 50.3124 N, Elev. 1164 m</v>
      </c>
      <c r="M2059" s="11">
        <v>50.3124</v>
      </c>
      <c r="N2059" s="11">
        <v>-126.3627</v>
      </c>
      <c r="O2059" s="11" t="s">
        <v>51</v>
      </c>
      <c r="P2059" s="11" t="s">
        <v>7549</v>
      </c>
      <c r="Q2059" s="72">
        <v>6.0</v>
      </c>
      <c r="R2059" s="11" t="s">
        <v>7550</v>
      </c>
      <c r="S2059" s="13" t="str">
        <f t="shared" si="27"/>
        <v>STEPHANIE 2</v>
      </c>
      <c r="T2059" s="11" t="s">
        <v>4344</v>
      </c>
      <c r="U2059" s="11">
        <v>1164.0</v>
      </c>
      <c r="V2059" s="11"/>
      <c r="W2059" s="11" t="s">
        <v>7551</v>
      </c>
      <c r="X2059" s="60" t="s">
        <v>7552</v>
      </c>
      <c r="Y2059" s="9" t="s">
        <v>4347</v>
      </c>
    </row>
    <row r="2060" ht="14.25" customHeight="1">
      <c r="A2060" s="5" t="s">
        <v>7135</v>
      </c>
      <c r="B2060" s="8"/>
      <c r="C2060" s="12" t="s">
        <v>7136</v>
      </c>
      <c r="D2060" s="10" t="str">
        <f t="shared" si="32"/>
        <v>'-&gt; STEPH_3</v>
      </c>
      <c r="F2060" s="10" t="str">
        <f t="shared" si="33"/>
        <v>'-&gt; Stephanie 3</v>
      </c>
      <c r="G2060" s="10" t="str">
        <f t="shared" si="34"/>
        <v>'-&gt; 126.3631 W, 50.3181 N, Elev. 1030 m</v>
      </c>
      <c r="M2060" s="11">
        <v>50.3181</v>
      </c>
      <c r="N2060" s="11">
        <v>-126.3631</v>
      </c>
      <c r="O2060" s="11" t="s">
        <v>51</v>
      </c>
      <c r="P2060" s="11" t="s">
        <v>7553</v>
      </c>
      <c r="Q2060" s="72">
        <v>5.0</v>
      </c>
      <c r="R2060" s="11" t="s">
        <v>7554</v>
      </c>
      <c r="S2060" s="13" t="str">
        <f t="shared" si="27"/>
        <v>STEPHANIE 3</v>
      </c>
      <c r="T2060" s="11" t="s">
        <v>4344</v>
      </c>
      <c r="U2060" s="11">
        <v>1030.0</v>
      </c>
      <c r="V2060" s="11"/>
      <c r="W2060" s="11" t="s">
        <v>7555</v>
      </c>
      <c r="X2060" s="60" t="s">
        <v>7552</v>
      </c>
      <c r="Y2060" s="9" t="s">
        <v>4347</v>
      </c>
    </row>
    <row r="2061" ht="14.25" customHeight="1">
      <c r="A2061" s="5" t="s">
        <v>7135</v>
      </c>
      <c r="B2061" s="8"/>
      <c r="C2061" s="12" t="s">
        <v>7136</v>
      </c>
      <c r="D2061" s="10" t="str">
        <f t="shared" si="32"/>
        <v>'-&gt; STEPH_4</v>
      </c>
      <c r="F2061" s="10" t="str">
        <f t="shared" si="33"/>
        <v>'-&gt; Stephanie 4</v>
      </c>
      <c r="G2061" s="10" t="str">
        <f t="shared" si="34"/>
        <v>'-&gt; 126.355 W, 50.3171 N, Elev. 950 m</v>
      </c>
      <c r="M2061" s="11">
        <v>50.3171</v>
      </c>
      <c r="N2061" s="11">
        <v>-126.355</v>
      </c>
      <c r="O2061" s="11" t="s">
        <v>51</v>
      </c>
      <c r="P2061" s="11" t="s">
        <v>7556</v>
      </c>
      <c r="Q2061" s="72">
        <v>5.0</v>
      </c>
      <c r="R2061" s="11" t="s">
        <v>7557</v>
      </c>
      <c r="S2061" s="13" t="str">
        <f t="shared" si="27"/>
        <v>STEPHANIE 4</v>
      </c>
      <c r="T2061" s="11" t="s">
        <v>4344</v>
      </c>
      <c r="U2061" s="11">
        <v>950.0</v>
      </c>
      <c r="V2061" s="11"/>
      <c r="W2061" s="11" t="s">
        <v>7558</v>
      </c>
      <c r="X2061" s="60" t="s">
        <v>7552</v>
      </c>
      <c r="Y2061" s="9" t="s">
        <v>4347</v>
      </c>
    </row>
    <row r="2062" ht="14.25" customHeight="1">
      <c r="A2062" s="5" t="s">
        <v>7135</v>
      </c>
      <c r="B2062" s="8"/>
      <c r="C2062" s="12" t="s">
        <v>7136</v>
      </c>
      <c r="D2062" s="10" t="str">
        <f t="shared" si="32"/>
        <v>'-&gt; STEPH_6</v>
      </c>
      <c r="F2062" s="10" t="str">
        <f t="shared" si="33"/>
        <v>'-&gt; Stephanie 6</v>
      </c>
      <c r="G2062" s="10" t="str">
        <f t="shared" si="34"/>
        <v>'-&gt; 126.35 W, 50.3186 N, Elev. 820 m</v>
      </c>
      <c r="M2062" s="11">
        <v>50.3186</v>
      </c>
      <c r="N2062" s="11">
        <v>-126.35</v>
      </c>
      <c r="O2062" s="11" t="s">
        <v>51</v>
      </c>
      <c r="P2062" s="11" t="s">
        <v>7559</v>
      </c>
      <c r="Q2062" s="72">
        <v>5.0</v>
      </c>
      <c r="R2062" s="11" t="s">
        <v>7560</v>
      </c>
      <c r="S2062" s="13" t="str">
        <f t="shared" si="27"/>
        <v>STEPHANIE 6</v>
      </c>
      <c r="T2062" s="11" t="s">
        <v>4344</v>
      </c>
      <c r="U2062" s="11">
        <v>820.0</v>
      </c>
      <c r="V2062" s="11" t="s">
        <v>645</v>
      </c>
      <c r="W2062" s="11" t="s">
        <v>7561</v>
      </c>
      <c r="X2062" s="60" t="s">
        <v>7562</v>
      </c>
      <c r="Y2062" s="9" t="s">
        <v>4347</v>
      </c>
    </row>
    <row r="2063" ht="14.25" customHeight="1">
      <c r="A2063" s="5" t="s">
        <v>7135</v>
      </c>
      <c r="B2063" s="8"/>
      <c r="C2063" s="12" t="s">
        <v>7136</v>
      </c>
      <c r="D2063" s="10" t="str">
        <f t="shared" si="32"/>
        <v>'-&gt; STEPH_7</v>
      </c>
      <c r="F2063" s="10" t="str">
        <f t="shared" si="33"/>
        <v>'-&gt; Stephanie 7</v>
      </c>
      <c r="G2063" s="10" t="str">
        <f t="shared" si="34"/>
        <v>'-&gt; 126.3574 W, 50.3257 N, Elev. 718 m</v>
      </c>
      <c r="M2063" s="11">
        <v>50.3257</v>
      </c>
      <c r="N2063" s="11">
        <v>-126.3574</v>
      </c>
      <c r="O2063" s="11" t="s">
        <v>51</v>
      </c>
      <c r="P2063" s="11" t="s">
        <v>7563</v>
      </c>
      <c r="Q2063" s="72">
        <v>4.0</v>
      </c>
      <c r="R2063" s="11" t="s">
        <v>7564</v>
      </c>
      <c r="S2063" s="13" t="str">
        <f t="shared" si="27"/>
        <v>STEPHANIE 7</v>
      </c>
      <c r="T2063" s="11" t="s">
        <v>4344</v>
      </c>
      <c r="U2063" s="11">
        <v>718.0</v>
      </c>
      <c r="V2063" s="11"/>
      <c r="W2063" s="11" t="s">
        <v>7565</v>
      </c>
      <c r="X2063" s="60" t="s">
        <v>7566</v>
      </c>
      <c r="Y2063" s="9" t="s">
        <v>4347</v>
      </c>
    </row>
    <row r="2064" ht="14.25" customHeight="1">
      <c r="A2064" s="5" t="s">
        <v>7135</v>
      </c>
      <c r="B2064" s="8"/>
      <c r="C2064" s="12" t="s">
        <v>7136</v>
      </c>
      <c r="D2064" s="10" t="str">
        <f t="shared" si="32"/>
        <v>'-&gt; STEPH_8</v>
      </c>
      <c r="F2064" s="10" t="str">
        <f t="shared" si="33"/>
        <v>'-&gt; Stephanie 8</v>
      </c>
      <c r="G2064" s="10" t="str">
        <f t="shared" si="34"/>
        <v>'-&gt; 126.3652 W, 50.3329 N, Elev. 593 m</v>
      </c>
      <c r="M2064" s="11">
        <v>50.3329</v>
      </c>
      <c r="N2064" s="11">
        <v>-126.3652</v>
      </c>
      <c r="O2064" s="11" t="s">
        <v>51</v>
      </c>
      <c r="P2064" s="11" t="s">
        <v>7567</v>
      </c>
      <c r="Q2064" s="72">
        <v>4.0</v>
      </c>
      <c r="R2064" s="11" t="s">
        <v>7568</v>
      </c>
      <c r="S2064" s="13" t="str">
        <f t="shared" si="27"/>
        <v>STEPHANIE 8</v>
      </c>
      <c r="T2064" s="11" t="s">
        <v>4344</v>
      </c>
      <c r="U2064" s="11">
        <v>593.0</v>
      </c>
      <c r="V2064" s="11"/>
      <c r="W2064" s="11" t="s">
        <v>7565</v>
      </c>
      <c r="X2064" s="60" t="s">
        <v>7569</v>
      </c>
      <c r="Y2064" s="9" t="s">
        <v>4347</v>
      </c>
    </row>
    <row r="2065" ht="14.25" customHeight="1">
      <c r="A2065" s="5" t="s">
        <v>7135</v>
      </c>
      <c r="B2065" s="8"/>
      <c r="C2065" s="12" t="s">
        <v>7136</v>
      </c>
      <c r="D2065" s="10" t="str">
        <f t="shared" si="32"/>
        <v>'-&gt; 3B27P</v>
      </c>
      <c r="F2065" s="10" t="str">
        <f t="shared" si="33"/>
        <v>'-&gt; Upper Cruickshank</v>
      </c>
      <c r="G2065" s="10" t="str">
        <f t="shared" si="34"/>
        <v>'-&gt; 125.361 W, 49.669 N, Elev. 1348 m</v>
      </c>
      <c r="M2065" s="118">
        <v>49.669</v>
      </c>
      <c r="N2065" s="119">
        <v>-125.361</v>
      </c>
      <c r="O2065" s="11" t="s">
        <v>51</v>
      </c>
      <c r="P2065" s="11" t="s">
        <v>7570</v>
      </c>
      <c r="Q2065" s="72">
        <v>7.0</v>
      </c>
      <c r="R2065" s="11" t="s">
        <v>7571</v>
      </c>
      <c r="S2065" s="13" t="str">
        <f t="shared" si="27"/>
        <v>UPPER CRUICKSHANK</v>
      </c>
      <c r="T2065" s="11" t="s">
        <v>4344</v>
      </c>
      <c r="U2065" s="11">
        <v>1348.0</v>
      </c>
      <c r="V2065" s="11"/>
      <c r="W2065" s="11" t="s">
        <v>7572</v>
      </c>
      <c r="X2065" s="60" t="s">
        <v>7573</v>
      </c>
      <c r="Y2065" s="9" t="s">
        <v>4347</v>
      </c>
    </row>
    <row r="2066" ht="14.25" customHeight="1">
      <c r="A2066" s="5" t="s">
        <v>7135</v>
      </c>
      <c r="B2066" s="8"/>
      <c r="C2066" s="12" t="s">
        <v>7136</v>
      </c>
      <c r="D2066" s="10" t="str">
        <f t="shared" si="32"/>
        <v>'-&gt; Upper_Russell</v>
      </c>
      <c r="F2066" s="10" t="str">
        <f t="shared" si="33"/>
        <v>'-&gt; Upper Russell</v>
      </c>
      <c r="G2066" s="10" t="str">
        <f t="shared" si="34"/>
        <v>'-&gt; 126.3616 W, 50.3447 N, Elev. 493 m</v>
      </c>
      <c r="M2066" s="11">
        <v>50.3447</v>
      </c>
      <c r="N2066" s="11">
        <v>-126.3616</v>
      </c>
      <c r="O2066" s="11" t="s">
        <v>51</v>
      </c>
      <c r="P2066" s="11" t="s">
        <v>7574</v>
      </c>
      <c r="Q2066" s="72">
        <v>3.0</v>
      </c>
      <c r="R2066" s="11" t="s">
        <v>7575</v>
      </c>
      <c r="S2066" s="13" t="str">
        <f t="shared" si="27"/>
        <v>UPPER RUSSELL</v>
      </c>
      <c r="T2066" s="11" t="s">
        <v>4344</v>
      </c>
      <c r="U2066" s="11">
        <v>493.0</v>
      </c>
      <c r="V2066" s="11"/>
      <c r="W2066" s="11" t="s">
        <v>7576</v>
      </c>
      <c r="X2066" s="60" t="s">
        <v>7562</v>
      </c>
      <c r="Y2066" s="9" t="s">
        <v>4347</v>
      </c>
    </row>
    <row r="2067" ht="14.25" customHeight="1">
      <c r="A2067" s="5" t="s">
        <v>7135</v>
      </c>
      <c r="B2067" s="8"/>
      <c r="C2067" s="12" t="s">
        <v>7136</v>
      </c>
      <c r="D2067" s="10" t="str">
        <f t="shared" si="32"/>
        <v>'-&gt; 4B19P</v>
      </c>
      <c r="F2067" s="10" t="str">
        <f t="shared" si="33"/>
        <v>'-&gt; Upper Skeena</v>
      </c>
      <c r="G2067" s="5" t="str">
        <f t="shared" si="34"/>
        <v>'-&gt; 127.655889 W, 56.539786 N, Elev. 1571 m</v>
      </c>
      <c r="M2067" s="11">
        <v>56.539786</v>
      </c>
      <c r="N2067" s="11">
        <v>-127.655889</v>
      </c>
      <c r="O2067" s="11" t="s">
        <v>1290</v>
      </c>
      <c r="P2067" s="11" t="s">
        <v>7577</v>
      </c>
      <c r="Q2067" s="72">
        <v>7.0</v>
      </c>
      <c r="R2067" s="11" t="s">
        <v>7578</v>
      </c>
      <c r="S2067" s="13" t="str">
        <f t="shared" si="27"/>
        <v>UPPER SKEENA</v>
      </c>
      <c r="T2067" s="11" t="s">
        <v>4344</v>
      </c>
      <c r="U2067" s="11">
        <v>1571.0</v>
      </c>
      <c r="V2067" s="11"/>
      <c r="W2067" s="11" t="s">
        <v>7579</v>
      </c>
      <c r="X2067" s="60" t="s">
        <v>7580</v>
      </c>
      <c r="Y2067" s="9" t="s">
        <v>4347</v>
      </c>
    </row>
    <row r="2068" ht="14.25" customHeight="1">
      <c r="B2068" s="8">
        <v>11.0</v>
      </c>
      <c r="C2068" s="5" t="s">
        <v>7700</v>
      </c>
      <c r="D2068" s="5" t="s">
        <v>7581</v>
      </c>
      <c r="E2068" s="5">
        <v>13183.0</v>
      </c>
      <c r="F2068" s="5" t="s">
        <v>7422</v>
      </c>
      <c r="G2068" s="5" t="s">
        <v>7582</v>
      </c>
      <c r="H2068" s="5" t="s">
        <v>7583</v>
      </c>
      <c r="I2068" s="5" t="s">
        <v>49</v>
      </c>
      <c r="J2068" s="5" t="s">
        <v>7584</v>
      </c>
      <c r="K2068" s="5">
        <v>1.0</v>
      </c>
      <c r="L2068" s="5">
        <v>15105.0</v>
      </c>
      <c r="Y2068" s="9"/>
    </row>
    <row r="2069" ht="14.25" customHeight="1">
      <c r="B2069" s="8">
        <v>11.0</v>
      </c>
      <c r="C2069" s="5" t="s">
        <v>7700</v>
      </c>
      <c r="D2069" s="5" t="s">
        <v>7585</v>
      </c>
      <c r="E2069" s="5">
        <v>3352.0</v>
      </c>
      <c r="F2069" s="5" t="s">
        <v>7586</v>
      </c>
      <c r="G2069" s="5" t="s">
        <v>7587</v>
      </c>
      <c r="H2069" s="5" t="s">
        <v>7588</v>
      </c>
      <c r="I2069" s="5" t="s">
        <v>49</v>
      </c>
      <c r="J2069" s="5" t="s">
        <v>7589</v>
      </c>
      <c r="K2069" s="5">
        <v>1.0</v>
      </c>
      <c r="L2069" s="5">
        <v>4192.0</v>
      </c>
      <c r="Y2069" s="9"/>
    </row>
    <row r="2070" ht="14.25" customHeight="1">
      <c r="B2070" s="8">
        <v>11.0</v>
      </c>
      <c r="C2070" s="5" t="s">
        <v>7700</v>
      </c>
      <c r="D2070" s="5" t="s">
        <v>7590</v>
      </c>
      <c r="E2070" s="5">
        <v>3354.0</v>
      </c>
      <c r="F2070" s="5" t="s">
        <v>7591</v>
      </c>
      <c r="G2070" s="5" t="s">
        <v>7592</v>
      </c>
      <c r="H2070" s="5" t="s">
        <v>7593</v>
      </c>
      <c r="I2070" s="5" t="s">
        <v>49</v>
      </c>
      <c r="J2070" s="5" t="s">
        <v>7594</v>
      </c>
      <c r="K2070" s="5">
        <v>1.0</v>
      </c>
      <c r="L2070" s="5">
        <v>4194.0</v>
      </c>
      <c r="Y2070" s="9"/>
    </row>
    <row r="2071" ht="14.25" customHeight="1">
      <c r="B2071" s="8">
        <v>11.0</v>
      </c>
      <c r="C2071" s="5" t="s">
        <v>7700</v>
      </c>
      <c r="D2071" s="5" t="s">
        <v>7595</v>
      </c>
      <c r="E2071" s="5">
        <v>3353.0</v>
      </c>
      <c r="F2071" s="5" t="s">
        <v>7596</v>
      </c>
      <c r="G2071" s="5" t="s">
        <v>7597</v>
      </c>
      <c r="H2071" s="5" t="s">
        <v>7598</v>
      </c>
      <c r="I2071" s="5" t="s">
        <v>49</v>
      </c>
      <c r="J2071" s="5" t="s">
        <v>7599</v>
      </c>
      <c r="K2071" s="5">
        <v>1.0</v>
      </c>
      <c r="L2071" s="5">
        <v>4193.0</v>
      </c>
      <c r="M2071" s="11"/>
      <c r="N2071" s="11"/>
      <c r="O2071" s="11"/>
      <c r="P2071" s="11"/>
      <c r="Q2071" s="22"/>
      <c r="R2071" s="11"/>
      <c r="S2071" s="13"/>
      <c r="T2071" s="11"/>
      <c r="U2071" s="11"/>
      <c r="V2071" s="11"/>
      <c r="W2071" s="11"/>
      <c r="X2071" s="60"/>
      <c r="Y2071" s="9"/>
    </row>
    <row r="2072" ht="14.25" customHeight="1">
      <c r="B2072" s="8">
        <v>11.0</v>
      </c>
      <c r="C2072" s="5" t="s">
        <v>7700</v>
      </c>
      <c r="D2072" s="5" t="s">
        <v>7600</v>
      </c>
      <c r="E2072" s="5">
        <v>3355.0</v>
      </c>
      <c r="F2072" s="5" t="s">
        <v>7601</v>
      </c>
      <c r="G2072" s="5" t="s">
        <v>7602</v>
      </c>
      <c r="H2072" s="5" t="s">
        <v>7603</v>
      </c>
      <c r="I2072" s="5" t="s">
        <v>49</v>
      </c>
      <c r="J2072" s="5" t="s">
        <v>7604</v>
      </c>
      <c r="K2072" s="5">
        <v>2.0</v>
      </c>
      <c r="L2072" s="5" t="s">
        <v>7605</v>
      </c>
      <c r="Y2072" s="9"/>
    </row>
    <row r="2073" ht="14.25" customHeight="1">
      <c r="B2073" s="8">
        <v>11.0</v>
      </c>
      <c r="C2073" s="5" t="s">
        <v>7700</v>
      </c>
      <c r="D2073" s="5" t="s">
        <v>7606</v>
      </c>
      <c r="E2073" s="5">
        <v>3356.0</v>
      </c>
      <c r="F2073" s="5" t="s">
        <v>7601</v>
      </c>
      <c r="G2073" s="5" t="s">
        <v>7607</v>
      </c>
      <c r="H2073" s="5" t="s">
        <v>7608</v>
      </c>
      <c r="I2073" s="5" t="s">
        <v>49</v>
      </c>
      <c r="J2073" s="5" t="s">
        <v>7589</v>
      </c>
      <c r="K2073" s="5">
        <v>1.0</v>
      </c>
      <c r="L2073" s="5">
        <v>4196.0</v>
      </c>
      <c r="Y2073" s="9"/>
    </row>
    <row r="2074" ht="14.25" customHeight="1">
      <c r="B2074" s="8">
        <v>11.0</v>
      </c>
      <c r="C2074" s="5" t="s">
        <v>7700</v>
      </c>
      <c r="D2074" s="5" t="s">
        <v>7609</v>
      </c>
      <c r="E2074" s="5">
        <v>3357.0</v>
      </c>
      <c r="F2074" s="5" t="s">
        <v>7601</v>
      </c>
      <c r="G2074" s="5" t="s">
        <v>7610</v>
      </c>
      <c r="H2074" s="5" t="s">
        <v>7611</v>
      </c>
      <c r="I2074" s="5" t="s">
        <v>49</v>
      </c>
      <c r="J2074" s="5" t="s">
        <v>7589</v>
      </c>
      <c r="K2074" s="5">
        <v>1.0</v>
      </c>
      <c r="L2074" s="5">
        <v>4197.0</v>
      </c>
      <c r="Y2074" s="9"/>
    </row>
    <row r="2075" ht="14.25" customHeight="1">
      <c r="B2075" s="8">
        <v>11.0</v>
      </c>
      <c r="C2075" s="5" t="s">
        <v>7700</v>
      </c>
      <c r="D2075" s="5" t="s">
        <v>7612</v>
      </c>
      <c r="E2075" s="5">
        <v>3358.0</v>
      </c>
      <c r="F2075" s="5" t="s">
        <v>7613</v>
      </c>
      <c r="G2075" s="5" t="s">
        <v>7614</v>
      </c>
      <c r="H2075" s="5" t="s">
        <v>7615</v>
      </c>
      <c r="I2075" s="5" t="s">
        <v>49</v>
      </c>
      <c r="J2075" s="5" t="s">
        <v>7594</v>
      </c>
      <c r="K2075" s="5">
        <v>1.0</v>
      </c>
      <c r="L2075" s="5">
        <v>4198.0</v>
      </c>
      <c r="Y2075" s="9"/>
    </row>
    <row r="2076" ht="14.25" customHeight="1">
      <c r="A2076" s="5" t="s">
        <v>7616</v>
      </c>
      <c r="B2076" s="8">
        <v>11.0</v>
      </c>
      <c r="C2076" s="5" t="s">
        <v>7700</v>
      </c>
      <c r="D2076" s="5" t="s">
        <v>7617</v>
      </c>
      <c r="E2076" s="5">
        <v>12063.0</v>
      </c>
      <c r="F2076" s="5" t="s">
        <v>7480</v>
      </c>
      <c r="G2076" s="5" t="s">
        <v>7618</v>
      </c>
      <c r="H2076" s="5" t="s">
        <v>7619</v>
      </c>
      <c r="I2076" s="5" t="s">
        <v>641</v>
      </c>
      <c r="J2076" s="5" t="s">
        <v>7287</v>
      </c>
      <c r="K2076" s="5">
        <v>1.0</v>
      </c>
      <c r="L2076" s="5">
        <v>14119.0</v>
      </c>
      <c r="M2076" s="11"/>
      <c r="N2076" s="11"/>
      <c r="O2076" s="11"/>
      <c r="P2076" s="11"/>
      <c r="Q2076" s="22"/>
      <c r="R2076" s="11"/>
      <c r="S2076" s="13"/>
      <c r="T2076" s="11"/>
      <c r="U2076" s="11"/>
      <c r="V2076" s="11"/>
      <c r="W2076" s="11"/>
      <c r="X2076" s="60"/>
      <c r="Y2076" s="9"/>
    </row>
    <row r="2077" ht="14.25" customHeight="1">
      <c r="B2077" s="8">
        <v>11.0</v>
      </c>
      <c r="C2077" s="5" t="s">
        <v>7700</v>
      </c>
      <c r="D2077" s="5" t="s">
        <v>7340</v>
      </c>
      <c r="E2077" s="5">
        <v>13185.0</v>
      </c>
      <c r="F2077" s="5" t="s">
        <v>7620</v>
      </c>
      <c r="G2077" s="5" t="s">
        <v>7621</v>
      </c>
      <c r="H2077" s="5" t="s">
        <v>7622</v>
      </c>
      <c r="I2077" s="5" t="s">
        <v>49</v>
      </c>
      <c r="J2077" s="5" t="s">
        <v>7250</v>
      </c>
      <c r="K2077" s="5">
        <v>1.0</v>
      </c>
      <c r="L2077" s="5">
        <v>15107.0</v>
      </c>
      <c r="M2077" s="11"/>
      <c r="N2077" s="11"/>
      <c r="O2077" s="11"/>
      <c r="P2077" s="11"/>
      <c r="Q2077" s="22"/>
      <c r="R2077" s="11"/>
      <c r="S2077" s="13"/>
      <c r="T2077" s="11"/>
      <c r="U2077" s="11"/>
      <c r="V2077" s="11"/>
      <c r="W2077" s="11"/>
      <c r="X2077" s="60"/>
      <c r="Y2077" s="9"/>
    </row>
    <row r="2078" ht="14.25" customHeight="1">
      <c r="B2078" s="8">
        <v>11.0</v>
      </c>
      <c r="C2078" s="5" t="s">
        <v>7700</v>
      </c>
      <c r="D2078" s="5" t="s">
        <v>7623</v>
      </c>
      <c r="E2078" s="5">
        <v>13186.0</v>
      </c>
      <c r="F2078" s="5" t="s">
        <v>7623</v>
      </c>
      <c r="G2078" s="5" t="s">
        <v>7624</v>
      </c>
      <c r="H2078" s="5" t="s">
        <v>7625</v>
      </c>
      <c r="I2078" s="5" t="s">
        <v>49</v>
      </c>
      <c r="J2078" s="5" t="s">
        <v>7626</v>
      </c>
      <c r="K2078" s="5">
        <v>1.0</v>
      </c>
      <c r="L2078" s="5">
        <v>15108.0</v>
      </c>
      <c r="M2078" s="11"/>
      <c r="N2078" s="11"/>
      <c r="O2078" s="11"/>
      <c r="P2078" s="11"/>
      <c r="Q2078" s="22"/>
      <c r="R2078" s="11"/>
      <c r="S2078" s="13"/>
      <c r="T2078" s="11"/>
      <c r="U2078" s="11"/>
      <c r="V2078" s="11"/>
      <c r="W2078" s="11"/>
      <c r="X2078" s="60"/>
      <c r="Y2078" s="9"/>
    </row>
    <row r="2079" ht="14.25" customHeight="1">
      <c r="B2079" s="8">
        <v>11.0</v>
      </c>
      <c r="C2079" s="5" t="s">
        <v>7700</v>
      </c>
      <c r="D2079" s="5" t="s">
        <v>7627</v>
      </c>
      <c r="E2079" s="5">
        <v>13187.0</v>
      </c>
      <c r="F2079" s="5" t="s">
        <v>7627</v>
      </c>
      <c r="G2079" s="5" t="s">
        <v>7628</v>
      </c>
      <c r="H2079" s="5" t="s">
        <v>7629</v>
      </c>
      <c r="I2079" s="5" t="s">
        <v>49</v>
      </c>
      <c r="J2079" s="5" t="s">
        <v>7630</v>
      </c>
      <c r="K2079" s="5">
        <v>1.0</v>
      </c>
      <c r="L2079" s="5">
        <v>15109.0</v>
      </c>
      <c r="M2079" s="11"/>
      <c r="N2079" s="11"/>
      <c r="O2079" s="11"/>
      <c r="P2079" s="11"/>
      <c r="Q2079" s="22"/>
      <c r="R2079" s="11"/>
      <c r="S2079" s="13"/>
      <c r="T2079" s="11"/>
      <c r="U2079" s="11"/>
      <c r="V2079" s="11"/>
      <c r="W2079" s="11"/>
      <c r="X2079" s="60"/>
      <c r="Y2079" s="9"/>
    </row>
    <row r="2080" ht="14.25" customHeight="1">
      <c r="A2080" s="5" t="s">
        <v>7135</v>
      </c>
      <c r="B2080" s="8"/>
      <c r="C2080" s="12" t="s">
        <v>7136</v>
      </c>
      <c r="D2080" s="10" t="str">
        <f t="shared" ref="D2080:D2084" si="35">CONCATENATE("'-&gt; ",P2080)</f>
        <v>'-&gt; M2</v>
      </c>
      <c r="F2080" s="10" t="str">
        <f t="shared" ref="F2080:F2084" si="36">CONCATENATE("'-&gt; ",R2080)</f>
        <v>'-&gt; Mayson Lake - M2</v>
      </c>
      <c r="G2080" s="10" t="str">
        <f t="shared" ref="G2080:G2084" si="37">CONCATENATE("'-&gt; ",-1*N2080," W, ",M2080," N, Elev. ",U2080," m")</f>
        <v>'-&gt; 120.388667 W, 51.216528 N, Elev. 1277 m</v>
      </c>
      <c r="M2080" s="5">
        <v>51.216528</v>
      </c>
      <c r="N2080" s="5">
        <v>-120.388667</v>
      </c>
      <c r="O2080" s="5" t="s">
        <v>7631</v>
      </c>
      <c r="P2080" s="5" t="s">
        <v>7632</v>
      </c>
      <c r="R2080" s="5" t="s">
        <v>7633</v>
      </c>
      <c r="S2080" s="5" t="s">
        <v>7634</v>
      </c>
      <c r="U2080" s="5">
        <v>1277.0</v>
      </c>
      <c r="V2080" s="5" t="s">
        <v>7635</v>
      </c>
      <c r="W2080" s="5" t="s">
        <v>7636</v>
      </c>
      <c r="X2080" s="5" t="s">
        <v>7637</v>
      </c>
      <c r="Z2080" s="9" t="s">
        <v>7638</v>
      </c>
    </row>
    <row r="2081" ht="14.25" customHeight="1">
      <c r="A2081" s="5" t="s">
        <v>7135</v>
      </c>
      <c r="B2081" s="8"/>
      <c r="C2081" s="12" t="s">
        <v>7136</v>
      </c>
      <c r="D2081" s="10" t="str">
        <f t="shared" si="35"/>
        <v>'-&gt; M3</v>
      </c>
      <c r="F2081" s="10" t="str">
        <f t="shared" si="36"/>
        <v>'-&gt; Mayson Lake - M3</v>
      </c>
      <c r="G2081" s="10" t="str">
        <f t="shared" si="37"/>
        <v>'-&gt; 120.401694 W, 51.217611 N, Elev. 1290 m</v>
      </c>
      <c r="M2081" s="5">
        <v>51.217611</v>
      </c>
      <c r="N2081" s="5">
        <v>-120.401694</v>
      </c>
      <c r="O2081" s="5" t="s">
        <v>7631</v>
      </c>
      <c r="P2081" s="5" t="s">
        <v>7639</v>
      </c>
      <c r="R2081" s="5" t="s">
        <v>7640</v>
      </c>
      <c r="S2081" s="5" t="s">
        <v>7641</v>
      </c>
      <c r="U2081" s="5">
        <v>1290.0</v>
      </c>
      <c r="V2081" s="5" t="s">
        <v>7635</v>
      </c>
      <c r="W2081" s="5" t="s">
        <v>7636</v>
      </c>
      <c r="X2081" s="5" t="s">
        <v>7637</v>
      </c>
      <c r="Z2081" s="9" t="s">
        <v>7638</v>
      </c>
    </row>
    <row r="2082" ht="14.25" customHeight="1">
      <c r="A2082" s="5" t="s">
        <v>7135</v>
      </c>
      <c r="B2082" s="8"/>
      <c r="C2082" s="12" t="s">
        <v>7136</v>
      </c>
      <c r="D2082" s="10" t="str">
        <f t="shared" si="35"/>
        <v>'-&gt; M4</v>
      </c>
      <c r="F2082" s="10" t="str">
        <f t="shared" si="36"/>
        <v>'-&gt; Mayson Lake - M4</v>
      </c>
      <c r="G2082" s="10" t="str">
        <f t="shared" si="37"/>
        <v>'-&gt; 120.403278 W, 51.219111 N, Elev.   m</v>
      </c>
      <c r="M2082" s="5">
        <v>51.219111</v>
      </c>
      <c r="N2082" s="5">
        <v>-120.403278</v>
      </c>
      <c r="O2082" s="5" t="s">
        <v>7631</v>
      </c>
      <c r="P2082" s="5" t="s">
        <v>7642</v>
      </c>
      <c r="R2082" s="5" t="s">
        <v>7643</v>
      </c>
      <c r="S2082" s="5" t="s">
        <v>7644</v>
      </c>
      <c r="U2082" s="5" t="s">
        <v>7645</v>
      </c>
      <c r="V2082" s="5" t="s">
        <v>7635</v>
      </c>
      <c r="W2082" s="5" t="s">
        <v>7636</v>
      </c>
      <c r="X2082" s="5" t="s">
        <v>7637</v>
      </c>
      <c r="Z2082" s="9" t="s">
        <v>7638</v>
      </c>
    </row>
    <row r="2083" ht="14.25" customHeight="1">
      <c r="A2083" s="5" t="s">
        <v>7135</v>
      </c>
      <c r="B2083" s="8"/>
      <c r="C2083" s="12" t="s">
        <v>7136</v>
      </c>
      <c r="D2083" s="10" t="str">
        <f t="shared" si="35"/>
        <v>'-&gt; M5</v>
      </c>
      <c r="F2083" s="10" t="str">
        <f t="shared" si="36"/>
        <v>'-&gt; Mayson Lake - M5</v>
      </c>
      <c r="G2083" s="10" t="str">
        <f t="shared" si="37"/>
        <v>'-&gt; 120.412222 W, 51.212361 N, Elev. 1314 m</v>
      </c>
      <c r="M2083" s="5">
        <v>51.212361</v>
      </c>
      <c r="N2083" s="5">
        <v>-120.412222</v>
      </c>
      <c r="O2083" s="5" t="s">
        <v>7631</v>
      </c>
      <c r="P2083" s="5" t="s">
        <v>7646</v>
      </c>
      <c r="R2083" s="5" t="s">
        <v>7647</v>
      </c>
      <c r="S2083" s="5" t="s">
        <v>7648</v>
      </c>
      <c r="U2083" s="5">
        <v>1314.0</v>
      </c>
      <c r="V2083" s="5" t="s">
        <v>7649</v>
      </c>
      <c r="W2083" s="5" t="s">
        <v>7636</v>
      </c>
      <c r="X2083" s="5" t="s">
        <v>7637</v>
      </c>
      <c r="Z2083" s="9" t="s">
        <v>7638</v>
      </c>
    </row>
    <row r="2084" ht="14.25" customHeight="1">
      <c r="A2084" s="5" t="s">
        <v>7135</v>
      </c>
      <c r="B2084" s="8"/>
      <c r="C2084" s="12" t="s">
        <v>7136</v>
      </c>
      <c r="D2084" s="10" t="str">
        <f t="shared" si="35"/>
        <v>'-&gt; M8</v>
      </c>
      <c r="F2084" s="10" t="str">
        <f t="shared" si="36"/>
        <v>'-&gt; Mayson Lake - M8</v>
      </c>
      <c r="G2084" s="10" t="str">
        <f t="shared" si="37"/>
        <v>'-&gt; 120.384583 W, 51.022475 N, Elev. 1270 m</v>
      </c>
      <c r="M2084" s="5">
        <v>51.022475</v>
      </c>
      <c r="N2084" s="5">
        <v>-120.384583</v>
      </c>
      <c r="O2084" s="5" t="s">
        <v>7631</v>
      </c>
      <c r="P2084" s="5" t="s">
        <v>7650</v>
      </c>
      <c r="R2084" s="5" t="s">
        <v>7651</v>
      </c>
      <c r="S2084" s="5" t="s">
        <v>7652</v>
      </c>
      <c r="U2084" s="5">
        <v>1270.0</v>
      </c>
      <c r="V2084" s="5" t="s">
        <v>7653</v>
      </c>
      <c r="W2084" s="5" t="s">
        <v>7636</v>
      </c>
      <c r="X2084" s="5" t="s">
        <v>7637</v>
      </c>
      <c r="Z2084" s="9" t="s">
        <v>7638</v>
      </c>
    </row>
    <row r="2085" ht="14.25" customHeight="1">
      <c r="A2085" s="6" t="s">
        <v>328</v>
      </c>
      <c r="B2085" s="8"/>
      <c r="C2085" s="12" t="s">
        <v>7702</v>
      </c>
      <c r="D2085" s="12" t="s">
        <v>7655</v>
      </c>
      <c r="F2085" s="12" t="s">
        <v>7656</v>
      </c>
      <c r="G2085" s="12" t="s">
        <v>7657</v>
      </c>
      <c r="Y2085" s="9"/>
    </row>
  </sheetData>
  <autoFilter ref="$A$2:$BT$2085"/>
  <mergeCells count="1">
    <mergeCell ref="A1:L1"/>
  </mergeCells>
  <conditionalFormatting sqref="S225:S226 S287 S327:S328 S330 S332:S333 S343 S348:S349 S351 S353 S355 S357 S361:S363 S365:S368 S371:S372">
    <cfRule type="endsWith" dxfId="0" priority="1" operator="endsWith" text=" ">
      <formula>RIGHT((S225),LEN(" "))=(" ")</formula>
    </cfRule>
  </conditionalFormatting>
  <conditionalFormatting sqref="S225:S226 S287 S327:S328 S330 S332:S333 S343 S348:S349 S351 S353 S355 S357 S361:S363 S365:S368 S371:S372">
    <cfRule type="beginsWith" dxfId="0" priority="2" operator="beginsWith" text=" ">
      <formula>LEFT((S225),LEN(" "))=(" ")</formula>
    </cfRule>
  </conditionalFormatting>
  <conditionalFormatting sqref="S322 S324 S337:S338 S340:S341">
    <cfRule type="endsWith" dxfId="0" priority="3" operator="endsWith" text=" ">
      <formula>RIGHT((S322),LEN(" "))=(" ")</formula>
    </cfRule>
  </conditionalFormatting>
  <conditionalFormatting sqref="S322 S324 S337:S338 S340:S341">
    <cfRule type="beginsWith" dxfId="0" priority="4" operator="beginsWith" text=" ">
      <formula>LEFT((S322),LEN(" "))=(" ")</formula>
    </cfRule>
  </conditionalFormatting>
  <conditionalFormatting sqref="S375 S379 S386 S390 S405 S408 S412 S432 S437 S449:S450">
    <cfRule type="endsWith" dxfId="0" priority="5" operator="endsWith" text=" ">
      <formula>RIGHT((S375),LEN(" "))=(" ")</formula>
    </cfRule>
  </conditionalFormatting>
  <conditionalFormatting sqref="S375 S379 S386 S390 S405 S408 S412 S432 S437 S449:S450">
    <cfRule type="beginsWith" dxfId="0" priority="6" operator="beginsWith" text=" ">
      <formula>LEFT((S375),LEN(" "))=(" ")</formula>
    </cfRule>
  </conditionalFormatting>
  <conditionalFormatting sqref="S453">
    <cfRule type="endsWith" dxfId="0" priority="7" operator="endsWith" text=" ">
      <formula>RIGHT((S453),LEN(" "))=(" ")</formula>
    </cfRule>
  </conditionalFormatting>
  <conditionalFormatting sqref="S453">
    <cfRule type="beginsWith" dxfId="0" priority="8" operator="beginsWith" text=" ">
      <formula>LEFT((S453),LEN(" "))=(" ")</formula>
    </cfRule>
  </conditionalFormatting>
  <conditionalFormatting sqref="S455:S462">
    <cfRule type="endsWith" dxfId="0" priority="9" operator="endsWith" text=" ">
      <formula>RIGHT((S455),LEN(" "))=(" ")</formula>
    </cfRule>
  </conditionalFormatting>
  <conditionalFormatting sqref="S455:S462">
    <cfRule type="beginsWith" dxfId="0" priority="10" operator="beginsWith" text=" ">
      <formula>LEFT((S455),LEN(" "))=(" ")</formula>
    </cfRule>
  </conditionalFormatting>
  <conditionalFormatting sqref="S983 S1246:S1251 S1253:S1288">
    <cfRule type="endsWith" dxfId="0" priority="11" operator="endsWith" text=" ">
      <formula>RIGHT((S983),LEN(" "))=(" ")</formula>
    </cfRule>
  </conditionalFormatting>
  <conditionalFormatting sqref="S983 S1246:S1251 S1253:S1288">
    <cfRule type="beginsWith" dxfId="0" priority="12" operator="beginsWith" text=" ">
      <formula>LEFT((S983),LEN(" "))=(" ")</formula>
    </cfRule>
  </conditionalFormatting>
  <conditionalFormatting sqref="S986">
    <cfRule type="endsWith" dxfId="0" priority="13" operator="endsWith" text=" ">
      <formula>RIGHT((S986),LEN(" "))=(" ")</formula>
    </cfRule>
  </conditionalFormatting>
  <conditionalFormatting sqref="S986">
    <cfRule type="beginsWith" dxfId="0" priority="14" operator="beginsWith" text=" ">
      <formula>LEFT((S986),LEN(" "))=(" ")</formula>
    </cfRule>
  </conditionalFormatting>
  <conditionalFormatting sqref="S995">
    <cfRule type="endsWith" dxfId="0" priority="15" operator="endsWith" text=" ">
      <formula>RIGHT((S995),LEN(" "))=(" ")</formula>
    </cfRule>
  </conditionalFormatting>
  <conditionalFormatting sqref="S995">
    <cfRule type="beginsWith" dxfId="0" priority="16" operator="beginsWith" text=" ">
      <formula>LEFT((S995),LEN(" "))=(" ")</formula>
    </cfRule>
  </conditionalFormatting>
  <conditionalFormatting sqref="S998">
    <cfRule type="endsWith" dxfId="0" priority="17" operator="endsWith" text=" ">
      <formula>RIGHT((S998),LEN(" "))=(" ")</formula>
    </cfRule>
  </conditionalFormatting>
  <conditionalFormatting sqref="S998">
    <cfRule type="beginsWith" dxfId="0" priority="18" operator="beginsWith" text=" ">
      <formula>LEFT((S998),LEN(" "))=(" ")</formula>
    </cfRule>
  </conditionalFormatting>
  <conditionalFormatting sqref="S1135:S1163 S1876 S1976:S1980 T2004:T2017 T2023:T2085">
    <cfRule type="endsWith" dxfId="0" priority="19" operator="endsWith" text=" ">
      <formula>RIGHT((S1135),LEN(" "))=(" ")</formula>
    </cfRule>
  </conditionalFormatting>
  <conditionalFormatting sqref="S1135:S1163 S1876 S1976:S1980 T2004:T2017 T2023:T2085">
    <cfRule type="beginsWith" dxfId="0" priority="20" operator="beginsWith" text=" ">
      <formula>LEFT((S1135),LEN(" "))=(" ")</formula>
    </cfRule>
  </conditionalFormatting>
  <conditionalFormatting sqref="S1207:S1208">
    <cfRule type="endsWith" dxfId="0" priority="21" operator="endsWith" text=" ">
      <formula>RIGHT((S1207),LEN(" "))=(" ")</formula>
    </cfRule>
  </conditionalFormatting>
  <conditionalFormatting sqref="S1207:S1208">
    <cfRule type="beginsWith" dxfId="0" priority="22" operator="beginsWith" text=" ">
      <formula>LEFT((S1207),LEN(" "))=(" ")</formula>
    </cfRule>
  </conditionalFormatting>
  <conditionalFormatting sqref="S1212:S1213">
    <cfRule type="endsWith" dxfId="0" priority="23" operator="endsWith" text=" ">
      <formula>RIGHT((S1212),LEN(" "))=(" ")</formula>
    </cfRule>
  </conditionalFormatting>
  <conditionalFormatting sqref="S1212:S1213">
    <cfRule type="beginsWith" dxfId="0" priority="24" operator="beginsWith" text=" ">
      <formula>LEFT((S1212),LEN(" "))=(" ")</formula>
    </cfRule>
  </conditionalFormatting>
  <conditionalFormatting sqref="S1242:S1244">
    <cfRule type="endsWith" dxfId="0" priority="25" operator="endsWith" text=" ">
      <formula>RIGHT((S1242),LEN(" "))=(" ")</formula>
    </cfRule>
  </conditionalFormatting>
  <conditionalFormatting sqref="S1242:S1244">
    <cfRule type="beginsWith" dxfId="0" priority="26" operator="beginsWith" text=" ">
      <formula>LEFT((S1242),LEN(" "))=(" ")</formula>
    </cfRule>
  </conditionalFormatting>
  <conditionalFormatting sqref="S1820 S1853 S1873 S1883 S1888:S1889 S1891 S1893 S1895 S1897 S1901:S1903 S1905:S1908 S1911:S1912">
    <cfRule type="endsWith" dxfId="0" priority="27" operator="endsWith" text=" ">
      <formula>RIGHT((S1820),LEN(" "))=(" ")</formula>
    </cfRule>
  </conditionalFormatting>
  <conditionalFormatting sqref="S1820 S1853 S1873 S1883 S1888:S1889 S1891 S1893 S1895 S1897 S1901:S1903 S1905:S1908 S1911:S1912">
    <cfRule type="beginsWith" dxfId="0" priority="28" operator="beginsWith" text=" ">
      <formula>LEFT((S1820),LEN(" "))=(" ")</formula>
    </cfRule>
  </conditionalFormatting>
  <conditionalFormatting sqref="S1878 S1880:S1881">
    <cfRule type="endsWith" dxfId="0" priority="29" operator="endsWith" text=" ">
      <formula>RIGHT((S1878),LEN(" "))=(" ")</formula>
    </cfRule>
  </conditionalFormatting>
  <conditionalFormatting sqref="S1878 S1880:S1881">
    <cfRule type="beginsWith" dxfId="0" priority="30" operator="beginsWith" text=" ">
      <formula>LEFT((S1878),LEN(" "))=(" ")</formula>
    </cfRule>
  </conditionalFormatting>
  <conditionalFormatting sqref="S1915 S1919 S1926 S1930 S1940 S1943 S1947 S1966 S1972">
    <cfRule type="endsWith" dxfId="0" priority="31" operator="endsWith" text=" ">
      <formula>RIGHT((S1915),LEN(" "))=(" ")</formula>
    </cfRule>
  </conditionalFormatting>
  <conditionalFormatting sqref="S1915 S1919 S1926 S1930 S1940 S1943 S1947 S1966 S1972">
    <cfRule type="beginsWith" dxfId="0" priority="32" operator="beginsWith" text=" ">
      <formula>LEFT((S1915),LEN(" "))=(" ")</formula>
    </cfRule>
  </conditionalFormatting>
  <conditionalFormatting sqref="S1974">
    <cfRule type="endsWith" dxfId="0" priority="33" operator="endsWith" text=" ">
      <formula>RIGHT((S1974),LEN(" "))=(" ")</formula>
    </cfRule>
  </conditionalFormatting>
  <conditionalFormatting sqref="S1974">
    <cfRule type="beginsWith" dxfId="0" priority="34" operator="beginsWith" text=" ">
      <formula>LEFT((S1974),LEN(" "))=(" ")</formula>
    </cfRule>
  </conditionalFormatting>
  <conditionalFormatting sqref="S987:T987 S1090:S1091 S1093:S1103 S1105:S1133 S1165:S1179 S1181:S1202 S1204:S1205 S1219">
    <cfRule type="endsWith" dxfId="0" priority="35" operator="endsWith" text=" ">
      <formula>RIGHT((S987),LEN(" "))=(" ")</formula>
    </cfRule>
  </conditionalFormatting>
  <conditionalFormatting sqref="S987:T987 S1090:S1091 S1093:S1103 S1105:S1133 S1165:S1179 S1181:S1202 S1204:S1205 S1219">
    <cfRule type="beginsWith" dxfId="0" priority="36" operator="beginsWith" text=" ">
      <formula>LEFT((S987),LEN(" "))=(" ")</formula>
    </cfRule>
  </conditionalFormatting>
  <conditionalFormatting sqref="T489:T492 T494:T515 T518 T523:T601">
    <cfRule type="endsWith" dxfId="0" priority="37" operator="endsWith" text=" ">
      <formula>RIGHT((T489),LEN(" "))=(" ")</formula>
    </cfRule>
  </conditionalFormatting>
  <conditionalFormatting sqref="T489:T492 T494:T515 T518 T523:T601">
    <cfRule type="beginsWith" dxfId="0" priority="38" operator="beginsWith" text=" ">
      <formula>LEFT((T489),LEN("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endsWith" dxfId="0" priority="39" operator="endsWith" text=" ">
      <formula>RIGHT((T770),LEN(" "))=(" ")</formula>
    </cfRule>
  </conditionalFormatting>
  <conditionalFormatting sqref="T770:T772 T776:T782 T784:T785 T787:T799 T801 T804 T806:T826 T828:T841 T843:T857 T924 T950:T953 T960 T962 AC770:AC772 AC776:AC782 AC784:AC785 AC787:AC799 AC801 AC804 AC806:AC826 AC828:AC841 AC843:AC858 AC924 AC950:AC953 AC960 AC962">
    <cfRule type="beginsWith" dxfId="0" priority="40" operator="beginsWith" text=" ">
      <formula>LEFT((T770),LEN(" "))=(" ")</formula>
    </cfRule>
  </conditionalFormatting>
  <conditionalFormatting sqref="T2000:T2002">
    <cfRule type="endsWith" dxfId="0" priority="41" operator="endsWith" text=" ">
      <formula>RIGHT((T2000),LEN(" "))=(" ")</formula>
    </cfRule>
  </conditionalFormatting>
  <conditionalFormatting sqref="T2000:T2002">
    <cfRule type="beginsWith" dxfId="0" priority="42" operator="beginsWith" text=" ">
      <formula>LEFT((T2000),LEN(" "))=(" ")</formula>
    </cfRule>
  </conditionalFormatting>
  <conditionalFormatting sqref="U2080:U2084">
    <cfRule type="endsWith" dxfId="0" priority="43" operator="endsWith" text=" ">
      <formula>RIGHT((U2080),LEN(" "))=(" ")</formula>
    </cfRule>
  </conditionalFormatting>
  <conditionalFormatting sqref="U2080:U2084">
    <cfRule type="beginsWith" dxfId="0" priority="44" operator="beginsWith" text=" ">
      <formula>LEFT((U2080),LEN(" "))=(" ")</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6.63"/>
    <col customWidth="1" min="4" max="4" width="21.63"/>
    <col customWidth="1" min="5" max="5" width="8.63"/>
    <col customWidth="1" min="6" max="6" width="23.38"/>
    <col customWidth="1" min="7" max="9" width="8.63"/>
    <col customWidth="1" min="10" max="10" width="7.63"/>
    <col customWidth="1" min="11" max="26" width="8.63"/>
  </cols>
  <sheetData>
    <row r="1" ht="14.25" customHeight="1">
      <c r="B1" s="5" t="s">
        <v>7703</v>
      </c>
      <c r="E1" s="121" t="s">
        <v>7704</v>
      </c>
      <c r="F1" s="122"/>
      <c r="K1" s="49"/>
      <c r="L1" s="49"/>
    </row>
    <row r="2" ht="14.25" customHeight="1">
      <c r="B2" s="123" t="s">
        <v>7705</v>
      </c>
      <c r="C2" s="122"/>
      <c r="D2" s="124" t="s">
        <v>7706</v>
      </c>
      <c r="E2" s="125" t="s">
        <v>7707</v>
      </c>
      <c r="F2" s="126" t="s">
        <v>7</v>
      </c>
      <c r="G2" s="127" t="s">
        <v>7708</v>
      </c>
      <c r="H2" s="128"/>
      <c r="I2" s="128"/>
      <c r="J2" s="129"/>
      <c r="K2" s="130" t="s">
        <v>7709</v>
      </c>
      <c r="L2" s="131"/>
    </row>
    <row r="3" ht="14.25" customHeight="1">
      <c r="B3" s="132" t="s">
        <v>7707</v>
      </c>
      <c r="C3" s="133" t="s">
        <v>7710</v>
      </c>
      <c r="D3" s="134"/>
      <c r="E3" s="135"/>
      <c r="F3" s="136"/>
      <c r="G3" s="137" t="s">
        <v>7711</v>
      </c>
      <c r="H3" s="138"/>
      <c r="I3" s="139" t="s">
        <v>7712</v>
      </c>
      <c r="J3" s="140"/>
      <c r="K3" s="134"/>
      <c r="L3" s="138"/>
    </row>
    <row r="4" ht="14.25" customHeight="1">
      <c r="B4" s="141" t="s">
        <v>7713</v>
      </c>
      <c r="C4" s="142" t="s">
        <v>7660</v>
      </c>
      <c r="D4" s="143"/>
      <c r="E4" s="125" t="s">
        <v>7714</v>
      </c>
      <c r="F4" s="144" t="s">
        <v>450</v>
      </c>
      <c r="G4" s="145" t="s">
        <v>7660</v>
      </c>
      <c r="H4" s="131"/>
      <c r="I4" s="146" t="s">
        <v>450</v>
      </c>
      <c r="J4" s="147"/>
      <c r="K4" s="148" t="s">
        <v>7715</v>
      </c>
      <c r="L4" s="131"/>
      <c r="M4" s="149" t="s">
        <v>7716</v>
      </c>
    </row>
    <row r="5" ht="14.25" customHeight="1">
      <c r="B5" s="135"/>
      <c r="C5" s="136"/>
      <c r="D5" s="143" t="s">
        <v>145</v>
      </c>
      <c r="E5" s="150"/>
      <c r="F5" s="136"/>
      <c r="G5" s="151"/>
      <c r="H5" s="138"/>
      <c r="I5" s="152"/>
      <c r="J5" s="153"/>
      <c r="K5" s="151"/>
      <c r="L5" s="138"/>
      <c r="M5" s="149" t="s">
        <v>7717</v>
      </c>
    </row>
    <row r="6" ht="14.25" customHeight="1">
      <c r="B6" s="154" t="s">
        <v>7718</v>
      </c>
      <c r="C6" s="133" t="s">
        <v>7719</v>
      </c>
      <c r="D6" s="143" t="s">
        <v>7720</v>
      </c>
      <c r="E6" s="150"/>
      <c r="F6" s="155" t="s">
        <v>7721</v>
      </c>
      <c r="G6" s="143" t="s">
        <v>7678</v>
      </c>
      <c r="H6" s="156"/>
      <c r="I6" s="157" t="s">
        <v>4969</v>
      </c>
      <c r="J6" s="158"/>
      <c r="K6" s="159" t="s">
        <v>7722</v>
      </c>
      <c r="L6" s="156"/>
      <c r="M6" s="149" t="s">
        <v>7723</v>
      </c>
    </row>
    <row r="7" ht="14.25" customHeight="1">
      <c r="B7" s="150"/>
      <c r="C7" s="133" t="s">
        <v>7724</v>
      </c>
      <c r="D7" s="143" t="s">
        <v>6646</v>
      </c>
      <c r="E7" s="150"/>
      <c r="F7" s="155" t="s">
        <v>7725</v>
      </c>
      <c r="G7" s="124" t="s">
        <v>7690</v>
      </c>
      <c r="H7" s="131"/>
      <c r="I7" s="146" t="s">
        <v>6099</v>
      </c>
      <c r="J7" s="147"/>
      <c r="K7" s="130" t="s">
        <v>7726</v>
      </c>
      <c r="L7" s="131"/>
      <c r="M7" s="160" t="s">
        <v>7727</v>
      </c>
    </row>
    <row r="8" ht="14.25" customHeight="1">
      <c r="B8" s="150"/>
      <c r="C8" s="133" t="s">
        <v>7728</v>
      </c>
      <c r="D8" s="143" t="s">
        <v>7729</v>
      </c>
      <c r="E8" s="150"/>
      <c r="F8" s="155" t="s">
        <v>7730</v>
      </c>
      <c r="H8" s="161"/>
      <c r="I8" s="162"/>
      <c r="J8" s="163"/>
      <c r="L8" s="161"/>
      <c r="M8" s="162"/>
    </row>
    <row r="9" ht="14.25" customHeight="1">
      <c r="B9" s="135"/>
      <c r="C9" s="133" t="s">
        <v>645</v>
      </c>
      <c r="D9" s="143" t="s">
        <v>7731</v>
      </c>
      <c r="E9" s="150"/>
      <c r="F9" s="155" t="s">
        <v>645</v>
      </c>
      <c r="G9" s="134"/>
      <c r="H9" s="138"/>
      <c r="I9" s="152"/>
      <c r="J9" s="153"/>
      <c r="K9" s="134"/>
      <c r="L9" s="138"/>
      <c r="M9" s="162"/>
    </row>
    <row r="10" ht="14.25" customHeight="1">
      <c r="B10" s="154" t="s">
        <v>7732</v>
      </c>
      <c r="C10" s="133" t="s">
        <v>7733</v>
      </c>
      <c r="D10" s="143" t="s">
        <v>4045</v>
      </c>
      <c r="E10" s="150"/>
      <c r="F10" s="155" t="s">
        <v>7734</v>
      </c>
      <c r="G10" s="124" t="s">
        <v>7666</v>
      </c>
      <c r="H10" s="131"/>
      <c r="I10" s="157" t="s">
        <v>7735</v>
      </c>
      <c r="J10" s="158"/>
      <c r="K10" s="130" t="s">
        <v>7736</v>
      </c>
      <c r="L10" s="131"/>
      <c r="M10" s="149" t="s">
        <v>7737</v>
      </c>
    </row>
    <row r="11" ht="14.25" customHeight="1">
      <c r="B11" s="150"/>
      <c r="C11" s="133" t="s">
        <v>7738</v>
      </c>
      <c r="D11" s="143" t="s">
        <v>1737</v>
      </c>
      <c r="E11" s="150"/>
      <c r="F11" s="155" t="s">
        <v>7739</v>
      </c>
      <c r="G11" s="134"/>
      <c r="H11" s="138"/>
      <c r="I11" s="157" t="s">
        <v>1711</v>
      </c>
      <c r="J11" s="158"/>
      <c r="K11" s="134"/>
      <c r="L11" s="138"/>
    </row>
    <row r="12" ht="14.25" customHeight="1">
      <c r="B12" s="135"/>
      <c r="C12" s="133" t="s">
        <v>7740</v>
      </c>
      <c r="D12" s="143" t="s">
        <v>4344</v>
      </c>
      <c r="E12" s="150"/>
      <c r="F12" s="155" t="s">
        <v>7741</v>
      </c>
      <c r="G12" s="143" t="s">
        <v>7742</v>
      </c>
      <c r="H12" s="156"/>
      <c r="I12" s="157" t="s">
        <v>7179</v>
      </c>
      <c r="J12" s="158"/>
      <c r="K12" s="164"/>
      <c r="L12" s="156"/>
      <c r="M12" s="149" t="s">
        <v>7743</v>
      </c>
    </row>
    <row r="13" ht="14.25" customHeight="1">
      <c r="B13" s="141" t="s">
        <v>7744</v>
      </c>
      <c r="C13" s="142" t="s">
        <v>7745</v>
      </c>
      <c r="D13" s="165" t="s">
        <v>7746</v>
      </c>
      <c r="E13" s="150"/>
      <c r="F13" s="144" t="s">
        <v>7747</v>
      </c>
      <c r="G13" s="141" t="s">
        <v>7661</v>
      </c>
      <c r="H13" s="166" t="s">
        <v>7748</v>
      </c>
      <c r="I13" s="146" t="s">
        <v>637</v>
      </c>
      <c r="J13" s="147"/>
      <c r="K13" s="145" t="s">
        <v>7749</v>
      </c>
      <c r="L13" s="167" t="s">
        <v>7750</v>
      </c>
      <c r="M13" s="149" t="s">
        <v>7751</v>
      </c>
    </row>
    <row r="14" ht="14.25" customHeight="1">
      <c r="B14" s="150"/>
      <c r="C14" s="168"/>
      <c r="D14" s="169"/>
      <c r="E14" s="150"/>
      <c r="F14" s="168"/>
      <c r="G14" s="150"/>
      <c r="H14" s="170"/>
      <c r="I14" s="162"/>
      <c r="J14" s="163"/>
      <c r="K14" s="171"/>
      <c r="L14" s="172"/>
      <c r="M14" s="149" t="s">
        <v>7752</v>
      </c>
    </row>
    <row r="15" ht="14.25" customHeight="1">
      <c r="B15" s="135"/>
      <c r="C15" s="136"/>
      <c r="D15" s="173"/>
      <c r="E15" s="150"/>
      <c r="F15" s="136"/>
      <c r="G15" s="135"/>
      <c r="H15" s="174"/>
      <c r="I15" s="152"/>
      <c r="J15" s="153"/>
      <c r="K15" s="151"/>
      <c r="L15" s="175"/>
      <c r="M15" s="149" t="s">
        <v>7753</v>
      </c>
    </row>
    <row r="16" ht="14.25" customHeight="1">
      <c r="B16" s="132" t="s">
        <v>7754</v>
      </c>
      <c r="C16" s="133" t="s">
        <v>7755</v>
      </c>
      <c r="D16" s="143"/>
      <c r="E16" s="150"/>
      <c r="F16" s="155" t="s">
        <v>7755</v>
      </c>
      <c r="G16" s="143" t="s">
        <v>7754</v>
      </c>
      <c r="H16" s="156"/>
      <c r="I16" s="157" t="s">
        <v>7754</v>
      </c>
      <c r="J16" s="158"/>
      <c r="K16" s="176"/>
      <c r="L16" s="131"/>
      <c r="M16" s="149" t="s">
        <v>7756</v>
      </c>
      <c r="Q16" s="149" t="s">
        <v>7757</v>
      </c>
    </row>
    <row r="17" ht="14.25" customHeight="1">
      <c r="B17" s="132" t="s">
        <v>7758</v>
      </c>
      <c r="C17" s="133" t="s">
        <v>7759</v>
      </c>
      <c r="D17" s="143"/>
      <c r="E17" s="135"/>
      <c r="F17" s="155" t="s">
        <v>7759</v>
      </c>
      <c r="G17" s="143" t="s">
        <v>7758</v>
      </c>
      <c r="H17" s="156"/>
      <c r="I17" s="157" t="s">
        <v>7758</v>
      </c>
      <c r="J17" s="158"/>
      <c r="K17" s="151"/>
      <c r="L17" s="138"/>
      <c r="M17" s="149" t="s">
        <v>7760</v>
      </c>
    </row>
    <row r="18" ht="14.25" customHeight="1">
      <c r="B18" s="154" t="s">
        <v>7761</v>
      </c>
      <c r="C18" s="133" t="s">
        <v>7762</v>
      </c>
      <c r="D18" s="143" t="s">
        <v>6009</v>
      </c>
      <c r="E18" s="125" t="s">
        <v>7761</v>
      </c>
      <c r="F18" s="177" t="s">
        <v>7763</v>
      </c>
      <c r="G18" s="124" t="s">
        <v>7688</v>
      </c>
      <c r="H18" s="131"/>
      <c r="I18" s="157" t="s">
        <v>6010</v>
      </c>
      <c r="J18" s="158"/>
      <c r="K18" s="178" t="s">
        <v>7764</v>
      </c>
      <c r="L18" s="179"/>
      <c r="M18" s="149" t="s">
        <v>7765</v>
      </c>
    </row>
    <row r="19" ht="14.25" customHeight="1">
      <c r="B19" s="135"/>
      <c r="C19" s="133" t="s">
        <v>7766</v>
      </c>
      <c r="D19" s="143" t="s">
        <v>6036</v>
      </c>
      <c r="E19" s="135"/>
      <c r="F19" s="180"/>
      <c r="G19" s="134"/>
      <c r="H19" s="138"/>
      <c r="I19" s="157" t="s">
        <v>7767</v>
      </c>
      <c r="J19" s="158"/>
      <c r="K19" s="164"/>
      <c r="L19" s="156"/>
    </row>
    <row r="20" ht="14.25" customHeight="1">
      <c r="B20" s="141" t="s">
        <v>7768</v>
      </c>
      <c r="C20" s="142" t="s">
        <v>7762</v>
      </c>
      <c r="D20" s="165" t="s">
        <v>4415</v>
      </c>
      <c r="E20" s="125" t="s">
        <v>7769</v>
      </c>
      <c r="F20" s="181" t="s">
        <v>7770</v>
      </c>
      <c r="G20" s="143"/>
      <c r="H20" s="182"/>
      <c r="I20" s="183" t="s">
        <v>7771</v>
      </c>
      <c r="J20" s="158"/>
      <c r="K20" s="164"/>
      <c r="L20" s="156"/>
    </row>
    <row r="21" ht="14.25" customHeight="1">
      <c r="B21" s="135"/>
      <c r="C21" s="136"/>
      <c r="D21" s="173"/>
      <c r="E21" s="150"/>
      <c r="F21" s="155" t="s">
        <v>7772</v>
      </c>
      <c r="G21" s="184"/>
      <c r="H21" s="156"/>
      <c r="I21" s="157" t="s">
        <v>7773</v>
      </c>
      <c r="J21" s="158"/>
      <c r="K21" s="185" t="s">
        <v>7774</v>
      </c>
      <c r="L21" s="156"/>
    </row>
    <row r="22" ht="14.25" customHeight="1">
      <c r="B22" s="154" t="s">
        <v>7775</v>
      </c>
      <c r="C22" s="133" t="s">
        <v>7776</v>
      </c>
      <c r="D22" s="143" t="s">
        <v>7777</v>
      </c>
      <c r="E22" s="150"/>
      <c r="F22" s="155" t="s">
        <v>7778</v>
      </c>
      <c r="G22" s="186" t="s">
        <v>7779</v>
      </c>
      <c r="H22" s="187" t="s">
        <v>7780</v>
      </c>
      <c r="I22" s="188" t="s">
        <v>7779</v>
      </c>
      <c r="J22" s="126" t="s">
        <v>7781</v>
      </c>
      <c r="K22" s="141"/>
      <c r="L22" s="189"/>
      <c r="M22" s="149" t="s">
        <v>7782</v>
      </c>
    </row>
    <row r="23" ht="14.25" customHeight="1">
      <c r="B23" s="150"/>
      <c r="C23" s="133" t="s">
        <v>7783</v>
      </c>
      <c r="D23" s="143" t="s">
        <v>7784</v>
      </c>
      <c r="E23" s="150"/>
      <c r="F23" s="190" t="s">
        <v>7785</v>
      </c>
      <c r="G23" s="161"/>
      <c r="H23" s="170"/>
      <c r="I23" s="170"/>
      <c r="J23" s="168"/>
      <c r="K23" s="150"/>
      <c r="L23" s="170"/>
      <c r="M23" s="149" t="s">
        <v>7786</v>
      </c>
    </row>
    <row r="24" ht="14.25" customHeight="1">
      <c r="B24" s="150"/>
      <c r="C24" s="133" t="s">
        <v>7787</v>
      </c>
      <c r="D24" s="143" t="s">
        <v>7788</v>
      </c>
      <c r="E24" s="150"/>
      <c r="F24" s="155" t="s">
        <v>7789</v>
      </c>
      <c r="G24" s="161"/>
      <c r="H24" s="170"/>
      <c r="I24" s="170"/>
      <c r="J24" s="168"/>
      <c r="K24" s="150"/>
      <c r="L24" s="170"/>
      <c r="M24" s="149" t="s">
        <v>7790</v>
      </c>
    </row>
    <row r="25" ht="14.25" customHeight="1">
      <c r="B25" s="135"/>
      <c r="C25" s="133" t="s">
        <v>7791</v>
      </c>
      <c r="D25" s="143" t="s">
        <v>7792</v>
      </c>
      <c r="E25" s="135"/>
      <c r="F25" s="155" t="s">
        <v>7793</v>
      </c>
      <c r="G25" s="138"/>
      <c r="H25" s="174"/>
      <c r="I25" s="174"/>
      <c r="J25" s="136"/>
      <c r="K25" s="135"/>
      <c r="L25" s="174"/>
      <c r="M25" s="149" t="s">
        <v>7794</v>
      </c>
    </row>
    <row r="26" ht="14.25" customHeight="1">
      <c r="B26" s="132" t="s">
        <v>7658</v>
      </c>
      <c r="C26" s="133"/>
      <c r="D26" s="143" t="s">
        <v>44</v>
      </c>
      <c r="E26" s="191" t="s">
        <v>7658</v>
      </c>
      <c r="F26" s="155" t="s">
        <v>7795</v>
      </c>
      <c r="G26" s="143" t="s">
        <v>7658</v>
      </c>
      <c r="H26" s="156"/>
      <c r="I26" s="157" t="s">
        <v>44</v>
      </c>
      <c r="J26" s="158"/>
      <c r="K26" s="192" t="s">
        <v>7796</v>
      </c>
      <c r="L26" s="193"/>
      <c r="M26" s="149" t="s">
        <v>7797</v>
      </c>
    </row>
    <row r="27" ht="14.25" customHeight="1">
      <c r="B27" s="132" t="s">
        <v>7798</v>
      </c>
      <c r="C27" s="133" t="s">
        <v>7799</v>
      </c>
      <c r="D27" s="143" t="s">
        <v>7800</v>
      </c>
      <c r="E27" s="191" t="s">
        <v>7801</v>
      </c>
      <c r="F27" s="155" t="s">
        <v>7802</v>
      </c>
      <c r="G27" s="143" t="s">
        <v>7803</v>
      </c>
      <c r="H27" s="156"/>
      <c r="I27" s="143" t="s">
        <v>7803</v>
      </c>
      <c r="J27" s="156"/>
      <c r="K27" s="164"/>
      <c r="L27" s="156"/>
      <c r="M27" s="149" t="s">
        <v>7804</v>
      </c>
    </row>
    <row r="28" ht="14.25" customHeight="1">
      <c r="B28" s="154" t="s">
        <v>5983</v>
      </c>
      <c r="C28" s="133" t="s">
        <v>7805</v>
      </c>
      <c r="D28" s="143" t="s">
        <v>7806</v>
      </c>
      <c r="E28" s="194" t="s">
        <v>5983</v>
      </c>
      <c r="F28" s="155" t="s">
        <v>7721</v>
      </c>
      <c r="G28" s="124" t="s">
        <v>7807</v>
      </c>
      <c r="H28" s="131"/>
      <c r="I28" s="146" t="s">
        <v>5983</v>
      </c>
      <c r="J28" s="147"/>
      <c r="K28" s="195" t="s">
        <v>7808</v>
      </c>
      <c r="L28" s="131"/>
    </row>
    <row r="29" ht="14.25" customHeight="1">
      <c r="B29" s="135"/>
      <c r="C29" s="133" t="s">
        <v>7809</v>
      </c>
      <c r="D29" s="143" t="s">
        <v>7810</v>
      </c>
      <c r="E29" s="135"/>
      <c r="F29" s="155" t="s">
        <v>7795</v>
      </c>
      <c r="G29" s="134"/>
      <c r="H29" s="138"/>
      <c r="I29" s="152"/>
      <c r="J29" s="153"/>
      <c r="K29" s="151"/>
      <c r="L29" s="138"/>
      <c r="M29" s="149" t="s">
        <v>7811</v>
      </c>
    </row>
    <row r="30" ht="14.25" customHeight="1">
      <c r="B30" s="132" t="s">
        <v>7812</v>
      </c>
      <c r="C30" s="133" t="s">
        <v>7813</v>
      </c>
      <c r="D30" s="143" t="s">
        <v>7814</v>
      </c>
      <c r="E30" s="191" t="s">
        <v>7812</v>
      </c>
      <c r="F30" s="155" t="s">
        <v>7812</v>
      </c>
      <c r="G30" s="184"/>
      <c r="H30" s="156"/>
      <c r="I30" s="196"/>
      <c r="J30" s="197"/>
      <c r="K30" s="164"/>
      <c r="L30" s="156"/>
    </row>
    <row r="31" ht="14.25" customHeight="1">
      <c r="B31" s="132" t="s">
        <v>1659</v>
      </c>
      <c r="C31" s="133" t="s">
        <v>7815</v>
      </c>
      <c r="D31" s="143" t="s">
        <v>1659</v>
      </c>
      <c r="E31" s="191" t="s">
        <v>7815</v>
      </c>
      <c r="F31" s="155" t="s">
        <v>7795</v>
      </c>
      <c r="G31" s="143" t="s">
        <v>1659</v>
      </c>
      <c r="H31" s="156"/>
      <c r="I31" s="157" t="s">
        <v>1659</v>
      </c>
      <c r="J31" s="158"/>
      <c r="K31" s="185" t="s">
        <v>7816</v>
      </c>
      <c r="L31" s="156"/>
      <c r="M31" s="149" t="s">
        <v>7817</v>
      </c>
    </row>
    <row r="32" ht="14.25" customHeight="1">
      <c r="B32" s="198" t="s">
        <v>7818</v>
      </c>
      <c r="C32" s="199"/>
      <c r="D32" s="143" t="s">
        <v>7818</v>
      </c>
      <c r="E32" s="200" t="s">
        <v>7818</v>
      </c>
      <c r="F32" s="201" t="s">
        <v>7818</v>
      </c>
      <c r="G32" s="202" t="s">
        <v>7818</v>
      </c>
      <c r="H32" s="203"/>
      <c r="I32" s="204" t="s">
        <v>7819</v>
      </c>
      <c r="J32" s="205"/>
      <c r="K32" s="164"/>
      <c r="L32" s="156"/>
      <c r="M32" s="149" t="s">
        <v>7820</v>
      </c>
    </row>
    <row r="33" ht="14.25" customHeight="1">
      <c r="E33" s="206" t="s">
        <v>7821</v>
      </c>
      <c r="F33" s="207" t="s">
        <v>7822</v>
      </c>
      <c r="I33" s="208" t="s">
        <v>7822</v>
      </c>
      <c r="K33" s="49"/>
      <c r="L33" s="49"/>
    </row>
    <row r="34" ht="14.25" customHeight="1">
      <c r="K34" s="49"/>
      <c r="L34" s="49"/>
      <c r="M34" s="149" t="s">
        <v>7823</v>
      </c>
    </row>
    <row r="35" ht="14.25" customHeight="1">
      <c r="K35" s="49"/>
      <c r="L35" s="49"/>
      <c r="M35" s="149" t="s">
        <v>7824</v>
      </c>
    </row>
    <row r="36" ht="14.25" customHeight="1">
      <c r="K36" s="49"/>
      <c r="L36" s="49"/>
      <c r="M36" s="149" t="s">
        <v>7825</v>
      </c>
    </row>
    <row r="37" ht="14.25" customHeight="1">
      <c r="K37" s="49"/>
      <c r="L37" s="49"/>
      <c r="M37" s="149" t="s">
        <v>7826</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7">
    <mergeCell ref="E4:E17"/>
    <mergeCell ref="E18:E19"/>
    <mergeCell ref="E20:E25"/>
    <mergeCell ref="E28:E29"/>
    <mergeCell ref="B20:B21"/>
    <mergeCell ref="C20:C21"/>
    <mergeCell ref="D20:D21"/>
    <mergeCell ref="B22:B25"/>
    <mergeCell ref="B28:B29"/>
    <mergeCell ref="B4:B5"/>
    <mergeCell ref="C4:C5"/>
    <mergeCell ref="B6:B9"/>
    <mergeCell ref="B10:B12"/>
    <mergeCell ref="B13:B15"/>
    <mergeCell ref="C13:C15"/>
    <mergeCell ref="B18:B19"/>
    <mergeCell ref="G16:H16"/>
    <mergeCell ref="I16:J16"/>
    <mergeCell ref="K16:L17"/>
    <mergeCell ref="G17:H17"/>
    <mergeCell ref="I17:J17"/>
    <mergeCell ref="G18:H19"/>
    <mergeCell ref="K18:L18"/>
    <mergeCell ref="H22:H25"/>
    <mergeCell ref="I22:I25"/>
    <mergeCell ref="J22:J25"/>
    <mergeCell ref="K22:K25"/>
    <mergeCell ref="G22:G25"/>
    <mergeCell ref="G26:H26"/>
    <mergeCell ref="G27:H27"/>
    <mergeCell ref="G28:H29"/>
    <mergeCell ref="G30:H30"/>
    <mergeCell ref="G31:H31"/>
    <mergeCell ref="G32:H32"/>
    <mergeCell ref="I18:J18"/>
    <mergeCell ref="I19:J19"/>
    <mergeCell ref="I20:J20"/>
    <mergeCell ref="G21:H21"/>
    <mergeCell ref="I21:J21"/>
    <mergeCell ref="K21:L21"/>
    <mergeCell ref="L22:L25"/>
    <mergeCell ref="I31:J31"/>
    <mergeCell ref="I32:J32"/>
    <mergeCell ref="I26:J26"/>
    <mergeCell ref="I27:J27"/>
    <mergeCell ref="K27:L27"/>
    <mergeCell ref="I28:J29"/>
    <mergeCell ref="K28:L29"/>
    <mergeCell ref="K30:L30"/>
    <mergeCell ref="K31:L31"/>
    <mergeCell ref="K32:L32"/>
    <mergeCell ref="E1:F1"/>
    <mergeCell ref="B2:C2"/>
    <mergeCell ref="D2:D3"/>
    <mergeCell ref="E2:E3"/>
    <mergeCell ref="F2:F3"/>
    <mergeCell ref="G2:J2"/>
    <mergeCell ref="K2:L3"/>
    <mergeCell ref="G3:H3"/>
    <mergeCell ref="I3:J3"/>
    <mergeCell ref="F4:F5"/>
    <mergeCell ref="G4:H5"/>
    <mergeCell ref="I4:J5"/>
    <mergeCell ref="K4:L5"/>
    <mergeCell ref="G6:H6"/>
    <mergeCell ref="K7:L9"/>
    <mergeCell ref="K10:L11"/>
    <mergeCell ref="K12:L12"/>
    <mergeCell ref="G10:H11"/>
    <mergeCell ref="G12:H12"/>
    <mergeCell ref="I12:J12"/>
    <mergeCell ref="I6:J6"/>
    <mergeCell ref="K6:L6"/>
    <mergeCell ref="G7:H9"/>
    <mergeCell ref="I7:J9"/>
    <mergeCell ref="M7:R9"/>
    <mergeCell ref="I10:J10"/>
    <mergeCell ref="I11:J11"/>
    <mergeCell ref="D13:D15"/>
    <mergeCell ref="F13:F15"/>
    <mergeCell ref="G13:G15"/>
    <mergeCell ref="H13:H15"/>
    <mergeCell ref="I13:J15"/>
    <mergeCell ref="K13:K15"/>
    <mergeCell ref="L13:L15"/>
    <mergeCell ref="K19:L19"/>
    <mergeCell ref="K20:L20"/>
  </mergeCells>
  <conditionalFormatting sqref="B6 B10 B13:C13 B16:B17 B20 B22 B26:B28 B31:B32 C29:C30">
    <cfRule type="endsWith" dxfId="0" priority="1" operator="endsWith" text=" ">
      <formula>RIGHT((B6),LEN(" "))=(" ")</formula>
    </cfRule>
  </conditionalFormatting>
  <conditionalFormatting sqref="B6 B10 B13:C13 B16:B17 B20 B22 B26:B28 B31:B32 C29:C30">
    <cfRule type="beginsWith" dxfId="0" priority="2" operator="beginsWith" text=" ">
      <formula>LEFT((B6),LEN(" "))=(" ")</formula>
    </cfRule>
  </conditionalFormatting>
  <conditionalFormatting sqref="C19">
    <cfRule type="endsWith" dxfId="0" priority="3" operator="endsWith" text=" ">
      <formula>RIGHT((C19),LEN(" "))=(" ")</formula>
    </cfRule>
  </conditionalFormatting>
  <conditionalFormatting sqref="C19">
    <cfRule type="beginsWith" dxfId="0" priority="4" operator="beginsWith" text=" ">
      <formula>LEFT((C19),LEN(" "))=(" ")</formula>
    </cfRule>
  </conditionalFormatting>
  <conditionalFormatting sqref="D22">
    <cfRule type="endsWith" dxfId="0" priority="5" operator="endsWith" text=" ">
      <formula>RIGHT((D22),LEN(" "))=(" ")</formula>
    </cfRule>
  </conditionalFormatting>
  <conditionalFormatting sqref="D22">
    <cfRule type="beginsWith" dxfId="0" priority="6" operator="beginsWith" text=" ">
      <formula>LEFT((D22),LEN(" "))=(" ")</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2025-09-17T20:56:36Z</dcterms:created>
  <dc:creator>Weick, Ted J ENV:EX</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